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fileSharing userName="user" algorithmName="SHA-512" hashValue="dG9Qgpuo8YDwU923UA0y93GfgYRlrus8AsKkgtnLqOo1N2Pl6czYN8L2oTFlsS+hB0Q/eqb32EBQGHNmzu0MTg==" saltValue="nnXgjB0ILjv/raE0BdD2yQ==" spinCount="100000"/>
  <workbookPr filterPrivacy="1" backupFile="1" codeName="ThisWorkbook" defaultThemeVersion="124226"/>
  <xr:revisionPtr revIDLastSave="0" documentId="13_ncr:10001_{F8B48F30-F429-4E1C-830A-B4DED726D42D}" xr6:coauthVersionLast="47" xr6:coauthVersionMax="47" xr10:uidLastSave="{00000000-0000-0000-0000-000000000000}"/>
  <bookViews>
    <workbookView xWindow="-108" yWindow="-108" windowWidth="23256" windowHeight="12576" tabRatio="899" activeTab="14" xr2:uid="{00000000-000D-0000-FFFF-FFFF00000000}"/>
  </bookViews>
  <sheets>
    <sheet name="寶嘉誠" sheetId="2" r:id="rId1"/>
    <sheet name="旭陽" sheetId="1" r:id="rId2"/>
    <sheet name="和昕" sheetId="3" r:id="rId3"/>
    <sheet name="原億昌" sheetId="6" r:id="rId4"/>
    <sheet name="成大" sheetId="13" r:id="rId5"/>
    <sheet name="吉輔" sheetId="5" r:id="rId6"/>
    <sheet name="崴立" sheetId="9" r:id="rId7"/>
    <sheet name="金豐" sheetId="4" r:id="rId8"/>
    <sheet name="明暐" sheetId="18" r:id="rId9"/>
    <sheet name="新穎" sheetId="16" r:id="rId10"/>
    <sheet name="東芳" sheetId="28" r:id="rId11"/>
    <sheet name="盟英" sheetId="22" r:id="rId12"/>
    <sheet name="和大" sheetId="38" r:id="rId13"/>
    <sheet name="GOGORO" sheetId="7" r:id="rId14"/>
    <sheet name="御成 摩根" sheetId="11" r:id="rId15"/>
    <sheet name="弘旺" sheetId="29" r:id="rId16"/>
    <sheet name="立翔 板井" sheetId="27" r:id="rId17"/>
    <sheet name="泳建" sheetId="15" r:id="rId18"/>
  </sheets>
  <definedNames>
    <definedName name="_xlnm._FilterDatabase" localSheetId="13" hidden="1">GOGORO!$A$3:$N$3</definedName>
    <definedName name="_xlnm._FilterDatabase" localSheetId="15" hidden="1">弘旺!$A$3:$N$3</definedName>
    <definedName name="_xlnm._FilterDatabase" localSheetId="16" hidden="1">'立翔 板井'!$A$3:$N$3</definedName>
    <definedName name="_xlnm._FilterDatabase" localSheetId="5" hidden="1">吉輔!$A$3:$N$31</definedName>
    <definedName name="_xlnm._FilterDatabase" localSheetId="4" hidden="1">成大!$A$3:$N$50</definedName>
    <definedName name="_xlnm._FilterDatabase" localSheetId="1" hidden="1">旭陽!$A$3:$U$122</definedName>
    <definedName name="_xlnm._FilterDatabase" localSheetId="12" hidden="1">和大!$A$3:$N$3</definedName>
    <definedName name="_xlnm._FilterDatabase" localSheetId="2" hidden="1">和昕!$A$3:$N$119</definedName>
    <definedName name="_xlnm._FilterDatabase" localSheetId="8" hidden="1">明暐!$A$3:$N$3</definedName>
    <definedName name="_xlnm._FilterDatabase" localSheetId="10" hidden="1">東芳!$A$3:$N$26</definedName>
    <definedName name="_xlnm._FilterDatabase" localSheetId="17" hidden="1">泳建!$A$3:$N$57</definedName>
    <definedName name="_xlnm._FilterDatabase" localSheetId="7" hidden="1">金豐!$A$3:$N$3</definedName>
    <definedName name="_xlnm._FilterDatabase" localSheetId="3" hidden="1">原億昌!$A$3:$N$228</definedName>
    <definedName name="_xlnm._FilterDatabase" localSheetId="14" hidden="1">'御成 摩根'!$A$3:$N$3</definedName>
    <definedName name="_xlnm._FilterDatabase" localSheetId="6" hidden="1">崴立!$A$3:$N$3</definedName>
    <definedName name="_xlnm._FilterDatabase" localSheetId="9" hidden="1">新穎!$A$3:$N$3</definedName>
    <definedName name="_xlnm._FilterDatabase" localSheetId="11" hidden="1">盟英!$A$3:$N$3</definedName>
    <definedName name="_xlnm._FilterDatabase" localSheetId="0" hidden="1">寶嘉誠!$A$3:$N$203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8" i="2" l="1"/>
  <c r="Q268" i="2" s="1"/>
  <c r="P266" i="2" l="1"/>
  <c r="Q266" i="2" s="1"/>
  <c r="P81" i="3" l="1"/>
  <c r="Q81" i="3" s="1"/>
  <c r="P73" i="1"/>
  <c r="Q73" i="1" s="1"/>
  <c r="P159" i="1"/>
  <c r="Q159" i="1" s="1"/>
  <c r="P11" i="13"/>
  <c r="Q11" i="13" s="1"/>
  <c r="P271" i="2"/>
  <c r="Q271" i="2" s="1"/>
  <c r="P116" i="2"/>
  <c r="Q116" i="2" s="1"/>
  <c r="P272" i="2"/>
  <c r="Q272" i="2" s="1"/>
  <c r="P25" i="28"/>
  <c r="Q25" i="28" s="1"/>
  <c r="P24" i="28"/>
  <c r="Q24" i="28" s="1"/>
  <c r="P23" i="28"/>
  <c r="Q23" i="28"/>
  <c r="P263" i="2"/>
  <c r="Q263" i="2" s="1"/>
  <c r="P258" i="2"/>
  <c r="Q258" i="2" s="1"/>
  <c r="P7" i="2"/>
  <c r="Q7" i="2" s="1"/>
  <c r="P10" i="13" l="1"/>
  <c r="Q10" i="13" s="1"/>
  <c r="P69" i="3"/>
  <c r="Q69" i="3" s="1"/>
  <c r="P257" i="2"/>
  <c r="Q257" i="2" s="1"/>
  <c r="P115" i="2"/>
  <c r="Q115" i="2" s="1"/>
  <c r="P37" i="1"/>
  <c r="Q37" i="1" s="1"/>
  <c r="P75" i="3" l="1"/>
  <c r="Q75" i="3" s="1"/>
  <c r="P80" i="3"/>
  <c r="Q80" i="3" s="1"/>
  <c r="P114" i="2"/>
  <c r="Q114" i="2" s="1"/>
  <c r="P75" i="2"/>
  <c r="Q75" i="2" s="1"/>
  <c r="P89" i="2"/>
  <c r="Q89" i="2" s="1"/>
  <c r="P113" i="2"/>
  <c r="Q113" i="2" s="1"/>
  <c r="P112" i="2"/>
  <c r="Q112" i="2" s="1"/>
  <c r="P77" i="1"/>
  <c r="Q77" i="1" s="1"/>
  <c r="P74" i="2"/>
  <c r="Q74" i="2" s="1"/>
  <c r="P111" i="2"/>
  <c r="Q111" i="2" s="1"/>
  <c r="P9" i="5"/>
  <c r="Q9" i="5" s="1"/>
  <c r="P32" i="2" l="1"/>
  <c r="Q32" i="2" s="1"/>
  <c r="P202" i="2"/>
  <c r="Q202" i="2" s="1"/>
  <c r="P259" i="2" l="1"/>
  <c r="Q259" i="2" s="1"/>
  <c r="P12" i="1"/>
  <c r="Q12" i="1" s="1"/>
  <c r="P13" i="1"/>
  <c r="Q13" i="1" s="1"/>
  <c r="P38" i="1"/>
  <c r="Q38" i="1" s="1"/>
  <c r="P19" i="27"/>
  <c r="Q19" i="27" s="1"/>
  <c r="P155" i="1"/>
  <c r="Q155" i="1" s="1"/>
  <c r="P33" i="3"/>
  <c r="Q33" i="3" s="1"/>
  <c r="P32" i="3"/>
  <c r="Q32" i="3" s="1"/>
  <c r="P31" i="3"/>
  <c r="Q31" i="3" s="1"/>
  <c r="P18" i="3"/>
  <c r="Q18" i="3" s="1"/>
  <c r="P73" i="2"/>
  <c r="Q73" i="2" s="1"/>
  <c r="P110" i="2"/>
  <c r="Q110" i="2" s="1"/>
  <c r="P143" i="2"/>
  <c r="Q143" i="2" s="1"/>
  <c r="P46" i="2"/>
  <c r="Q46" i="2" s="1"/>
  <c r="P26" i="2"/>
  <c r="Q26" i="2" s="1"/>
  <c r="P28" i="1"/>
  <c r="Q28" i="1" s="1"/>
  <c r="P55" i="1" l="1"/>
  <c r="Q55" i="1" s="1"/>
  <c r="P22" i="28"/>
  <c r="Q22" i="28" s="1"/>
  <c r="P21" i="28"/>
  <c r="Q21" i="28" s="1"/>
  <c r="D57" i="15" l="1"/>
  <c r="P247" i="2" l="1"/>
  <c r="Q247" i="2" s="1"/>
  <c r="P39" i="28" l="1"/>
  <c r="Q39" i="28" s="1"/>
  <c r="P38" i="28"/>
  <c r="Q38" i="28" s="1"/>
  <c r="P37" i="28"/>
  <c r="Q37" i="28" s="1"/>
  <c r="P36" i="28"/>
  <c r="Q36" i="28" s="1"/>
  <c r="P35" i="28"/>
  <c r="Q35" i="28" s="1"/>
  <c r="P144" i="1"/>
  <c r="Q144" i="1" s="1"/>
  <c r="P143" i="1"/>
  <c r="Q143" i="1" s="1"/>
  <c r="P69" i="15"/>
  <c r="Q69" i="15" s="1"/>
  <c r="P30" i="5" l="1"/>
  <c r="Q30" i="5" s="1"/>
  <c r="P29" i="5"/>
  <c r="Q29" i="5" s="1"/>
  <c r="P28" i="5"/>
  <c r="Q28" i="5" s="1"/>
  <c r="P58" i="2" l="1"/>
  <c r="Q58" i="2" s="1"/>
  <c r="P146" i="1" l="1"/>
  <c r="Q146" i="1" s="1"/>
  <c r="P31" i="1"/>
  <c r="Q31" i="1" s="1"/>
  <c r="P109" i="2"/>
  <c r="Q109" i="2" s="1"/>
  <c r="P108" i="2"/>
  <c r="Q108" i="2" s="1"/>
  <c r="P15" i="13"/>
  <c r="Q15" i="13" s="1"/>
  <c r="P246" i="2"/>
  <c r="Q246" i="2" s="1"/>
  <c r="P44" i="5"/>
  <c r="Q44" i="5" s="1"/>
  <c r="P107" i="2"/>
  <c r="Q107" i="2" s="1"/>
  <c r="P14" i="13"/>
  <c r="Q14" i="13" s="1"/>
  <c r="P156" i="1"/>
  <c r="Q156" i="1" s="1"/>
  <c r="P153" i="1"/>
  <c r="Q153" i="1" s="1"/>
  <c r="P30" i="1"/>
  <c r="Q30" i="1" s="1"/>
  <c r="P29" i="1"/>
  <c r="Q29" i="1" s="1"/>
  <c r="P45" i="2"/>
  <c r="Q45" i="2" s="1"/>
  <c r="P106" i="2"/>
  <c r="Q106" i="2" s="1"/>
  <c r="P32" i="28"/>
  <c r="Q32" i="28" s="1"/>
  <c r="P5" i="1"/>
  <c r="Q5" i="1" s="1"/>
  <c r="P118" i="3"/>
  <c r="Q118" i="3" s="1"/>
  <c r="P139" i="3"/>
  <c r="Q139" i="3" s="1"/>
  <c r="P138" i="3"/>
  <c r="Q138" i="3" s="1"/>
  <c r="P145" i="3"/>
  <c r="Q145" i="3" s="1"/>
  <c r="P144" i="3"/>
  <c r="Q144" i="3" s="1"/>
  <c r="D27" i="7" l="1"/>
  <c r="D22" i="38"/>
  <c r="P4" i="13" l="1"/>
  <c r="Q4" i="13" s="1"/>
  <c r="P64" i="13"/>
  <c r="Q64" i="13" s="1"/>
  <c r="P32" i="1"/>
  <c r="Q32" i="1" s="1"/>
  <c r="P77" i="3"/>
  <c r="Q77" i="3" s="1"/>
  <c r="P9" i="2"/>
  <c r="Q9" i="2" s="1"/>
  <c r="P242" i="2"/>
  <c r="Q242" i="2" s="1"/>
  <c r="P11" i="2"/>
  <c r="Q11" i="2" s="1"/>
  <c r="P44" i="3" l="1"/>
  <c r="Q44" i="3" s="1"/>
  <c r="P26" i="1"/>
  <c r="Q26" i="1" s="1"/>
  <c r="P6" i="2"/>
  <c r="Q6" i="2" s="1"/>
  <c r="P19" i="3"/>
  <c r="Q19" i="3" s="1"/>
  <c r="P158" i="1"/>
  <c r="Q158" i="1" s="1"/>
  <c r="Q67" i="15"/>
  <c r="Q68" i="15"/>
  <c r="Q56" i="15"/>
  <c r="P38" i="15"/>
  <c r="Q38" i="15" s="1"/>
  <c r="P13" i="13"/>
  <c r="Q13" i="13" s="1"/>
  <c r="P16" i="13"/>
  <c r="Q16" i="13" s="1"/>
  <c r="P12" i="13"/>
  <c r="Q12" i="13" s="1"/>
  <c r="P21" i="3"/>
  <c r="Q21" i="3" s="1"/>
  <c r="P20" i="3"/>
  <c r="Q20" i="3" s="1"/>
  <c r="P37" i="15"/>
  <c r="Q37" i="15" s="1"/>
  <c r="P24" i="5"/>
  <c r="Q24" i="5" s="1"/>
  <c r="P25" i="5"/>
  <c r="Q25" i="5" s="1"/>
  <c r="P27" i="5"/>
  <c r="Q27" i="5" s="1"/>
  <c r="P40" i="5"/>
  <c r="Q40" i="5" s="1"/>
  <c r="P17" i="3"/>
  <c r="Q17" i="3" s="1"/>
  <c r="P139" i="1"/>
  <c r="Q139" i="1" s="1"/>
  <c r="P24" i="18" l="1"/>
  <c r="Q24" i="18" s="1"/>
  <c r="P105" i="2" l="1"/>
  <c r="Q105" i="2" s="1"/>
  <c r="P45" i="5" l="1"/>
  <c r="Q45" i="5" s="1"/>
  <c r="P127" i="3"/>
  <c r="Q127" i="3" s="1"/>
  <c r="P130" i="1" l="1"/>
  <c r="Q130" i="1" s="1"/>
  <c r="P264" i="2"/>
  <c r="Q264" i="2" s="1"/>
  <c r="P245" i="2"/>
  <c r="Q245" i="2" s="1"/>
  <c r="P42" i="2"/>
  <c r="Q42" i="2" s="1"/>
  <c r="P221" i="2"/>
  <c r="Q221" i="2" s="1"/>
  <c r="P104" i="2"/>
  <c r="Q104" i="2" s="1"/>
  <c r="P211" i="2"/>
  <c r="Q211" i="2" s="1"/>
  <c r="P103" i="2"/>
  <c r="Q103" i="2" s="1"/>
  <c r="P102" i="2"/>
  <c r="Q102" i="2" s="1"/>
  <c r="P44" i="2"/>
  <c r="Q44" i="2" s="1"/>
  <c r="P101" i="2"/>
  <c r="Q101" i="2" s="1"/>
  <c r="P43" i="2"/>
  <c r="Q43" i="2" s="1"/>
  <c r="P42" i="5" l="1"/>
  <c r="Q42" i="5" s="1"/>
  <c r="P54" i="15" l="1"/>
  <c r="Q54" i="15" s="1"/>
  <c r="P55" i="15" l="1"/>
  <c r="Q55" i="15" s="1"/>
  <c r="P254" i="2" l="1"/>
  <c r="Q254" i="2" s="1"/>
  <c r="P148" i="1"/>
  <c r="Q148" i="1" s="1"/>
  <c r="P151" i="1"/>
  <c r="Q151" i="1" s="1"/>
  <c r="P149" i="1"/>
  <c r="Q149" i="1" s="1"/>
  <c r="P53" i="2"/>
  <c r="Q53" i="2" s="1"/>
  <c r="P7" i="5" l="1"/>
  <c r="Q7" i="5" s="1"/>
  <c r="P41" i="5" l="1"/>
  <c r="Q41" i="5" s="1"/>
  <c r="P37" i="5"/>
  <c r="Q37" i="5" s="1"/>
  <c r="P154" i="2"/>
  <c r="Q154" i="2" s="1"/>
  <c r="P47" i="13"/>
  <c r="Q47" i="13" s="1"/>
  <c r="P13" i="3" l="1"/>
  <c r="Q13" i="3" s="1"/>
  <c r="P11" i="1"/>
  <c r="Q11" i="1" s="1"/>
  <c r="P269" i="2"/>
  <c r="Q269" i="2" s="1"/>
  <c r="P38" i="5"/>
  <c r="Q38" i="5" s="1"/>
  <c r="P36" i="1"/>
  <c r="Q36" i="1" s="1"/>
  <c r="P39" i="1"/>
  <c r="Q39" i="1" s="1"/>
  <c r="P35" i="15"/>
  <c r="Q35" i="15" s="1"/>
  <c r="P19" i="28" l="1"/>
  <c r="Q19" i="28" s="1"/>
  <c r="P8" i="2" l="1"/>
  <c r="Q8" i="2" s="1"/>
  <c r="P27" i="3"/>
  <c r="Q27" i="3" s="1"/>
  <c r="P26" i="3"/>
  <c r="Q26" i="3" s="1"/>
  <c r="P59" i="1"/>
  <c r="Q59" i="1" s="1"/>
  <c r="P35" i="1"/>
  <c r="Q35" i="1" s="1"/>
  <c r="P64" i="3"/>
  <c r="Q64" i="3" s="1"/>
  <c r="P52" i="2" l="1"/>
  <c r="Q52" i="2" s="1"/>
  <c r="P129" i="1"/>
  <c r="Q129" i="1" s="1"/>
  <c r="P4" i="6" l="1"/>
  <c r="Q4" i="6" s="1"/>
  <c r="P25" i="3"/>
  <c r="Q25" i="3" s="1"/>
  <c r="P30" i="3"/>
  <c r="Q30" i="3" s="1"/>
  <c r="P36" i="5"/>
  <c r="Q36" i="5" s="1"/>
  <c r="P79" i="15" l="1"/>
  <c r="Q79" i="15" s="1"/>
  <c r="P4" i="1"/>
  <c r="Q4" i="1" s="1"/>
  <c r="P241" i="2" l="1"/>
  <c r="Q241" i="2" s="1"/>
  <c r="P40" i="1"/>
  <c r="Q40" i="1" s="1"/>
  <c r="P10" i="1" l="1"/>
  <c r="Q10" i="1" s="1"/>
  <c r="P9" i="1"/>
  <c r="Q9" i="1" s="1"/>
  <c r="P249" i="2"/>
  <c r="Q249" i="2" s="1"/>
  <c r="P184" i="2"/>
  <c r="Q184" i="2" s="1"/>
  <c r="P41" i="6"/>
  <c r="Q41" i="6" s="1"/>
  <c r="P28" i="3"/>
  <c r="Q28" i="3" s="1"/>
  <c r="P63" i="3"/>
  <c r="Q63" i="3" s="1"/>
  <c r="P129" i="3"/>
  <c r="Q129" i="3" s="1"/>
  <c r="P63" i="13"/>
  <c r="Q63" i="13" s="1"/>
  <c r="P71" i="3"/>
  <c r="Q71" i="3" s="1"/>
  <c r="P132" i="3"/>
  <c r="Q132" i="3" s="1"/>
  <c r="P5" i="28" l="1"/>
  <c r="Q5" i="28" s="1"/>
  <c r="P4" i="28"/>
  <c r="Q4" i="28" s="1"/>
  <c r="P172" i="2" l="1"/>
  <c r="Q172" i="2" s="1"/>
  <c r="P121" i="1" l="1"/>
  <c r="Q121" i="1" s="1"/>
  <c r="P117" i="3" l="1"/>
  <c r="Q117" i="3" s="1"/>
  <c r="P116" i="3"/>
  <c r="Q116" i="3" s="1"/>
  <c r="P79" i="1" l="1"/>
  <c r="Q79" i="1" s="1"/>
  <c r="P54" i="1"/>
  <c r="Q54" i="1" s="1"/>
  <c r="P237" i="2" l="1"/>
  <c r="Q237" i="2" s="1"/>
  <c r="P235" i="2"/>
  <c r="Q235" i="2" s="1"/>
  <c r="P233" i="2" l="1"/>
  <c r="Q233" i="2" s="1"/>
  <c r="P62" i="3" l="1"/>
  <c r="Q62" i="3" s="1"/>
  <c r="P61" i="3"/>
  <c r="Q61" i="3" s="1"/>
  <c r="P136" i="1"/>
  <c r="Q136" i="1" s="1"/>
  <c r="P78" i="1"/>
  <c r="Q78" i="1" s="1"/>
  <c r="P22" i="5" l="1"/>
  <c r="Q22" i="5" s="1"/>
  <c r="P5" i="2"/>
  <c r="Q5" i="2" s="1"/>
  <c r="P128" i="3" l="1"/>
  <c r="Q128" i="3" s="1"/>
  <c r="P135" i="3" l="1"/>
  <c r="Q135" i="3" s="1"/>
  <c r="P134" i="3"/>
  <c r="Q134" i="3" s="1"/>
  <c r="P134" i="1"/>
  <c r="Q134" i="1" s="1"/>
  <c r="P136" i="3"/>
  <c r="Q136" i="3" s="1"/>
  <c r="P143" i="3"/>
  <c r="Q143" i="3" s="1"/>
  <c r="P125" i="3"/>
  <c r="Q125" i="3" s="1"/>
  <c r="P61" i="13" l="1"/>
  <c r="Q61" i="13" s="1"/>
  <c r="P128" i="1"/>
  <c r="Q128" i="1" s="1"/>
  <c r="P135" i="1"/>
  <c r="Q135" i="1" s="1"/>
  <c r="P14" i="2" l="1"/>
  <c r="Q14" i="2" s="1"/>
  <c r="P29" i="3" l="1"/>
  <c r="Q29" i="3" s="1"/>
  <c r="P60" i="3"/>
  <c r="Q60" i="3" s="1"/>
  <c r="P21" i="1"/>
  <c r="Q21" i="1" s="1"/>
  <c r="P40" i="6"/>
  <c r="Q40" i="6" s="1"/>
  <c r="P8" i="13"/>
  <c r="Q8" i="13" s="1"/>
  <c r="P57" i="2"/>
  <c r="Q57" i="2" s="1"/>
  <c r="P5" i="15"/>
  <c r="Q5" i="15" s="1"/>
  <c r="P6" i="15"/>
  <c r="Q6" i="15" s="1"/>
  <c r="P7" i="15"/>
  <c r="Q7" i="15" s="1"/>
  <c r="P8" i="15"/>
  <c r="Q8" i="15" s="1"/>
  <c r="P9" i="15"/>
  <c r="Q9" i="15" s="1"/>
  <c r="P10" i="15"/>
  <c r="Q10" i="15" s="1"/>
  <c r="P11" i="15"/>
  <c r="Q11" i="15" s="1"/>
  <c r="P12" i="15"/>
  <c r="Q12" i="15" s="1"/>
  <c r="P13" i="15"/>
  <c r="Q13" i="15" s="1"/>
  <c r="P14" i="15"/>
  <c r="Q14" i="15" s="1"/>
  <c r="P15" i="15"/>
  <c r="Q15" i="15" s="1"/>
  <c r="P16" i="15"/>
  <c r="Q16" i="15" s="1"/>
  <c r="P17" i="15"/>
  <c r="Q17" i="15" s="1"/>
  <c r="P18" i="15"/>
  <c r="Q18" i="15" s="1"/>
  <c r="P4" i="15"/>
  <c r="Q4" i="15" s="1"/>
  <c r="P131" i="3"/>
  <c r="Q131" i="3" s="1"/>
  <c r="P59" i="3"/>
  <c r="Q59" i="3" s="1"/>
  <c r="P34" i="2"/>
  <c r="Q34" i="2" s="1"/>
  <c r="P34" i="1" l="1"/>
  <c r="Q34" i="1" s="1"/>
  <c r="P147" i="3"/>
  <c r="Q147" i="3" s="1"/>
  <c r="P54" i="2" l="1"/>
  <c r="Q54" i="2" s="1"/>
  <c r="P19" i="1"/>
  <c r="Q19" i="1" s="1"/>
  <c r="P150" i="2"/>
  <c r="Q150" i="2" s="1"/>
  <c r="P227" i="2"/>
  <c r="Q227" i="2" s="1"/>
  <c r="P18" i="13"/>
  <c r="Q18" i="13" s="1"/>
  <c r="P18" i="1"/>
  <c r="Q18" i="1" s="1"/>
  <c r="P17" i="1"/>
  <c r="Q17" i="1" s="1"/>
  <c r="P150" i="1"/>
  <c r="Q150" i="1" s="1"/>
  <c r="D122" i="1"/>
  <c r="P18" i="27"/>
  <c r="Q18" i="27" s="1"/>
  <c r="P130" i="3"/>
  <c r="Q130" i="3" s="1"/>
  <c r="P39" i="6"/>
  <c r="Q39" i="6" s="1"/>
  <c r="P38" i="6"/>
  <c r="Q38" i="6" s="1"/>
  <c r="P37" i="6"/>
  <c r="Q37" i="6" s="1"/>
  <c r="P5" i="3"/>
  <c r="Q5" i="3" s="1"/>
  <c r="P253" i="2"/>
  <c r="Q253" i="2" s="1"/>
  <c r="P214" i="2"/>
  <c r="Q214" i="2" s="1"/>
  <c r="P4" i="2" l="1"/>
  <c r="Q4" i="2" s="1"/>
  <c r="P55" i="13" l="1"/>
  <c r="Q55" i="13" s="1"/>
  <c r="P56" i="13"/>
  <c r="Q56" i="13" s="1"/>
  <c r="P57" i="13"/>
  <c r="Q57" i="13" s="1"/>
  <c r="P58" i="13"/>
  <c r="Q58" i="13" s="1"/>
  <c r="P59" i="13"/>
  <c r="Q59" i="13" s="1"/>
  <c r="P267" i="2" l="1"/>
  <c r="Q267" i="2" s="1"/>
  <c r="P135" i="2"/>
  <c r="Q135" i="2" s="1"/>
  <c r="P131" i="2"/>
  <c r="Q131" i="2" s="1"/>
  <c r="P83" i="2"/>
  <c r="Q83" i="2" s="1"/>
  <c r="P109" i="1" l="1"/>
  <c r="Q109" i="1" s="1"/>
  <c r="P7" i="1" l="1"/>
  <c r="Q7" i="1" s="1"/>
  <c r="P6" i="1"/>
  <c r="Q6" i="1" s="1"/>
  <c r="P27" i="1"/>
  <c r="Q27" i="1" s="1"/>
  <c r="P24" i="3"/>
  <c r="Q24" i="3" s="1"/>
  <c r="P53" i="1"/>
  <c r="Q53" i="1" s="1"/>
  <c r="P138" i="1"/>
  <c r="Q138" i="1" s="1"/>
  <c r="P220" i="2"/>
  <c r="Q220" i="2" s="1"/>
  <c r="P149" i="3"/>
  <c r="Q149" i="3" s="1"/>
  <c r="P201" i="2" l="1"/>
  <c r="Q201" i="2" s="1"/>
  <c r="P218" i="2" l="1"/>
  <c r="Q218" i="2" s="1"/>
  <c r="P41" i="13"/>
  <c r="Q41" i="13" s="1"/>
  <c r="P40" i="13"/>
  <c r="Q40" i="13" s="1"/>
  <c r="P191" i="2"/>
  <c r="Q191" i="2" s="1"/>
  <c r="P200" i="2" l="1"/>
  <c r="Q200" i="2" s="1"/>
  <c r="P137" i="1" l="1"/>
  <c r="Q137" i="1" s="1"/>
  <c r="P16" i="1"/>
  <c r="Q16" i="1" s="1"/>
  <c r="P8" i="1"/>
  <c r="Q8" i="1" s="1"/>
  <c r="P71" i="1"/>
  <c r="Q71" i="1" s="1"/>
  <c r="P209" i="2"/>
  <c r="Q209" i="2" s="1"/>
  <c r="P72" i="1"/>
  <c r="Q72" i="1" s="1"/>
  <c r="P80" i="1"/>
  <c r="Q80" i="1" s="1"/>
  <c r="P133" i="1"/>
  <c r="Q133" i="1" s="1"/>
  <c r="P22" i="15"/>
  <c r="Q22" i="15" s="1"/>
  <c r="P21" i="15"/>
  <c r="Q21" i="15" s="1"/>
  <c r="P20" i="15"/>
  <c r="Q20" i="15" s="1"/>
  <c r="P19" i="15"/>
  <c r="Q19" i="15" s="1"/>
  <c r="P126" i="3" l="1"/>
  <c r="Q126" i="3" s="1"/>
  <c r="P150" i="3"/>
  <c r="Q150" i="3" s="1"/>
  <c r="P125" i="2"/>
  <c r="Q125" i="2" s="1"/>
  <c r="P234" i="2"/>
  <c r="Q234" i="2" s="1"/>
  <c r="P16" i="2"/>
  <c r="Q16" i="2" s="1"/>
  <c r="P69" i="2"/>
  <c r="Q69" i="2" s="1"/>
  <c r="P262" i="2"/>
  <c r="Q262" i="2" s="1"/>
  <c r="P162" i="2"/>
  <c r="Q162" i="2" s="1"/>
  <c r="P39" i="13"/>
  <c r="Q39" i="13" s="1"/>
  <c r="P39" i="9"/>
  <c r="Q39" i="9" s="1"/>
  <c r="P41" i="15"/>
  <c r="Q41" i="15" s="1"/>
  <c r="P130" i="2"/>
  <c r="Q130" i="2" s="1"/>
  <c r="P65" i="15"/>
  <c r="Q65" i="15" s="1"/>
  <c r="P270" i="2"/>
  <c r="Q270" i="2" s="1"/>
  <c r="P56" i="3"/>
  <c r="Q56" i="3" s="1"/>
  <c r="P124" i="2"/>
  <c r="Q124" i="2" s="1"/>
  <c r="P76" i="3"/>
  <c r="Q76" i="3" s="1"/>
  <c r="P72" i="3"/>
  <c r="Q72" i="3" s="1"/>
  <c r="P46" i="5"/>
  <c r="Q46" i="5" s="1"/>
  <c r="P31" i="2" l="1"/>
  <c r="Q31" i="2" s="1"/>
  <c r="P149" i="2"/>
  <c r="Q149" i="2" s="1"/>
  <c r="P148" i="2"/>
  <c r="Q148" i="2" s="1"/>
  <c r="P15" i="1" l="1"/>
  <c r="Q15" i="1" s="1"/>
  <c r="P16" i="3" l="1"/>
  <c r="Q16" i="3" s="1"/>
  <c r="P93" i="6"/>
  <c r="Q93" i="6" s="1"/>
  <c r="P238" i="2" l="1"/>
  <c r="Q238" i="2" s="1"/>
  <c r="P61" i="2"/>
  <c r="Q61" i="2" s="1"/>
  <c r="P230" i="2"/>
  <c r="Q230" i="2" s="1"/>
  <c r="P222" i="2"/>
  <c r="Q222" i="2" s="1"/>
  <c r="P73" i="3"/>
  <c r="Q73" i="3" s="1"/>
  <c r="P33" i="1"/>
  <c r="Q33" i="1" s="1"/>
  <c r="P15" i="3"/>
  <c r="Q15" i="3" s="1"/>
  <c r="P105" i="3"/>
  <c r="Q105" i="3" s="1"/>
  <c r="P92" i="6" l="1"/>
  <c r="Q92" i="6" s="1"/>
  <c r="P57" i="3" l="1"/>
  <c r="Q57" i="3" s="1"/>
  <c r="P40" i="3" l="1"/>
  <c r="Q40" i="3" s="1"/>
  <c r="P40" i="28" l="1"/>
  <c r="Q40" i="28" s="1"/>
  <c r="P17" i="28"/>
  <c r="Q17" i="28" s="1"/>
  <c r="P18" i="28"/>
  <c r="Q18" i="28" s="1"/>
  <c r="P41" i="3"/>
  <c r="Q41" i="3" s="1"/>
  <c r="P17" i="13" l="1"/>
  <c r="Q17" i="13" s="1"/>
  <c r="P157" i="1"/>
  <c r="Q157" i="1" s="1"/>
  <c r="P52" i="1"/>
  <c r="Q52" i="1" s="1"/>
  <c r="P20" i="1" l="1"/>
  <c r="Q20" i="1" s="1"/>
  <c r="P58" i="1"/>
  <c r="Q58" i="1" s="1"/>
  <c r="P46" i="13" l="1"/>
  <c r="Q46" i="13" s="1"/>
  <c r="P28" i="6"/>
  <c r="Q28" i="6" s="1"/>
  <c r="P20" i="28"/>
  <c r="Q20" i="28" s="1"/>
  <c r="P16" i="28"/>
  <c r="Q16" i="28" s="1"/>
  <c r="P38" i="13"/>
  <c r="Q38" i="13" s="1"/>
  <c r="P99" i="2"/>
  <c r="Q99" i="2" s="1"/>
  <c r="P229" i="2"/>
  <c r="Q229" i="2" s="1"/>
  <c r="P123" i="2"/>
  <c r="Q123" i="2" s="1"/>
  <c r="P250" i="2" l="1"/>
  <c r="Q250" i="2" s="1"/>
  <c r="P45" i="13" l="1"/>
  <c r="Q45" i="13" s="1"/>
  <c r="P62" i="13"/>
  <c r="Q62" i="13" s="1"/>
  <c r="P43" i="9" l="1"/>
  <c r="Q43" i="9" s="1"/>
  <c r="D44" i="9"/>
  <c r="P42" i="9"/>
  <c r="Q42" i="9" s="1"/>
  <c r="P41" i="9"/>
  <c r="Q41" i="9" s="1"/>
  <c r="P40" i="9"/>
  <c r="Q40" i="9" s="1"/>
  <c r="P37" i="13" l="1"/>
  <c r="Q37" i="13" s="1"/>
  <c r="P36" i="13"/>
  <c r="Q36" i="13" s="1"/>
  <c r="P14" i="1"/>
  <c r="Q14" i="1" s="1"/>
  <c r="P154" i="1"/>
  <c r="Q154" i="1" s="1"/>
  <c r="P140" i="1"/>
  <c r="Q140" i="1" s="1"/>
  <c r="P5" i="29" l="1"/>
  <c r="Q5" i="29" s="1"/>
  <c r="P6" i="29"/>
  <c r="Q6" i="29" s="1"/>
  <c r="P7" i="29"/>
  <c r="Q7" i="29" s="1"/>
  <c r="P8" i="29"/>
  <c r="Q8" i="29" s="1"/>
  <c r="P9" i="29"/>
  <c r="Q9" i="29" s="1"/>
  <c r="P5" i="11"/>
  <c r="Q5" i="11" s="1"/>
  <c r="P6" i="11"/>
  <c r="Q6" i="11" s="1"/>
  <c r="P7" i="11"/>
  <c r="Q7" i="11" s="1"/>
  <c r="P8" i="11"/>
  <c r="Q8" i="11" s="1"/>
  <c r="P9" i="11"/>
  <c r="Q9" i="11" s="1"/>
  <c r="P10" i="11"/>
  <c r="Q10" i="11" s="1"/>
  <c r="P11" i="11"/>
  <c r="Q11" i="11" s="1"/>
  <c r="P12" i="11"/>
  <c r="Q12" i="11" s="1"/>
  <c r="P13" i="11"/>
  <c r="Q13" i="11" s="1"/>
  <c r="P14" i="11"/>
  <c r="Q14" i="11" s="1"/>
  <c r="P15" i="11"/>
  <c r="Q15" i="11" s="1"/>
  <c r="P5" i="7"/>
  <c r="Q5" i="7" s="1"/>
  <c r="P6" i="7"/>
  <c r="Q6" i="7" s="1"/>
  <c r="P7" i="7"/>
  <c r="Q7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Q24" i="7" s="1"/>
  <c r="P25" i="7"/>
  <c r="Q25" i="7" s="1"/>
  <c r="P26" i="7"/>
  <c r="Q26" i="7" s="1"/>
  <c r="P48" i="5"/>
  <c r="Q48" i="5" s="1"/>
  <c r="P49" i="5"/>
  <c r="Q49" i="5" s="1"/>
  <c r="P50" i="5"/>
  <c r="Q50" i="5" s="1"/>
  <c r="P51" i="5"/>
  <c r="Q51" i="5" s="1"/>
  <c r="P52" i="5"/>
  <c r="Q52" i="5" s="1"/>
  <c r="P53" i="5"/>
  <c r="Q53" i="5" s="1"/>
  <c r="P54" i="5"/>
  <c r="Q54" i="5" s="1"/>
  <c r="P55" i="5"/>
  <c r="Q55" i="5" s="1"/>
  <c r="P56" i="5"/>
  <c r="Q56" i="5" s="1"/>
  <c r="P4" i="5"/>
  <c r="Q4" i="5" s="1"/>
  <c r="P26" i="5"/>
  <c r="Q26" i="5" s="1"/>
  <c r="P5" i="5"/>
  <c r="Q5" i="5" s="1"/>
  <c r="P6" i="5"/>
  <c r="Q6" i="5" s="1"/>
  <c r="P8" i="5"/>
  <c r="Q8" i="5" s="1"/>
  <c r="P43" i="5"/>
  <c r="Q43" i="5" s="1"/>
  <c r="P10" i="5"/>
  <c r="Q10" i="5" s="1"/>
  <c r="P11" i="5"/>
  <c r="Q11" i="5" s="1"/>
  <c r="P12" i="5"/>
  <c r="Q12" i="5" s="1"/>
  <c r="P13" i="5"/>
  <c r="Q13" i="5" s="1"/>
  <c r="P14" i="5"/>
  <c r="Q14" i="5" s="1"/>
  <c r="P15" i="5"/>
  <c r="Q15" i="5" s="1"/>
  <c r="P16" i="5"/>
  <c r="Q16" i="5" s="1"/>
  <c r="P17" i="5"/>
  <c r="Q17" i="5" s="1"/>
  <c r="P18" i="5"/>
  <c r="Q18" i="5" s="1"/>
  <c r="P19" i="5"/>
  <c r="Q19" i="5" s="1"/>
  <c r="P20" i="5"/>
  <c r="Q20" i="5" s="1"/>
  <c r="P21" i="5"/>
  <c r="Q21" i="5" s="1"/>
  <c r="P57" i="5"/>
  <c r="Q57" i="5" s="1"/>
  <c r="P39" i="5"/>
  <c r="Q39" i="5" s="1"/>
  <c r="P23" i="5"/>
  <c r="Q23" i="5" s="1"/>
  <c r="P7" i="28" l="1"/>
  <c r="Q7" i="28" s="1"/>
  <c r="P8" i="28"/>
  <c r="Q8" i="28" s="1"/>
  <c r="P9" i="28"/>
  <c r="Q9" i="28" s="1"/>
  <c r="P10" i="28"/>
  <c r="Q10" i="28" s="1"/>
  <c r="P11" i="28"/>
  <c r="Q11" i="28" s="1"/>
  <c r="P12" i="28"/>
  <c r="Q12" i="28" s="1"/>
  <c r="P14" i="28"/>
  <c r="Q14" i="28" s="1"/>
  <c r="P15" i="28"/>
  <c r="Q15" i="28" s="1"/>
  <c r="P13" i="28"/>
  <c r="Q13" i="28" s="1"/>
  <c r="P33" i="28"/>
  <c r="Q33" i="28" s="1"/>
  <c r="P34" i="28"/>
  <c r="Q34" i="28" s="1"/>
  <c r="P30" i="28"/>
  <c r="Q30" i="28" s="1"/>
  <c r="P31" i="28"/>
  <c r="Q31" i="28" s="1"/>
  <c r="P5" i="22"/>
  <c r="Q5" i="22" s="1"/>
  <c r="P6" i="22"/>
  <c r="Q6" i="22" s="1"/>
  <c r="P7" i="22"/>
  <c r="Q7" i="22" s="1"/>
  <c r="P8" i="22"/>
  <c r="Q8" i="22" s="1"/>
  <c r="P22" i="22"/>
  <c r="Q22" i="22" s="1"/>
  <c r="P23" i="22"/>
  <c r="Q23" i="22" s="1"/>
  <c r="P9" i="22"/>
  <c r="Q9" i="22" s="1"/>
  <c r="P10" i="22"/>
  <c r="Q10" i="22" s="1"/>
  <c r="P11" i="22"/>
  <c r="Q11" i="22" s="1"/>
  <c r="P12" i="22"/>
  <c r="Q12" i="22" s="1"/>
  <c r="P13" i="22"/>
  <c r="Q13" i="22" s="1"/>
  <c r="P14" i="22"/>
  <c r="Q14" i="22" s="1"/>
  <c r="P15" i="22"/>
  <c r="Q15" i="22" s="1"/>
  <c r="P16" i="22"/>
  <c r="Q16" i="22" s="1"/>
  <c r="P17" i="22"/>
  <c r="Q17" i="22" s="1"/>
  <c r="P18" i="22"/>
  <c r="Q18" i="22" s="1"/>
  <c r="P19" i="22"/>
  <c r="Q19" i="22" s="1"/>
  <c r="P20" i="22"/>
  <c r="Q20" i="22" s="1"/>
  <c r="P21" i="22"/>
  <c r="Q21" i="22" s="1"/>
  <c r="P77" i="15"/>
  <c r="Q77" i="15" s="1"/>
  <c r="P25" i="15"/>
  <c r="Q25" i="15" s="1"/>
  <c r="P26" i="15"/>
  <c r="Q26" i="15" s="1"/>
  <c r="P28" i="15"/>
  <c r="Q28" i="15" s="1"/>
  <c r="P27" i="15"/>
  <c r="Q27" i="15" s="1"/>
  <c r="P29" i="15"/>
  <c r="Q29" i="15" s="1"/>
  <c r="P30" i="15"/>
  <c r="Q30" i="15" s="1"/>
  <c r="P31" i="15"/>
  <c r="Q31" i="15" s="1"/>
  <c r="P32" i="15"/>
  <c r="Q32" i="15" s="1"/>
  <c r="P33" i="15"/>
  <c r="Q33" i="15" s="1"/>
  <c r="P34" i="15"/>
  <c r="Q34" i="15" s="1"/>
  <c r="P42" i="15"/>
  <c r="Q42" i="15" s="1"/>
  <c r="P50" i="15"/>
  <c r="Q50" i="15" s="1"/>
  <c r="P51" i="15"/>
  <c r="Q51" i="15" s="1"/>
  <c r="P43" i="15"/>
  <c r="Q43" i="15" s="1"/>
  <c r="P44" i="15"/>
  <c r="Q44" i="15" s="1"/>
  <c r="P45" i="15"/>
  <c r="Q45" i="15" s="1"/>
  <c r="P46" i="15"/>
  <c r="Q46" i="15" s="1"/>
  <c r="P47" i="15"/>
  <c r="Q47" i="15" s="1"/>
  <c r="P70" i="15"/>
  <c r="Q70" i="15" s="1"/>
  <c r="P48" i="15"/>
  <c r="Q48" i="15" s="1"/>
  <c r="P49" i="15"/>
  <c r="Q49" i="15" s="1"/>
  <c r="P52" i="15"/>
  <c r="Q52" i="15" s="1"/>
  <c r="P53" i="15"/>
  <c r="Q53" i="15" s="1"/>
  <c r="P36" i="15"/>
  <c r="Q36" i="15" s="1"/>
  <c r="P66" i="15"/>
  <c r="Q66" i="15" s="1"/>
  <c r="P39" i="15"/>
  <c r="Q39" i="15" s="1"/>
  <c r="P64" i="15"/>
  <c r="Q64" i="15" s="1"/>
  <c r="P63" i="15"/>
  <c r="Q63" i="15" s="1"/>
  <c r="P71" i="15"/>
  <c r="Q71" i="15" s="1"/>
  <c r="P78" i="15"/>
  <c r="Q78" i="15" s="1"/>
  <c r="P40" i="15"/>
  <c r="Q40" i="15" s="1"/>
  <c r="P73" i="15"/>
  <c r="Q73" i="15" s="1"/>
  <c r="P72" i="15"/>
  <c r="Q72" i="15" s="1"/>
  <c r="P74" i="15"/>
  <c r="Q74" i="15" s="1"/>
  <c r="P75" i="15"/>
  <c r="Q75" i="15" s="1"/>
  <c r="P76" i="15"/>
  <c r="Q76" i="15" s="1"/>
  <c r="P5" i="16"/>
  <c r="Q5" i="16" s="1"/>
  <c r="P6" i="16"/>
  <c r="Q6" i="16" s="1"/>
  <c r="P14" i="16"/>
  <c r="Q14" i="16" s="1"/>
  <c r="P5" i="4"/>
  <c r="Q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Q15" i="4" s="1"/>
  <c r="P16" i="4"/>
  <c r="Q16" i="4" s="1"/>
  <c r="P4" i="9"/>
  <c r="Q4" i="9" s="1"/>
  <c r="P5" i="9"/>
  <c r="Q5" i="9" s="1"/>
  <c r="P6" i="9"/>
  <c r="Q6" i="9" s="1"/>
  <c r="P54" i="9"/>
  <c r="Q54" i="9" s="1"/>
  <c r="P55" i="9"/>
  <c r="Q55" i="9" s="1"/>
  <c r="P56" i="9"/>
  <c r="Q56" i="9" s="1"/>
  <c r="P7" i="9"/>
  <c r="Q7" i="9" s="1"/>
  <c r="P8" i="9"/>
  <c r="Q8" i="9" s="1"/>
  <c r="P9" i="9"/>
  <c r="Q9" i="9" s="1"/>
  <c r="P10" i="9"/>
  <c r="Q10" i="9" s="1"/>
  <c r="P11" i="9"/>
  <c r="Q11" i="9" s="1"/>
  <c r="P12" i="9"/>
  <c r="Q12" i="9" s="1"/>
  <c r="P20" i="9"/>
  <c r="Q20" i="9" s="1"/>
  <c r="P21" i="9"/>
  <c r="Q21" i="9" s="1"/>
  <c r="P22" i="9"/>
  <c r="Q22" i="9" s="1"/>
  <c r="P13" i="9"/>
  <c r="Q13" i="9" s="1"/>
  <c r="P14" i="9"/>
  <c r="Q14" i="9" s="1"/>
  <c r="P15" i="9"/>
  <c r="Q15" i="9" s="1"/>
  <c r="P16" i="9"/>
  <c r="Q16" i="9" s="1"/>
  <c r="P17" i="9"/>
  <c r="Q17" i="9" s="1"/>
  <c r="P18" i="9"/>
  <c r="Q18" i="9" s="1"/>
  <c r="P19" i="9"/>
  <c r="Q19" i="9" s="1"/>
  <c r="P23" i="9"/>
  <c r="Q23" i="9" s="1"/>
  <c r="P24" i="9"/>
  <c r="Q24" i="9" s="1"/>
  <c r="P25" i="9"/>
  <c r="Q25" i="9" s="1"/>
  <c r="P26" i="9"/>
  <c r="Q26" i="9" s="1"/>
  <c r="P27" i="9"/>
  <c r="Q27" i="9" s="1"/>
  <c r="P28" i="9"/>
  <c r="Q28" i="9" s="1"/>
  <c r="P29" i="9"/>
  <c r="Q29" i="9" s="1"/>
  <c r="P30" i="9"/>
  <c r="Q30" i="9" s="1"/>
  <c r="P31" i="9"/>
  <c r="Q31" i="9" s="1"/>
  <c r="P32" i="9"/>
  <c r="Q32" i="9" s="1"/>
  <c r="P33" i="9"/>
  <c r="Q33" i="9" s="1"/>
  <c r="P34" i="9"/>
  <c r="Q34" i="9" s="1"/>
  <c r="P35" i="9"/>
  <c r="Q35" i="9" s="1"/>
  <c r="P36" i="9"/>
  <c r="Q36" i="9" s="1"/>
  <c r="P37" i="9"/>
  <c r="Q37" i="9" s="1"/>
  <c r="P38" i="9"/>
  <c r="Q38" i="9" s="1"/>
  <c r="P19" i="13"/>
  <c r="Q19" i="13" s="1"/>
  <c r="P20" i="13"/>
  <c r="Q20" i="13" s="1"/>
  <c r="P21" i="13"/>
  <c r="Q21" i="13" s="1"/>
  <c r="P22" i="13"/>
  <c r="Q22" i="13" s="1"/>
  <c r="P23" i="13"/>
  <c r="Q23" i="13" s="1"/>
  <c r="P24" i="13"/>
  <c r="Q24" i="13" s="1"/>
  <c r="P25" i="13"/>
  <c r="Q25" i="13" s="1"/>
  <c r="P26" i="13"/>
  <c r="Q26" i="13" s="1"/>
  <c r="P27" i="13"/>
  <c r="Q27" i="13" s="1"/>
  <c r="P49" i="13"/>
  <c r="Q49" i="13" s="1"/>
  <c r="P28" i="13"/>
  <c r="Q28" i="13" s="1"/>
  <c r="P29" i="13"/>
  <c r="Q29" i="13" s="1"/>
  <c r="P30" i="13"/>
  <c r="Q30" i="13" s="1"/>
  <c r="P31" i="13"/>
  <c r="Q31" i="13" s="1"/>
  <c r="P32" i="13"/>
  <c r="Q32" i="13" s="1"/>
  <c r="P33" i="13"/>
  <c r="Q33" i="13" s="1"/>
  <c r="P34" i="13"/>
  <c r="Q34" i="13" s="1"/>
  <c r="P35" i="13"/>
  <c r="Q35" i="13" s="1"/>
  <c r="P60" i="13"/>
  <c r="Q60" i="13" s="1"/>
  <c r="P42" i="13"/>
  <c r="Q42" i="13" s="1"/>
  <c r="P43" i="13"/>
  <c r="Q43" i="13" s="1"/>
  <c r="P44" i="13"/>
  <c r="Q44" i="13" s="1"/>
  <c r="P7" i="13"/>
  <c r="Q7" i="13" s="1"/>
  <c r="P9" i="13"/>
  <c r="Q9" i="13" s="1"/>
  <c r="P5" i="13"/>
  <c r="Q5" i="13" s="1"/>
  <c r="P6" i="13"/>
  <c r="Q6" i="13" s="1"/>
  <c r="P48" i="13"/>
  <c r="Q48" i="13" s="1"/>
  <c r="P147" i="6"/>
  <c r="Q147" i="6" s="1"/>
  <c r="P148" i="6"/>
  <c r="Q148" i="6" s="1"/>
  <c r="P149" i="6"/>
  <c r="Q149" i="6" s="1"/>
  <c r="P150" i="6"/>
  <c r="Q150" i="6" s="1"/>
  <c r="P151" i="6"/>
  <c r="Q151" i="6" s="1"/>
  <c r="P152" i="6"/>
  <c r="Q152" i="6" s="1"/>
  <c r="P153" i="6"/>
  <c r="Q153" i="6" s="1"/>
  <c r="P154" i="6"/>
  <c r="Q154" i="6" s="1"/>
  <c r="P235" i="6"/>
  <c r="Q235" i="6" s="1"/>
  <c r="P155" i="6"/>
  <c r="Q155" i="6" s="1"/>
  <c r="P156" i="6"/>
  <c r="Q156" i="6" s="1"/>
  <c r="P157" i="6"/>
  <c r="Q157" i="6" s="1"/>
  <c r="P158" i="6"/>
  <c r="Q158" i="6" s="1"/>
  <c r="P159" i="6"/>
  <c r="Q159" i="6" s="1"/>
  <c r="P160" i="6"/>
  <c r="Q160" i="6" s="1"/>
  <c r="P161" i="6"/>
  <c r="Q161" i="6" s="1"/>
  <c r="P162" i="6"/>
  <c r="Q162" i="6" s="1"/>
  <c r="P163" i="6"/>
  <c r="Q163" i="6" s="1"/>
  <c r="P164" i="6"/>
  <c r="Q164" i="6" s="1"/>
  <c r="P165" i="6"/>
  <c r="Q165" i="6" s="1"/>
  <c r="P166" i="6"/>
  <c r="Q166" i="6" s="1"/>
  <c r="P167" i="6"/>
  <c r="Q167" i="6" s="1"/>
  <c r="P168" i="6"/>
  <c r="Q168" i="6" s="1"/>
  <c r="P169" i="6"/>
  <c r="Q169" i="6" s="1"/>
  <c r="P170" i="6"/>
  <c r="Q170" i="6" s="1"/>
  <c r="P171" i="6"/>
  <c r="Q171" i="6" s="1"/>
  <c r="P172" i="6"/>
  <c r="Q172" i="6" s="1"/>
  <c r="P173" i="6"/>
  <c r="Q173" i="6" s="1"/>
  <c r="P174" i="6"/>
  <c r="Q174" i="6" s="1"/>
  <c r="P175" i="6"/>
  <c r="Q175" i="6" s="1"/>
  <c r="P176" i="6"/>
  <c r="Q176" i="6" s="1"/>
  <c r="P177" i="6"/>
  <c r="Q177" i="6" s="1"/>
  <c r="P178" i="6"/>
  <c r="Q178" i="6" s="1"/>
  <c r="P179" i="6"/>
  <c r="Q179" i="6" s="1"/>
  <c r="P180" i="6"/>
  <c r="Q180" i="6" s="1"/>
  <c r="P181" i="6"/>
  <c r="Q181" i="6" s="1"/>
  <c r="P182" i="6"/>
  <c r="Q182" i="6" s="1"/>
  <c r="P183" i="6"/>
  <c r="Q183" i="6" s="1"/>
  <c r="P184" i="6"/>
  <c r="Q184" i="6" s="1"/>
  <c r="P185" i="6"/>
  <c r="Q185" i="6" s="1"/>
  <c r="P186" i="6"/>
  <c r="Q186" i="6" s="1"/>
  <c r="P187" i="6"/>
  <c r="Q187" i="6" s="1"/>
  <c r="P188" i="6"/>
  <c r="Q188" i="6" s="1"/>
  <c r="P189" i="6"/>
  <c r="Q189" i="6" s="1"/>
  <c r="P190" i="6"/>
  <c r="Q190" i="6" s="1"/>
  <c r="P191" i="6"/>
  <c r="Q191" i="6" s="1"/>
  <c r="P192" i="6"/>
  <c r="Q192" i="6" s="1"/>
  <c r="P193" i="6"/>
  <c r="Q193" i="6" s="1"/>
  <c r="P194" i="6"/>
  <c r="Q194" i="6" s="1"/>
  <c r="P195" i="6"/>
  <c r="Q195" i="6" s="1"/>
  <c r="P196" i="6"/>
  <c r="Q196" i="6" s="1"/>
  <c r="P197" i="6"/>
  <c r="Q197" i="6" s="1"/>
  <c r="P198" i="6"/>
  <c r="Q198" i="6" s="1"/>
  <c r="P199" i="6"/>
  <c r="Q199" i="6" s="1"/>
  <c r="P200" i="6"/>
  <c r="Q200" i="6" s="1"/>
  <c r="P201" i="6"/>
  <c r="Q201" i="6" s="1"/>
  <c r="P202" i="6"/>
  <c r="Q202" i="6" s="1"/>
  <c r="P203" i="6"/>
  <c r="Q203" i="6" s="1"/>
  <c r="P204" i="6"/>
  <c r="Q204" i="6" s="1"/>
  <c r="P205" i="6"/>
  <c r="Q205" i="6" s="1"/>
  <c r="P206" i="6"/>
  <c r="Q206" i="6" s="1"/>
  <c r="P207" i="6"/>
  <c r="Q207" i="6" s="1"/>
  <c r="P208" i="6"/>
  <c r="Q208" i="6" s="1"/>
  <c r="P209" i="6"/>
  <c r="Q209" i="6" s="1"/>
  <c r="P210" i="6"/>
  <c r="Q210" i="6" s="1"/>
  <c r="P211" i="6"/>
  <c r="Q211" i="6" s="1"/>
  <c r="P212" i="6"/>
  <c r="Q212" i="6" s="1"/>
  <c r="P213" i="6"/>
  <c r="Q213" i="6" s="1"/>
  <c r="P214" i="6"/>
  <c r="Q214" i="6" s="1"/>
  <c r="P215" i="6"/>
  <c r="Q215" i="6" s="1"/>
  <c r="P216" i="6"/>
  <c r="Q216" i="6" s="1"/>
  <c r="P217" i="6"/>
  <c r="Q217" i="6" s="1"/>
  <c r="P218" i="6"/>
  <c r="Q218" i="6" s="1"/>
  <c r="P219" i="6"/>
  <c r="Q219" i="6" s="1"/>
  <c r="P220" i="6"/>
  <c r="Q220" i="6" s="1"/>
  <c r="P221" i="6"/>
  <c r="Q221" i="6" s="1"/>
  <c r="P222" i="6"/>
  <c r="Q222" i="6" s="1"/>
  <c r="P223" i="6"/>
  <c r="Q223" i="6" s="1"/>
  <c r="P224" i="6"/>
  <c r="Q224" i="6" s="1"/>
  <c r="P225" i="6"/>
  <c r="Q225" i="6" s="1"/>
  <c r="P226" i="6"/>
  <c r="Q226" i="6" s="1"/>
  <c r="P227" i="6"/>
  <c r="Q227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Q52" i="6" s="1"/>
  <c r="P53" i="6"/>
  <c r="Q53" i="6" s="1"/>
  <c r="P54" i="6"/>
  <c r="Q54" i="6" s="1"/>
  <c r="P55" i="6"/>
  <c r="Q55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236" i="6"/>
  <c r="Q236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104" i="6"/>
  <c r="Q104" i="6" s="1"/>
  <c r="P105" i="6"/>
  <c r="Q105" i="6" s="1"/>
  <c r="P106" i="6"/>
  <c r="Q106" i="6" s="1"/>
  <c r="P107" i="6"/>
  <c r="Q107" i="6" s="1"/>
  <c r="P108" i="6"/>
  <c r="Q108" i="6" s="1"/>
  <c r="P109" i="6"/>
  <c r="Q109" i="6" s="1"/>
  <c r="P110" i="6"/>
  <c r="Q110" i="6" s="1"/>
  <c r="P111" i="6"/>
  <c r="Q111" i="6" s="1"/>
  <c r="P112" i="6"/>
  <c r="Q112" i="6" s="1"/>
  <c r="P113" i="6"/>
  <c r="Q113" i="6" s="1"/>
  <c r="P114" i="6"/>
  <c r="Q114" i="6" s="1"/>
  <c r="P115" i="6"/>
  <c r="Q115" i="6" s="1"/>
  <c r="P116" i="6"/>
  <c r="Q116" i="6" s="1"/>
  <c r="P117" i="6"/>
  <c r="Q117" i="6" s="1"/>
  <c r="P118" i="6"/>
  <c r="Q118" i="6" s="1"/>
  <c r="P119" i="6"/>
  <c r="Q119" i="6" s="1"/>
  <c r="P120" i="6"/>
  <c r="Q120" i="6" s="1"/>
  <c r="P121" i="6"/>
  <c r="Q121" i="6" s="1"/>
  <c r="P122" i="6"/>
  <c r="Q122" i="6" s="1"/>
  <c r="P123" i="6"/>
  <c r="Q123" i="6" s="1"/>
  <c r="P124" i="6"/>
  <c r="Q124" i="6" s="1"/>
  <c r="P125" i="6"/>
  <c r="Q125" i="6" s="1"/>
  <c r="P126" i="6"/>
  <c r="Q126" i="6" s="1"/>
  <c r="P127" i="6"/>
  <c r="Q127" i="6" s="1"/>
  <c r="P128" i="6"/>
  <c r="Q128" i="6" s="1"/>
  <c r="P129" i="6"/>
  <c r="Q129" i="6" s="1"/>
  <c r="P130" i="6"/>
  <c r="Q130" i="6" s="1"/>
  <c r="P131" i="6"/>
  <c r="Q131" i="6" s="1"/>
  <c r="P132" i="6"/>
  <c r="Q132" i="6" s="1"/>
  <c r="P133" i="6"/>
  <c r="Q133" i="6" s="1"/>
  <c r="P135" i="6"/>
  <c r="Q135" i="6" s="1"/>
  <c r="P136" i="6"/>
  <c r="Q136" i="6" s="1"/>
  <c r="P137" i="6"/>
  <c r="Q137" i="6" s="1"/>
  <c r="P138" i="6"/>
  <c r="Q138" i="6" s="1"/>
  <c r="P139" i="6"/>
  <c r="Q139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26" i="6"/>
  <c r="Q26" i="6" s="1"/>
  <c r="P27" i="6"/>
  <c r="Q27" i="6" s="1"/>
  <c r="P29" i="6"/>
  <c r="Q29" i="6" s="1"/>
  <c r="P30" i="6"/>
  <c r="Q30" i="6" s="1"/>
  <c r="P31" i="6"/>
  <c r="Q31" i="6" s="1"/>
  <c r="P42" i="6"/>
  <c r="Q42" i="6" s="1"/>
  <c r="P43" i="6"/>
  <c r="Q43" i="6" s="1"/>
  <c r="P32" i="6"/>
  <c r="Q32" i="6" s="1"/>
  <c r="P33" i="6"/>
  <c r="Q33" i="6" s="1"/>
  <c r="P34" i="6"/>
  <c r="Q34" i="6" s="1"/>
  <c r="P35" i="6"/>
  <c r="Q35" i="6" s="1"/>
  <c r="P36" i="6"/>
  <c r="Q36" i="6" s="1"/>
  <c r="P140" i="6"/>
  <c r="Q140" i="6" s="1"/>
  <c r="P141" i="6"/>
  <c r="Q141" i="6" s="1"/>
  <c r="P142" i="6"/>
  <c r="Q142" i="6" s="1"/>
  <c r="P143" i="6"/>
  <c r="Q143" i="6" s="1"/>
  <c r="P144" i="6"/>
  <c r="Q144" i="6" s="1"/>
  <c r="P145" i="6"/>
  <c r="Q145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106" i="3"/>
  <c r="Q106" i="3" s="1"/>
  <c r="P107" i="3"/>
  <c r="Q107" i="3" s="1"/>
  <c r="P108" i="3"/>
  <c r="Q108" i="3" s="1"/>
  <c r="P133" i="3"/>
  <c r="Q133" i="3" s="1"/>
  <c r="P22" i="3"/>
  <c r="Q22" i="3" s="1"/>
  <c r="P23" i="3"/>
  <c r="Q23" i="3" s="1"/>
  <c r="P35" i="3"/>
  <c r="Q35" i="3" s="1"/>
  <c r="P137" i="3"/>
  <c r="Q137" i="3" s="1"/>
  <c r="P140" i="3"/>
  <c r="Q140" i="3" s="1"/>
  <c r="P36" i="3"/>
  <c r="Q36" i="3" s="1"/>
  <c r="P37" i="3"/>
  <c r="Q37" i="3" s="1"/>
  <c r="P38" i="3"/>
  <c r="Q38" i="3" s="1"/>
  <c r="P45" i="3"/>
  <c r="Q45" i="3" s="1"/>
  <c r="P141" i="3"/>
  <c r="Q141" i="3" s="1"/>
  <c r="P142" i="3"/>
  <c r="Q142" i="3" s="1"/>
  <c r="P46" i="3"/>
  <c r="Q46" i="3" s="1"/>
  <c r="P47" i="3"/>
  <c r="Q47" i="3" s="1"/>
  <c r="P48" i="3"/>
  <c r="Q48" i="3" s="1"/>
  <c r="P49" i="3"/>
  <c r="Q49" i="3" s="1"/>
  <c r="P58" i="3"/>
  <c r="Q58" i="3" s="1"/>
  <c r="P148" i="3"/>
  <c r="Q148" i="3" s="1"/>
  <c r="P50" i="3"/>
  <c r="Q50" i="3" s="1"/>
  <c r="P51" i="3"/>
  <c r="Q51" i="3" s="1"/>
  <c r="P52" i="3"/>
  <c r="Q52" i="3" s="1"/>
  <c r="P53" i="3"/>
  <c r="Q53" i="3" s="1"/>
  <c r="P54" i="3"/>
  <c r="Q54" i="3" s="1"/>
  <c r="P55" i="3"/>
  <c r="Q55" i="3" s="1"/>
  <c r="P146" i="3"/>
  <c r="Q146" i="3" s="1"/>
  <c r="P34" i="3"/>
  <c r="Q34" i="3" s="1"/>
  <c r="P65" i="3"/>
  <c r="Q65" i="3" s="1"/>
  <c r="P151" i="3"/>
  <c r="Q151" i="3" s="1"/>
  <c r="P66" i="3"/>
  <c r="Q66" i="3" s="1"/>
  <c r="P42" i="3"/>
  <c r="Q42" i="3" s="1"/>
  <c r="P43" i="3"/>
  <c r="Q43" i="3" s="1"/>
  <c r="P67" i="3"/>
  <c r="Q67" i="3" s="1"/>
  <c r="P68" i="3"/>
  <c r="Q68" i="3" s="1"/>
  <c r="P70" i="3"/>
  <c r="Q70" i="3" s="1"/>
  <c r="P39" i="3"/>
  <c r="Q39" i="3" s="1"/>
  <c r="P14" i="3"/>
  <c r="Q14" i="3" s="1"/>
  <c r="P78" i="3"/>
  <c r="Q78" i="3" s="1"/>
  <c r="P82" i="3"/>
  <c r="Q82" i="3" s="1"/>
  <c r="P83" i="3"/>
  <c r="Q83" i="3" s="1"/>
  <c r="P84" i="3"/>
  <c r="Q84" i="3" s="1"/>
  <c r="P85" i="3"/>
  <c r="Q85" i="3" s="1"/>
  <c r="P93" i="3"/>
  <c r="Q93" i="3" s="1"/>
  <c r="P94" i="3"/>
  <c r="Q94" i="3" s="1"/>
  <c r="P86" i="3"/>
  <c r="Q86" i="3" s="1"/>
  <c r="P87" i="3"/>
  <c r="Q87" i="3" s="1"/>
  <c r="P88" i="3"/>
  <c r="Q88" i="3" s="1"/>
  <c r="P89" i="3"/>
  <c r="Q89" i="3" s="1"/>
  <c r="P90" i="3"/>
  <c r="Q90" i="3" s="1"/>
  <c r="P91" i="3"/>
  <c r="Q91" i="3" s="1"/>
  <c r="P92" i="3"/>
  <c r="Q92" i="3" s="1"/>
  <c r="P95" i="3"/>
  <c r="Q95" i="3" s="1"/>
  <c r="P96" i="3"/>
  <c r="Q96" i="3" s="1"/>
  <c r="P97" i="3"/>
  <c r="Q97" i="3" s="1"/>
  <c r="P101" i="3"/>
  <c r="Q101" i="3" s="1"/>
  <c r="P100" i="3"/>
  <c r="Q100" i="3" s="1"/>
  <c r="P98" i="3"/>
  <c r="Q98" i="3" s="1"/>
  <c r="P99" i="3"/>
  <c r="Q99" i="3" s="1"/>
  <c r="P102" i="3"/>
  <c r="Q102" i="3" s="1"/>
  <c r="P103" i="3"/>
  <c r="Q103" i="3" s="1"/>
  <c r="P104" i="3"/>
  <c r="Q104" i="3" s="1"/>
  <c r="P109" i="3"/>
  <c r="Q109" i="3" s="1"/>
  <c r="P110" i="3"/>
  <c r="Q110" i="3" s="1"/>
  <c r="P111" i="3"/>
  <c r="Q111" i="3" s="1"/>
  <c r="P112" i="3"/>
  <c r="Q112" i="3" s="1"/>
  <c r="P113" i="3"/>
  <c r="Q113" i="3" s="1"/>
  <c r="P114" i="3"/>
  <c r="Q114" i="3" s="1"/>
  <c r="P115" i="3"/>
  <c r="Q115" i="3" s="1"/>
  <c r="P6" i="3"/>
  <c r="Q6" i="3" s="1"/>
  <c r="P7" i="3"/>
  <c r="Q7" i="3" s="1"/>
  <c r="P8" i="3"/>
  <c r="Q8" i="3" s="1"/>
  <c r="P9" i="3"/>
  <c r="Q9" i="3" s="1"/>
  <c r="P10" i="3"/>
  <c r="Q10" i="3" s="1"/>
  <c r="P11" i="3"/>
  <c r="Q11" i="3" s="1"/>
  <c r="P12" i="3"/>
  <c r="Q12" i="3" s="1"/>
  <c r="P22" i="1"/>
  <c r="Q22" i="1" s="1"/>
  <c r="P69" i="1"/>
  <c r="Q69" i="1" s="1"/>
  <c r="P23" i="1"/>
  <c r="Q23" i="1" s="1"/>
  <c r="P24" i="1"/>
  <c r="Q24" i="1" s="1"/>
  <c r="P67" i="1"/>
  <c r="Q67" i="1" s="1"/>
  <c r="P68" i="1"/>
  <c r="Q68" i="1" s="1"/>
  <c r="P70" i="1"/>
  <c r="Q70" i="1" s="1"/>
  <c r="P142" i="1"/>
  <c r="Q142" i="1" s="1"/>
  <c r="P147" i="1"/>
  <c r="Q147" i="1" s="1"/>
  <c r="P41" i="1"/>
  <c r="Q41" i="1" s="1"/>
  <c r="P42" i="1"/>
  <c r="Q42" i="1" s="1"/>
  <c r="P43" i="1"/>
  <c r="Q43" i="1" s="1"/>
  <c r="P131" i="1"/>
  <c r="Q131" i="1" s="1"/>
  <c r="P44" i="1"/>
  <c r="Q44" i="1" s="1"/>
  <c r="P132" i="1"/>
  <c r="Q132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6" i="1"/>
  <c r="Q56" i="1" s="1"/>
  <c r="P57" i="1"/>
  <c r="Q57" i="1" s="1"/>
  <c r="P60" i="1"/>
  <c r="Q60" i="1" s="1"/>
  <c r="P61" i="1"/>
  <c r="Q61" i="1" s="1"/>
  <c r="P62" i="1"/>
  <c r="Q62" i="1" s="1"/>
  <c r="P63" i="1"/>
  <c r="Q63" i="1" s="1"/>
  <c r="P64" i="1"/>
  <c r="Q64" i="1" s="1"/>
  <c r="P152" i="1"/>
  <c r="Q152" i="1" s="1"/>
  <c r="P65" i="1"/>
  <c r="Q65" i="1" s="1"/>
  <c r="P66" i="1"/>
  <c r="Q66" i="1" s="1"/>
  <c r="P74" i="1"/>
  <c r="Q74" i="1" s="1"/>
  <c r="P75" i="1"/>
  <c r="Q75" i="1" s="1"/>
  <c r="P76" i="1"/>
  <c r="Q76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145" i="1"/>
  <c r="Q145" i="1" s="1"/>
  <c r="P25" i="1"/>
  <c r="Q25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41" i="1"/>
  <c r="Q141" i="1" s="1"/>
  <c r="P119" i="1"/>
  <c r="Q119" i="1" s="1"/>
  <c r="P120" i="1"/>
  <c r="Q120" i="1" s="1"/>
  <c r="P98" i="2"/>
  <c r="Q98" i="2" s="1"/>
  <c r="P117" i="2"/>
  <c r="Q117" i="2" s="1"/>
  <c r="P118" i="2"/>
  <c r="Q118" i="2" s="1"/>
  <c r="P156" i="2"/>
  <c r="Q156" i="2" s="1"/>
  <c r="P157" i="2"/>
  <c r="Q157" i="2" s="1"/>
  <c r="P243" i="2"/>
  <c r="Q243" i="2" s="1"/>
  <c r="P119" i="2"/>
  <c r="Q119" i="2" s="1"/>
  <c r="P120" i="2"/>
  <c r="Q120" i="2" s="1"/>
  <c r="P121" i="2"/>
  <c r="Q121" i="2" s="1"/>
  <c r="P122" i="2"/>
  <c r="Q122" i="2" s="1"/>
  <c r="P136" i="2"/>
  <c r="Q136" i="2" s="1"/>
  <c r="P255" i="2"/>
  <c r="Q255" i="2" s="1"/>
  <c r="P132" i="2"/>
  <c r="Q132" i="2" s="1"/>
  <c r="P133" i="2"/>
  <c r="Q133" i="2" s="1"/>
  <c r="P134" i="2"/>
  <c r="Q134" i="2" s="1"/>
  <c r="P169" i="2"/>
  <c r="Q169" i="2" s="1"/>
  <c r="P138" i="2"/>
  <c r="Q138" i="2" s="1"/>
  <c r="P139" i="2"/>
  <c r="Q139" i="2" s="1"/>
  <c r="P137" i="2"/>
  <c r="Q137" i="2" s="1"/>
  <c r="P140" i="2"/>
  <c r="Q140" i="2" s="1"/>
  <c r="P141" i="2"/>
  <c r="Q141" i="2" s="1"/>
  <c r="P142" i="2"/>
  <c r="Q142" i="2" s="1"/>
  <c r="P144" i="2"/>
  <c r="Q144" i="2" s="1"/>
  <c r="P145" i="2"/>
  <c r="Q145" i="2" s="1"/>
  <c r="P146" i="2"/>
  <c r="Q146" i="2" s="1"/>
  <c r="P217" i="2"/>
  <c r="Q217" i="2" s="1"/>
  <c r="P147" i="2"/>
  <c r="Q147" i="2" s="1"/>
  <c r="P126" i="2"/>
  <c r="Q126" i="2" s="1"/>
  <c r="P231" i="2"/>
  <c r="Q231" i="2" s="1"/>
  <c r="P127" i="2"/>
  <c r="Q127" i="2" s="1"/>
  <c r="P128" i="2"/>
  <c r="Q128" i="2" s="1"/>
  <c r="P129" i="2"/>
  <c r="Q129" i="2" s="1"/>
  <c r="P199" i="2"/>
  <c r="Q199" i="2" s="1"/>
  <c r="P159" i="2"/>
  <c r="Q159" i="2" s="1"/>
  <c r="P160" i="2"/>
  <c r="Q160" i="2" s="1"/>
  <c r="P161" i="2"/>
  <c r="Q161" i="2" s="1"/>
  <c r="P163" i="2"/>
  <c r="Q163" i="2" s="1"/>
  <c r="P164" i="2"/>
  <c r="Q164" i="2" s="1"/>
  <c r="P165" i="2"/>
  <c r="Q165" i="2" s="1"/>
  <c r="P166" i="2"/>
  <c r="Q166" i="2" s="1"/>
  <c r="P167" i="2"/>
  <c r="Q167" i="2" s="1"/>
  <c r="P168" i="2"/>
  <c r="Q168" i="2" s="1"/>
  <c r="P170" i="2"/>
  <c r="Q170" i="2" s="1"/>
  <c r="P171" i="2"/>
  <c r="Q171" i="2" s="1"/>
  <c r="P173" i="2"/>
  <c r="Q173" i="2" s="1"/>
  <c r="P174" i="2"/>
  <c r="Q174" i="2" s="1"/>
  <c r="P216" i="2"/>
  <c r="Q216" i="2" s="1"/>
  <c r="P175" i="2"/>
  <c r="Q175" i="2" s="1"/>
  <c r="P260" i="2"/>
  <c r="Q260" i="2" s="1"/>
  <c r="P176" i="2"/>
  <c r="Q176" i="2" s="1"/>
  <c r="P177" i="2"/>
  <c r="Q177" i="2" s="1"/>
  <c r="P178" i="2"/>
  <c r="Q178" i="2" s="1"/>
  <c r="P179" i="2"/>
  <c r="Q179" i="2" s="1"/>
  <c r="P180" i="2"/>
  <c r="Q180" i="2" s="1"/>
  <c r="P181" i="2"/>
  <c r="Q181" i="2" s="1"/>
  <c r="P182" i="2"/>
  <c r="Q182" i="2" s="1"/>
  <c r="P183" i="2"/>
  <c r="Q183" i="2" s="1"/>
  <c r="P185" i="2"/>
  <c r="Q185" i="2" s="1"/>
  <c r="P186" i="2"/>
  <c r="Q186" i="2" s="1"/>
  <c r="P187" i="2"/>
  <c r="Q187" i="2" s="1"/>
  <c r="P188" i="2"/>
  <c r="Q188" i="2" s="1"/>
  <c r="P189" i="2"/>
  <c r="Q189" i="2" s="1"/>
  <c r="P190" i="2"/>
  <c r="Q190" i="2" s="1"/>
  <c r="P219" i="2"/>
  <c r="Q219" i="2" s="1"/>
  <c r="P192" i="2"/>
  <c r="Q192" i="2" s="1"/>
  <c r="P193" i="2"/>
  <c r="Q193" i="2" s="1"/>
  <c r="P194" i="2"/>
  <c r="Q194" i="2" s="1"/>
  <c r="P195" i="2"/>
  <c r="Q195" i="2" s="1"/>
  <c r="P196" i="2"/>
  <c r="Q196" i="2" s="1"/>
  <c r="P197" i="2"/>
  <c r="Q197" i="2" s="1"/>
  <c r="P198" i="2"/>
  <c r="Q198" i="2" s="1"/>
  <c r="P265" i="2"/>
  <c r="Q265" i="2" s="1"/>
  <c r="Q50" i="13" l="1"/>
  <c r="Q44" i="9"/>
  <c r="Q122" i="1"/>
  <c r="P5" i="38"/>
  <c r="Q5" i="38" s="1"/>
  <c r="P6" i="38"/>
  <c r="Q6" i="38" s="1"/>
  <c r="P7" i="38"/>
  <c r="Q7" i="38" s="1"/>
  <c r="P8" i="38"/>
  <c r="Q8" i="38" s="1"/>
  <c r="P9" i="38"/>
  <c r="Q9" i="38" s="1"/>
  <c r="P10" i="38"/>
  <c r="Q10" i="38" s="1"/>
  <c r="P11" i="38"/>
  <c r="Q11" i="38" s="1"/>
  <c r="P12" i="38"/>
  <c r="Q12" i="38" s="1"/>
  <c r="P13" i="38"/>
  <c r="Q13" i="38" s="1"/>
  <c r="P14" i="38"/>
  <c r="Q14" i="38" s="1"/>
  <c r="P15" i="38"/>
  <c r="Q15" i="38" s="1"/>
  <c r="P16" i="38"/>
  <c r="Q16" i="38" s="1"/>
  <c r="P17" i="38"/>
  <c r="Q17" i="38" s="1"/>
  <c r="P18" i="38"/>
  <c r="Q18" i="38" s="1"/>
  <c r="P19" i="38"/>
  <c r="Q19" i="38" s="1"/>
  <c r="P20" i="38"/>
  <c r="Q20" i="38" s="1"/>
  <c r="P21" i="38"/>
  <c r="Q21" i="38" s="1"/>
  <c r="P4" i="38"/>
  <c r="Q4" i="38" s="1"/>
  <c r="P5" i="27"/>
  <c r="Q5" i="27" s="1"/>
  <c r="P6" i="27"/>
  <c r="Q6" i="27" s="1"/>
  <c r="P7" i="27"/>
  <c r="Q7" i="27" s="1"/>
  <c r="P8" i="27"/>
  <c r="Q8" i="27" s="1"/>
  <c r="P9" i="27"/>
  <c r="Q9" i="27" s="1"/>
  <c r="P10" i="27"/>
  <c r="Q10" i="27" s="1"/>
  <c r="P11" i="27"/>
  <c r="Q11" i="27" s="1"/>
  <c r="P12" i="27"/>
  <c r="Q12" i="27" s="1"/>
  <c r="P13" i="27"/>
  <c r="Q13" i="27" s="1"/>
  <c r="P14" i="27"/>
  <c r="Q14" i="27" s="1"/>
  <c r="P15" i="27"/>
  <c r="Q15" i="27" s="1"/>
  <c r="P16" i="27"/>
  <c r="Q16" i="27" s="1"/>
  <c r="P17" i="27"/>
  <c r="Q17" i="27" s="1"/>
  <c r="P20" i="27"/>
  <c r="Q20" i="27" s="1"/>
  <c r="P21" i="27"/>
  <c r="Q21" i="27" s="1"/>
  <c r="P22" i="27"/>
  <c r="Q22" i="27" s="1"/>
  <c r="P23" i="27"/>
  <c r="Q23" i="27" s="1"/>
  <c r="Q22" i="38" l="1"/>
  <c r="P4" i="11"/>
  <c r="Q4" i="11" s="1"/>
  <c r="Q16" i="11" s="1"/>
  <c r="P4" i="22"/>
  <c r="Q4" i="22" s="1"/>
  <c r="Q24" i="22" s="1"/>
  <c r="P4" i="18"/>
  <c r="Q4" i="18" s="1"/>
  <c r="P5" i="18"/>
  <c r="Q5" i="18" s="1"/>
  <c r="P6" i="18"/>
  <c r="Q6" i="18" s="1"/>
  <c r="P7" i="18"/>
  <c r="Q7" i="18" s="1"/>
  <c r="P8" i="18"/>
  <c r="Q8" i="18" s="1"/>
  <c r="P9" i="18"/>
  <c r="Q9" i="18" s="1"/>
  <c r="P10" i="18"/>
  <c r="Q10" i="18" s="1"/>
  <c r="P11" i="18"/>
  <c r="Q11" i="18" s="1"/>
  <c r="P12" i="18"/>
  <c r="Q12" i="18" s="1"/>
  <c r="P13" i="18"/>
  <c r="Q13" i="18" s="1"/>
  <c r="P14" i="18"/>
  <c r="Q14" i="18" s="1"/>
  <c r="P15" i="18"/>
  <c r="Q15" i="18" s="1"/>
  <c r="P16" i="18"/>
  <c r="Q16" i="18" s="1"/>
  <c r="P17" i="18"/>
  <c r="Q17" i="18" s="1"/>
  <c r="P18" i="18"/>
  <c r="Q18" i="18" s="1"/>
  <c r="P19" i="18"/>
  <c r="Q19" i="18" s="1"/>
  <c r="P20" i="18"/>
  <c r="Q20" i="18" s="1"/>
  <c r="P21" i="18"/>
  <c r="Q21" i="18" s="1"/>
  <c r="P22" i="18"/>
  <c r="Q22" i="18" s="1"/>
  <c r="P23" i="18"/>
  <c r="Q23" i="18" s="1"/>
  <c r="P17" i="2"/>
  <c r="Q17" i="2" s="1"/>
  <c r="P15" i="2"/>
  <c r="Q15" i="2" s="1"/>
  <c r="P212" i="2"/>
  <c r="Q212" i="2" s="1"/>
  <c r="P10" i="2"/>
  <c r="Q10" i="2" s="1"/>
  <c r="P20" i="2"/>
  <c r="Q20" i="2" s="1"/>
  <c r="P21" i="2"/>
  <c r="Q21" i="2" s="1"/>
  <c r="P248" i="2"/>
  <c r="Q248" i="2" s="1"/>
  <c r="P22" i="2"/>
  <c r="Q22" i="2" s="1"/>
  <c r="P18" i="2"/>
  <c r="Q18" i="2" s="1"/>
  <c r="P232" i="2"/>
  <c r="Q232" i="2" s="1"/>
  <c r="P23" i="2"/>
  <c r="Q23" i="2" s="1"/>
  <c r="P24" i="2"/>
  <c r="Q24" i="2" s="1"/>
  <c r="P19" i="2"/>
  <c r="Q19" i="2" s="1"/>
  <c r="P25" i="2"/>
  <c r="Q25" i="2" s="1"/>
  <c r="P224" i="2"/>
  <c r="Q224" i="2" s="1"/>
  <c r="P27" i="2"/>
  <c r="Q27" i="2" s="1"/>
  <c r="P28" i="2"/>
  <c r="Q28" i="2" s="1"/>
  <c r="P29" i="2"/>
  <c r="Q29" i="2" s="1"/>
  <c r="P30" i="2"/>
  <c r="Q30" i="2" s="1"/>
  <c r="P12" i="2"/>
  <c r="Q12" i="2" s="1"/>
  <c r="P13" i="2"/>
  <c r="Q13" i="2" s="1"/>
  <c r="P37" i="2"/>
  <c r="Q37" i="2" s="1"/>
  <c r="P35" i="2"/>
  <c r="Q35" i="2" s="1"/>
  <c r="P36" i="2"/>
  <c r="Q36" i="2" s="1"/>
  <c r="P38" i="2"/>
  <c r="Q38" i="2" s="1"/>
  <c r="P39" i="2"/>
  <c r="Q39" i="2" s="1"/>
  <c r="P40" i="2"/>
  <c r="Q40" i="2" s="1"/>
  <c r="P33" i="2"/>
  <c r="Q33" i="2" s="1"/>
  <c r="P41" i="2"/>
  <c r="Q41" i="2" s="1"/>
  <c r="P47" i="2"/>
  <c r="Q47" i="2" s="1"/>
  <c r="P225" i="2"/>
  <c r="Q225" i="2" s="1"/>
  <c r="P48" i="2"/>
  <c r="Q48" i="2" s="1"/>
  <c r="P215" i="2"/>
  <c r="Q215" i="2" s="1"/>
  <c r="P223" i="2"/>
  <c r="Q223" i="2" s="1"/>
  <c r="P49" i="2"/>
  <c r="Q49" i="2" s="1"/>
  <c r="P50" i="2"/>
  <c r="Q50" i="2" s="1"/>
  <c r="P51" i="2"/>
  <c r="Q51" i="2" s="1"/>
  <c r="P59" i="2"/>
  <c r="Q59" i="2" s="1"/>
  <c r="P228" i="2"/>
  <c r="Q228" i="2" s="1"/>
  <c r="P60" i="2"/>
  <c r="Q60" i="2" s="1"/>
  <c r="P244" i="2"/>
  <c r="Q244" i="2" s="1"/>
  <c r="P62" i="2"/>
  <c r="Q62" i="2" s="1"/>
  <c r="P63" i="2"/>
  <c r="Q63" i="2" s="1"/>
  <c r="P213" i="2"/>
  <c r="Q213" i="2" s="1"/>
  <c r="P64" i="2"/>
  <c r="Q64" i="2" s="1"/>
  <c r="P56" i="2"/>
  <c r="Q56" i="2" s="1"/>
  <c r="P65" i="2"/>
  <c r="Q65" i="2" s="1"/>
  <c r="P66" i="2"/>
  <c r="Q66" i="2" s="1"/>
  <c r="P67" i="2"/>
  <c r="Q67" i="2" s="1"/>
  <c r="P151" i="2"/>
  <c r="Q151" i="2" s="1"/>
  <c r="P55" i="2"/>
  <c r="Q55" i="2" s="1"/>
  <c r="P68" i="2"/>
  <c r="Q68" i="2" s="1"/>
  <c r="P70" i="2"/>
  <c r="Q70" i="2" s="1"/>
  <c r="P71" i="2"/>
  <c r="Q71" i="2" s="1"/>
  <c r="P72" i="2"/>
  <c r="Q72" i="2" s="1"/>
  <c r="P76" i="2"/>
  <c r="Q76" i="2" s="1"/>
  <c r="P77" i="2"/>
  <c r="Q77" i="2" s="1"/>
  <c r="P78" i="2"/>
  <c r="Q78" i="2" s="1"/>
  <c r="P79" i="2"/>
  <c r="Q79" i="2" s="1"/>
  <c r="P80" i="2"/>
  <c r="Q80" i="2" s="1"/>
  <c r="P81" i="2"/>
  <c r="Q81" i="2" s="1"/>
  <c r="P82" i="2"/>
  <c r="Q82" i="2" s="1"/>
  <c r="P251" i="2"/>
  <c r="Q251" i="2" s="1"/>
  <c r="P84" i="2"/>
  <c r="Q84" i="2" s="1"/>
  <c r="P85" i="2"/>
  <c r="Q85" i="2" s="1"/>
  <c r="P261" i="2"/>
  <c r="Q261" i="2" s="1"/>
  <c r="P236" i="2"/>
  <c r="Q236" i="2" s="1"/>
  <c r="P155" i="2"/>
  <c r="Q155" i="2" s="1"/>
  <c r="P86" i="2"/>
  <c r="Q86" i="2" s="1"/>
  <c r="P87" i="2"/>
  <c r="Q87" i="2" s="1"/>
  <c r="P152" i="2"/>
  <c r="Q152" i="2" s="1"/>
  <c r="P88" i="2"/>
  <c r="Q88" i="2" s="1"/>
  <c r="P256" i="2"/>
  <c r="Q256" i="2" s="1"/>
  <c r="P100" i="2"/>
  <c r="Q100" i="2" s="1"/>
  <c r="P158" i="2"/>
  <c r="Q158" i="2" s="1"/>
  <c r="P153" i="2"/>
  <c r="Q153" i="2" s="1"/>
  <c r="P226" i="2"/>
  <c r="Q226" i="2" s="1"/>
  <c r="P90" i="2"/>
  <c r="Q90" i="2" s="1"/>
  <c r="P91" i="2"/>
  <c r="Q91" i="2" s="1"/>
  <c r="P92" i="2"/>
  <c r="Q92" i="2" s="1"/>
  <c r="P252" i="2"/>
  <c r="Q252" i="2" s="1"/>
  <c r="P93" i="2"/>
  <c r="Q93" i="2" s="1"/>
  <c r="P94" i="2"/>
  <c r="Q94" i="2" s="1"/>
  <c r="P239" i="2"/>
  <c r="Q239" i="2" s="1"/>
  <c r="P95" i="2"/>
  <c r="Q95" i="2" s="1"/>
  <c r="P96" i="2"/>
  <c r="Q96" i="2" s="1"/>
  <c r="Q25" i="18" l="1"/>
  <c r="E203" i="2" l="1"/>
  <c r="D31" i="5" l="1"/>
  <c r="E31" i="5"/>
  <c r="P79" i="3" l="1"/>
  <c r="Q79" i="3" s="1"/>
  <c r="P47" i="5" l="1"/>
  <c r="Q47" i="5" s="1"/>
  <c r="D24" i="27"/>
  <c r="E26" i="28" l="1"/>
  <c r="D17" i="4" l="1"/>
  <c r="P4" i="4"/>
  <c r="Q4" i="4" s="1"/>
  <c r="Q17" i="4" s="1"/>
  <c r="P74" i="3" l="1"/>
  <c r="Q74" i="3" s="1"/>
  <c r="E122" i="1" l="1"/>
  <c r="E57" i="15" l="1"/>
  <c r="E24" i="27"/>
  <c r="E10" i="29"/>
  <c r="E16" i="11"/>
  <c r="E27" i="7"/>
  <c r="E22" i="38"/>
  <c r="E24" i="22"/>
  <c r="E7" i="16"/>
  <c r="E17" i="4"/>
  <c r="E44" i="9"/>
  <c r="E50" i="13"/>
  <c r="E228" i="6"/>
  <c r="E119" i="3"/>
  <c r="E25" i="18"/>
  <c r="P146" i="6" l="1"/>
  <c r="Q146" i="6" s="1"/>
  <c r="Q228" i="6" s="1"/>
  <c r="P24" i="15"/>
  <c r="Q24" i="15" s="1"/>
  <c r="Q57" i="15" s="1"/>
  <c r="P4" i="27"/>
  <c r="Q4" i="27" s="1"/>
  <c r="Q24" i="27" s="1"/>
  <c r="P4" i="29"/>
  <c r="Q4" i="29" s="1"/>
  <c r="Q10" i="29" s="1"/>
  <c r="P4" i="7"/>
  <c r="Q4" i="7" s="1"/>
  <c r="Q27" i="7" s="1"/>
  <c r="P6" i="28"/>
  <c r="Q6" i="28" s="1"/>
  <c r="Q26" i="28" s="1"/>
  <c r="P4" i="16"/>
  <c r="Q4" i="16" s="1"/>
  <c r="P4" i="3" l="1"/>
  <c r="Q4" i="3" s="1"/>
  <c r="Q119" i="3" s="1"/>
  <c r="P210" i="2"/>
  <c r="Q210" i="2" s="1"/>
  <c r="D10" i="29" l="1"/>
  <c r="D16" i="11"/>
  <c r="D24" i="22"/>
  <c r="D228" i="6"/>
  <c r="Q31" i="5"/>
  <c r="D7" i="16"/>
  <c r="D119" i="3"/>
  <c r="D203" i="2"/>
  <c r="Q7" i="16"/>
  <c r="D25" i="18"/>
  <c r="Q203" i="2"/>
  <c r="D50" i="13"/>
  <c r="D26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2" authorId="0" shapeId="0" xr:uid="{00000000-0006-0000-0100-000001000000}">
      <text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A</t>
        </r>
        <r>
          <rPr>
            <b/>
            <sz val="10"/>
            <color indexed="81"/>
            <rFont val="細明體"/>
            <family val="3"/>
            <charset val="136"/>
          </rPr>
          <t>外箱</t>
        </r>
        <r>
          <rPr>
            <b/>
            <sz val="10"/>
            <color indexed="81"/>
            <rFont val="Tahoma"/>
            <family val="2"/>
          </rPr>
          <t>-4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>2-3-1</t>
        </r>
      </text>
    </comment>
    <comment ref="M2" authorId="0" shapeId="0" xr:uid="{00000000-0006-0000-01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2024/04/01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2027/07/04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2024/11/13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(4)1-1-1-1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5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2024/11/13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(7)1-1-1-1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1-2-2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</t>
        </r>
      </text>
    </comment>
    <comment ref="E6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7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8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2025/01/06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2025/03/28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(1)1-3-1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1-2-2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9" authorId="0" shapeId="0" xr:uid="{00000000-0006-0000-0100-000008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1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2023/01/07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2025/04/09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11" authorId="0" shapeId="0" xr:uid="{00000000-0006-0000-0100-00000A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  <comment ref="E12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2023/03/14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)2-1-2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00000000-0006-0000-0100-00000C000000}">
      <text>
        <r>
          <rPr>
            <b/>
            <sz val="10"/>
            <color indexed="81"/>
            <rFont val="Tahoma"/>
            <family val="2"/>
          </rPr>
          <t>2024/09/18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</t>
        </r>
      </text>
    </comment>
    <comment ref="E15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2019/09/27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2019/10/22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2020/04/17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2020/05/18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2020/07/24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2020/08/21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2021/10/21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6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2026/02/24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(27)
</t>
        </r>
      </text>
    </comment>
    <comment ref="E17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2023/07/10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2024/09/23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(3)1-1-2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1-1-1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2025/04/04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8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2023/05/22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2024/06/05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 2-1-1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19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2023/05/22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(1)2-1-1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2022/12/09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2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(31)
</t>
        </r>
      </text>
    </comment>
    <comment ref="E22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2023/03/03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</t>
        </r>
      </text>
    </comment>
    <comment ref="E23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2023/11/20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2025/09/08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(16)
2026/02/24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</t>
        </r>
      </text>
    </comment>
    <comment ref="E24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2023/03/03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25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2022/03/04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2022/04/22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2023/06/19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2023/08/17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</t>
        </r>
        <r>
          <rPr>
            <b/>
            <sz val="9"/>
            <color indexed="81"/>
            <rFont val="Tahoma"/>
            <family val="2"/>
          </rPr>
          <t>4-4-1</t>
        </r>
        <r>
          <rPr>
            <b/>
            <sz val="9"/>
            <color indexed="81"/>
            <rFont val="細明體"/>
            <family val="3"/>
            <charset val="136"/>
          </rPr>
          <t>後→大</t>
        </r>
        <r>
          <rPr>
            <b/>
            <sz val="9"/>
            <color indexed="81"/>
            <rFont val="Tahoma"/>
            <family val="2"/>
          </rPr>
          <t>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2024/05/28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2026/03/27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26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2025/01/14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(7)
</t>
        </r>
      </text>
    </comment>
    <comment ref="E27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</t>
        </r>
      </text>
    </comment>
    <comment ref="E28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2022/10/24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2023/02/08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2023/06/06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2025/02/24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</text>
    </comment>
    <comment ref="E29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2023/04/26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30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2025/04/15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31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2024/07/15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2026/03/27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32" authorId="0" shapeId="0" xr:uid="{00000000-0006-0000-0100-00001E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33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4" authorId="0" shapeId="0" xr:uid="{00000000-0006-0000-0100-000020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(26)</t>
        </r>
      </text>
    </comment>
    <comment ref="E35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>2023/03/03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2023/06/19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2023/07/12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 2-1-2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6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2023/09/01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37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2023/03/14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2023/04/13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2023/04/18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2023/07/12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38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2022/10/07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2023/12/04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9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2022/11/01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4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1" authorId="0" shapeId="0" xr:uid="{00000000-0006-0000-0100-000027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2" authorId="0" shapeId="0" xr:uid="{00000000-0006-0000-0100-000028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</t>
        </r>
      </text>
    </comment>
    <comment ref="E43" authorId="0" shapeId="0" xr:uid="{00000000-0006-0000-0100-000029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  <comment ref="E44" authorId="0" shapeId="0" xr:uid="{00000000-0006-0000-0100-00002A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  <comment ref="E45" authorId="0" shapeId="0" xr:uid="{00000000-0006-0000-0100-00002B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2025/06/12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(9)
2026/02/24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(6)
2026/03/27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  <comment ref="E46" authorId="0" shapeId="0" xr:uid="{00000000-0006-0000-0100-00002C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47" authorId="0" shapeId="0" xr:uid="{00000000-0006-0000-0100-00002D000000}">
      <text>
        <r>
          <rPr>
            <b/>
            <sz val="9"/>
            <color indexed="81"/>
            <rFont val="Tahoma"/>
            <family val="2"/>
          </rPr>
          <t>2024/01/09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48" authorId="0" shapeId="0" xr:uid="{00000000-0006-0000-0100-00002E000000}">
      <text>
        <r>
          <rPr>
            <b/>
            <sz val="9"/>
            <color indexed="81"/>
            <rFont val="Tahoma"/>
            <family val="2"/>
          </rPr>
          <t>2021/12/02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(104)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(104)
2023/08/15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(99)
2023/11/17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(97)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(91)
2024/02/17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(90)
2024/03/07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(84)
2024/05/02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(74)
2024/07/23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(72)
2024/08/15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(67)
2024/09/09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(62)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(58)
2024/11/25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(53)
2025/02/27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2025/04/15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2025/09/30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2025/11/04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(19)
</t>
        </r>
      </text>
    </comment>
    <comment ref="E4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2021/09/22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2021/10/06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2022/08/22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2022/10/07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2023/05/03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50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51" authorId="0" shapeId="0" xr:uid="{00000000-0006-0000-0100-000031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2" authorId="0" shapeId="0" xr:uid="{00000000-0006-0000-0100-000032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  <comment ref="E53" authorId="0" shapeId="0" xr:uid="{00000000-0006-0000-0100-000033000000}">
      <text>
        <r>
          <rPr>
            <b/>
            <sz val="10"/>
            <color indexed="81"/>
            <rFont val="Tahoma"/>
            <family val="2"/>
          </rPr>
          <t>2025/02/10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(38)</t>
        </r>
      </text>
    </comment>
    <comment ref="E54" authorId="0" shapeId="0" xr:uid="{00000000-0006-0000-0100-000034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55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2023/04/11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 2-2-1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2-2-1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56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2023/04/18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 2-2-1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2-2-1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57" authorId="0" shapeId="0" xr:uid="{00000000-0006-0000-0100-000037000000}">
      <text>
        <r>
          <rPr>
            <b/>
            <sz val="10"/>
            <color indexed="81"/>
            <rFont val="Tahoma"/>
            <family val="2"/>
          </rPr>
          <t>2027/09/30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2024/10/14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</t>
        </r>
      </text>
    </comment>
    <comment ref="E58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2024/08/29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2025/06/10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領出確認孔位，合計</t>
        </r>
        <r>
          <rPr>
            <b/>
            <sz val="9"/>
            <color indexed="81"/>
            <rFont val="Tahoma"/>
            <family val="2"/>
          </rPr>
          <t>11CS</t>
        </r>
        <r>
          <rPr>
            <b/>
            <sz val="9"/>
            <color indexed="81"/>
            <rFont val="細明體"/>
            <family val="3"/>
            <charset val="136"/>
          </rPr>
          <t>異常，</t>
        </r>
        <r>
          <rPr>
            <b/>
            <sz val="9"/>
            <color indexed="81"/>
            <rFont val="Tahoma"/>
            <family val="2"/>
          </rPr>
          <t>1PC</t>
        </r>
        <r>
          <rPr>
            <b/>
            <sz val="9"/>
            <color indexed="81"/>
            <rFont val="細明體"/>
            <family val="3"/>
            <charset val="136"/>
          </rPr>
          <t xml:space="preserve">客退重交
</t>
        </r>
        <r>
          <rPr>
            <b/>
            <sz val="9"/>
            <color indexed="81"/>
            <rFont val="Tahoma"/>
            <family val="2"/>
          </rPr>
          <t>2026/06/10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2026/03/27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59" authorId="0" shapeId="0" xr:uid="{00000000-0006-0000-0100-000039000000}">
      <text>
        <r>
          <rPr>
            <b/>
            <sz val="9"/>
            <color indexed="81"/>
            <rFont val="Tahoma"/>
            <family val="2"/>
          </rPr>
          <t>2022/08/26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60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>2022/12/09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2023/05/25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2024/10/14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2024/11/15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2024/12/16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61" authorId="0" shapeId="0" xr:uid="{00000000-0006-0000-0100-00003B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62" authorId="0" shapeId="0" xr:uid="{00000000-0006-0000-0100-00003C000000}">
      <text>
        <r>
          <rPr>
            <b/>
            <sz val="9"/>
            <color indexed="81"/>
            <rFont val="Tahoma"/>
            <family val="2"/>
          </rPr>
          <t>2022/11/16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63" authorId="0" shapeId="0" xr:uid="{00000000-0006-0000-0100-00003D000000}">
      <text>
        <r>
          <rPr>
            <b/>
            <sz val="9"/>
            <color indexed="81"/>
            <rFont val="Tahoma"/>
            <family val="2"/>
          </rPr>
          <t>2023/01/13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64" authorId="0" shapeId="0" xr:uid="{00000000-0006-0000-0100-00003E000000}">
      <text>
        <r>
          <rPr>
            <b/>
            <sz val="9"/>
            <color indexed="81"/>
            <rFont val="Tahoma"/>
            <family val="2"/>
          </rPr>
          <t>2022/11/16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65" authorId="0" shapeId="0" xr:uid="{00000000-0006-0000-0100-00003F000000}">
      <text>
        <r>
          <rPr>
            <b/>
            <sz val="9"/>
            <color indexed="81"/>
            <rFont val="Tahoma"/>
            <family val="2"/>
          </rPr>
          <t>2022/12/26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66" authorId="0" shapeId="0" xr:uid="{00000000-0006-0000-0100-000040000000}">
      <text>
        <r>
          <rPr>
            <b/>
            <sz val="9"/>
            <color indexed="81"/>
            <rFont val="Tahoma"/>
            <family val="2"/>
          </rPr>
          <t>2020/08/31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2020/09/28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2020/12/25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2021/01/14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2021/03/22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2021/08/11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2025/02/21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67" authorId="0" shapeId="0" xr:uid="{00000000-0006-0000-0100-000041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68" authorId="0" shapeId="0" xr:uid="{00000000-0006-0000-0100-000042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69" authorId="0" shapeId="0" xr:uid="{00000000-0006-0000-0100-000043000000}">
      <text>
        <r>
          <rPr>
            <b/>
            <sz val="9"/>
            <color indexed="81"/>
            <rFont val="Tahoma"/>
            <family val="2"/>
          </rPr>
          <t xml:space="preserve">2024/06/04(10)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70" authorId="0" shapeId="0" xr:uid="{00000000-0006-0000-0100-000044000000}">
      <text>
        <r>
          <rPr>
            <b/>
            <sz val="9"/>
            <color indexed="81"/>
            <rFont val="Tahoma"/>
            <family val="2"/>
          </rPr>
          <t>2023/01/13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</t>
        </r>
      </text>
    </comment>
    <comment ref="E71" authorId="0" shapeId="0" xr:uid="{00000000-0006-0000-0100-000045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2" authorId="0" shapeId="0" xr:uid="{00000000-0006-0000-0100-000046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2023/07/25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2023/09/23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73" authorId="0" shapeId="0" xr:uid="{00000000-0006-0000-0100-000047000000}">
      <text>
        <r>
          <rPr>
            <b/>
            <sz val="9"/>
            <color indexed="81"/>
            <rFont val="Tahoma"/>
            <family val="2"/>
          </rPr>
          <t xml:space="preserve">2026/01/14 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(10)
</t>
        </r>
      </text>
    </comment>
    <comment ref="E74" authorId="0" shapeId="0" xr:uid="{00000000-0006-0000-0100-000048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2026/03/27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75" authorId="0" shapeId="0" xr:uid="{00000000-0006-0000-0100-000049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(9)
2026/03/11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</t>
        </r>
      </text>
    </comment>
    <comment ref="E76" authorId="0" shapeId="0" xr:uid="{00000000-0006-0000-0100-00004A000000}">
      <text>
        <r>
          <rPr>
            <b/>
            <sz val="9"/>
            <color indexed="81"/>
            <rFont val="Tahoma"/>
            <family val="2"/>
          </rPr>
          <t>2023/10/19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7" authorId="0" shapeId="0" xr:uid="{00000000-0006-0000-0100-00004B000000}">
      <text>
        <r>
          <rPr>
            <b/>
            <sz val="9"/>
            <color indexed="81"/>
            <rFont val="Tahoma"/>
            <family val="2"/>
          </rPr>
          <t>2022/04/01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2023/11/08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2024/04/16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78" authorId="0" shapeId="0" xr:uid="{00000000-0006-0000-0100-00004C000000}">
      <text>
        <r>
          <rPr>
            <b/>
            <sz val="9"/>
            <color indexed="81"/>
            <rFont val="Tahoma"/>
            <family val="2"/>
          </rPr>
          <t>2021/05/04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2023/10/12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2023/12/28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2024/04/22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2024/05/14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2025/02/06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</t>
        </r>
      </text>
    </comment>
    <comment ref="E79" authorId="0" shapeId="0" xr:uid="{00000000-0006-0000-0100-00004D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80" authorId="0" shapeId="0" xr:uid="{00000000-0006-0000-0100-00004E000000}">
      <text>
        <r>
          <rPr>
            <b/>
            <sz val="9"/>
            <color indexed="81"/>
            <rFont val="Tahoma"/>
            <family val="2"/>
          </rPr>
          <t>2022/04/01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2022/10/24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81" authorId="0" shapeId="0" xr:uid="{00000000-0006-0000-0100-00004F000000}">
      <text>
        <r>
          <rPr>
            <b/>
            <sz val="9"/>
            <color indexed="81"/>
            <rFont val="Tahoma"/>
            <family val="2"/>
          </rPr>
          <t>2021/09/28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2021/10/21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82" authorId="0" shapeId="0" xr:uid="{00000000-0006-0000-0100-000050000000}">
      <text>
        <r>
          <rPr>
            <b/>
            <sz val="9"/>
            <color indexed="81"/>
            <rFont val="Tahoma"/>
            <family val="2"/>
          </rPr>
          <t>2022/01/24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2023/03/22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83" authorId="0" shapeId="0" xr:uid="{00000000-0006-0000-0100-000051000000}">
      <text>
        <r>
          <rPr>
            <b/>
            <sz val="10"/>
            <color indexed="81"/>
            <rFont val="Tahoma"/>
            <family val="2"/>
          </rPr>
          <t>2024/08/21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2025/09/08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84" authorId="0" shapeId="0" xr:uid="{00000000-0006-0000-0100-000052000000}">
      <text>
        <r>
          <rPr>
            <b/>
            <sz val="9"/>
            <color indexed="81"/>
            <rFont val="Tahoma"/>
            <family val="2"/>
          </rPr>
          <t>2022/02/09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85" authorId="0" shapeId="0" xr:uid="{00000000-0006-0000-0100-000053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86" authorId="0" shapeId="0" xr:uid="{00000000-0006-0000-0100-000054000000}">
      <text>
        <r>
          <rPr>
            <b/>
            <sz val="9"/>
            <color indexed="81"/>
            <rFont val="Tahoma"/>
            <family val="2"/>
          </rPr>
          <t>2021/12/17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2025/01/15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87" authorId="0" shapeId="0" xr:uid="{00000000-0006-0000-0100-000055000000}">
      <text>
        <r>
          <rPr>
            <b/>
            <sz val="9"/>
            <color indexed="81"/>
            <rFont val="Tahoma"/>
            <family val="2"/>
          </rPr>
          <t>2022/04/08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2024/06/05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2025/01/15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88" authorId="0" shapeId="0" xr:uid="{00000000-0006-0000-0100-000056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</t>
        </r>
      </text>
    </comment>
    <comment ref="E89" authorId="0" shapeId="0" xr:uid="{00000000-0006-0000-0100-000057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2026/01/26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</t>
        </r>
      </text>
    </comment>
    <comment ref="E90" authorId="0" shapeId="0" xr:uid="{00000000-0006-0000-0100-000058000000}">
      <text>
        <r>
          <rPr>
            <b/>
            <sz val="9"/>
            <color indexed="81"/>
            <rFont val="Tahoma"/>
            <family val="2"/>
          </rPr>
          <t>2022/11/01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91" authorId="0" shapeId="0" xr:uid="{00000000-0006-0000-0100-000059000000}">
      <text>
        <r>
          <rPr>
            <b/>
            <sz val="9"/>
            <color indexed="81"/>
            <rFont val="Tahoma"/>
            <family val="2"/>
          </rPr>
          <t>2021/04/27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92" authorId="0" shapeId="0" xr:uid="{00000000-0006-0000-0100-00005A000000}">
      <text>
        <r>
          <rPr>
            <b/>
            <sz val="9"/>
            <color indexed="81"/>
            <rFont val="Tahoma"/>
            <family val="2"/>
          </rPr>
          <t>2022/11/01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93" authorId="0" shapeId="0" xr:uid="{00000000-0006-0000-0100-00005B000000}">
      <text>
        <r>
          <rPr>
            <b/>
            <sz val="9"/>
            <color indexed="81"/>
            <rFont val="Tahoma"/>
            <family val="2"/>
          </rPr>
          <t>2020/09/23</t>
        </r>
        <r>
          <rPr>
            <b/>
            <sz val="9"/>
            <color indexed="81"/>
            <rFont val="Arial Unicode MS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(50)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2020/11/19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2021/02/19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</t>
        </r>
        <r>
          <rPr>
            <b/>
            <sz val="9"/>
            <color indexed="81"/>
            <rFont val="Arial Unicode MS"/>
            <family val="2"/>
            <charset val="136"/>
          </rPr>
          <t xml:space="preserve">分兩位置
</t>
        </r>
        <r>
          <rPr>
            <b/>
            <sz val="9"/>
            <color indexed="81"/>
            <rFont val="Tahoma"/>
            <family val="2"/>
          </rPr>
          <t>2021/08/26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2021/12/08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2022/04/13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2022/07/19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2023/03/28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(42)</t>
        </r>
        <r>
          <rPr>
            <b/>
            <sz val="9"/>
            <color indexed="81"/>
            <rFont val="Arial Unicode MS"/>
            <family val="2"/>
            <charset val="136"/>
          </rPr>
          <t xml:space="preserve">合併計算
</t>
        </r>
        <r>
          <rPr>
            <b/>
            <sz val="9"/>
            <color indexed="81"/>
            <rFont val="Tahoma"/>
            <family val="2"/>
          </rPr>
          <t>2023/07/25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(37)
2024/01/03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(37)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(37)
2024/12/16</t>
        </r>
        <r>
          <rPr>
            <b/>
            <sz val="9"/>
            <color indexed="81"/>
            <rFont val="Arial Unicode MS"/>
            <family val="2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 B3-5</t>
        </r>
        <r>
          <rPr>
            <b/>
            <sz val="9"/>
            <color indexed="81"/>
            <rFont val="Arial Unicode MS"/>
            <family val="2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2024/12/16</t>
        </r>
        <r>
          <rPr>
            <b/>
            <sz val="9"/>
            <color indexed="81"/>
            <rFont val="Arial Unicode MS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(38)</t>
        </r>
        <r>
          <rPr>
            <b/>
            <sz val="9"/>
            <color indexed="81"/>
            <rFont val="Arial Unicode MS"/>
            <family val="2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Arial Unicode MS"/>
            <family val="2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1PC
2025/07/21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2025/09/01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2025/12/09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2026/01/14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</t>
        </r>
      </text>
    </comment>
    <comment ref="E94" authorId="0" shapeId="0" xr:uid="{00000000-0006-0000-0100-00005C000000}">
      <text>
        <r>
          <rPr>
            <b/>
            <sz val="9"/>
            <color indexed="81"/>
            <rFont val="Tahoma"/>
            <family val="2"/>
          </rPr>
          <t>2022/04/08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</t>
        </r>
        <r>
          <rPr>
            <b/>
            <sz val="9"/>
            <color indexed="81"/>
            <rFont val="細明體"/>
            <family val="3"/>
            <charset val="136"/>
          </rPr>
          <t>合併計算</t>
        </r>
        <r>
          <rPr>
            <b/>
            <sz val="9"/>
            <color indexed="81"/>
            <rFont val="Tahoma"/>
            <family val="2"/>
          </rPr>
          <t xml:space="preserve">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2022/09/22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2025/02/06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95" authorId="0" shapeId="0" xr:uid="{00000000-0006-0000-0100-00005D000000}">
      <text>
        <r>
          <rPr>
            <b/>
            <sz val="9"/>
            <color indexed="81"/>
            <rFont val="Tahoma"/>
            <family val="2"/>
          </rPr>
          <t>2023/02/17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96" authorId="0" shapeId="0" xr:uid="{00000000-0006-0000-0100-00005E000000}">
      <text>
        <r>
          <rPr>
            <b/>
            <sz val="9"/>
            <color indexed="81"/>
            <rFont val="Tahoma"/>
            <family val="2"/>
          </rPr>
          <t>2023/11/13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2023/11/21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97" authorId="0" shapeId="0" xr:uid="{00000000-0006-0000-0100-00005F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98" authorId="0" shapeId="0" xr:uid="{00000000-0006-0000-0100-000060000000}">
      <text>
        <r>
          <rPr>
            <b/>
            <sz val="9"/>
            <color indexed="81"/>
            <rFont val="Tahoma"/>
            <family val="2"/>
          </rPr>
          <t>2023/11/20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2023/11/20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2023/11/23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2024/04/16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2024/08/27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99" authorId="0" shapeId="0" xr:uid="{00000000-0006-0000-0100-000061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餘數在辦公室</t>
        </r>
      </text>
    </comment>
    <comment ref="E100" authorId="0" shapeId="0" xr:uid="{00000000-0006-0000-0100-000062000000}">
      <text>
        <r>
          <rPr>
            <b/>
            <sz val="9"/>
            <color indexed="81"/>
            <rFont val="Tahoma"/>
            <family val="2"/>
          </rPr>
          <t>2021/06/16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01" authorId="0" shapeId="0" xr:uid="{00000000-0006-0000-0100-000063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102" authorId="0" shapeId="0" xr:uid="{00000000-0006-0000-0100-000064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(20)
2026/03/27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</t>
        </r>
      </text>
    </comment>
    <comment ref="E103" authorId="0" shapeId="0" xr:uid="{00000000-0006-0000-0100-000065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</t>
        </r>
      </text>
    </comment>
    <comment ref="E104" authorId="0" shapeId="0" xr:uid="{00000000-0006-0000-0100-000066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105" authorId="0" shapeId="0" xr:uid="{00000000-0006-0000-0100-000067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106" authorId="0" shapeId="0" xr:uid="{00000000-0006-0000-0100-000068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(3)
2026/02/24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107" authorId="0" shapeId="0" xr:uid="{00000000-0006-0000-0100-000069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2025/10/30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2025/12/26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108" authorId="0" shapeId="0" xr:uid="{00000000-0006-0000-0100-00006A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2025/11/25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</t>
        </r>
      </text>
    </comment>
    <comment ref="E109" authorId="0" shapeId="0" xr:uid="{00000000-0006-0000-0100-00006B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110" authorId="0" shapeId="0" xr:uid="{00000000-0006-0000-0100-00006C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111" authorId="0" shapeId="0" xr:uid="{00000000-0006-0000-0100-00006D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</t>
        </r>
      </text>
    </comment>
    <comment ref="E112" authorId="0" shapeId="0" xr:uid="{00000000-0006-0000-0100-00006E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(13)
2026/02/04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</t>
        </r>
      </text>
    </comment>
    <comment ref="E113" authorId="0" shapeId="0" xr:uid="{00000000-0006-0000-0100-00006F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114" authorId="0" shapeId="0" xr:uid="{00000000-0006-0000-0100-000070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115" authorId="0" shapeId="0" xr:uid="{00000000-0006-0000-0100-000071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</t>
        </r>
      </text>
    </comment>
    <comment ref="E116" authorId="0" shapeId="0" xr:uid="{00000000-0006-0000-0100-000072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17" authorId="0" shapeId="0" xr:uid="{00000000-0006-0000-0100-000073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2023/01/15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2025/07/21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2026/03/11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118" authorId="0" shapeId="0" xr:uid="{00000000-0006-0000-0100-000074000000}">
      <text>
        <r>
          <rPr>
            <b/>
            <sz val="9"/>
            <color indexed="81"/>
            <rFont val="Tahoma"/>
            <family val="2"/>
          </rPr>
          <t>2021/11/11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119" authorId="0" shapeId="0" xr:uid="{00000000-0006-0000-0100-000075000000}">
      <text>
        <r>
          <rPr>
            <b/>
            <sz val="9"/>
            <color indexed="81"/>
            <rFont val="Tahoma"/>
            <family val="2"/>
          </rPr>
          <t>2021/10/06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2022/01/10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120" authorId="0" shapeId="0" xr:uid="{00000000-0006-0000-0100-000076000000}">
      <text>
        <r>
          <rPr>
            <b/>
            <sz val="9"/>
            <color indexed="81"/>
            <rFont val="Tahoma"/>
            <family val="2"/>
          </rPr>
          <t>2022/01/24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21" authorId="0" shapeId="0" xr:uid="{00000000-0006-0000-0100-000077000000}">
      <text>
        <r>
          <rPr>
            <b/>
            <sz val="9"/>
            <color indexed="81"/>
            <rFont val="Tahoma"/>
            <family val="2"/>
          </rPr>
          <t>2021/07/23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2024/01/02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(1)2-2-1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>2-2-2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 xml:space="preserve">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2" authorId="0" shapeId="0" xr:uid="{00000000-0006-0000-0100-000078000000}">
      <text>
        <r>
          <rPr>
            <b/>
            <sz val="9"/>
            <color indexed="81"/>
            <rFont val="Tahoma"/>
            <family val="2"/>
          </rPr>
          <t>2023/09/28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123" authorId="0" shapeId="0" xr:uid="{00000000-0006-0000-0100-000079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124" authorId="0" shapeId="0" xr:uid="{00000000-0006-0000-0100-00007A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</t>
        </r>
      </text>
    </comment>
    <comment ref="E125" authorId="0" shapeId="0" xr:uid="{00000000-0006-0000-0100-00007B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2024/12/16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2025/08/19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2025/09/01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2026/01/14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6" authorId="0" shapeId="0" xr:uid="{00000000-0006-0000-0100-00007C000000}">
      <text>
        <r>
          <rPr>
            <b/>
            <sz val="9"/>
            <color indexed="81"/>
            <rFont val="Tahoma"/>
            <family val="2"/>
          </rPr>
          <t>2022/12/21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2025/02/13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2025/06/24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2025/10/23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2025/12/09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2026/03/11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127" authorId="0" shapeId="0" xr:uid="{00000000-0006-0000-0100-00007D000000}">
      <text>
        <r>
          <rPr>
            <b/>
            <sz val="9"/>
            <color indexed="81"/>
            <rFont val="Tahoma"/>
            <family val="2"/>
          </rPr>
          <t>2023/05/22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2024/12/30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2025/10/23[2804002101-4]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 xml:space="preserve"> 5-1-2 </t>
        </r>
        <r>
          <rPr>
            <b/>
            <sz val="9"/>
            <color indexed="81"/>
            <rFont val="細明體"/>
            <family val="3"/>
            <charset val="136"/>
          </rPr>
          <t>前移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 xml:space="preserve"> 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(1)
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</text>
    </comment>
    <comment ref="E129" authorId="0" shapeId="0" xr:uid="{00000000-0006-0000-0100-00007E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130" authorId="0" shapeId="0" xr:uid="{00000000-0006-0000-0100-00007F000000}">
      <text>
        <r>
          <rPr>
            <b/>
            <sz val="9"/>
            <color indexed="81"/>
            <rFont val="Tahoma"/>
            <family val="2"/>
          </rPr>
          <t>2024/06/06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2024/07/29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(28)2-1-2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>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 xml:space="preserve">(28)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2024/08/17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(26)2-1-1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3-1-1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2024/10/28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2024/12/30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2025/12/09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2026/01/05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(6)
2026/02/24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31" authorId="0" shapeId="0" xr:uid="{00000000-0006-0000-0100-000080000000}">
      <text>
        <r>
          <rPr>
            <b/>
            <sz val="10"/>
            <color indexed="81"/>
            <rFont val="Tahoma"/>
            <family val="2"/>
          </rPr>
          <t>2024/08/21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(34)
2024/09/18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(32)
2024/12/05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(25)
2024/12/16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(23)
2025/09/08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(21)
</t>
        </r>
      </text>
    </comment>
    <comment ref="E132" authorId="0" shapeId="0" xr:uid="{00000000-0006-0000-0100-000081000000}">
      <text>
        <r>
          <rPr>
            <b/>
            <sz val="9"/>
            <color indexed="81"/>
            <rFont val="Tahoma"/>
            <family val="2"/>
          </rPr>
          <t>2020/12/16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2022/06/21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(93)</t>
        </r>
        <r>
          <rPr>
            <b/>
            <sz val="9"/>
            <color indexed="81"/>
            <rFont val="細明體"/>
            <family val="3"/>
            <charset val="136"/>
          </rPr>
          <t xml:space="preserve">陳彥驊領取
</t>
        </r>
        <r>
          <rPr>
            <b/>
            <sz val="9"/>
            <color indexed="81"/>
            <rFont val="Tahoma"/>
            <family val="2"/>
          </rPr>
          <t>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(93)
2023/05/03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(92)
2023/07/25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(87)
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(91)
2023/09/23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3-3-2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3-3-2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(87)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(87)3-3-2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(87)
2025/03/10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(77)</t>
        </r>
      </text>
    </comment>
    <comment ref="E133" authorId="0" shapeId="0" xr:uid="{00000000-0006-0000-0100-000082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(10)3-3-2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2024/10/14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2026/01/05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34" authorId="0" shapeId="0" xr:uid="{00000000-0006-0000-0100-000083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(24)3-3-2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</t>
        </r>
      </text>
    </comment>
    <comment ref="E135" authorId="0" shapeId="0" xr:uid="{00000000-0006-0000-0100-000084000000}">
      <text>
        <r>
          <rPr>
            <b/>
            <sz val="10"/>
            <color indexed="81"/>
            <rFont val="Tahoma"/>
            <family val="2"/>
          </rPr>
          <t>2024/08/21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(30)</t>
        </r>
        <r>
          <rPr>
            <b/>
            <sz val="10"/>
            <color indexed="81"/>
            <rFont val="細明體"/>
            <family val="3"/>
            <charset val="136"/>
          </rPr>
          <t>棧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4-1-1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2024/09/18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(28)
2024/10/14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2024/12/26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2025/02/03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2025/03/04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2025/09/01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2026/03/27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136" authorId="0" shapeId="0" xr:uid="{00000000-0006-0000-0100-00008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 
2019/09/27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2020/04/17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2024/01/03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(19)2-3-1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137" authorId="0" shapeId="0" xr:uid="{00000000-0006-0000-0100-000086000000}">
      <text>
        <r>
          <rPr>
            <b/>
            <sz val="9"/>
            <color indexed="81"/>
            <rFont val="Tahoma"/>
            <family val="2"/>
          </rPr>
          <t>2023/12/26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(30) 5-1-2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2025/09/16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 5-1-2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2026/03/27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138" authorId="0" shapeId="0" xr:uid="{00000000-0006-0000-0100-000087000000}">
      <text>
        <r>
          <rPr>
            <b/>
            <sz val="9"/>
            <color indexed="81"/>
            <rFont val="Tahoma"/>
            <family val="2"/>
          </rPr>
          <t>2022/05/19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139" authorId="0" shapeId="0" xr:uid="{00000000-0006-0000-0100-000088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2025/10/23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 xml:space="preserve"> 2-3-1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 xml:space="preserve"> 5-1-2 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
</t>
        </r>
      </text>
    </comment>
    <comment ref="E140" authorId="0" shapeId="0" xr:uid="{00000000-0006-0000-0100-000089000000}">
      <text>
        <r>
          <rPr>
            <b/>
            <sz val="9"/>
            <color indexed="81"/>
            <rFont val="Tahoma"/>
            <family val="2"/>
          </rPr>
          <t>2023/11/29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2026/02/24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41" authorId="0" shapeId="0" xr:uid="{00000000-0006-0000-0100-00008A000000}">
      <text>
        <r>
          <rPr>
            <b/>
            <sz val="9"/>
            <color indexed="81"/>
            <rFont val="Tahoma"/>
            <family val="2"/>
          </rPr>
          <t>2024/01/22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2024/05/16</t>
        </r>
        <r>
          <rPr>
            <b/>
            <sz val="9"/>
            <color indexed="81"/>
            <rFont val="細明體"/>
            <family val="3"/>
            <charset val="136"/>
          </rPr>
          <t>合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餘數合併同箱</t>
        </r>
      </text>
    </comment>
    <comment ref="E142" authorId="0" shapeId="0" xr:uid="{00000000-0006-0000-0100-00008B000000}">
      <text>
        <r>
          <rPr>
            <b/>
            <sz val="9"/>
            <color indexed="81"/>
            <rFont val="Tahoma"/>
            <family val="2"/>
          </rPr>
          <t>2023/09/01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143" authorId="0" shapeId="0" xr:uid="{00000000-0006-0000-0100-00008C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(3)
2026/02/24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2026/03/11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44" authorId="0" shapeId="0" xr:uid="{00000000-0006-0000-0100-00008D000000}">
      <text>
        <r>
          <rPr>
            <b/>
            <sz val="9"/>
            <color indexed="81"/>
            <rFont val="Tahoma"/>
            <family val="2"/>
          </rPr>
          <t>2022/12/05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</t>
        </r>
      </text>
    </comment>
    <comment ref="E145" authorId="0" shapeId="0" xr:uid="{00000000-0006-0000-0100-00008E000000}">
      <text>
        <r>
          <rPr>
            <b/>
            <sz val="9"/>
            <color indexed="81"/>
            <rFont val="Tahoma"/>
            <family val="2"/>
          </rPr>
          <t>2022/12/05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2024/05/28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147" authorId="0" shapeId="0" xr:uid="{00000000-0006-0000-0100-00008F000000}">
      <text>
        <r>
          <rPr>
            <b/>
            <sz val="9"/>
            <color indexed="81"/>
            <rFont val="Tahoma"/>
            <family val="2"/>
          </rPr>
          <t>2022/12/05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2026/02/24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</t>
        </r>
      </text>
    </comment>
    <comment ref="E148" authorId="0" shapeId="0" xr:uid="{00000000-0006-0000-0100-000090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49" authorId="0" shapeId="0" xr:uid="{00000000-0006-0000-0100-000091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50" authorId="0" shapeId="0" xr:uid="{00000000-0006-0000-0100-000092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</t>
        </r>
      </text>
    </comment>
    <comment ref="E151" authorId="0" shapeId="0" xr:uid="{00000000-0006-0000-0100-000093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Arial Unicode MS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2021/05/12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2021/08/26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2024/11/11</t>
        </r>
        <r>
          <rPr>
            <b/>
            <sz val="9"/>
            <color indexed="81"/>
            <rFont val="Arial Unicode MS"/>
            <family val="2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(2)2-2-1</t>
        </r>
        <r>
          <rPr>
            <b/>
            <sz val="9"/>
            <color indexed="81"/>
            <rFont val="Arial Unicode MS"/>
            <family val="2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A2-3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52" authorId="0" shapeId="0" xr:uid="{00000000-0006-0000-0100-000094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2024/11/08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 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3" authorId="0" shapeId="0" xr:uid="{00000000-0006-0000-0100-000095000000}">
      <text>
        <r>
          <rPr>
            <b/>
            <sz val="9"/>
            <color indexed="81"/>
            <rFont val="Tahoma"/>
            <family val="2"/>
          </rPr>
          <t>2023/04/26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2024/11/08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 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54" authorId="0" shapeId="0" xr:uid="{00000000-0006-0000-0100-000096000000}">
      <text>
        <r>
          <rPr>
            <b/>
            <sz val="10"/>
            <color indexed="81"/>
            <rFont val="Tahoma"/>
            <family val="2"/>
          </rPr>
          <t>2025/02/04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2025/02/13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2025/02/13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(1)2-2-2</t>
        </r>
        <r>
          <rPr>
            <b/>
            <sz val="10"/>
            <color indexed="81"/>
            <rFont val="細明體"/>
            <family val="3"/>
            <charset val="136"/>
          </rPr>
          <t>前→</t>
        </r>
        <r>
          <rPr>
            <b/>
            <sz val="10"/>
            <color indexed="81"/>
            <rFont val="Tahoma"/>
            <family val="2"/>
          </rPr>
          <t xml:space="preserve">A2-3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55" authorId="0" shapeId="0" xr:uid="{00000000-0006-0000-0100-000097000000}">
      <text>
        <r>
          <rPr>
            <b/>
            <sz val="9"/>
            <color indexed="81"/>
            <rFont val="Tahoma"/>
            <family val="2"/>
          </rPr>
          <t>2022/11/01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2024/11/11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A2-4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2025/07/21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6" authorId="0" shapeId="0" xr:uid="{00000000-0006-0000-0100-000098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2024/11/11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A2-4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7" authorId="0" shapeId="0" xr:uid="{00000000-0006-0000-0100-000099000000}">
      <text>
        <r>
          <rPr>
            <b/>
            <sz val="9"/>
            <color indexed="81"/>
            <rFont val="Tahoma"/>
            <family val="2"/>
          </rPr>
          <t>2021/11/22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2024/11/11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A2-4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8" authorId="0" shapeId="0" xr:uid="{00000000-0006-0000-0100-00009A000000}">
      <text>
        <r>
          <rPr>
            <b/>
            <sz val="9"/>
            <color indexed="81"/>
            <rFont val="Tahoma"/>
            <family val="2"/>
          </rPr>
          <t>2023/11/20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2024/06/05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2024/08/27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2024/11/04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2024/12/05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2025/02/04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(4)2-2-2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>A1-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A1-</t>
        </r>
        <r>
          <rPr>
            <b/>
            <sz val="9"/>
            <color indexed="81"/>
            <rFont val="細明體"/>
            <family val="3"/>
            <charset val="136"/>
          </rPr>
          <t>箱→</t>
        </r>
        <r>
          <rPr>
            <b/>
            <sz val="9"/>
            <color indexed="81"/>
            <rFont val="Tahoma"/>
            <family val="2"/>
          </rPr>
          <t xml:space="preserve">A3-2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59" authorId="0" shapeId="0" xr:uid="{00000000-0006-0000-0100-00009B000000}">
      <text>
        <r>
          <rPr>
            <b/>
            <sz val="9"/>
            <color indexed="81"/>
            <rFont val="Tahoma"/>
            <family val="2"/>
          </rPr>
          <t>2019/11/22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2019/11/22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2019/11/22</t>
        </r>
        <r>
          <rPr>
            <b/>
            <sz val="9"/>
            <color indexed="81"/>
            <rFont val="細明體"/>
            <family val="3"/>
            <charset val="136"/>
          </rPr>
          <t>修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2019/12/03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(17)1
2020/03/02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2020/11/05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A2-3(14)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A3-3(14)
2024/05/02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2024/08/26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160" authorId="0" shapeId="0" xr:uid="{00000000-0006-0000-0100-00009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A3-3(3)</t>
        </r>
      </text>
    </comment>
    <comment ref="E161" authorId="0" shapeId="0" xr:uid="{00000000-0006-0000-0100-00009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A3-3(1) 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1PC</t>
        </r>
      </text>
    </comment>
    <comment ref="E162" authorId="0" shapeId="0" xr:uid="{00000000-0006-0000-0100-00009E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63" authorId="0" shapeId="0" xr:uid="{00000000-0006-0000-0100-00009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4" authorId="0" shapeId="0" xr:uid="{00000000-0006-0000-0100-0000A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5" authorId="0" shapeId="0" xr:uid="{00000000-0006-0000-0100-0000A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2025/02/06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166" authorId="0" shapeId="0" xr:uid="{00000000-0006-0000-0100-0000A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67" authorId="0" shapeId="0" xr:uid="{00000000-0006-0000-0100-0000A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2021/06/28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2026/03/24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68" authorId="0" shapeId="0" xr:uid="{00000000-0006-0000-0100-0000A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2019/11/06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2023/09/13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169" authorId="0" shapeId="0" xr:uid="{00000000-0006-0000-0100-0000A5000000}">
      <text>
        <r>
          <rPr>
            <b/>
            <sz val="9"/>
            <color indexed="81"/>
            <rFont val="Tahoma"/>
            <family val="2"/>
          </rPr>
          <t>2022/12/14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2023/01/16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(51)
2023/05/03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2023/05/25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2024/01/22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 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2024/02/26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2024/02/26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(22)3-3-2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(19)3-3-2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202501/14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2025/04/23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A3-5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0" authorId="0" shapeId="0" xr:uid="{00000000-0006-0000-0100-0000A6000000}">
      <text>
        <r>
          <rPr>
            <b/>
            <sz val="9"/>
            <color indexed="81"/>
            <rFont val="Tahoma"/>
            <family val="2"/>
          </rPr>
          <t>2020/09/25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A3-5(2)</t>
        </r>
      </text>
    </comment>
    <comment ref="E171" authorId="0" shapeId="0" xr:uid="{00000000-0006-0000-0100-0000A7000000}">
      <text>
        <r>
          <rPr>
            <b/>
            <sz val="9"/>
            <color indexed="81"/>
            <rFont val="Tahoma"/>
            <family val="2"/>
          </rPr>
          <t>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A2-1(19)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A3-5(19)</t>
        </r>
      </text>
    </comment>
    <comment ref="E172" authorId="0" shapeId="0" xr:uid="{00000000-0006-0000-0100-0000A8000000}">
      <text>
        <r>
          <rPr>
            <b/>
            <sz val="9"/>
            <color indexed="81"/>
            <rFont val="Tahoma"/>
            <family val="2"/>
          </rPr>
          <t>2024/12/17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A3-5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3" authorId="0" shapeId="0" xr:uid="{00000000-0006-0000-0100-0000A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A3-6(1) </t>
        </r>
      </text>
    </comment>
    <comment ref="E174" authorId="0" shapeId="0" xr:uid="{00000000-0006-0000-0100-0000A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A3-6(1)</t>
        </r>
      </text>
    </comment>
    <comment ref="E175" authorId="0" shapeId="0" xr:uid="{00000000-0006-0000-0100-0000AB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A3-6(1)</t>
        </r>
      </text>
    </comment>
    <comment ref="E176" authorId="0" shapeId="0" xr:uid="{00000000-0006-0000-0100-0000A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77" authorId="0" shapeId="0" xr:uid="{00000000-0006-0000-0100-0000A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78" authorId="0" shapeId="0" xr:uid="{00000000-0006-0000-0100-0000A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A4-7(1)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79" authorId="0" shapeId="0" xr:uid="{00000000-0006-0000-0100-0000A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A4-7(1)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80" authorId="0" shapeId="0" xr:uid="{00000000-0006-0000-0100-0000B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A4-7(1)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81" authorId="0" shapeId="0" xr:uid="{00000000-0006-0000-0100-0000B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A4-7(1)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82" authorId="0" shapeId="0" xr:uid="{00000000-0006-0000-0100-0000B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A4-7(1)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A3-7(1)</t>
        </r>
      </text>
    </comment>
    <comment ref="E183" authorId="0" shapeId="0" xr:uid="{00000000-0006-0000-0100-0000B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84" authorId="0" shapeId="0" xr:uid="{00000000-0006-0000-0100-0000B4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
2025/02/19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 xml:space="preserve">佩佩自取
</t>
        </r>
        <r>
          <rPr>
            <b/>
            <sz val="10"/>
            <color indexed="81"/>
            <rFont val="Tahoma"/>
            <family val="2"/>
          </rPr>
          <t>2025/03/07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(1)2-2-2</t>
        </r>
        <r>
          <rPr>
            <b/>
            <sz val="10"/>
            <color indexed="81"/>
            <rFont val="細明體"/>
            <family val="3"/>
            <charset val="136"/>
          </rPr>
          <t>前→</t>
        </r>
        <r>
          <rPr>
            <b/>
            <sz val="10"/>
            <color indexed="81"/>
            <rFont val="Tahoma"/>
            <family val="2"/>
          </rPr>
          <t xml:space="preserve">B3-5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85" authorId="0" shapeId="0" xr:uid="{00000000-0006-0000-0100-0000B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</t>
        </r>
      </text>
    </comment>
    <comment ref="E186" authorId="0" shapeId="0" xr:uid="{00000000-0006-0000-0100-0000B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</t>
        </r>
      </text>
    </comment>
    <comment ref="E187" authorId="0" shapeId="0" xr:uid="{00000000-0006-0000-0100-0000B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</t>
        </r>
      </text>
    </comment>
    <comment ref="E188" authorId="0" shapeId="0" xr:uid="{00000000-0006-0000-0100-0000B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</t>
        </r>
      </text>
    </comment>
    <comment ref="E189" authorId="0" shapeId="0" xr:uid="{00000000-0006-0000-0100-0000B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B3-5(1)</t>
        </r>
      </text>
    </comment>
    <comment ref="E190" authorId="0" shapeId="0" xr:uid="{00000000-0006-0000-0100-0000BA000000}">
      <text>
        <r>
          <rPr>
            <b/>
            <sz val="9"/>
            <color indexed="81"/>
            <rFont val="Tahoma"/>
            <family val="2"/>
          </rPr>
          <t>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A3-6(2)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B3-5(2)</t>
        </r>
      </text>
    </comment>
    <comment ref="E191" authorId="0" shapeId="0" xr:uid="{00000000-0006-0000-0100-0000BB000000}">
      <text>
        <r>
          <rPr>
            <b/>
            <sz val="10"/>
            <color indexed="81"/>
            <rFont val="Tahoma"/>
            <family val="2"/>
          </rPr>
          <t>2024/07/15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庫存(1)</t>
        </r>
      </text>
    </comment>
    <comment ref="E192" authorId="0" shapeId="0" xr:uid="{00000000-0006-0000-0100-0000B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B3-6(1)</t>
        </r>
      </text>
    </comment>
    <comment ref="E193" authorId="0" shapeId="0" xr:uid="{00000000-0006-0000-0100-0000BD000000}">
      <text>
        <r>
          <rPr>
            <b/>
            <sz val="9"/>
            <color indexed="81"/>
            <rFont val="Tahoma"/>
            <family val="2"/>
          </rPr>
          <t>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2022/12/09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A1-2(8)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B3-6(8)
</t>
        </r>
      </text>
    </comment>
    <comment ref="E194" authorId="0" shapeId="0" xr:uid="{00000000-0006-0000-0100-0000BE000000}">
      <text>
        <r>
          <rPr>
            <b/>
            <sz val="9"/>
            <color indexed="81"/>
            <rFont val="Tahoma"/>
            <family val="2"/>
          </rPr>
          <t>2021/06/24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A2-7(3)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B3-6(3)</t>
        </r>
      </text>
    </comment>
    <comment ref="E195" authorId="0" shapeId="0" xr:uid="{00000000-0006-0000-0100-0000B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A1-3(29)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B3-6(29)</t>
        </r>
      </text>
    </comment>
    <comment ref="E196" authorId="0" shapeId="0" xr:uid="{00000000-0006-0000-0100-0000C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A3-1(5)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B3-7(5)</t>
        </r>
      </text>
    </comment>
    <comment ref="E197" authorId="0" shapeId="0" xr:uid="{00000000-0006-0000-0100-0000C1000000}">
      <text>
        <r>
          <rPr>
            <b/>
            <sz val="9"/>
            <color indexed="81"/>
            <rFont val="Tahoma"/>
            <family val="2"/>
          </rPr>
          <t>2020/05/20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A3-1(1)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B3-7(1)</t>
        </r>
      </text>
    </comment>
    <comment ref="E198" authorId="0" shapeId="0" xr:uid="{00000000-0006-0000-0100-0000C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A4-3(8)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B3-7(8)</t>
        </r>
      </text>
    </comment>
    <comment ref="E199" authorId="0" shapeId="0" xr:uid="{00000000-0006-0000-0100-0000C3000000}">
      <text>
        <r>
          <rPr>
            <b/>
            <sz val="9"/>
            <color indexed="81"/>
            <rFont val="Tahoma"/>
            <family val="2"/>
          </rPr>
          <t>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2021/03/15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 xml:space="preserve">領出改版
</t>
        </r>
        <r>
          <rPr>
            <b/>
            <sz val="9"/>
            <color indexed="81"/>
            <rFont val="Tahoma"/>
            <family val="2"/>
          </rPr>
          <t>2021/04/08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A3-7(13)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(13)
2023/12/14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2024/08/27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2024/12/26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2024/12/30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200" authorId="0" shapeId="0" xr:uid="{00000000-0006-0000-0100-0000C4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2025/02/06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</t>
        </r>
        <r>
          <rPr>
            <b/>
            <sz val="9"/>
            <color indexed="81"/>
            <rFont val="細明體"/>
            <family val="3"/>
            <charset val="136"/>
          </rPr>
          <t>修改為</t>
        </r>
        <r>
          <rPr>
            <b/>
            <sz val="9"/>
            <color indexed="81"/>
            <rFont val="Tahoma"/>
            <family val="2"/>
          </rPr>
          <t>1007002562</t>
        </r>
        <r>
          <rPr>
            <b/>
            <sz val="9"/>
            <color indexed="81"/>
            <rFont val="細明體"/>
            <family val="3"/>
            <charset val="136"/>
          </rPr>
          <t>用</t>
        </r>
      </text>
    </comment>
    <comment ref="E201" authorId="0" shapeId="0" xr:uid="{00000000-0006-0000-0100-0000C5000000}">
      <text>
        <r>
          <rPr>
            <b/>
            <sz val="10"/>
            <color indexed="81"/>
            <rFont val="Tahoma"/>
            <family val="2"/>
          </rPr>
          <t>2024/07/29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(28)
2024/08/27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(25)
2024/09/09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(25) </t>
        </r>
        <r>
          <rPr>
            <b/>
            <sz val="10"/>
            <color indexed="81"/>
            <rFont val="細明體"/>
            <family val="3"/>
            <charset val="136"/>
          </rPr>
          <t>三廠</t>
        </r>
        <r>
          <rPr>
            <b/>
            <sz val="10"/>
            <color indexed="81"/>
            <rFont val="Tahoma"/>
            <family val="2"/>
          </rPr>
          <t>(25)</t>
        </r>
        <r>
          <rPr>
            <b/>
            <sz val="10"/>
            <color indexed="81"/>
            <rFont val="細明體"/>
            <family val="3"/>
            <charset val="136"/>
          </rPr>
          <t>二廠鐵架走道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 xml:space="preserve">→三廠貨梯旁
</t>
        </r>
        <r>
          <rPr>
            <b/>
            <sz val="10"/>
            <color indexed="81"/>
            <rFont val="Tahoma"/>
            <family val="2"/>
          </rPr>
          <t>2024/12/05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2025/01/03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</t>
        </r>
      </text>
    </comment>
    <comment ref="E202" authorId="0" shapeId="0" xr:uid="{00000000-0006-0000-0100-0000C6000000}">
      <text>
        <r>
          <rPr>
            <b/>
            <sz val="10"/>
            <color indexed="81"/>
            <rFont val="Tahoma"/>
            <family val="2"/>
          </rPr>
          <t>2026/01/14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2026/01/15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(20)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細明體"/>
            <family val="3"/>
            <charset val="136"/>
          </rPr>
          <t>暫</t>
        </r>
        <r>
          <rPr>
            <b/>
            <sz val="10"/>
            <color indexed="81"/>
            <rFont val="Tahoma"/>
            <family val="2"/>
          </rPr>
          <t>) KX500</t>
        </r>
        <r>
          <rPr>
            <b/>
            <sz val="10"/>
            <color indexed="81"/>
            <rFont val="細明體"/>
            <family val="3"/>
            <charset val="136"/>
          </rPr>
          <t>前</t>
        </r>
        <r>
          <rPr>
            <b/>
            <sz val="10"/>
            <color indexed="81"/>
            <rFont val="Tahoma"/>
            <family val="2"/>
          </rPr>
          <t>-</t>
        </r>
        <r>
          <rPr>
            <b/>
            <sz val="10"/>
            <color indexed="81"/>
            <rFont val="細明體"/>
            <family val="3"/>
            <charset val="136"/>
          </rPr>
          <t>棧板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</t>
        </r>
      </text>
    </comment>
    <comment ref="E209" authorId="0" shapeId="0" xr:uid="{00000000-0006-0000-0100-0000C7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 xml:space="preserve">外研有傷，要修才能出貨
</t>
        </r>
        <r>
          <rPr>
            <b/>
            <sz val="9"/>
            <color indexed="81"/>
            <rFont val="Tahoma"/>
            <family val="2"/>
          </rPr>
          <t>2024/09/25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0" authorId="0" shapeId="0" xr:uid="{00000000-0006-0000-0100-0000C8000000}">
      <text>
        <r>
          <rPr>
            <b/>
            <sz val="9"/>
            <color indexed="81"/>
            <rFont val="Tahoma"/>
            <family val="2"/>
          </rPr>
          <t>2021/12/07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2021/12/13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2022/07/28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</t>
        </r>
        <r>
          <rPr>
            <b/>
            <sz val="9"/>
            <color indexed="81"/>
            <rFont val="細明體"/>
            <family val="3"/>
            <charset val="136"/>
          </rPr>
          <t xml:space="preserve">一廠移入
</t>
        </r>
        <r>
          <rPr>
            <b/>
            <sz val="9"/>
            <color indexed="81"/>
            <rFont val="Tahoma"/>
            <family val="2"/>
          </rPr>
          <t>2022/07/29</t>
        </r>
        <r>
          <rPr>
            <b/>
            <sz val="9"/>
            <color indexed="81"/>
            <rFont val="細明體"/>
            <family val="3"/>
            <charset val="136"/>
          </rPr>
          <t>移出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</t>
        </r>
        <r>
          <rPr>
            <b/>
            <sz val="9"/>
            <color indexed="81"/>
            <rFont val="細明體"/>
            <family val="3"/>
            <charset val="136"/>
          </rPr>
          <t>移至</t>
        </r>
        <r>
          <rPr>
            <b/>
            <sz val="9"/>
            <color indexed="81"/>
            <rFont val="Tahoma"/>
            <family val="2"/>
          </rPr>
          <t>1-4-1
2023/01/09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2023/05/25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2023/06/19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</t>
        </r>
        <r>
          <rPr>
            <b/>
            <sz val="9"/>
            <color indexed="81"/>
            <rFont val="細明體"/>
            <family val="3"/>
            <charset val="136"/>
          </rPr>
          <t xml:space="preserve">客說要三版
</t>
        </r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2024/02/26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2024/02/27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</t>
        </r>
        <r>
          <rPr>
            <b/>
            <sz val="9"/>
            <color indexed="81"/>
            <rFont val="細明體"/>
            <family val="3"/>
            <charset val="136"/>
          </rPr>
          <t xml:space="preserve">替換工件，外徑黑皮待重工
</t>
        </r>
        <r>
          <rPr>
            <b/>
            <sz val="9"/>
            <color indexed="81"/>
            <rFont val="Tahoma"/>
            <family val="2"/>
          </rPr>
          <t>2024/02/27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</t>
        </r>
        <r>
          <rPr>
            <b/>
            <sz val="9"/>
            <color indexed="81"/>
            <rFont val="細明體"/>
            <family val="3"/>
            <charset val="136"/>
          </rPr>
          <t xml:space="preserve">替換工件，外徑有破損待重工
</t>
        </r>
        <r>
          <rPr>
            <b/>
            <sz val="9"/>
            <color indexed="81"/>
            <rFont val="Tahoma"/>
            <family val="2"/>
          </rPr>
          <t>2024/04/22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2024/09/25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(5)1-1-1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2024/11/13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(5)1-1-2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1-1-1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1" authorId="0" shapeId="0" xr:uid="{00000000-0006-0000-0100-0000C9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12" authorId="0" shapeId="0" xr:uid="{00000000-0006-0000-0100-0000CA000000}">
      <text>
        <r>
          <rPr>
            <b/>
            <sz val="9"/>
            <color indexed="81"/>
            <rFont val="Tahoma"/>
            <family val="2"/>
          </rPr>
          <t>2023/04/26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2024/03/25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B3-5(1)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2024/10/23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2024/10/28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2024/11/06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2025/01/08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1PC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3" authorId="0" shapeId="0" xr:uid="{00000000-0006-0000-0100-0000CB000000}">
      <text>
        <r>
          <rPr>
            <b/>
            <sz val="9"/>
            <color indexed="81"/>
            <rFont val="Tahoma"/>
            <family val="2"/>
          </rPr>
          <t>2022/12/09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4" authorId="0" shapeId="0" xr:uid="{00000000-0006-0000-0100-0000CC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15" authorId="0" shapeId="0" xr:uid="{00000000-0006-0000-0100-0000CD000000}">
      <text>
        <r>
          <rPr>
            <b/>
            <sz val="9"/>
            <color indexed="81"/>
            <rFont val="Tahoma"/>
            <family val="2"/>
          </rPr>
          <t>2022/05/25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(62)
2022/07/25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(57)
2022/09/22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2022/12/26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2023/04/11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2023/05/24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2023/08/24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2023/11/06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2023/11/23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2024/10/14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2024/12/05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2024/12/30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2025/01/16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(2)2-1-2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A3-5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6" authorId="0" shapeId="0" xr:uid="{00000000-0006-0000-0100-0000C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2023/05/02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A2-2(5)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A3-6(5)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7" authorId="0" shapeId="0" xr:uid="{00000000-0006-0000-0100-0000CF000000}">
      <text>
        <r>
          <rPr>
            <b/>
            <sz val="9"/>
            <color indexed="81"/>
            <rFont val="Tahoma"/>
            <family val="2"/>
          </rPr>
          <t>2023/03/03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2023/05/03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18" authorId="0" shapeId="0" xr:uid="{00000000-0006-0000-0100-0000D0000000}">
      <text>
        <r>
          <rPr>
            <b/>
            <sz val="10"/>
            <color indexed="81"/>
            <rFont val="Tahoma"/>
            <family val="2"/>
          </rPr>
          <t>2024/07/15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尋回</t>
        </r>
        <r>
          <rPr>
            <b/>
            <sz val="10"/>
            <color indexed="81"/>
            <rFont val="Tahoma"/>
            <family val="2"/>
          </rPr>
          <t>2PC</t>
        </r>
      </text>
    </comment>
    <comment ref="E219" authorId="0" shapeId="0" xr:uid="{00000000-0006-0000-0100-0000D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2020/03/04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2021/04/01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A4-3(6)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B3-6(6)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0" authorId="0" shapeId="0" xr:uid="{00000000-0006-0000-0100-0000D2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221" authorId="0" shapeId="0" xr:uid="{00000000-0006-0000-0100-0000D3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2025/04/07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22" authorId="0" shapeId="0" xr:uid="{00000000-0006-0000-0100-0000D4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2024/05/27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</t>
        </r>
        <r>
          <rPr>
            <b/>
            <sz val="9"/>
            <color indexed="81"/>
            <rFont val="細明體"/>
            <family val="3"/>
            <charset val="136"/>
          </rPr>
          <t xml:space="preserve">志方代領
</t>
        </r>
        <r>
          <rPr>
            <b/>
            <sz val="9"/>
            <color indexed="81"/>
            <rFont val="Tahoma"/>
            <family val="2"/>
          </rPr>
          <t>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3" authorId="0" shapeId="0" xr:uid="{00000000-0006-0000-0100-0000D5000000}">
      <text>
        <r>
          <rPr>
            <b/>
            <sz val="9"/>
            <color indexed="81"/>
            <rFont val="Tahoma"/>
            <family val="2"/>
          </rPr>
          <t>2023/07/18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2024/03/07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(48)
2024/03/25(5)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2024/04/16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(38)
2024/05/16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2024/05/28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2024/08/15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2024/09/23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2024/11/04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2024/11/20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 xml:space="preserve">文俐取
</t>
        </r>
        <r>
          <rPr>
            <b/>
            <sz val="9"/>
            <color indexed="81"/>
            <rFont val="Tahoma"/>
            <family val="2"/>
          </rPr>
          <t>2024/12/05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4" authorId="0" shapeId="0" xr:uid="{00000000-0006-0000-0100-0000D6000000}">
      <text>
        <r>
          <rPr>
            <b/>
            <sz val="9"/>
            <color indexed="81"/>
            <rFont val="Tahoma"/>
            <family val="2"/>
          </rPr>
          <t>2020/12/11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2021/02/20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2021/05/24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(35)
2021/07/16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2021/08/23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2022/04/12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2022/12/14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2023/12/04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5" authorId="0" shapeId="0" xr:uid="{00000000-0006-0000-0100-0000D7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2024/12/05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2025/02/07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(38)
2025/02/18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6" authorId="0" shapeId="0" xr:uid="{00000000-0006-0000-0100-0000D8000000}">
      <text>
        <r>
          <rPr>
            <b/>
            <sz val="9"/>
            <color indexed="81"/>
            <rFont val="Tahoma"/>
            <family val="2"/>
          </rPr>
          <t>2023/02/01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2023/05/17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7" authorId="0" shapeId="0" xr:uid="{00000000-0006-0000-0100-0000D9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2024/11/15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2024/12/16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 1-4-1</t>
        </r>
        <r>
          <rPr>
            <b/>
            <sz val="10"/>
            <color indexed="81"/>
            <rFont val="細明體"/>
            <family val="3"/>
            <charset val="136"/>
          </rPr>
          <t>前→</t>
        </r>
        <r>
          <rPr>
            <b/>
            <sz val="10"/>
            <color indexed="81"/>
            <rFont val="Tahoma"/>
            <family val="2"/>
          </rPr>
          <t>A1-</t>
        </r>
        <r>
          <rPr>
            <b/>
            <sz val="10"/>
            <color indexed="81"/>
            <rFont val="細明體"/>
            <family val="3"/>
            <charset val="136"/>
          </rPr>
          <t>箱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2024/12/16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2025/04/15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28" authorId="0" shapeId="0" xr:uid="{00000000-0006-0000-0100-0000DA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Arial Unicode MS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2021/08/26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2021/12/08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2022/04/13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2022/07/19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2024/01/03</t>
        </r>
        <r>
          <rPr>
            <b/>
            <sz val="9"/>
            <color indexed="81"/>
            <rFont val="Arial Unicode MS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2024/03/25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2025/04/15</t>
        </r>
        <r>
          <rPr>
            <b/>
            <sz val="9"/>
            <color indexed="81"/>
            <rFont val="Arial Unicode MS"/>
            <family val="2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Arial Unicode MS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29" authorId="0" shapeId="0" xr:uid="{00000000-0006-0000-0100-0000DB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2025/02/27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2025/03/20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2025/04/17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0" authorId="0" shapeId="0" xr:uid="{00000000-0006-0000-0100-0000DC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2024/08/27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(27) 5-1-2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2024/10/14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2024/11/25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2024/12/16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2025/03/31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(3)5-1-2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A3-5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1" authorId="0" shapeId="0" xr:uid="{00000000-0006-0000-0100-0000DD000000}">
      <text>
        <r>
          <rPr>
            <b/>
            <sz val="9"/>
            <color indexed="81"/>
            <rFont val="Tahoma"/>
            <family val="2"/>
          </rPr>
          <t>2023/03/24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2023/07/25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2023/09/11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
2023/09/22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</t>
        </r>
        <r>
          <rPr>
            <b/>
            <sz val="9"/>
            <color indexed="81"/>
            <rFont val="細明體"/>
            <family val="3"/>
            <charset val="136"/>
          </rPr>
          <t xml:space="preserve">張文俐領出
</t>
        </r>
        <r>
          <rPr>
            <b/>
            <sz val="9"/>
            <color indexed="81"/>
            <rFont val="Tahoma"/>
            <family val="2"/>
          </rPr>
          <t>2024/01/22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2024/01/29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2024/05/27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 xml:space="preserve">志方代領
</t>
        </r>
        <r>
          <rPr>
            <b/>
            <sz val="9"/>
            <color indexed="81"/>
            <rFont val="Tahoma"/>
            <family val="2"/>
          </rPr>
          <t>2024/07/08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2" authorId="0" shapeId="0" xr:uid="{00000000-0006-0000-0100-0000DE000000}">
      <text>
        <r>
          <rPr>
            <b/>
            <sz val="9"/>
            <color indexed="81"/>
            <rFont val="Tahoma"/>
            <family val="2"/>
          </rPr>
          <t>2023/09/01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3" authorId="0" shapeId="0" xr:uid="{00000000-0006-0000-0100-0000DF000000}">
      <text>
        <r>
          <rPr>
            <b/>
            <sz val="10"/>
            <color indexed="81"/>
            <rFont val="Tahoma"/>
            <family val="2"/>
          </rPr>
          <t>2024/11/08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 xml:space="preserve">庫存
</t>
        </r>
        <r>
          <rPr>
            <b/>
            <sz val="10"/>
            <color indexed="81"/>
            <rFont val="Tahoma"/>
            <family val="2"/>
          </rPr>
          <t>2025/01/14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(24)
2025/03/10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34" authorId="0" shapeId="0" xr:uid="{00000000-0006-0000-0100-0000E0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 2-1-2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2-1-2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2024/12/16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5" authorId="0" shapeId="0" xr:uid="{00000000-0006-0000-0100-0000E1000000}">
      <text>
        <r>
          <rPr>
            <b/>
            <sz val="10"/>
            <color indexed="81"/>
            <rFont val="Tahoma"/>
            <family val="2"/>
          </rPr>
          <t>2024/11/13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(25)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2024/11/26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(19)
2024/12/05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2024/12/16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2025/02/13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2025/02/13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(5) 2-2-1</t>
        </r>
        <r>
          <rPr>
            <b/>
            <sz val="10"/>
            <color indexed="81"/>
            <rFont val="細明體"/>
            <family val="3"/>
            <charset val="136"/>
          </rPr>
          <t>後→</t>
        </r>
        <r>
          <rPr>
            <b/>
            <sz val="10"/>
            <color indexed="81"/>
            <rFont val="Tahoma"/>
            <family val="2"/>
          </rPr>
          <t>A3-5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36" authorId="0" shapeId="0" xr:uid="{00000000-0006-0000-0100-0000E2000000}">
      <text>
        <r>
          <rPr>
            <b/>
            <sz val="9"/>
            <color indexed="81"/>
            <rFont val="Tahoma"/>
            <family val="2"/>
          </rPr>
          <t>2022/09/12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2024/05/28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2025/02/18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確認沉頭孔是否有偏；共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只有偏，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 xml:space="preserve">只與客退替換
</t>
        </r>
        <r>
          <rPr>
            <b/>
            <sz val="9"/>
            <color indexed="81"/>
            <rFont val="Tahoma"/>
            <family val="2"/>
          </rPr>
          <t>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7" authorId="0" shapeId="0" xr:uid="{00000000-0006-0000-0100-0000E3000000}">
      <text>
        <r>
          <rPr>
            <b/>
            <sz val="10"/>
            <color indexed="81"/>
            <rFont val="Tahoma"/>
            <family val="2"/>
          </rPr>
          <t>2024/11/13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2024/11/15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(27)
2024/12/16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2025/02/03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2025/02/24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2025/02/27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2025/05/12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38" authorId="0" shapeId="0" xr:uid="{00000000-0006-0000-0100-0000E4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2024/06/05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2024/07/30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2024/08/19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9" authorId="0" shapeId="0" xr:uid="{00000000-0006-0000-0100-0000E5000000}">
      <text>
        <r>
          <rPr>
            <b/>
            <sz val="9"/>
            <color indexed="81"/>
            <rFont val="Tahoma"/>
            <family val="2"/>
          </rPr>
          <t>2022/06/17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2023/11/23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2023/12/28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2024/03/07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40" authorId="0" shapeId="0" xr:uid="{00000000-0006-0000-0100-0000E6000000}">
      <text>
        <r>
          <rPr>
            <b/>
            <sz val="9"/>
            <color indexed="81"/>
            <rFont val="Tahoma"/>
            <family val="2"/>
          </rPr>
          <t>2024/04/01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41" authorId="0" shapeId="0" xr:uid="{00000000-0006-0000-0100-0000E7000000}">
      <text>
        <r>
          <rPr>
            <b/>
            <sz val="9"/>
            <color indexed="81"/>
            <rFont val="Tahoma"/>
            <family val="2"/>
          </rPr>
          <t>2025/01/07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2025/06/04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42" authorId="0" shapeId="0" xr:uid="{00000000-0006-0000-0100-0000E8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43" authorId="0" shapeId="0" xr:uid="{00000000-0006-0000-0100-0000E9000000}">
      <text>
        <r>
          <rPr>
            <b/>
            <sz val="9"/>
            <color indexed="81"/>
            <rFont val="Tahoma"/>
            <family val="2"/>
          </rPr>
          <t>2022/04/12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2023/02/01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2025/06/04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44" authorId="0" shapeId="0" xr:uid="{00000000-0006-0000-0100-0000EA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2024/08/29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2025/06/10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領出確認孔位</t>
        </r>
      </text>
    </comment>
    <comment ref="E245" authorId="0" shapeId="0" xr:uid="{00000000-0006-0000-0100-0000EB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(22) 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2025/04/01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2025/06/12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46" authorId="0" shapeId="0" xr:uid="{00000000-0006-0000-0100-0000EC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2025/06/12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47" authorId="0" shapeId="0" xr:uid="{00000000-0006-0000-0100-0000ED000000}">
      <text>
        <r>
          <rPr>
            <b/>
            <sz val="10"/>
            <color indexed="81"/>
            <rFont val="Tahoma"/>
            <family val="2"/>
          </rPr>
          <t>2024/11/08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 xml:space="preserve">庫存
</t>
        </r>
        <r>
          <rPr>
            <b/>
            <sz val="10"/>
            <color indexed="81"/>
            <rFont val="Tahoma"/>
            <family val="2"/>
          </rPr>
          <t>2025/01/14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(24)
2025/03/10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遺失尋回</t>
        </r>
        <r>
          <rPr>
            <b/>
            <sz val="10"/>
            <color indexed="81"/>
            <rFont val="Tahoma"/>
            <family val="2"/>
          </rPr>
          <t>(1)
2025/04/23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2025/09/01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(0)
</t>
        </r>
      </text>
    </comment>
    <comment ref="E248" authorId="0" shapeId="0" xr:uid="{00000000-0006-0000-0100-0000EE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2025/04/15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 2-1-1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A3-1
2025/10/08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 2-1-1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49" authorId="0" shapeId="0" xr:uid="{00000000-0006-0000-0100-0000EF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(50)
2025/02/24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(48)
2025/03/10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(38)
2025/04/08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(28)
2025/06/24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(23)
2025/07/31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(3)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2025/08/19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(18)
2025/08/20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(10)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2025/09/01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2025/10/05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2025/10/23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50" authorId="0" shapeId="0" xr:uid="{00000000-0006-0000-0100-0000F0000000}">
      <text>
        <r>
          <rPr>
            <b/>
            <sz val="9"/>
            <color indexed="81"/>
            <rFont val="Tahoma"/>
            <family val="2"/>
          </rPr>
          <t>2024/02/29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2025/03/04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(57)</t>
        </r>
        <r>
          <rPr>
            <b/>
            <sz val="9"/>
            <color indexed="81"/>
            <rFont val="細明體"/>
            <family val="3"/>
            <charset val="136"/>
          </rPr>
          <t xml:space="preserve">合併另一箱
</t>
        </r>
        <r>
          <rPr>
            <b/>
            <sz val="9"/>
            <color indexed="81"/>
            <rFont val="Tahoma"/>
            <family val="2"/>
          </rPr>
          <t>2025/03/14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(47)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(37)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2PCS
2025/06/24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2025/07/02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
2025/07/31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2025/08/19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2025/08/20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2025/09/01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2025/09/08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(6)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51" authorId="0" shapeId="0" xr:uid="{00000000-0006-0000-0100-0000F1000000}">
      <text>
        <r>
          <rPr>
            <b/>
            <sz val="9"/>
            <color indexed="81"/>
            <rFont val="Tahoma"/>
            <family val="2"/>
          </rPr>
          <t>2023/12/26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2024/12/05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52" authorId="0" shapeId="0" xr:uid="{00000000-0006-0000-0100-0000F2000000}">
      <text>
        <r>
          <rPr>
            <b/>
            <sz val="9"/>
            <color indexed="81"/>
            <rFont val="Tahoma"/>
            <family val="2"/>
          </rPr>
          <t>2021/03/11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2021/06/24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2021/08/23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2024/11/11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A2-4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(2)
2024/11/25 A2-4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53" authorId="0" shapeId="0" xr:uid="{00000000-0006-0000-0100-0000F3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(28)
2024/09/30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(27)
2025/02/13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2025/02/27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2025/03/14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2025/06/24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2025/07/31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  <r>
          <rPr>
            <b/>
            <sz val="10"/>
            <color indexed="81"/>
            <rFont val="細明體"/>
            <family val="3"/>
            <charset val="136"/>
          </rPr>
          <t xml:space="preserve">
</t>
        </r>
        <r>
          <rPr>
            <b/>
            <sz val="10"/>
            <color indexed="81"/>
            <rFont val="Tahoma"/>
            <family val="2"/>
          </rPr>
          <t>2025/10/08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2025/10/23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2025/12/09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遺失</t>
        </r>
        <r>
          <rPr>
            <b/>
            <sz val="10"/>
            <color indexed="81"/>
            <rFont val="Tahoma"/>
            <family val="2"/>
          </rPr>
          <t>1PC</t>
        </r>
      </text>
    </comment>
    <comment ref="E254" authorId="0" shapeId="0" xr:uid="{00000000-0006-0000-0100-0000F4000000}">
      <text>
        <r>
          <rPr>
            <b/>
            <sz val="10"/>
            <color indexed="81"/>
            <rFont val="Tahoma"/>
            <family val="2"/>
          </rPr>
          <t>2025/02/10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(27)
2025/02/27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(13)
2025/06/12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2025/06/26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55" authorId="0" shapeId="0" xr:uid="{00000000-0006-0000-0100-0000F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 
201/11/22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2-3-1(2)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(2)2-3-1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2026/01/14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56" authorId="0" shapeId="0" xr:uid="{00000000-0006-0000-0100-0000F6000000}">
      <text>
        <r>
          <rPr>
            <b/>
            <sz val="9"/>
            <color indexed="81"/>
            <rFont val="Tahoma"/>
            <family val="2"/>
          </rPr>
          <t>2022/08/19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2024/08/28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2025/02/06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2025/04/18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2025/12/23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2026/01/05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2026/01/05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2026/01/26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57" authorId="0" shapeId="0" xr:uid="{00000000-0006-0000-0100-0000F7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58" authorId="0" shapeId="0" xr:uid="{00000000-0006-0000-0100-0000F8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59" authorId="0" shapeId="0" xr:uid="{00000000-0006-0000-0100-0000F9000000}">
      <text>
        <r>
          <rPr>
            <b/>
            <sz val="10"/>
            <color indexed="81"/>
            <rFont val="Tahoma"/>
            <family val="2"/>
          </rPr>
          <t>2026/01/14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2026/01/14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0" authorId="0" shapeId="0" xr:uid="{00000000-0006-0000-0100-0000FA000000}">
      <text>
        <r>
          <rPr>
            <b/>
            <sz val="9"/>
            <color indexed="81"/>
            <rFont val="Tahoma"/>
            <family val="2"/>
          </rPr>
          <t>2021/03/26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A2-2(3)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A3-6(3)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61" authorId="0" shapeId="0" xr:uid="{00000000-0006-0000-0100-0000FB000000}">
      <text>
        <r>
          <rPr>
            <b/>
            <sz val="9"/>
            <color indexed="81"/>
            <rFont val="Tahoma"/>
            <family val="2"/>
          </rPr>
          <t>2022/08/15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2023/05/25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2023/06/19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2023/08/21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2023/12/28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</t>
        </r>
        <r>
          <rPr>
            <b/>
            <sz val="9"/>
            <color indexed="81"/>
            <rFont val="細明體"/>
            <family val="3"/>
            <charset val="136"/>
          </rPr>
          <t xml:space="preserve">文俐領
</t>
        </r>
        <r>
          <rPr>
            <b/>
            <sz val="9"/>
            <color indexed="81"/>
            <rFont val="Tahoma"/>
            <family val="2"/>
          </rPr>
          <t>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2024/11/08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(11) 2-2-2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A2-3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2025/04/23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2025/08/12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2025/09/01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62" authorId="0" shapeId="0" xr:uid="{00000000-0006-0000-0100-0000FC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2025/07/21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2025/07/31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  <r>
          <rPr>
            <b/>
            <sz val="9"/>
            <color indexed="81"/>
            <rFont val="Tahoma"/>
            <family val="2"/>
          </rPr>
          <t>2026/02/04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63" authorId="0" shapeId="0" xr:uid="{00000000-0006-0000-0100-0000FD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2026/02/24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4" authorId="0" shapeId="0" xr:uid="{00000000-0006-0000-0100-0000FE000000}">
      <text>
        <r>
          <rPr>
            <b/>
            <sz val="10"/>
            <color indexed="81"/>
            <rFont val="Tahoma"/>
            <family val="2"/>
          </rPr>
          <t xml:space="preserve">2025/03/26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(25)
2025/10/23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(20)
2026/01/28 </t>
        </r>
        <r>
          <rPr>
            <b/>
            <sz val="10"/>
            <color indexed="81"/>
            <rFont val="細明體"/>
            <family val="3"/>
            <charset val="136"/>
          </rPr>
          <t>除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 xml:space="preserve">除帳未扣到帳
</t>
        </r>
        <r>
          <rPr>
            <b/>
            <sz val="10"/>
            <color indexed="81"/>
            <rFont val="Tahoma"/>
            <family val="2"/>
          </rPr>
          <t xml:space="preserve">2026/01/28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(3)
2026/01/28 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(3)2-3-2</t>
        </r>
        <r>
          <rPr>
            <b/>
            <sz val="10"/>
            <color indexed="81"/>
            <rFont val="細明體"/>
            <family val="3"/>
            <charset val="136"/>
          </rPr>
          <t>前→</t>
        </r>
        <r>
          <rPr>
            <b/>
            <sz val="10"/>
            <color indexed="81"/>
            <rFont val="Tahoma"/>
            <family val="2"/>
          </rPr>
          <t>2-1-2</t>
        </r>
        <r>
          <rPr>
            <b/>
            <sz val="10"/>
            <color indexed="81"/>
            <rFont val="細明體"/>
            <family val="3"/>
            <charset val="136"/>
          </rPr>
          <t>前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(3)
2026/02/24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5" authorId="0" shapeId="0" xr:uid="{00000000-0006-0000-0100-0000FF000000}">
      <text>
        <r>
          <rPr>
            <b/>
            <sz val="9"/>
            <color indexed="81"/>
            <rFont val="Tahoma"/>
            <family val="2"/>
          </rPr>
          <t>2023/07/13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2025/02/20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2025/04/08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2025/04/15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2025/06/24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2025/07/21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2025/08/12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2025/08/26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2026/01/15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</t>
        </r>
        <r>
          <rPr>
            <b/>
            <sz val="9"/>
            <color indexed="81"/>
            <rFont val="細明體"/>
            <family val="3"/>
            <charset val="136"/>
          </rPr>
          <t>一廠架</t>
        </r>
        <r>
          <rPr>
            <b/>
            <sz val="9"/>
            <color indexed="81"/>
            <rFont val="Tahoma"/>
            <family val="2"/>
          </rPr>
          <t>3-1-1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 KX500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棧板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(9)
2026/02/24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(6)
IS1150206002*2+IS1150206002*2+IS1150206002*1
2026/03/11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66" authorId="0" shapeId="0" xr:uid="{00000000-0006-0000-0100-000000010000}">
      <text>
        <r>
          <rPr>
            <b/>
            <sz val="10"/>
            <color indexed="81"/>
            <rFont val="Tahoma"/>
            <family val="2"/>
          </rPr>
          <t xml:space="preserve">2026/01/15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2026/03/11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7" authorId="0" shapeId="0" xr:uid="{00000000-0006-0000-0100-000001010000}">
      <text>
        <r>
          <rPr>
            <b/>
            <sz val="10"/>
            <color indexed="81"/>
            <rFont val="Tahoma"/>
            <family val="2"/>
          </rPr>
          <t>2024/08/21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(29)</t>
        </r>
        <r>
          <rPr>
            <b/>
            <sz val="10"/>
            <color indexed="81"/>
            <rFont val="細明體"/>
            <family val="3"/>
            <charset val="136"/>
          </rPr>
          <t>棧</t>
        </r>
        <r>
          <rPr>
            <b/>
            <sz val="10"/>
            <color indexed="81"/>
            <rFont val="Tahoma"/>
            <family val="2"/>
          </rPr>
          <t>2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4-1-1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2025/03/10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(22)
2025/07/31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
2025/08/19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2025/10/08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(19)
2025/10/23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2025/11/25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2026/01/06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2026/01/05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2026/01/08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2026/03/11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8" authorId="0" shapeId="0" xr:uid="{00000000-0006-0000-0100-000002010000}">
      <text>
        <r>
          <rPr>
            <b/>
            <sz val="10"/>
            <color indexed="81"/>
            <rFont val="Tahoma"/>
            <family val="2"/>
          </rPr>
          <t xml:space="preserve">2026/01/28 </t>
        </r>
        <r>
          <rPr>
            <b/>
            <sz val="10"/>
            <color indexed="81"/>
            <rFont val="細明體"/>
            <family val="3"/>
            <charset val="136"/>
          </rPr>
          <t>尋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2026/03/11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2026/03/11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69" authorId="0" shapeId="0" xr:uid="{00000000-0006-0000-0100-000003010000}">
      <text>
        <r>
          <rPr>
            <b/>
            <sz val="10"/>
            <color indexed="81"/>
            <rFont val="Tahoma"/>
            <family val="2"/>
          </rPr>
          <t>2025/01/16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
2025/02/26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2025/02/27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2025/02/27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(3) 2-1-2</t>
        </r>
        <r>
          <rPr>
            <b/>
            <sz val="10"/>
            <color indexed="81"/>
            <rFont val="細明體"/>
            <family val="3"/>
            <charset val="136"/>
          </rPr>
          <t>後→</t>
        </r>
        <r>
          <rPr>
            <b/>
            <sz val="10"/>
            <color indexed="81"/>
            <rFont val="Tahoma"/>
            <family val="2"/>
          </rPr>
          <t xml:space="preserve">B3-5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2026/03/27</t>
        </r>
        <r>
          <rPr>
            <b/>
            <sz val="10"/>
            <color indexed="81"/>
            <rFont val="細明體"/>
            <family val="3"/>
            <charset val="136"/>
          </rPr>
          <t>遺失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70" authorId="0" shapeId="0" xr:uid="{00000000-0006-0000-0100-00000401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2024/12/26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2025/09/30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2025/11/25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2026/01/14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2026/01/14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2026/03/27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(0)
</t>
        </r>
      </text>
    </comment>
    <comment ref="E271" authorId="0" shapeId="0" xr:uid="{00000000-0006-0000-0100-00000501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2026/01/29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(6)
2026/02/24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(3)
2026/03/27 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272" authorId="0" shapeId="0" xr:uid="{00000000-0006-0000-0100-00000601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J2" authorId="0" shapeId="0" xr:uid="{00000000-0006-0000-0200-000001000000}">
      <text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3-2-2</t>
        </r>
        <r>
          <rPr>
            <b/>
            <sz val="10"/>
            <color indexed="81"/>
            <rFont val="細明體"/>
            <family val="3"/>
            <charset val="136"/>
          </rPr>
          <t>後→</t>
        </r>
        <r>
          <rPr>
            <b/>
            <sz val="10"/>
            <color indexed="81"/>
            <rFont val="Tahoma"/>
            <family val="2"/>
          </rPr>
          <t xml:space="preserve">3-3-1
</t>
        </r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2-4-1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3-4-2
</t>
        </r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3-1-2</t>
        </r>
        <r>
          <rPr>
            <b/>
            <sz val="10"/>
            <color indexed="81"/>
            <rFont val="細明體"/>
            <family val="3"/>
            <charset val="136"/>
          </rPr>
          <t>前後→</t>
        </r>
        <r>
          <rPr>
            <b/>
            <sz val="10"/>
            <color indexed="81"/>
            <rFont val="Tahoma"/>
            <family val="2"/>
          </rPr>
          <t xml:space="preserve">3-4-1
</t>
        </r>
      </text>
    </comment>
    <comment ref="M2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200-000003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(150)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2025/02/10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(100)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5" authorId="0" shapeId="0" xr:uid="{00000000-0006-0000-0200-000004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(299)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(250)</t>
        </r>
      </text>
    </comment>
    <comment ref="E6" authorId="0" shapeId="0" xr:uid="{00000000-0006-0000-0200-000005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(150)
2024/08/20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(142)
2024/09/09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(142) </t>
        </r>
        <r>
          <rPr>
            <b/>
            <sz val="10"/>
            <color indexed="81"/>
            <rFont val="細明體"/>
            <family val="3"/>
            <charset val="136"/>
          </rPr>
          <t>二廠走道→</t>
        </r>
        <r>
          <rPr>
            <b/>
            <sz val="10"/>
            <color indexed="81"/>
            <rFont val="Tahoma"/>
            <family val="2"/>
          </rPr>
          <t xml:space="preserve">2-4-2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(142)</t>
        </r>
      </text>
    </comment>
    <comment ref="E7" authorId="0" shapeId="0" xr:uid="{00000000-0006-0000-0200-000006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(150)
2024/08/20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(126)
2024/09/09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(126) </t>
        </r>
        <r>
          <rPr>
            <b/>
            <sz val="10"/>
            <color indexed="81"/>
            <rFont val="細明體"/>
            <family val="3"/>
            <charset val="136"/>
          </rPr>
          <t>二廠走道→</t>
        </r>
        <r>
          <rPr>
            <b/>
            <sz val="10"/>
            <color indexed="81"/>
            <rFont val="Tahoma"/>
            <family val="2"/>
          </rPr>
          <t xml:space="preserve">2-4-2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(126)</t>
        </r>
      </text>
    </comment>
    <comment ref="E8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(275)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(252)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(202)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(202)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(202)</t>
        </r>
      </text>
    </comment>
    <comment ref="E9" authorId="0" shapeId="0" xr:uid="{00000000-0006-0000-0200-000008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10" authorId="0" shapeId="0" xr:uid="{00000000-0006-0000-0200-000009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11" authorId="0" shapeId="0" xr:uid="{00000000-0006-0000-0200-00000A000000}">
      <text>
        <r>
          <rPr>
            <b/>
            <sz val="10"/>
            <color indexed="81"/>
            <rFont val="Tahoma"/>
            <family val="2"/>
          </rPr>
          <t>2025/01/16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(98)
2025/12/02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(68)
2026/01/06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(38)</t>
        </r>
      </text>
    </comment>
    <comment ref="E12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 xml:space="preserve">2026/01/14 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(15)
</t>
        </r>
      </text>
    </comment>
    <comment ref="E13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2026/01/14 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(85)
</t>
        </r>
      </text>
    </comment>
    <comment ref="E14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2024/02/02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2024/09/06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3-1-2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2025/10/31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2024/05/16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2024/09/06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3-1-2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6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2024/09/06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3-1-2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7" authorId="0" shapeId="0" xr:uid="{00000000-0006-0000-0200-000010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2024/11/26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18" authorId="0" shapeId="0" xr:uid="{00000000-0006-0000-0200-000011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(31)
2024/11/26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</t>
        </r>
      </text>
    </comment>
    <comment ref="E19" authorId="0" shapeId="0" xr:uid="{00000000-0006-0000-0200-000012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(121)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(121)</t>
        </r>
      </text>
    </comment>
    <comment ref="E20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2024/04/01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2024/09/27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(10)3-3-2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21" authorId="0" shapeId="0" xr:uid="{00000000-0006-0000-0200-000014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22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2019/08/12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</t>
        </r>
      </text>
    </comment>
    <comment ref="E23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2022/06/17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(200)</t>
        </r>
      </text>
    </comment>
    <comment ref="E24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5" authorId="0" shapeId="0" xr:uid="{00000000-0006-0000-0200-00001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2019/08/12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(20)
2020/04/20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2024/10/15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工件遺失</t>
        </r>
        <r>
          <rPr>
            <b/>
            <sz val="9"/>
            <color indexed="81"/>
            <rFont val="Tahoma"/>
            <family val="2"/>
          </rPr>
          <t xml:space="preserve">
2025/01/09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  <r>
          <rPr>
            <b/>
            <sz val="9"/>
            <color indexed="81"/>
            <rFont val="細明體"/>
            <family val="3"/>
            <charset val="136"/>
          </rPr>
          <t>遺失尋回</t>
        </r>
      </text>
    </comment>
    <comment ref="E26" authorId="0" shapeId="0" xr:uid="{00000000-0006-0000-0200-000019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(200)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(100)</t>
        </r>
      </text>
    </comment>
    <comment ref="E2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2024/08/05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28" authorId="0" shapeId="0" xr:uid="{00000000-0006-0000-0200-00001B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29" authorId="0" shapeId="0" xr:uid="{00000000-0006-0000-0200-00001C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(45)
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(45)
2025/08/07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(40)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0" authorId="0" shapeId="0" xr:uid="{00000000-0006-0000-0200-00001D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1" authorId="0" shapeId="0" xr:uid="{00000000-0006-0000-0200-00001E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</t>
        </r>
      </text>
    </comment>
    <comment ref="E3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2023/01/11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3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(105)
2024/06/20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(75)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2024/09/26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1pc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(4)4-1-1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3-2-1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34" authorId="0" shapeId="0" xr:uid="{00000000-0006-0000-0200-000021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35" authorId="0" shapeId="0" xr:uid="{00000000-0006-0000-0200-000022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6" authorId="0" shapeId="0" xr:uid="{00000000-0006-0000-0200-000023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</t>
        </r>
      </text>
    </comment>
    <comment ref="E37" authorId="0" shapeId="0" xr:uid="{00000000-0006-0000-0200-000024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38" authorId="0" shapeId="0" xr:uid="{00000000-0006-0000-0200-000025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</t>
        </r>
      </text>
    </comment>
    <comment ref="E39" authorId="0" shapeId="0" xr:uid="{00000000-0006-0000-0200-000026000000}">
      <text>
        <r>
          <rPr>
            <b/>
            <sz val="10"/>
            <color indexed="81"/>
            <rFont val="Tahoma"/>
            <family val="2"/>
          </rPr>
          <t>2025/01/16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40" authorId="0" shapeId="0" xr:uid="{00000000-0006-0000-0200-000027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41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2022/04/08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(150)</t>
        </r>
        <r>
          <rPr>
            <b/>
            <sz val="9"/>
            <color indexed="81"/>
            <rFont val="細明體"/>
            <family val="3"/>
            <charset val="136"/>
          </rPr>
          <t>合併計算</t>
        </r>
        <r>
          <rPr>
            <b/>
            <sz val="9"/>
            <color indexed="81"/>
            <rFont val="Tahoma"/>
            <family val="2"/>
          </rPr>
          <t xml:space="preserve">
2022/07/05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</t>
        </r>
      </text>
    </comment>
    <comment ref="E42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2023/01/11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3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2023/01/11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4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2020/03/01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(3)-B2-5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45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(1)-B2-4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46" authorId="0" shapeId="0" xr:uid="{00000000-0006-0000-0200-00002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(158)
2020/02/27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(94)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(94)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(94)
2020/05/20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(52)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(52)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(1)-B3-1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47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(4)-B3-2-</t>
        </r>
        <r>
          <rPr>
            <b/>
            <sz val="9"/>
            <color indexed="81"/>
            <rFont val="細明體"/>
            <family val="3"/>
            <charset val="136"/>
          </rPr>
          <t>箱→儲位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48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(1)-B3-2-</t>
        </r>
        <r>
          <rPr>
            <b/>
            <sz val="9"/>
            <color indexed="81"/>
            <rFont val="細明體"/>
            <family val="3"/>
            <charset val="136"/>
          </rPr>
          <t>箱→儲位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49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2020/9/23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(5)-B3-2-</t>
        </r>
        <r>
          <rPr>
            <b/>
            <sz val="9"/>
            <color indexed="81"/>
            <rFont val="細明體"/>
            <family val="3"/>
            <charset val="136"/>
          </rPr>
          <t>箱→儲位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50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2020/08/05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(1)-B3-4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51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2020/07/27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(10)-B3-4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52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2024/04/18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53" authorId="0" shapeId="0" xr:uid="{00000000-0006-0000-0200-000034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54" authorId="0" shapeId="0" xr:uid="{00000000-0006-0000-0200-000035000000}">
      <text>
        <r>
          <rPr>
            <b/>
            <sz val="10"/>
            <color indexed="81"/>
            <rFont val="Tahoma"/>
            <family val="2"/>
          </rPr>
          <t>2024/11/13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56" authorId="0" shapeId="0" xr:uid="{00000000-0006-0000-0200-000036000000}">
      <text>
        <r>
          <rPr>
            <b/>
            <sz val="9"/>
            <color indexed="81"/>
            <rFont val="Tahoma"/>
            <family val="2"/>
          </rPr>
          <t>2022/08/01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2023/07/10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57" authorId="0" shapeId="0" xr:uid="{00000000-0006-0000-0200-000037000000}">
      <text>
        <r>
          <rPr>
            <b/>
            <sz val="9"/>
            <color indexed="81"/>
            <rFont val="Tahoma"/>
            <family val="2"/>
          </rPr>
          <t>2023/07/18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58" authorId="0" shapeId="0" xr:uid="{00000000-0006-0000-0200-000038000000}">
      <text>
        <r>
          <rPr>
            <b/>
            <sz val="9"/>
            <color indexed="81"/>
            <rFont val="Tahoma"/>
            <family val="2"/>
          </rPr>
          <t>2024/04/01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59" authorId="0" shapeId="0" xr:uid="{00000000-0006-0000-0200-000039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60" authorId="0" shapeId="0" xr:uid="{00000000-0006-0000-0200-00003A000000}">
      <text>
        <r>
          <rPr>
            <b/>
            <sz val="9"/>
            <color indexed="81"/>
            <rFont val="Tahoma"/>
            <family val="2"/>
          </rPr>
          <t>2022/09/02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(20)3-2-2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61" authorId="0" shapeId="0" xr:uid="{00000000-0006-0000-0200-00003B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62" authorId="0" shapeId="0" xr:uid="{00000000-0006-0000-0200-00003C000000}">
      <text>
        <r>
          <rPr>
            <b/>
            <sz val="9"/>
            <color indexed="81"/>
            <rFont val="Tahoma"/>
            <family val="2"/>
          </rPr>
          <t>2020/11/05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
2021/01/19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(60)3-2-2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</t>
        </r>
      </text>
    </comment>
    <comment ref="E63" authorId="0" shapeId="0" xr:uid="{00000000-0006-0000-0200-00003D000000}">
      <text>
        <r>
          <rPr>
            <b/>
            <sz val="9"/>
            <color indexed="81"/>
            <rFont val="Tahoma"/>
            <family val="2"/>
          </rPr>
          <t>2020/11/17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2020/11/19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 xml:space="preserve">重修
</t>
        </r>
        <r>
          <rPr>
            <b/>
            <sz val="9"/>
            <color indexed="81"/>
            <rFont val="Tahoma"/>
            <family val="2"/>
          </rPr>
          <t>2020/11/24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64" authorId="0" shapeId="0" xr:uid="{00000000-0006-0000-0200-00003E000000}">
      <text>
        <r>
          <rPr>
            <b/>
            <sz val="9"/>
            <color indexed="81"/>
            <rFont val="Tahoma"/>
            <family val="2"/>
          </rPr>
          <t>2020/11/13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65" authorId="0" shapeId="0" xr:uid="{00000000-0006-0000-0200-00003F000000}">
      <text>
        <r>
          <rPr>
            <b/>
            <sz val="9"/>
            <color indexed="81"/>
            <rFont val="Tahoma"/>
            <family val="2"/>
          </rPr>
          <t>2022/06/30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(199)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(199)3-2-2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(199)</t>
        </r>
      </text>
    </comment>
    <comment ref="E66" authorId="0" shapeId="0" xr:uid="{00000000-0006-0000-0200-000040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(80)3-2-2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(80)</t>
        </r>
      </text>
    </comment>
    <comment ref="E67" authorId="0" shapeId="0" xr:uid="{00000000-0006-0000-0200-000041000000}">
      <text>
        <r>
          <rPr>
            <b/>
            <sz val="9"/>
            <color indexed="81"/>
            <rFont val="Tahoma"/>
            <family val="2"/>
          </rPr>
          <t>2022/10/18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(23)3-1-2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</t>
        </r>
      </text>
    </comment>
    <comment ref="E68" authorId="0" shapeId="0" xr:uid="{00000000-0006-0000-0200-000042000000}">
      <text>
        <r>
          <rPr>
            <b/>
            <sz val="9"/>
            <color indexed="81"/>
            <rFont val="Tahoma"/>
            <family val="2"/>
          </rPr>
          <t>2023/01/07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(29)3-1-2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</t>
        </r>
      </text>
    </comment>
    <comment ref="E69" authorId="0" shapeId="0" xr:uid="{00000000-0006-0000-0200-000043000000}">
      <text>
        <r>
          <rPr>
            <b/>
            <sz val="9"/>
            <color indexed="81"/>
            <rFont val="Tahoma"/>
            <family val="2"/>
          </rPr>
          <t>2022/05/31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(498)
2022/07/05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(400)
2022/08/04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(300)
2024/09/27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(300)3-1-2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(300)</t>
        </r>
      </text>
    </comment>
    <comment ref="E70" authorId="0" shapeId="0" xr:uid="{00000000-0006-0000-0200-000044000000}">
      <text>
        <r>
          <rPr>
            <b/>
            <sz val="9"/>
            <color indexed="81"/>
            <rFont val="Tahoma"/>
            <family val="2"/>
          </rPr>
          <t>2021/11/04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2024/09/27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(100)3-1-2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</t>
        </r>
      </text>
    </comment>
    <comment ref="E71" authorId="0" shapeId="0" xr:uid="{00000000-0006-0000-0200-000045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(270)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(245)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(195)2-4-1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(195)</t>
        </r>
      </text>
    </comment>
    <comment ref="E72" authorId="0" shapeId="0" xr:uid="{00000000-0006-0000-0200-000046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(270)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(245)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(195)2-4-1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(195)</t>
        </r>
      </text>
    </comment>
    <comment ref="E73" authorId="0" shapeId="0" xr:uid="{00000000-0006-0000-0200-000047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(39)
2026/03/10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(18)</t>
        </r>
      </text>
    </comment>
    <comment ref="E74" authorId="0" shapeId="0" xr:uid="{00000000-0006-0000-0200-000048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
2022/08/30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(36)4-1-2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4-1-2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</t>
        </r>
      </text>
    </comment>
    <comment ref="E75" authorId="0" shapeId="0" xr:uid="{00000000-0006-0000-0200-000049000000}">
      <text>
        <r>
          <rPr>
            <b/>
            <sz val="9"/>
            <color indexed="81"/>
            <rFont val="Tahoma"/>
            <family val="2"/>
          </rPr>
          <t>2022/12/05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(300)
2024/03/28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(269)</t>
        </r>
        <r>
          <rPr>
            <b/>
            <sz val="9"/>
            <color indexed="81"/>
            <rFont val="細明體"/>
            <family val="3"/>
            <charset val="136"/>
          </rPr>
          <t xml:space="preserve">志方領
</t>
        </r>
        <r>
          <rPr>
            <b/>
            <sz val="9"/>
            <color indexed="81"/>
            <rFont val="Tahoma"/>
            <family val="2"/>
          </rPr>
          <t>2024/04/08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(268)
2024/05/06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(218)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(218)4-1-2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4-1-2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(218)
2024/10/18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(168)
2024/11/26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2025/04/30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</t>
        </r>
      </text>
    </comment>
    <comment ref="E76" authorId="0" shapeId="0" xr:uid="{00000000-0006-0000-0200-00004A000000}">
      <text>
        <r>
          <rPr>
            <b/>
            <sz val="9"/>
            <color indexed="81"/>
            <rFont val="Tahoma"/>
            <family val="2"/>
          </rPr>
          <t>2023/11/13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(1)4-1-2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4-1-2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7" authorId="0" shapeId="0" xr:uid="{00000000-0006-0000-0200-00004B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(295)</t>
        </r>
      </text>
    </comment>
    <comment ref="E78" authorId="0" shapeId="0" xr:uid="{00000000-0006-0000-0200-00004C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(29)
</t>
        </r>
      </text>
    </comment>
    <comment ref="E79" authorId="0" shapeId="0" xr:uid="{00000000-0006-0000-0200-00004D000000}">
      <text>
        <r>
          <rPr>
            <b/>
            <sz val="10"/>
            <color indexed="81"/>
            <rFont val="Tahoma"/>
            <family val="2"/>
          </rPr>
          <t>2024/11/13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</t>
        </r>
      </text>
    </comment>
    <comment ref="E80" authorId="0" shapeId="0" xr:uid="{00000000-0006-0000-0200-00004E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2025/02/18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2025/04/30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2025/04/30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A2-3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81" authorId="0" shapeId="0" xr:uid="{00000000-0006-0000-0200-00004F000000}">
      <text>
        <r>
          <rPr>
            <b/>
            <sz val="9"/>
            <color indexed="81"/>
            <rFont val="Tahoma"/>
            <family val="2"/>
          </rPr>
          <t>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1(1)</t>
        </r>
      </text>
    </comment>
    <comment ref="E82" authorId="0" shapeId="0" xr:uid="{00000000-0006-0000-0200-000050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1(1)</t>
        </r>
      </text>
    </comment>
    <comment ref="E83" authorId="0" shapeId="0" xr:uid="{00000000-0006-0000-0200-000051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1(1)</t>
        </r>
      </text>
    </comment>
    <comment ref="E84" authorId="0" shapeId="0" xr:uid="{00000000-0006-0000-0200-000052000000}">
      <text>
        <r>
          <rPr>
            <b/>
            <sz val="9"/>
            <color indexed="81"/>
            <rFont val="Tahoma"/>
            <family val="2"/>
          </rPr>
          <t>2020/03/18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1(15)</t>
        </r>
      </text>
    </comment>
    <comment ref="E85" authorId="0" shapeId="0" xr:uid="{00000000-0006-0000-0200-000053000000}">
      <text>
        <r>
          <rPr>
            <b/>
            <sz val="9"/>
            <color indexed="81"/>
            <rFont val="Tahoma"/>
            <family val="2"/>
          </rPr>
          <t>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1(12)</t>
        </r>
      </text>
    </comment>
    <comment ref="E86" authorId="0" shapeId="0" xr:uid="{00000000-0006-0000-0200-000054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B1-2(30)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1(30)</t>
        </r>
      </text>
    </comment>
    <comment ref="E87" authorId="0" shapeId="0" xr:uid="{00000000-0006-0000-0200-000055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B3-5(2)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1(2)</t>
        </r>
      </text>
    </comment>
    <comment ref="E88" authorId="0" shapeId="0" xr:uid="{00000000-0006-0000-0200-000056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(5)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B3-5(5)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1(5)</t>
        </r>
      </text>
    </comment>
    <comment ref="E89" authorId="0" shapeId="0" xr:uid="{00000000-0006-0000-0200-000057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B3-5(1)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1(1)</t>
        </r>
      </text>
    </comment>
    <comment ref="E90" authorId="0" shapeId="0" xr:uid="{00000000-0006-0000-0200-000058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(5)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B3-5(5)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1(5)</t>
        </r>
      </text>
    </comment>
    <comment ref="E91" authorId="0" shapeId="0" xr:uid="{00000000-0006-0000-0200-00005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2019/08/12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2020/04/20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(48)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B2-(48)</t>
        </r>
      </text>
    </comment>
    <comment ref="E92" authorId="0" shapeId="0" xr:uid="{00000000-0006-0000-0200-00005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(213)
2020/02/27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(135)
2020/05/20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(95)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(85)
2023/0915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B2-1(85)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(85)</t>
        </r>
      </text>
    </comment>
    <comment ref="E93" authorId="0" shapeId="0" xr:uid="{00000000-0006-0000-0200-00005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(790)
2020/02/27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(583)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(583)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(583)
2020/05/20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(463)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(443) 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>20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(443)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B2-4(443)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(443)</t>
        </r>
      </text>
    </comment>
    <comment ref="E94" authorId="0" shapeId="0" xr:uid="{00000000-0006-0000-0200-00005C000000}">
      <text>
        <r>
          <rPr>
            <b/>
            <sz val="9"/>
            <color indexed="81"/>
            <rFont val="Tahoma"/>
            <family val="2"/>
          </rPr>
          <t>2023/09/18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</text>
    </comment>
    <comment ref="E95" authorId="0" shapeId="0" xr:uid="{00000000-0006-0000-0200-00005D000000}">
      <text>
        <r>
          <rPr>
            <b/>
            <sz val="9"/>
            <color indexed="81"/>
            <rFont val="Tahoma"/>
            <family val="2"/>
          </rPr>
          <t>2019/8/15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B1-3(7)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96" authorId="0" shapeId="0" xr:uid="{00000000-0006-0000-0200-00005E000000}">
      <text>
        <r>
          <rPr>
            <b/>
            <sz val="9"/>
            <color indexed="81"/>
            <rFont val="Tahoma"/>
            <family val="2"/>
          </rPr>
          <t>2020/04/20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B1-3(12)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97" authorId="0" shapeId="0" xr:uid="{00000000-0006-0000-0200-00005F000000}">
      <text>
        <r>
          <rPr>
            <b/>
            <sz val="9"/>
            <color indexed="81"/>
            <rFont val="Tahoma"/>
            <family val="2"/>
          </rPr>
          <t>2019/08/09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2020/04/20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B1-3(4)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98" authorId="0" shapeId="0" xr:uid="{00000000-0006-0000-0200-000060000000}">
      <text>
        <r>
          <rPr>
            <b/>
            <sz val="9"/>
            <color indexed="81"/>
            <rFont val="Tahoma"/>
            <family val="2"/>
          </rPr>
          <t>2019/08/12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B1-2(9)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4B4-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(9)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2PC</t>
        </r>
      </text>
    </comment>
    <comment ref="E99" authorId="0" shapeId="0" xr:uid="{00000000-0006-0000-0200-000061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庫存(5</t>
        </r>
        <r>
          <rPr>
            <b/>
            <sz val="9"/>
            <color indexed="81"/>
            <rFont val="Tahoma"/>
            <family val="2"/>
          </rPr>
          <t>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B3-3(5)</t>
        </r>
      </text>
    </comment>
    <comment ref="E100" authorId="0" shapeId="0" xr:uid="{00000000-0006-0000-0200-000062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B3-3(1)</t>
        </r>
      </text>
    </comment>
    <comment ref="E101" authorId="0" shapeId="0" xr:uid="{00000000-0006-0000-0200-000063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B3-3(1)</t>
        </r>
      </text>
    </comment>
    <comment ref="E102" authorId="0" shapeId="0" xr:uid="{00000000-0006-0000-0200-000064000000}">
      <text>
        <r>
          <rPr>
            <b/>
            <sz val="9"/>
            <color indexed="81"/>
            <rFont val="Tahoma"/>
            <family val="2"/>
          </rPr>
          <t>2020/02/13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2020/02/13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 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B3-3(1)</t>
        </r>
      </text>
    </comment>
    <comment ref="E103" authorId="0" shapeId="0" xr:uid="{00000000-0006-0000-0200-000065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B3-3(1)</t>
        </r>
      </text>
    </comment>
    <comment ref="E104" authorId="0" shapeId="0" xr:uid="{00000000-0006-0000-0200-000066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B1-2(40)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B3-3(40)</t>
        </r>
      </text>
    </comment>
    <comment ref="E105" authorId="0" shapeId="0" xr:uid="{00000000-0006-0000-0200-00006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06" authorId="0" shapeId="0" xr:uid="{00000000-0006-0000-0200-000068000000}">
      <text>
        <r>
          <rPr>
            <b/>
            <sz val="9"/>
            <color indexed="81"/>
            <rFont val="Tahoma"/>
            <family val="2"/>
          </rPr>
          <t>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2020/09/25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B3-3(3)</t>
        </r>
      </text>
    </comment>
    <comment ref="E107" authorId="0" shapeId="0" xr:uid="{00000000-0006-0000-0200-000069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2023/09/18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B3-3(1)</t>
        </r>
      </text>
    </comment>
    <comment ref="B108" authorId="0" shapeId="0" xr:uid="{00000000-0006-0000-0200-00006A000000}">
      <text>
        <r>
          <rPr>
            <b/>
            <sz val="9"/>
            <color indexed="81"/>
            <rFont val="細明體"/>
            <family val="3"/>
            <charset val="136"/>
          </rPr>
          <t>E2090260140000工件與
料號不符</t>
        </r>
      </text>
    </comment>
    <comment ref="E108" authorId="0" shapeId="0" xr:uid="{00000000-0006-0000-0200-00006B000000}">
      <text>
        <r>
          <rPr>
            <b/>
            <sz val="9"/>
            <color indexed="81"/>
            <rFont val="Tahoma"/>
            <family val="2"/>
          </rPr>
          <t>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B2-1(10)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B3-4(10)
2023/12/01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與料號不符</t>
        </r>
        <r>
          <rPr>
            <b/>
            <sz val="9"/>
            <color indexed="81"/>
            <rFont val="Tahoma"/>
            <family val="2"/>
          </rPr>
          <t xml:space="preserve">
2023/12/11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重回庫存，待確認</t>
        </r>
      </text>
    </comment>
    <comment ref="E109" authorId="0" shapeId="0" xr:uid="{00000000-0006-0000-0200-00006C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(275)
2024/08/07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(252)</t>
        </r>
      </text>
    </comment>
    <comment ref="E110" authorId="0" shapeId="0" xr:uid="{00000000-0006-0000-0200-00006D000000}">
      <text>
        <r>
          <rPr>
            <b/>
            <sz val="9"/>
            <color indexed="81"/>
            <rFont val="Tahoma"/>
            <family val="2"/>
          </rPr>
          <t>2020/11/05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B2-6(1)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11" authorId="0" shapeId="0" xr:uid="{00000000-0006-0000-0200-00006E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12" authorId="0" shapeId="0" xr:uid="{00000000-0006-0000-0200-00006F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B4-2(2)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B3-4(2)</t>
        </r>
      </text>
    </comment>
    <comment ref="E113" authorId="0" shapeId="0" xr:uid="{00000000-0006-0000-0200-000070000000}">
      <text>
        <r>
          <rPr>
            <b/>
            <sz val="9"/>
            <color indexed="81"/>
            <rFont val="Tahoma"/>
            <family val="2"/>
          </rPr>
          <t>2020/03/20</t>
        </r>
        <r>
          <rPr>
            <b/>
            <sz val="9"/>
            <color indexed="81"/>
            <rFont val="細明體"/>
            <family val="3"/>
            <charset val="136"/>
          </rPr>
          <t>量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20208/03/23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B2-7(2)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B3-4(2)</t>
        </r>
      </text>
    </comment>
    <comment ref="E114" authorId="0" shapeId="0" xr:uid="{00000000-0006-0000-0200-000071000000}">
      <text>
        <r>
          <rPr>
            <b/>
            <sz val="9"/>
            <color indexed="81"/>
            <rFont val="Tahoma"/>
            <family val="2"/>
          </rPr>
          <t>2020/11/05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15" authorId="0" shapeId="0" xr:uid="{00000000-0006-0000-0200-000072000000}">
      <text>
        <r>
          <rPr>
            <b/>
            <sz val="9"/>
            <color indexed="81"/>
            <rFont val="Tahoma"/>
            <family val="2"/>
          </rPr>
          <t>2019/11/20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B2-7(2)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B3-4(2)</t>
        </r>
      </text>
    </comment>
    <comment ref="E116" authorId="0" shapeId="0" xr:uid="{00000000-0006-0000-0200-00007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7" authorId="0" shapeId="0" xr:uid="{00000000-0006-0000-0200-000074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B2-6(1)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18" authorId="0" shapeId="0" xr:uid="{00000000-0006-0000-0200-000075000000}">
      <text>
        <r>
          <rPr>
            <b/>
            <sz val="9"/>
            <color indexed="81"/>
            <rFont val="Tahoma"/>
            <family val="2"/>
          </rPr>
          <t>2020/03/15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B2-6(2)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B3-4(2)</t>
        </r>
      </text>
    </comment>
    <comment ref="E119" authorId="0" shapeId="0" xr:uid="{00000000-0006-0000-0200-00007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20" authorId="0" shapeId="0" xr:uid="{00000000-0006-0000-0200-00007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</t>
        </r>
      </text>
    </comment>
    <comment ref="E121" authorId="0" shapeId="0" xr:uid="{00000000-0006-0000-0200-000078000000}">
      <text>
        <r>
          <rPr>
            <b/>
            <sz val="10"/>
            <color indexed="81"/>
            <rFont val="Tahoma"/>
            <family val="2"/>
          </rPr>
          <t>2024/12/03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122" authorId="0" shapeId="0" xr:uid="{00000000-0006-0000-0200-000079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128" authorId="0" shapeId="0" xr:uid="{00000000-0006-0000-0200-00007A000000}">
      <text>
        <r>
          <rPr>
            <b/>
            <sz val="10"/>
            <color indexed="81"/>
            <rFont val="Tahoma"/>
            <family val="2"/>
          </rPr>
          <t>2024/10/01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(149)
2025/01/03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(81)
2025/02/18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29" authorId="0" shapeId="0" xr:uid="{00000000-0006-0000-0200-00007B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0" authorId="0" shapeId="0" xr:uid="{00000000-0006-0000-0200-00007C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喬惠自取</t>
        </r>
      </text>
    </comment>
    <comment ref="E131" authorId="0" shapeId="0" xr:uid="{00000000-0006-0000-0200-00007D000000}">
      <text>
        <r>
          <rPr>
            <b/>
            <sz val="9"/>
            <color indexed="81"/>
            <rFont val="Tahoma"/>
            <family val="2"/>
          </rPr>
          <t>2022/05/31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喬惠自取</t>
        </r>
      </text>
    </comment>
    <comment ref="E132" authorId="0" shapeId="0" xr:uid="{00000000-0006-0000-0200-00007E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(3)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2023/08/18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→儲位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大鐵架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2023/10/26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2025/04/30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33" authorId="0" shapeId="0" xr:uid="{00000000-0006-0000-0200-00007F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2025/04/30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34" authorId="0" shapeId="0" xr:uid="{00000000-0006-0000-0200-000080000000}">
      <text>
        <r>
          <rPr>
            <b/>
            <sz val="10"/>
            <color indexed="81"/>
            <rFont val="Tahoma"/>
            <family val="2"/>
          </rPr>
          <t>2024/10/14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(102)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(98)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(56)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
2025/06/04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(6)3-2-1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4-1-1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(198)</t>
        </r>
      </text>
    </comment>
    <comment ref="E135" authorId="0" shapeId="0" xr:uid="{00000000-0006-0000-0200-000081000000}">
      <text>
        <r>
          <rPr>
            <b/>
            <sz val="10"/>
            <color indexed="81"/>
            <rFont val="Tahoma"/>
            <family val="2"/>
          </rPr>
          <t>2024/10/01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(248)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(248)
2025/01/03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(180)
2025/02/18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(139)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(139)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(95)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(53)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6" authorId="0" shapeId="0" xr:uid="{00000000-0006-0000-0200-000082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(99)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(69)
2025/02/18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(49)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2025/06/25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7" authorId="0" shapeId="0" xr:uid="{00000000-0006-0000-0200-000083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2024/09/06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(40)3-1-2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3-1-2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2025/07/03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38" authorId="0" shapeId="0" xr:uid="{00000000-0006-0000-0200-000084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2024/09/06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(15)3-1-2</t>
        </r>
        <r>
          <rPr>
            <b/>
            <sz val="10"/>
            <color indexed="81"/>
            <rFont val="細明體"/>
            <family val="3"/>
            <charset val="136"/>
          </rPr>
          <t>後→</t>
        </r>
        <r>
          <rPr>
            <b/>
            <sz val="10"/>
            <color indexed="81"/>
            <rFont val="Tahoma"/>
            <family val="2"/>
          </rPr>
          <t xml:space="preserve">3-1-2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2025/04/30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(5)3-1-2</t>
        </r>
        <r>
          <rPr>
            <b/>
            <sz val="10"/>
            <color indexed="81"/>
            <rFont val="細明體"/>
            <family val="3"/>
            <charset val="136"/>
          </rPr>
          <t>前→</t>
        </r>
        <r>
          <rPr>
            <b/>
            <sz val="10"/>
            <color indexed="81"/>
            <rFont val="Tahoma"/>
            <family val="2"/>
          </rPr>
          <t xml:space="preserve">A2-3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9" authorId="0" shapeId="0" xr:uid="{00000000-0006-0000-0200-000085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0" authorId="0" shapeId="0" xr:uid="{00000000-0006-0000-0200-000086000000}">
      <text>
        <r>
          <rPr>
            <b/>
            <sz val="9"/>
            <color indexed="81"/>
            <rFont val="Tahoma"/>
            <family val="2"/>
          </rPr>
          <t>2024/02/02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2025/07/09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41" authorId="0" shapeId="0" xr:uid="{00000000-0006-0000-0200-00008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B3-3(1)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B3-4(1)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2" authorId="0" shapeId="0" xr:uid="{00000000-0006-0000-0200-000088000000}">
      <text>
        <r>
          <rPr>
            <b/>
            <sz val="9"/>
            <color indexed="81"/>
            <rFont val="Tahoma"/>
            <family val="2"/>
          </rPr>
          <t>2020/11/17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3" authorId="0" shapeId="0" xr:uid="{00000000-0006-0000-0200-000089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2025/04/30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2025/08/07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4" authorId="0" shapeId="0" xr:uid="{00000000-0006-0000-0200-00008A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(100)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(50)
2025/08/07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(50)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5" authorId="0" shapeId="0" xr:uid="{00000000-0006-0000-0200-00008B000000}">
      <text>
        <r>
          <rPr>
            <b/>
            <sz val="9"/>
            <color indexed="81"/>
            <rFont val="Tahoma"/>
            <family val="2"/>
          </rPr>
          <t xml:space="preserve">2023/12/26(3)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
2025/10/23(3)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6" authorId="0" shapeId="0" xr:uid="{00000000-0006-0000-0200-00008C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7" authorId="0" shapeId="0" xr:uid="{00000000-0006-0000-0200-00008D000000}">
      <text>
        <r>
          <rPr>
            <b/>
            <sz val="9"/>
            <color indexed="81"/>
            <rFont val="Tahoma"/>
            <family val="2"/>
          </rPr>
          <t>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2022/10/31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2025/10/31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8" authorId="0" shapeId="0" xr:uid="{00000000-0006-0000-0200-00008E000000}">
      <text>
        <r>
          <rPr>
            <b/>
            <sz val="10"/>
            <color indexed="81"/>
            <rFont val="Tahoma"/>
            <family val="2"/>
          </rPr>
          <t>2025/02/18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(192)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(192)
2025/06/04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(198)</t>
        </r>
        <r>
          <rPr>
            <b/>
            <sz val="10"/>
            <color indexed="81"/>
            <rFont val="細明體"/>
            <family val="3"/>
            <charset val="136"/>
          </rPr>
          <t>儲位轉移</t>
        </r>
        <r>
          <rPr>
            <b/>
            <sz val="10"/>
            <color indexed="81"/>
            <rFont val="Tahoma"/>
            <family val="2"/>
          </rPr>
          <t>3-2-1(6)
2025/07/24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(144)
2025/10/29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(71)
2025/12/02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D149" authorId="0" shapeId="0" xr:uid="{00000000-0006-0000-0200-00008F000000}">
      <text>
        <r>
          <rPr>
            <b/>
            <sz val="10"/>
            <color indexed="81"/>
            <rFont val="細明體"/>
            <family val="3"/>
            <charset val="136"/>
          </rPr>
          <t>實算</t>
        </r>
        <r>
          <rPr>
            <b/>
            <sz val="10"/>
            <color indexed="81"/>
            <rFont val="Tahoma"/>
            <family val="2"/>
          </rPr>
          <t>137</t>
        </r>
      </text>
    </comment>
    <comment ref="E149" authorId="0" shapeId="0" xr:uid="{00000000-0006-0000-0200-000090000000}">
      <text>
        <r>
          <rPr>
            <b/>
            <sz val="10"/>
            <color indexed="81"/>
            <rFont val="Tahoma"/>
            <family val="2"/>
          </rPr>
          <t>2025/02/18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(146)
2025/07/24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(96)
2025/10/29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(23)
2025/12/02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0" authorId="0" shapeId="0" xr:uid="{00000000-0006-0000-0200-000091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2025/12/02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1" authorId="0" shapeId="0" xr:uid="{00000000-0006-0000-0200-000092000000}">
      <text>
        <r>
          <rPr>
            <b/>
            <sz val="10"/>
            <color indexed="81"/>
            <rFont val="Tahoma"/>
            <family val="2"/>
          </rPr>
          <t>2025/02/18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(656)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(88)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(568)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(84)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(484)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(384)
2025/07/24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(278)
2025/10/29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(132)
2025/12/03</t>
        </r>
        <r>
          <rPr>
            <b/>
            <sz val="10"/>
            <color indexed="81"/>
            <rFont val="細明體"/>
            <family val="3"/>
            <charset val="136"/>
          </rPr>
          <t>尋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(142)
2025/12/03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2" authorId="0" shapeId="0" xr:uid="{00000000-0006-0000-0200-000093000000}">
      <text>
        <r>
          <rPr>
            <b/>
            <sz val="9"/>
            <color indexed="81"/>
            <rFont val="Tahoma"/>
            <family val="2"/>
          </rPr>
          <t>2022/04/12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2022/08/30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(19)3-2-2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2025/02/10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2026/01/06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53" authorId="0" shapeId="0" xr:uid="{00000000-0006-0000-0200-000094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2025/09/30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2026/01/06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4" authorId="0" shapeId="0" xr:uid="{00000000-0006-0000-0200-000095000000}">
      <text>
        <r>
          <rPr>
            <b/>
            <sz val="9"/>
            <color indexed="81"/>
            <rFont val="Tahoma"/>
            <family val="2"/>
          </rPr>
          <t>2024/02/02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2026/01/26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55" authorId="0" shapeId="0" xr:uid="{00000000-0006-0000-0200-000096000000}">
      <text>
        <r>
          <rPr>
            <b/>
            <sz val="10"/>
            <color indexed="81"/>
            <rFont val="Tahoma"/>
            <family val="2"/>
          </rPr>
          <t>2026/01/14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2026/01/28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6" authorId="0" shapeId="0" xr:uid="{00000000-0006-0000-0200-000097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2025/10/21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2026/01/08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7" authorId="0" shapeId="0" xr:uid="{00000000-0006-0000-0200-000098000000}">
      <text>
        <r>
          <rPr>
            <b/>
            <sz val="9"/>
            <color indexed="81"/>
            <rFont val="Tahoma"/>
            <family val="2"/>
          </rPr>
          <t>2024/04/18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(5)3-2-2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2026/01/29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58" authorId="0" shapeId="0" xr:uid="{00000000-0006-0000-0200-000099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(28)
2025/07/03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2026/03/04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9" authorId="0" shapeId="0" xr:uid="{00000000-0006-0000-0200-00009A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(39)
2026/02/25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2026/03/10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3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2019/10/22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2023/11/17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2024/03/13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四廠棧板</t>
        </r>
        <r>
          <rPr>
            <b/>
            <sz val="9"/>
            <color indexed="81"/>
            <rFont val="Tahoma"/>
            <family val="2"/>
          </rPr>
          <t>2(2)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>1-4-2(2)</t>
        </r>
      </text>
    </comment>
    <comment ref="O4" authorId="0" shapeId="0" xr:uid="{00000000-0006-0000-0300-000003000000}">
      <text>
        <r>
          <rPr>
            <b/>
            <sz val="10"/>
            <color indexed="81"/>
            <rFont val="Tahoma"/>
            <family val="2"/>
          </rPr>
          <t>9000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5" authorId="0" shapeId="0" xr:uid="{00000000-0006-0000-0300-000004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6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2023/09/22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2023/09/22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D8" authorId="0" shapeId="0" xr:uid="{00000000-0006-0000-0300-000007000000}">
      <text>
        <r>
          <rPr>
            <b/>
            <sz val="10"/>
            <color indexed="81"/>
            <rFont val="細明體"/>
            <family val="3"/>
            <charset val="136"/>
          </rPr>
          <t>版次：</t>
        </r>
        <r>
          <rPr>
            <b/>
            <sz val="10"/>
            <color indexed="81"/>
            <rFont val="Tahoma"/>
            <family val="2"/>
          </rPr>
          <t>0</t>
        </r>
      </text>
    </comment>
    <comment ref="E8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2023/09/22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J8" authorId="0" shapeId="0" xr:uid="{00000000-0006-0000-0300-000009000000}">
      <text>
        <r>
          <rPr>
            <b/>
            <sz val="10"/>
            <color indexed="81"/>
            <rFont val="Tahoma"/>
            <family val="2"/>
          </rPr>
          <t>'</t>
        </r>
        <r>
          <rPr>
            <b/>
            <sz val="10"/>
            <color indexed="81"/>
            <rFont val="細明體"/>
            <family val="3"/>
            <charset val="136"/>
          </rPr>
          <t>包裝日期：</t>
        </r>
        <r>
          <rPr>
            <b/>
            <sz val="10"/>
            <color indexed="81"/>
            <rFont val="Tahoma"/>
            <family val="2"/>
          </rPr>
          <t>7/13</t>
        </r>
      </text>
    </comment>
    <comment ref="E9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1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2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3" authorId="0" shapeId="0" xr:uid="{00000000-0006-0000-0300-00000E000000}">
      <text>
        <r>
          <rPr>
            <b/>
            <sz val="10"/>
            <color indexed="81"/>
            <rFont val="Tahoma"/>
            <family val="2"/>
          </rPr>
          <t>2025/01/16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B14" authorId="0" shapeId="0" xr:uid="{00000000-0006-0000-0300-00000F000000}">
      <text>
        <r>
          <rPr>
            <b/>
            <sz val="10"/>
            <color indexed="81"/>
            <rFont val="細明體"/>
            <family val="3"/>
            <charset val="136"/>
          </rPr>
          <t>舊料號：</t>
        </r>
        <r>
          <rPr>
            <b/>
            <sz val="10"/>
            <color indexed="81"/>
            <rFont val="Tahoma"/>
            <family val="2"/>
          </rPr>
          <t>T28M15D19-02</t>
        </r>
      </text>
    </comment>
    <comment ref="E14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2023/07/25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(100)
2026/02/09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(99)
2026/03/04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(89)</t>
        </r>
      </text>
    </comment>
    <comment ref="E15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2024/05/14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2024/07/26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16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2024/05/16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7" authorId="0" shapeId="0" xr:uid="{00000000-0006-0000-0300-000013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(33)</t>
        </r>
      </text>
    </comment>
    <comment ref="E18" authorId="0" shapeId="0" xr:uid="{00000000-0006-0000-0300-000014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(50)</t>
        </r>
      </text>
    </comment>
    <comment ref="E19" authorId="0" shapeId="0" xr:uid="{00000000-0006-0000-0300-000015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(52)</t>
        </r>
      </text>
    </comment>
    <comment ref="E20" authorId="0" shapeId="0" xr:uid="{00000000-0006-0000-0300-000016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(159)
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(99)</t>
        </r>
      </text>
    </comment>
    <comment ref="D21" authorId="0" shapeId="0" xr:uid="{00000000-0006-0000-0300-000017000000}">
      <text>
        <r>
          <rPr>
            <b/>
            <sz val="10"/>
            <color indexed="81"/>
            <rFont val="細明體"/>
            <family val="3"/>
            <charset val="136"/>
          </rPr>
          <t>版次：</t>
        </r>
        <r>
          <rPr>
            <b/>
            <sz val="10"/>
            <color indexed="81"/>
            <rFont val="Tahoma"/>
            <family val="2"/>
          </rPr>
          <t>0</t>
        </r>
      </text>
    </comment>
    <comment ref="E21" authorId="0" shapeId="0" xr:uid="{00000000-0006-0000-0300-000018000000}">
      <text>
        <r>
          <rPr>
            <b/>
            <sz val="9"/>
            <color indexed="81"/>
            <rFont val="Tahoma"/>
            <family val="2"/>
          </rPr>
          <t>2023/07/18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(87)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(87)4-1-2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4-1-2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(87)</t>
        </r>
      </text>
    </comment>
    <comment ref="E22" authorId="0" shapeId="0" xr:uid="{00000000-0006-0000-0300-000019000000}">
      <text>
        <r>
          <rPr>
            <b/>
            <sz val="9"/>
            <color indexed="81"/>
            <rFont val="Tahoma"/>
            <family val="2"/>
          </rPr>
          <t>2023/11/20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(30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)4-1-2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 xml:space="preserve">4-1-2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24" authorId="0" shapeId="0" xr:uid="{00000000-0006-0000-0300-00001A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
2024/09/18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(21)4-1-2</t>
        </r>
        <r>
          <rPr>
            <b/>
            <sz val="10"/>
            <color indexed="81"/>
            <rFont val="細明體"/>
            <family val="3"/>
            <charset val="136"/>
          </rPr>
          <t>後→</t>
        </r>
        <r>
          <rPr>
            <b/>
            <sz val="10"/>
            <color indexed="81"/>
            <rFont val="Tahoma"/>
            <family val="2"/>
          </rPr>
          <t xml:space="preserve">4-1-2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</t>
        </r>
      </text>
    </comment>
    <comment ref="E25" authorId="0" shapeId="0" xr:uid="{00000000-0006-0000-0300-00001B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26" authorId="0" shapeId="0" xr:uid="{00000000-0006-0000-0300-00001C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>(9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
2025/12/18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E28" authorId="0" shapeId="0" xr:uid="{00000000-0006-0000-0300-00001D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E29" authorId="0" shapeId="0" xr:uid="{00000000-0006-0000-0300-00001E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 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2025/07/01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2025/12/11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2026/03/17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2026/03/24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0" authorId="0" shapeId="0" xr:uid="{00000000-0006-0000-0300-00001F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</t>
        </r>
      </text>
    </comment>
    <comment ref="E31" authorId="0" shapeId="0" xr:uid="{00000000-0006-0000-0300-000020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(50)</t>
        </r>
      </text>
    </comment>
    <comment ref="E32" authorId="0" shapeId="0" xr:uid="{00000000-0006-0000-0300-000021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(47)</t>
        </r>
      </text>
    </comment>
    <comment ref="E33" authorId="0" shapeId="0" xr:uid="{00000000-0006-0000-0300-000022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(33)</t>
        </r>
      </text>
    </comment>
    <comment ref="E34" authorId="0" shapeId="0" xr:uid="{00000000-0006-0000-0300-000023000000}">
      <text>
        <r>
          <rPr>
            <b/>
            <sz val="9"/>
            <color indexed="81"/>
            <rFont val="Tahoma"/>
            <family val="2"/>
          </rPr>
          <t>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35" authorId="0" shapeId="0" xr:uid="{00000000-0006-0000-0300-000024000000}">
      <text>
        <r>
          <rPr>
            <b/>
            <sz val="9"/>
            <color indexed="81"/>
            <rFont val="Tahoma"/>
            <family val="2"/>
          </rPr>
          <t>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>分兩區放</t>
        </r>
        <r>
          <rPr>
            <b/>
            <sz val="9"/>
            <color indexed="81"/>
            <rFont val="Tahoma"/>
            <family val="2"/>
          </rPr>
          <t>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36" authorId="0" shapeId="0" xr:uid="{00000000-0006-0000-0300-000025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7" authorId="0" shapeId="0" xr:uid="{00000000-0006-0000-0300-000026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8" authorId="0" shapeId="0" xr:uid="{00000000-0006-0000-0300-000027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</t>
        </r>
      </text>
    </comment>
    <comment ref="E39" authorId="0" shapeId="0" xr:uid="{00000000-0006-0000-0300-000028000000}">
      <text>
        <r>
          <rPr>
            <b/>
            <sz val="9"/>
            <color indexed="81"/>
            <rFont val="Tahoma"/>
            <family val="2"/>
          </rPr>
          <t>2023/12/14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0" authorId="0" shapeId="0" xr:uid="{00000000-0006-0000-0300-000029000000}">
      <text>
        <r>
          <rPr>
            <b/>
            <sz val="9"/>
            <color indexed="81"/>
            <rFont val="Tahoma"/>
            <family val="2"/>
          </rPr>
          <t>2024/04/22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  <r>
          <rPr>
            <b/>
            <sz val="9"/>
            <color indexed="81"/>
            <rFont val="Tahoma"/>
            <family val="2"/>
          </rPr>
          <t>2025/10/20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41" authorId="0" shapeId="0" xr:uid="{00000000-0006-0000-0300-00002A000000}">
      <text>
        <r>
          <rPr>
            <b/>
            <sz val="9"/>
            <color indexed="81"/>
            <rFont val="Tahoma"/>
            <family val="2"/>
          </rPr>
          <t>2024/04/19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42" authorId="0" shapeId="0" xr:uid="{00000000-0006-0000-0300-00002B000000}">
      <text>
        <r>
          <rPr>
            <b/>
            <sz val="9"/>
            <color indexed="81"/>
            <rFont val="Tahoma"/>
            <family val="2"/>
          </rPr>
          <t>2023/06/17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3" authorId="0" shapeId="0" xr:uid="{00000000-0006-0000-0300-00002C000000}">
      <text>
        <r>
          <rPr>
            <b/>
            <sz val="9"/>
            <color indexed="81"/>
            <rFont val="Tahoma"/>
            <family val="2"/>
          </rPr>
          <t>2022/10/18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44" authorId="0" shapeId="0" xr:uid="{00000000-0006-0000-0300-00002D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</t>
        </r>
      </text>
    </comment>
    <comment ref="E45" authorId="0" shapeId="0" xr:uid="{00000000-0006-0000-0300-00002E000000}">
      <text>
        <r>
          <rPr>
            <b/>
            <sz val="9"/>
            <color indexed="81"/>
            <rFont val="Tahoma"/>
            <family val="2"/>
          </rPr>
          <t>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46" authorId="0" shapeId="0" xr:uid="{00000000-0006-0000-0300-00002F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47" authorId="0" shapeId="0" xr:uid="{00000000-0006-0000-0300-000030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48" authorId="0" shapeId="0" xr:uid="{00000000-0006-0000-0300-000031000000}">
      <text>
        <r>
          <rPr>
            <b/>
            <sz val="9"/>
            <color indexed="81"/>
            <rFont val="Tahoma"/>
            <family val="2"/>
          </rPr>
          <t>2022/06/10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D49" authorId="0" shapeId="0" xr:uid="{00000000-0006-0000-0300-000032000000}">
      <text>
        <r>
          <rPr>
            <b/>
            <sz val="10"/>
            <color indexed="81"/>
            <rFont val="細明體"/>
            <family val="3"/>
            <charset val="136"/>
          </rPr>
          <t>版次：</t>
        </r>
        <r>
          <rPr>
            <b/>
            <sz val="10"/>
            <color indexed="81"/>
            <rFont val="Tahoma"/>
            <family val="2"/>
          </rPr>
          <t>0</t>
        </r>
      </text>
    </comment>
    <comment ref="E49" authorId="0" shapeId="0" xr:uid="{00000000-0006-0000-0300-000033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</text>
    </comment>
    <comment ref="E50" authorId="0" shapeId="0" xr:uid="{00000000-0006-0000-0300-000034000000}">
      <text>
        <r>
          <rPr>
            <b/>
            <sz val="9"/>
            <color indexed="81"/>
            <rFont val="Tahoma"/>
            <family val="2"/>
          </rPr>
          <t>2023/11/13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51" authorId="0" shapeId="0" xr:uid="{00000000-0006-0000-0300-000035000000}">
      <text>
        <r>
          <rPr>
            <b/>
            <sz val="9"/>
            <color indexed="81"/>
            <rFont val="Tahoma"/>
            <family val="2"/>
          </rPr>
          <t>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</text>
    </comment>
    <comment ref="E52" authorId="0" shapeId="0" xr:uid="{00000000-0006-0000-0300-000036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3" authorId="0" shapeId="0" xr:uid="{00000000-0006-0000-0300-00003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C2-2(40)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4-2-1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(40)</t>
        </r>
      </text>
    </comment>
    <comment ref="O53" authorId="0" shapeId="0" xr:uid="{00000000-0006-0000-0300-000038000000}">
      <text>
        <r>
          <rPr>
            <b/>
            <sz val="10"/>
            <color indexed="81"/>
            <rFont val="Tahoma"/>
            <family val="2"/>
          </rPr>
          <t xml:space="preserve">890
</t>
        </r>
      </text>
    </comment>
    <comment ref="E54" authorId="0" shapeId="0" xr:uid="{00000000-0006-0000-0300-00003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2021/02/26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2022/04/18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2023/06/01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C2-2(23)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4-2-1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(23)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  <r>
          <rPr>
            <b/>
            <sz val="9"/>
            <color indexed="81"/>
            <rFont val="Tahoma"/>
            <family val="2"/>
          </rPr>
          <t>20PC</t>
        </r>
      </text>
    </comment>
    <comment ref="E55" authorId="0" shapeId="0" xr:uid="{00000000-0006-0000-0300-00003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2020/04/15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C2-2(21)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4-2-1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(21)</t>
        </r>
      </text>
    </comment>
    <comment ref="E56" authorId="0" shapeId="0" xr:uid="{00000000-0006-0000-0300-00003B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2025/12/11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57" authorId="0" shapeId="0" xr:uid="{00000000-0006-0000-0300-00003C000000}">
      <text>
        <r>
          <rPr>
            <b/>
            <sz val="9"/>
            <color indexed="81"/>
            <rFont val="Tahoma"/>
            <family val="2"/>
          </rPr>
          <t>2024/04/23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2025/11/07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E58" authorId="0" shapeId="0" xr:uid="{00000000-0006-0000-0300-00003D000000}">
      <text>
        <r>
          <rPr>
            <b/>
            <sz val="9"/>
            <color indexed="81"/>
            <rFont val="Tahoma"/>
            <family val="2"/>
          </rPr>
          <t>2022/06/14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2025/07/01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2025/07/10</t>
        </r>
        <r>
          <rPr>
            <b/>
            <sz val="9"/>
            <color indexed="81"/>
            <rFont val="細明體"/>
            <family val="3"/>
            <charset val="136"/>
          </rPr>
          <t>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齒厚有異，確認後需跨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齒，非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齒</t>
        </r>
      </text>
    </comment>
    <comment ref="E59" authorId="0" shapeId="0" xr:uid="{00000000-0006-0000-0300-00003E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2025/10/20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(13)</t>
        </r>
      </text>
    </comment>
    <comment ref="E60" authorId="0" shapeId="0" xr:uid="{00000000-0006-0000-0300-00003F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</t>
        </r>
      </text>
    </comment>
    <comment ref="E61" authorId="0" shapeId="0" xr:uid="{00000000-0006-0000-0300-000040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62" authorId="0" shapeId="0" xr:uid="{00000000-0006-0000-0300-000041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63" authorId="0" shapeId="0" xr:uid="{00000000-0006-0000-0300-000042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65" authorId="0" shapeId="0" xr:uid="{00000000-0006-0000-0300-000043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66" authorId="0" shapeId="0" xr:uid="{00000000-0006-0000-0300-000044000000}">
      <text>
        <r>
          <rPr>
            <b/>
            <sz val="9"/>
            <color indexed="81"/>
            <rFont val="Tahoma"/>
            <family val="2"/>
          </rPr>
          <t>2022/10/18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D68" authorId="0" shapeId="0" xr:uid="{00000000-0006-0000-0300-000045000000}">
      <text>
        <r>
          <rPr>
            <b/>
            <sz val="10"/>
            <color indexed="81"/>
            <rFont val="細明體"/>
            <family val="3"/>
            <charset val="136"/>
          </rPr>
          <t>版次：</t>
        </r>
        <r>
          <rPr>
            <b/>
            <sz val="10"/>
            <color indexed="81"/>
            <rFont val="Tahoma"/>
            <family val="2"/>
          </rPr>
          <t>0</t>
        </r>
      </text>
    </comment>
    <comment ref="D69" authorId="0" shapeId="0" xr:uid="{00000000-0006-0000-0300-000046000000}">
      <text>
        <r>
          <rPr>
            <b/>
            <sz val="10"/>
            <color indexed="81"/>
            <rFont val="細明體"/>
            <family val="3"/>
            <charset val="136"/>
          </rPr>
          <t>版次：</t>
        </r>
        <r>
          <rPr>
            <b/>
            <sz val="10"/>
            <color indexed="81"/>
            <rFont val="Tahoma"/>
            <family val="2"/>
          </rPr>
          <t>0</t>
        </r>
      </text>
    </comment>
    <comment ref="E69" authorId="0" shapeId="0" xr:uid="{00000000-0006-0000-0300-000047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</t>
        </r>
      </text>
    </comment>
    <comment ref="E70" authorId="0" shapeId="0" xr:uid="{00000000-0006-0000-0300-000048000000}">
      <text>
        <r>
          <rPr>
            <b/>
            <sz val="9"/>
            <color indexed="81"/>
            <rFont val="Tahoma"/>
            <family val="2"/>
          </rPr>
          <t>2020/08/27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C2-3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4-2-2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71" authorId="0" shapeId="0" xr:uid="{00000000-0006-0000-0300-000049000000}">
      <text>
        <r>
          <rPr>
            <b/>
            <sz val="10"/>
            <color indexed="81"/>
            <rFont val="Tahoma"/>
            <family val="2"/>
          </rPr>
          <t xml:space="preserve">2025/01/03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75" authorId="0" shapeId="0" xr:uid="{00000000-0006-0000-0300-00004A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</t>
        </r>
      </text>
    </comment>
    <comment ref="E77" authorId="0" shapeId="0" xr:uid="{00000000-0006-0000-0300-00004B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(70)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2025/08/20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(25)
</t>
        </r>
      </text>
    </comment>
    <comment ref="E80" authorId="0" shapeId="0" xr:uid="{00000000-0006-0000-0300-00004C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(50)</t>
        </r>
      </text>
    </comment>
    <comment ref="E81" authorId="0" shapeId="0" xr:uid="{00000000-0006-0000-0300-00004D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(40)</t>
        </r>
      </text>
    </comment>
    <comment ref="E116" authorId="0" shapeId="0" xr:uid="{00000000-0006-0000-0300-00004E000000}">
      <text>
        <r>
          <rPr>
            <b/>
            <sz val="10"/>
            <color indexed="81"/>
            <rFont val="Tahoma"/>
            <family val="2"/>
          </rPr>
          <t>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(282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
2025/04/23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(12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(270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  <r>
          <rPr>
            <b/>
            <sz val="10"/>
            <color indexed="81"/>
            <rFont val="細明體"/>
            <family val="3"/>
            <charset val="136"/>
          </rPr>
          <t xml:space="preserve">喬惠自取
</t>
        </r>
        <r>
          <rPr>
            <b/>
            <sz val="10"/>
            <color indexed="81"/>
            <rFont val="Tahoma"/>
            <family val="2"/>
          </rPr>
          <t>2025/04/30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(60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
2025/06/02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(210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  <r>
          <rPr>
            <b/>
            <sz val="10"/>
            <color indexed="81"/>
            <rFont val="細明體"/>
            <family val="3"/>
            <charset val="136"/>
          </rPr>
          <t>鐵架</t>
        </r>
        <r>
          <rPr>
            <b/>
            <sz val="10"/>
            <color indexed="81"/>
            <rFont val="Tahoma"/>
            <family val="2"/>
          </rPr>
          <t>1-2</t>
        </r>
        <r>
          <rPr>
            <b/>
            <sz val="10"/>
            <color indexed="81"/>
            <rFont val="細明體"/>
            <family val="3"/>
            <charset val="136"/>
          </rPr>
          <t>中間→鐵架</t>
        </r>
        <r>
          <rPr>
            <b/>
            <sz val="10"/>
            <color indexed="81"/>
            <rFont val="Tahoma"/>
            <family val="2"/>
          </rPr>
          <t>3-4</t>
        </r>
        <r>
          <rPr>
            <b/>
            <sz val="10"/>
            <color indexed="81"/>
            <rFont val="細明體"/>
            <family val="3"/>
            <charset val="136"/>
          </rPr>
          <t>中間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
2025/06/04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(50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(160)</t>
        </r>
      </text>
    </comment>
    <comment ref="E118" authorId="0" shapeId="0" xr:uid="{00000000-0006-0000-0300-00004F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</t>
        </r>
      </text>
    </comment>
    <comment ref="E125" authorId="0" shapeId="0" xr:uid="{00000000-0006-0000-0300-000050000000}">
      <text>
        <r>
          <rPr>
            <b/>
            <sz val="10"/>
            <color indexed="81"/>
            <rFont val="Tahoma"/>
            <family val="2"/>
          </rPr>
          <t>2024/10/14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(34)
2025/03/19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確認內孔尺寸</t>
        </r>
      </text>
    </comment>
    <comment ref="E126" authorId="0" shapeId="0" xr:uid="{00000000-0006-0000-0300-000051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(80)
2024/09/26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(80)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3-3-2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(80)
2024/10/07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
2024/11/04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(69)</t>
        </r>
        <r>
          <rPr>
            <b/>
            <sz val="9"/>
            <color indexed="81"/>
            <rFont val="細明體"/>
            <family val="3"/>
            <charset val="136"/>
          </rPr>
          <t>出庫檢驗</t>
        </r>
        <r>
          <rPr>
            <b/>
            <sz val="9"/>
            <color indexed="81"/>
            <rFont val="Tahoma"/>
            <family val="2"/>
          </rPr>
          <t xml:space="preserve">
2024/11/05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(70)</t>
        </r>
        <r>
          <rPr>
            <b/>
            <sz val="9"/>
            <color indexed="81"/>
            <rFont val="細明體"/>
            <family val="3"/>
            <charset val="136"/>
          </rPr>
          <t xml:space="preserve">確認完入庫
</t>
        </r>
        <r>
          <rPr>
            <b/>
            <sz val="9"/>
            <color indexed="81"/>
            <rFont val="Tahoma"/>
            <family val="2"/>
          </rPr>
          <t>2024/12/04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2025/02/07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2025/03/19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  <r>
          <rPr>
            <b/>
            <sz val="9"/>
            <color indexed="81"/>
            <rFont val="細明體"/>
            <family val="3"/>
            <charset val="136"/>
          </rPr>
          <t>內孔確認尺寸</t>
        </r>
      </text>
    </comment>
    <comment ref="E127" authorId="0" shapeId="0" xr:uid="{00000000-0006-0000-0300-000052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 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28" authorId="0" shapeId="0" xr:uid="{00000000-0006-0000-0300-000053000000}">
      <text>
        <r>
          <rPr>
            <b/>
            <sz val="10"/>
            <color indexed="81"/>
            <rFont val="Tahoma"/>
            <family val="2"/>
          </rPr>
          <t>2024/10/14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(130)
2024/11/20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 (40)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(90)
2024/12/04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(70)
2024/12/24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29" authorId="0" shapeId="0" xr:uid="{00000000-0006-0000-0300-000054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0" authorId="0" shapeId="0" xr:uid="{00000000-0006-0000-0300-000055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1" authorId="0" shapeId="0" xr:uid="{00000000-0006-0000-0300-000056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2025/04/24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  <r>
          <rPr>
            <b/>
            <sz val="10"/>
            <color indexed="81"/>
            <rFont val="細明體"/>
            <family val="3"/>
            <charset val="136"/>
          </rPr>
          <t>喬惠自取</t>
        </r>
      </text>
    </comment>
    <comment ref="I131" authorId="0" shapeId="0" xr:uid="{00000000-0006-0000-0300-000057000000}">
      <text>
        <r>
          <rPr>
            <b/>
            <sz val="10"/>
            <color indexed="81"/>
            <rFont val="細明體"/>
            <family val="3"/>
            <charset val="136"/>
          </rPr>
          <t>組合件</t>
        </r>
        <r>
          <rPr>
            <b/>
            <sz val="10"/>
            <color indexed="81"/>
            <rFont val="Tahoma"/>
            <family val="2"/>
          </rPr>
          <t>MN32017-A</t>
        </r>
        <r>
          <rPr>
            <b/>
            <sz val="10"/>
            <color indexed="81"/>
            <rFont val="細明體"/>
            <family val="3"/>
            <charset val="136"/>
          </rPr>
          <t xml:space="preserve">
料號：</t>
        </r>
        <r>
          <rPr>
            <b/>
            <sz val="10"/>
            <color indexed="81"/>
            <rFont val="Tahoma"/>
            <family val="2"/>
          </rPr>
          <t>GT-M2T5430</t>
        </r>
      </text>
    </comment>
    <comment ref="E132" authorId="0" shapeId="0" xr:uid="{00000000-0006-0000-0300-000058000000}">
      <text>
        <r>
          <rPr>
            <b/>
            <sz val="10"/>
            <color indexed="81"/>
            <rFont val="Tahoma"/>
            <family val="2"/>
          </rPr>
          <t>2025/06/11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3" authorId="0" shapeId="0" xr:uid="{00000000-0006-0000-0300-000059000000}">
      <text>
        <r>
          <rPr>
            <b/>
            <sz val="9"/>
            <color indexed="81"/>
            <rFont val="Tahoma"/>
            <family val="2"/>
          </rPr>
          <t>2023/11/29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2024/02/20</t>
        </r>
        <r>
          <rPr>
            <b/>
            <sz val="9"/>
            <color indexed="81"/>
            <rFont val="細明體"/>
            <family val="3"/>
            <charset val="136"/>
          </rPr>
          <t>更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  <r>
          <rPr>
            <b/>
            <sz val="9"/>
            <color indexed="81"/>
            <rFont val="細明體"/>
            <family val="3"/>
            <charset val="136"/>
          </rPr>
          <t>料號錯誤</t>
        </r>
        <r>
          <rPr>
            <b/>
            <sz val="9"/>
            <color indexed="81"/>
            <rFont val="Tahoma"/>
            <family val="2"/>
          </rPr>
          <t>GT2027-00100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GT2027-00200
2024/02/20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(7)4-1-2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(7)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4-2-1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(7)
2024/02/21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2025/06/11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37" authorId="0" shapeId="0" xr:uid="{00000000-0006-0000-0300-00005A000000}">
      <text>
        <r>
          <rPr>
            <b/>
            <sz val="9"/>
            <color indexed="81"/>
            <rFont val="Tahoma"/>
            <family val="2"/>
          </rPr>
          <t>2023/06/19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2023/06/29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38" authorId="0" shapeId="0" xr:uid="{00000000-0006-0000-0300-00005B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(7)
2025/07/16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39" authorId="0" shapeId="0" xr:uid="{00000000-0006-0000-0300-00005C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
2025/07/16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0" authorId="0" shapeId="0" xr:uid="{00000000-0006-0000-0300-00005D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1" authorId="0" shapeId="0" xr:uid="{00000000-0006-0000-0300-00005E000000}">
      <text>
        <r>
          <rPr>
            <b/>
            <sz val="9"/>
            <color indexed="81"/>
            <rFont val="Tahoma"/>
            <family val="2"/>
          </rPr>
          <t>2020/04/14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(5)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2" authorId="0" shapeId="0" xr:uid="{00000000-0006-0000-0300-00005F000000}">
      <text>
        <r>
          <rPr>
            <b/>
            <sz val="9"/>
            <color indexed="81"/>
            <rFont val="Tahoma"/>
            <family val="2"/>
          </rPr>
          <t>2022/11/30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3" authorId="0" shapeId="0" xr:uid="{00000000-0006-0000-0300-000060000000}">
      <text>
        <r>
          <rPr>
            <b/>
            <sz val="10"/>
            <color indexed="81"/>
            <rFont val="新細明體"/>
            <family val="2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(86)
2025/03/19</t>
        </r>
        <r>
          <rPr>
            <b/>
            <sz val="10"/>
            <color indexed="81"/>
            <rFont val="新細明體"/>
            <family val="2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新細明體"/>
            <family val="2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(82)
2025/06/11</t>
        </r>
        <r>
          <rPr>
            <b/>
            <sz val="10"/>
            <color indexed="81"/>
            <rFont val="新細明體"/>
            <family val="2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(19) </t>
        </r>
        <r>
          <rPr>
            <b/>
            <sz val="10"/>
            <color indexed="81"/>
            <rFont val="新細明體"/>
            <family val="2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(63)
2025/07/16</t>
        </r>
        <r>
          <rPr>
            <b/>
            <sz val="10"/>
            <color indexed="81"/>
            <rFont val="新細明體"/>
            <family val="2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(63) </t>
        </r>
        <r>
          <rPr>
            <b/>
            <sz val="10"/>
            <color indexed="81"/>
            <rFont val="新細明體"/>
            <family val="2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4" authorId="0" shapeId="0" xr:uid="{00000000-0006-0000-0300-000061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(37)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2025/06/11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(11)1-26</t>
        </r>
        <r>
          <rPr>
            <b/>
            <sz val="10"/>
            <color indexed="81"/>
            <rFont val="細明體"/>
            <family val="3"/>
            <charset val="136"/>
          </rPr>
          <t xml:space="preserve">號
</t>
        </r>
        <r>
          <rPr>
            <b/>
            <sz val="10"/>
            <color indexed="81"/>
            <rFont val="Tahoma"/>
            <family val="2"/>
          </rPr>
          <t>2025/07/16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5" authorId="0" shapeId="0" xr:uid="{00000000-0006-0000-0300-000062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(41)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2025/07/16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46" authorId="0" shapeId="0" xr:uid="{00000000-0006-0000-0300-000063000000}">
      <text>
        <r>
          <rPr>
            <b/>
            <sz val="9"/>
            <color indexed="81"/>
            <rFont val="Tahoma"/>
            <family val="2"/>
          </rPr>
          <t>2020/07/17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 xml:space="preserve">4-2-1 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(8)
2024/05/22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2025/12/11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7" authorId="0" shapeId="0" xr:uid="{00000000-0006-0000-0300-000064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2026/01/06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(0)(</t>
        </r>
        <r>
          <rPr>
            <b/>
            <sz val="10"/>
            <color indexed="81"/>
            <rFont val="細明體"/>
            <family val="3"/>
            <charset val="136"/>
          </rPr>
          <t>料號</t>
        </r>
        <r>
          <rPr>
            <b/>
            <sz val="10"/>
            <color indexed="81"/>
            <rFont val="Tahoma"/>
            <family val="2"/>
          </rPr>
          <t>TR17016-E-01)</t>
        </r>
      </text>
    </comment>
    <comment ref="E148" authorId="0" shapeId="0" xr:uid="{00000000-0006-0000-0300-000065000000}">
      <text>
        <r>
          <rPr>
            <b/>
            <sz val="9"/>
            <color indexed="81"/>
            <rFont val="Tahoma"/>
            <family val="2"/>
          </rPr>
          <t>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2026/03/13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49" authorId="0" shapeId="0" xr:uid="{00000000-0006-0000-0300-000066000000}">
      <text>
        <r>
          <rPr>
            <b/>
            <sz val="10"/>
            <color indexed="81"/>
            <rFont val="Tahoma"/>
            <family val="2"/>
          </rPr>
          <t>2024/08/05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2026/01/06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2026/03/13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150" authorId="0" shapeId="0" xr:uid="{00000000-0006-0000-0300-000067000000}">
      <text>
        <r>
          <rPr>
            <b/>
            <sz val="9"/>
            <color indexed="81"/>
            <rFont val="Tahoma"/>
            <family val="2"/>
          </rPr>
          <t>2026/03/13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151" authorId="0" shapeId="0" xr:uid="{00000000-0006-0000-0300-000068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2021/01/20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2022/05/04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2024/04/22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</t>
        </r>
        <r>
          <rPr>
            <b/>
            <sz val="9"/>
            <color indexed="81"/>
            <rFont val="細明體"/>
            <family val="3"/>
            <charset val="136"/>
          </rPr>
          <t xml:space="preserve">志宏借出
</t>
        </r>
        <r>
          <rPr>
            <b/>
            <sz val="9"/>
            <color indexed="81"/>
            <rFont val="Tahoma"/>
            <family val="2"/>
          </rPr>
          <t>2025/03/28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2025/04/17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 xml:space="preserve">客退替換
</t>
        </r>
        <r>
          <rPr>
            <b/>
            <sz val="9"/>
            <color indexed="81"/>
            <rFont val="Tahoma"/>
            <family val="2"/>
          </rPr>
          <t>2025/05/06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  <r>
          <rPr>
            <b/>
            <sz val="9"/>
            <color indexed="81"/>
            <rFont val="細明體"/>
            <family val="3"/>
            <charset val="136"/>
          </rPr>
          <t xml:space="preserve">客退替換
</t>
        </r>
        <r>
          <rPr>
            <b/>
            <sz val="9"/>
            <color indexed="81"/>
            <rFont val="Tahoma"/>
            <family val="2"/>
          </rPr>
          <t>2025/11/13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2026/03/24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2" authorId="0" shapeId="0" xr:uid="{00000000-0006-0000-0400-000001000000}">
      <text>
        <r>
          <rPr>
            <b/>
            <sz val="10"/>
            <color indexed="81"/>
            <rFont val="Tahoma"/>
            <family val="2"/>
          </rPr>
          <t xml:space="preserve">9/12 
</t>
        </r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3-1-1</t>
        </r>
        <r>
          <rPr>
            <b/>
            <sz val="10"/>
            <color indexed="81"/>
            <rFont val="細明體"/>
            <family val="3"/>
            <charset val="136"/>
          </rPr>
          <t>前</t>
        </r>
        <r>
          <rPr>
            <b/>
            <sz val="10"/>
            <color indexed="81"/>
            <rFont val="Tahoma"/>
            <family val="2"/>
          </rPr>
          <t>/</t>
        </r>
        <r>
          <rPr>
            <b/>
            <sz val="10"/>
            <color indexed="81"/>
            <rFont val="細明體"/>
            <family val="3"/>
            <charset val="136"/>
          </rPr>
          <t>後→移三廠泡殼旁
原</t>
        </r>
        <r>
          <rPr>
            <b/>
            <sz val="10"/>
            <color indexed="81"/>
            <rFont val="Tahoma"/>
            <family val="2"/>
          </rPr>
          <t>4-1-1</t>
        </r>
        <r>
          <rPr>
            <b/>
            <sz val="10"/>
            <color indexed="81"/>
            <rFont val="細明體"/>
            <family val="3"/>
            <charset val="136"/>
          </rPr>
          <t>前</t>
        </r>
        <r>
          <rPr>
            <b/>
            <sz val="10"/>
            <color indexed="81"/>
            <rFont val="Tahoma"/>
            <family val="2"/>
          </rPr>
          <t>/</t>
        </r>
        <r>
          <rPr>
            <b/>
            <sz val="10"/>
            <color indexed="81"/>
            <rFont val="細明體"/>
            <family val="3"/>
            <charset val="136"/>
          </rPr>
          <t>後→移三廠泡殼旁
原</t>
        </r>
        <r>
          <rPr>
            <b/>
            <sz val="10"/>
            <color indexed="81"/>
            <rFont val="Tahoma"/>
            <family val="2"/>
          </rPr>
          <t>1-2-1-1/1-2-2-2</t>
        </r>
        <r>
          <rPr>
            <b/>
            <sz val="10"/>
            <color indexed="81"/>
            <rFont val="細明體"/>
            <family val="3"/>
            <charset val="136"/>
          </rPr>
          <t>→移三廠泡殼旁</t>
        </r>
      </text>
    </comment>
    <comment ref="M2" authorId="0" shapeId="0" xr:uid="{00000000-0006-0000-04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400-000003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2025/04/01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(3)1-3-1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1-3-2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2020/07/24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6" authorId="0" shapeId="0" xr:uid="{00000000-0006-0000-0400-00000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2020/04/13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7" authorId="0" shapeId="0" xr:uid="{00000000-0006-0000-0400-00000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8" authorId="0" shapeId="0" xr:uid="{00000000-0006-0000-0400-00000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2020/04/21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C1-5(44)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B1-2(44)</t>
        </r>
      </text>
    </comment>
    <comment ref="E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0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2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2019/08/20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2019/08/26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2019/08/26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銷退</t>
        </r>
        <r>
          <rPr>
            <b/>
            <sz val="9"/>
            <color indexed="81"/>
            <rFont val="Tahoma"/>
            <family val="2"/>
          </rPr>
          <t xml:space="preserve">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3" authorId="0" shapeId="0" xr:uid="{00000000-0006-0000-0400-00000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2019/09/25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4" authorId="0" shapeId="0" xr:uid="{00000000-0006-0000-0400-00000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5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2020/09/14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B1-2(1)</t>
        </r>
      </text>
    </comment>
    <comment ref="E16" authorId="0" shapeId="0" xr:uid="{00000000-0006-0000-0400-00000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B3-2(2)</t>
        </r>
      </text>
    </comment>
    <comment ref="E17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>2020/05/04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2021/09/10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18" authorId="0" shapeId="0" xr:uid="{00000000-0006-0000-0400-000011000000}">
      <text>
        <r>
          <rPr>
            <b/>
            <sz val="9"/>
            <color indexed="81"/>
            <rFont val="Tahoma"/>
            <family val="2"/>
          </rPr>
          <t>2020/05/04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19" authorId="0" shapeId="0" xr:uid="{00000000-0006-0000-0400-00001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(78)
2019/12/27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D3-4(8)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B3-2(8)</t>
        </r>
      </text>
    </comment>
    <comment ref="E20" authorId="0" shapeId="0" xr:uid="{00000000-0006-0000-0400-00001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21" authorId="0" shapeId="0" xr:uid="{00000000-0006-0000-0400-00001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2021/11/11</t>
        </r>
        <r>
          <rPr>
            <b/>
            <sz val="9"/>
            <color indexed="81"/>
            <rFont val="細明體"/>
            <family val="3"/>
            <charset val="136"/>
          </rPr>
          <t xml:space="preserve">領(1) 待確認是否出客戶換貨
</t>
        </r>
        <r>
          <rPr>
            <b/>
            <sz val="9"/>
            <color indexed="81"/>
            <rFont val="Tahoma"/>
            <family val="2"/>
          </rPr>
          <t>2021/11/12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22" authorId="0" shapeId="0" xr:uid="{00000000-0006-0000-0400-00001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B3-2(4)</t>
        </r>
      </text>
    </comment>
    <comment ref="E23" authorId="0" shapeId="0" xr:uid="{00000000-0006-0000-0400-00001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B3-2(2)</t>
        </r>
      </text>
    </comment>
    <comment ref="E24" authorId="0" shapeId="0" xr:uid="{00000000-0006-0000-0400-00001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2010/03/02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25" authorId="0" shapeId="0" xr:uid="{00000000-0006-0000-0400-00001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2020/02/07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B3-2(1)</t>
        </r>
      </text>
    </comment>
    <comment ref="E26" authorId="0" shapeId="0" xr:uid="{00000000-0006-0000-0400-000019000000}">
      <text>
        <r>
          <rPr>
            <b/>
            <sz val="9"/>
            <color indexed="81"/>
            <rFont val="Tahoma"/>
            <family val="2"/>
          </rPr>
          <t>2020/05/23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(34)</t>
        </r>
      </text>
    </comment>
    <comment ref="E27" authorId="0" shapeId="0" xr:uid="{00000000-0006-0000-0400-00001A000000}">
      <text>
        <r>
          <rPr>
            <b/>
            <sz val="9"/>
            <color indexed="81"/>
            <rFont val="Tahoma"/>
            <family val="2"/>
          </rPr>
          <t>2019/08/30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8" authorId="0" shapeId="0" xr:uid="{00000000-0006-0000-0400-00001B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9" authorId="0" shapeId="0" xr:uid="{00000000-0006-0000-0400-00001C000000}">
      <text>
        <r>
          <rPr>
            <b/>
            <sz val="9"/>
            <color indexed="81"/>
            <rFont val="Tahoma"/>
            <family val="2"/>
          </rPr>
          <t>2019/10/09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0" authorId="0" shapeId="0" xr:uid="{00000000-0006-0000-0400-00001D000000}">
      <text>
        <r>
          <rPr>
            <b/>
            <sz val="9"/>
            <color indexed="81"/>
            <rFont val="Tahoma"/>
            <family val="2"/>
          </rPr>
          <t>2019/10/09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1" authorId="0" shapeId="0" xr:uid="{00000000-0006-0000-0400-00001E000000}">
      <text>
        <r>
          <rPr>
            <b/>
            <sz val="9"/>
            <color indexed="81"/>
            <rFont val="Tahoma"/>
            <family val="2"/>
          </rPr>
          <t>2020/06/12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2020/07/15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(6)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32" authorId="0" shapeId="0" xr:uid="{00000000-0006-0000-0400-00001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33" authorId="0" shapeId="0" xr:uid="{00000000-0006-0000-0400-00002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34" authorId="0" shapeId="0" xr:uid="{00000000-0006-0000-0400-00002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35" authorId="0" shapeId="0" xr:uid="{00000000-0006-0000-0400-000022000000}">
      <text>
        <r>
          <rPr>
            <b/>
            <sz val="9"/>
            <color indexed="81"/>
            <rFont val="Tahoma"/>
            <family val="2"/>
          </rPr>
          <t>2020/07/02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6" authorId="0" shapeId="0" xr:uid="{00000000-0006-0000-0400-000023000000}">
      <text>
        <r>
          <rPr>
            <b/>
            <sz val="9"/>
            <color indexed="81"/>
            <rFont val="Tahoma"/>
            <family val="2"/>
          </rPr>
          <t>2020/07/02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7" authorId="0" shapeId="0" xr:uid="{00000000-0006-0000-0400-000024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L37" authorId="0" shapeId="0" xr:uid="{00000000-0006-0000-0400-000025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00</t>
        </r>
      </text>
    </comment>
    <comment ref="E38" authorId="0" shapeId="0" xr:uid="{00000000-0006-0000-0400-000026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9" authorId="0" shapeId="0" xr:uid="{00000000-0006-0000-0400-000027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L39" authorId="0" shapeId="0" xr:uid="{00000000-0006-0000-0400-000028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01</t>
        </r>
      </text>
    </comment>
    <comment ref="E40" authorId="0" shapeId="0" xr:uid="{00000000-0006-0000-0400-000029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41" authorId="0" shapeId="0" xr:uid="{00000000-0006-0000-0400-00002A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(8)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</t>
        </r>
      </text>
    </comment>
    <comment ref="E42" authorId="0" shapeId="0" xr:uid="{00000000-0006-0000-0400-00002B000000}">
      <text>
        <r>
          <rPr>
            <b/>
            <sz val="9"/>
            <color indexed="81"/>
            <rFont val="Tahoma"/>
            <family val="2"/>
          </rPr>
          <t>2020/11/09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43" authorId="0" shapeId="0" xr:uid="{00000000-0006-0000-0400-00002C000000}">
      <text>
        <r>
          <rPr>
            <b/>
            <sz val="9"/>
            <color indexed="81"/>
            <rFont val="Tahoma"/>
            <family val="2"/>
          </rPr>
          <t>2021/06/30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44" authorId="0" shapeId="0" xr:uid="{00000000-0006-0000-0400-00002D000000}">
      <text>
        <r>
          <rPr>
            <b/>
            <sz val="9"/>
            <color indexed="81"/>
            <rFont val="Tahoma"/>
            <family val="2"/>
          </rPr>
          <t>2021/10/19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45" authorId="0" shapeId="0" xr:uid="{00000000-0006-0000-0400-00002E000000}">
      <text>
        <r>
          <rPr>
            <b/>
            <sz val="9"/>
            <color indexed="81"/>
            <rFont val="Tahoma"/>
            <family val="2"/>
          </rPr>
          <t>2021/11/04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45" authorId="0" shapeId="0" xr:uid="{00000000-0006-0000-0400-00002F000000}">
      <text>
        <r>
          <rPr>
            <b/>
            <sz val="9"/>
            <color indexed="81"/>
            <rFont val="細明體"/>
            <family val="3"/>
            <charset val="136"/>
          </rPr>
          <t>圖面日期：</t>
        </r>
        <r>
          <rPr>
            <b/>
            <sz val="9"/>
            <color indexed="81"/>
            <rFont val="Tahoma"/>
            <family val="2"/>
          </rPr>
          <t>2020/1/7</t>
        </r>
      </text>
    </comment>
    <comment ref="E46" authorId="0" shapeId="0" xr:uid="{00000000-0006-0000-0400-000030000000}">
      <text>
        <r>
          <rPr>
            <b/>
            <sz val="9"/>
            <color indexed="81"/>
            <rFont val="Tahoma"/>
            <family val="2"/>
          </rPr>
          <t>2022/02/09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46" authorId="0" shapeId="0" xr:uid="{00000000-0006-0000-0400-000031000000}">
      <text>
        <r>
          <rPr>
            <b/>
            <sz val="9"/>
            <color indexed="81"/>
            <rFont val="細明體"/>
            <family val="3"/>
            <charset val="136"/>
          </rPr>
          <t>圖面日期：</t>
        </r>
        <r>
          <rPr>
            <b/>
            <sz val="9"/>
            <color indexed="81"/>
            <rFont val="Tahoma"/>
            <family val="2"/>
          </rPr>
          <t>2021/7/19</t>
        </r>
      </text>
    </comment>
    <comment ref="E47" authorId="0" shapeId="0" xr:uid="{00000000-0006-0000-0400-000032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48" authorId="0" shapeId="0" xr:uid="{00000000-0006-0000-0400-000033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49" authorId="0" shapeId="0" xr:uid="{00000000-0006-0000-0400-000034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2023/02/23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 xml:space="preserve">老闆領出外借
</t>
        </r>
        <r>
          <rPr>
            <b/>
            <sz val="9"/>
            <color indexed="81"/>
            <rFont val="Tahoma"/>
            <family val="2"/>
          </rPr>
          <t>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49" authorId="0" shapeId="0" xr:uid="{00000000-0006-0000-0400-000035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B</t>
        </r>
      </text>
    </comment>
    <comment ref="E50" authorId="0" shapeId="0" xr:uid="{00000000-0006-0000-0400-000036000000}">
      <text>
        <r>
          <rPr>
            <b/>
            <sz val="9"/>
            <color indexed="81"/>
            <rFont val="Tahoma"/>
            <family val="2"/>
          </rPr>
          <t>2024/01/09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L50" authorId="0" shapeId="0" xr:uid="{00000000-0006-0000-0400-000037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B</t>
        </r>
      </text>
    </comment>
    <comment ref="E51" authorId="0" shapeId="0" xr:uid="{00000000-0006-0000-0400-000038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51" authorId="0" shapeId="0" xr:uid="{00000000-0006-0000-0400-000039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52" authorId="0" shapeId="0" xr:uid="{00000000-0006-0000-0400-00003A000000}">
      <text>
        <r>
          <rPr>
            <b/>
            <sz val="9"/>
            <color indexed="81"/>
            <rFont val="Tahoma"/>
            <family val="2"/>
          </rPr>
          <t>2021/08/30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3" authorId="0" shapeId="0" xr:uid="{00000000-0006-0000-0400-00003B000000}">
      <text>
        <r>
          <rPr>
            <b/>
            <sz val="9"/>
            <color indexed="81"/>
            <rFont val="Tahoma"/>
            <family val="2"/>
          </rPr>
          <t>2021/08/30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I53" authorId="0" shapeId="0" xr:uid="{00000000-0006-0000-0400-00003C000000}">
      <text/>
    </comment>
    <comment ref="L53" authorId="0" shapeId="0" xr:uid="{00000000-0006-0000-0400-00003D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54" authorId="0" shapeId="0" xr:uid="{00000000-0006-0000-0400-00003E000000}">
      <text>
        <r>
          <rPr>
            <b/>
            <sz val="9"/>
            <color indexed="81"/>
            <rFont val="Tahoma"/>
            <family val="2"/>
          </rPr>
          <t>2024/01/09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2024/01/25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I54" authorId="0" shapeId="0" xr:uid="{00000000-0006-0000-0400-00003F000000}">
      <text/>
    </comment>
    <comment ref="L54" authorId="0" shapeId="0" xr:uid="{00000000-0006-0000-0400-000040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55" authorId="0" shapeId="0" xr:uid="{00000000-0006-0000-0400-000041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56" authorId="0" shapeId="0" xr:uid="{00000000-0006-0000-0400-000042000000}">
      <text>
        <r>
          <rPr>
            <b/>
            <sz val="9"/>
            <color indexed="81"/>
            <rFont val="Tahoma"/>
            <family val="2"/>
          </rPr>
          <t>2023/01/03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57" authorId="0" shapeId="0" xr:uid="{00000000-0006-0000-0400-000043000000}">
      <text>
        <r>
          <rPr>
            <b/>
            <sz val="9"/>
            <color indexed="81"/>
            <rFont val="Tahoma"/>
            <family val="2"/>
          </rPr>
          <t>2022/06/30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8" authorId="0" shapeId="0" xr:uid="{00000000-0006-0000-0400-000044000000}">
      <text>
        <r>
          <rPr>
            <b/>
            <sz val="9"/>
            <color indexed="81"/>
            <rFont val="Tahoma"/>
            <family val="2"/>
          </rPr>
          <t>2022/09/27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58" authorId="0" shapeId="0" xr:uid="{00000000-0006-0000-0400-000045000000}">
      <text>
        <r>
          <rPr>
            <b/>
            <sz val="9"/>
            <color indexed="81"/>
            <rFont val="細明體"/>
            <family val="3"/>
            <charset val="136"/>
          </rPr>
          <t>帶料到齒研</t>
        </r>
      </text>
    </comment>
    <comment ref="E59" authorId="0" shapeId="0" xr:uid="{00000000-0006-0000-0400-000046000000}">
      <text>
        <r>
          <rPr>
            <b/>
            <sz val="9"/>
            <color indexed="81"/>
            <rFont val="Tahoma"/>
            <family val="2"/>
          </rPr>
          <t>2021/09/06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60" authorId="0" shapeId="0" xr:uid="{00000000-0006-0000-0400-000047000000}">
      <text>
        <r>
          <rPr>
            <b/>
            <sz val="9"/>
            <color indexed="81"/>
            <rFont val="Tahoma"/>
            <family val="2"/>
          </rPr>
          <t>2022/09/27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61" authorId="0" shapeId="0" xr:uid="{00000000-0006-0000-0400-000048000000}">
      <text>
        <r>
          <rPr>
            <b/>
            <sz val="9"/>
            <color indexed="81"/>
            <rFont val="Tahoma"/>
            <family val="2"/>
          </rPr>
          <t>2022/06/17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62" authorId="0" shapeId="0" xr:uid="{00000000-0006-0000-0400-000049000000}">
      <text>
        <r>
          <rPr>
            <b/>
            <sz val="9"/>
            <color indexed="81"/>
            <rFont val="Tahoma"/>
            <family val="2"/>
          </rPr>
          <t>2020/12/08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2021/11/02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L62" authorId="0" shapeId="0" xr:uid="{00000000-0006-0000-0400-00004A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63" authorId="0" shapeId="0" xr:uid="{00000000-0006-0000-0400-00004B000000}">
      <text>
        <r>
          <rPr>
            <b/>
            <sz val="9"/>
            <color indexed="81"/>
            <rFont val="Tahoma"/>
            <family val="2"/>
          </rPr>
          <t>2020/09/01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(81)</t>
        </r>
      </text>
    </comment>
    <comment ref="E64" authorId="0" shapeId="0" xr:uid="{00000000-0006-0000-0400-00004C000000}">
      <text>
        <r>
          <rPr>
            <b/>
            <sz val="9"/>
            <color indexed="81"/>
            <rFont val="Tahoma"/>
            <family val="2"/>
          </rPr>
          <t>2020/10/23</t>
        </r>
        <r>
          <rPr>
            <b/>
            <sz val="9"/>
            <color indexed="81"/>
            <rFont val="新細明體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新細明體"/>
            <family val="2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新細明體"/>
            <family val="2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新細明體"/>
            <family val="2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新細明體"/>
            <family val="2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新細明體"/>
            <family val="2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新細明體"/>
            <family val="2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65" authorId="0" shapeId="0" xr:uid="{00000000-0006-0000-0400-00004D000000}">
      <text>
        <r>
          <rPr>
            <b/>
            <sz val="9"/>
            <color indexed="81"/>
            <rFont val="Tahoma"/>
            <family val="2"/>
          </rPr>
          <t>2020/10/26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66" authorId="0" shapeId="0" xr:uid="{00000000-0006-0000-0400-00004E000000}">
      <text>
        <r>
          <rPr>
            <b/>
            <sz val="9"/>
            <color indexed="81"/>
            <rFont val="Tahoma"/>
            <family val="2"/>
          </rPr>
          <t>2020/12/11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2022/05/16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67" authorId="0" shapeId="0" xr:uid="{00000000-0006-0000-0400-00004F000000}">
      <text>
        <r>
          <rPr>
            <b/>
            <sz val="9"/>
            <color indexed="81"/>
            <rFont val="Tahoma"/>
            <family val="2"/>
          </rPr>
          <t>2020/12/15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68" authorId="0" shapeId="0" xr:uid="{00000000-0006-0000-0400-000050000000}">
      <text>
        <r>
          <rPr>
            <b/>
            <sz val="9"/>
            <color indexed="81"/>
            <rFont val="Tahoma"/>
            <family val="2"/>
          </rPr>
          <t>2020/12/11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69" authorId="0" shapeId="0" xr:uid="{00000000-0006-0000-0400-000051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2021/03/10</t>
        </r>
        <r>
          <rPr>
            <b/>
            <sz val="9"/>
            <color indexed="81"/>
            <rFont val="細明體"/>
            <family val="3"/>
            <charset val="136"/>
          </rPr>
          <t>整理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2022/03/25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69" authorId="0" shapeId="0" xr:uid="{00000000-0006-0000-0400-000052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70" authorId="0" shapeId="0" xr:uid="{00000000-0006-0000-0400-000053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2022/02/07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1" authorId="0" shapeId="0" xr:uid="{00000000-0006-0000-0400-000054000000}">
      <text>
        <r>
          <rPr>
            <b/>
            <sz val="9"/>
            <color indexed="81"/>
            <rFont val="Tahoma"/>
            <family val="2"/>
          </rPr>
          <t>2020/05/04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2020/09/23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D2-3(4)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3-1-1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72" authorId="0" shapeId="0" xr:uid="{00000000-0006-0000-0400-000055000000}">
      <text>
        <r>
          <rPr>
            <b/>
            <sz val="9"/>
            <color indexed="81"/>
            <rFont val="Tahoma"/>
            <family val="2"/>
          </rPr>
          <t>2021/08/20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3" authorId="0" shapeId="0" xr:uid="{00000000-0006-0000-0400-000056000000}">
      <text>
        <r>
          <rPr>
            <b/>
            <sz val="9"/>
            <color indexed="81"/>
            <rFont val="Tahoma"/>
            <family val="2"/>
          </rPr>
          <t>2021/08/20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4" authorId="0" shapeId="0" xr:uid="{00000000-0006-0000-0400-000057000000}">
      <text>
        <r>
          <rPr>
            <b/>
            <sz val="9"/>
            <color indexed="81"/>
            <rFont val="Tahoma"/>
            <family val="2"/>
          </rPr>
          <t>2021/08/30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74" authorId="0" shapeId="0" xr:uid="{00000000-0006-0000-0400-000058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75" authorId="0" shapeId="0" xr:uid="{00000000-0006-0000-0400-000059000000}">
      <text>
        <r>
          <rPr>
            <b/>
            <sz val="9"/>
            <color indexed="81"/>
            <rFont val="Tahoma"/>
            <family val="2"/>
          </rPr>
          <t>2021/10/06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6" authorId="0" shapeId="0" xr:uid="{00000000-0006-0000-0400-00005A000000}">
      <text>
        <r>
          <rPr>
            <b/>
            <sz val="9"/>
            <color indexed="81"/>
            <rFont val="Tahoma"/>
            <family val="2"/>
          </rPr>
          <t>2021/10/06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L76" authorId="0" shapeId="0" xr:uid="{00000000-0006-0000-0400-00005B000000}">
      <text>
        <r>
          <rPr>
            <b/>
            <sz val="9"/>
            <color indexed="81"/>
            <rFont val="細明體"/>
            <family val="3"/>
            <charset val="136"/>
          </rPr>
          <t>帶料至齒研</t>
        </r>
      </text>
    </comment>
    <comment ref="E77" authorId="0" shapeId="0" xr:uid="{00000000-0006-0000-0400-00005C000000}">
      <text>
        <r>
          <rPr>
            <b/>
            <sz val="9"/>
            <color indexed="81"/>
            <rFont val="Tahoma"/>
            <family val="2"/>
          </rPr>
          <t>2021/10/06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8" authorId="0" shapeId="0" xr:uid="{00000000-0006-0000-0400-00005D000000}">
      <text>
        <r>
          <rPr>
            <b/>
            <sz val="9"/>
            <color indexed="81"/>
            <rFont val="Tahoma"/>
            <family val="2"/>
          </rPr>
          <t>2021/10/06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9" authorId="0" shapeId="0" xr:uid="{00000000-0006-0000-0400-00005E000000}">
      <text>
        <r>
          <rPr>
            <b/>
            <sz val="9"/>
            <color indexed="81"/>
            <rFont val="Tahoma"/>
            <family val="2"/>
          </rPr>
          <t>2021/10/14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2022/09/07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吳佳靜領出</t>
        </r>
        <r>
          <rPr>
            <b/>
            <sz val="9"/>
            <color indexed="81"/>
            <rFont val="Tahoma"/>
            <family val="2"/>
          </rPr>
          <t xml:space="preserve">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0" authorId="0" shapeId="0" xr:uid="{00000000-0006-0000-0400-00005F000000}">
      <text>
        <r>
          <rPr>
            <b/>
            <sz val="9"/>
            <color indexed="81"/>
            <rFont val="Tahoma"/>
            <family val="2"/>
          </rPr>
          <t>2021/10/14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1" authorId="0" shapeId="0" xr:uid="{00000000-0006-0000-0400-000060000000}">
      <text>
        <r>
          <rPr>
            <b/>
            <sz val="9"/>
            <color indexed="81"/>
            <rFont val="Tahoma"/>
            <family val="2"/>
          </rPr>
          <t>2021/12/07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2" authorId="0" shapeId="0" xr:uid="{00000000-0006-0000-0400-000061000000}">
      <text>
        <r>
          <rPr>
            <b/>
            <sz val="9"/>
            <color indexed="81"/>
            <rFont val="Tahoma"/>
            <family val="2"/>
          </rPr>
          <t>2021/12/07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83" authorId="0" shapeId="0" xr:uid="{00000000-0006-0000-0400-000062000000}">
      <text>
        <r>
          <rPr>
            <b/>
            <sz val="9"/>
            <color indexed="81"/>
            <rFont val="Tahoma"/>
            <family val="2"/>
          </rPr>
          <t>2022/09/27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4" authorId="0" shapeId="0" xr:uid="{00000000-0006-0000-0400-000063000000}">
      <text>
        <r>
          <rPr>
            <b/>
            <sz val="9"/>
            <color indexed="81"/>
            <rFont val="Tahoma"/>
            <family val="2"/>
          </rPr>
          <t>2021/12/07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84" authorId="0" shapeId="0" xr:uid="{00000000-0006-0000-0400-000064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 29/03/2021</t>
        </r>
      </text>
    </comment>
    <comment ref="E85" authorId="0" shapeId="0" xr:uid="{00000000-0006-0000-0400-000065000000}">
      <text>
        <r>
          <rPr>
            <b/>
            <sz val="9"/>
            <color indexed="81"/>
            <rFont val="Tahoma"/>
            <family val="2"/>
          </rPr>
          <t>2021/12/14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6" authorId="0" shapeId="0" xr:uid="{00000000-0006-0000-0400-000066000000}">
      <text>
        <r>
          <rPr>
            <b/>
            <sz val="9"/>
            <color indexed="81"/>
            <rFont val="Tahoma"/>
            <family val="2"/>
          </rPr>
          <t>2022/01/06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2023/02/24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(0) </t>
        </r>
        <r>
          <rPr>
            <b/>
            <sz val="9"/>
            <color indexed="81"/>
            <rFont val="細明體"/>
            <family val="3"/>
            <charset val="136"/>
          </rPr>
          <t xml:space="preserve">老闆領
</t>
        </r>
        <r>
          <rPr>
            <b/>
            <sz val="9"/>
            <color indexed="81"/>
            <rFont val="Tahoma"/>
            <family val="2"/>
          </rPr>
          <t>2023/02/24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 xml:space="preserve">老闆歸還
</t>
        </r>
        <r>
          <rPr>
            <b/>
            <sz val="9"/>
            <color indexed="81"/>
            <rFont val="Tahoma"/>
            <family val="2"/>
          </rPr>
          <t>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87" authorId="0" shapeId="0" xr:uid="{00000000-0006-0000-0400-000067000000}">
      <text>
        <r>
          <rPr>
            <b/>
            <sz val="9"/>
            <color indexed="81"/>
            <rFont val="Tahoma"/>
            <family val="2"/>
          </rPr>
          <t>2022/01/20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L87" authorId="0" shapeId="0" xr:uid="{00000000-0006-0000-0400-000068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88" authorId="0" shapeId="0" xr:uid="{00000000-0006-0000-0400-000069000000}">
      <text>
        <r>
          <rPr>
            <b/>
            <sz val="9"/>
            <color indexed="81"/>
            <rFont val="Tahoma"/>
            <family val="2"/>
          </rPr>
          <t>2023/09/28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89" authorId="0" shapeId="0" xr:uid="{00000000-0006-0000-0400-00006A000000}">
      <text>
        <r>
          <rPr>
            <b/>
            <sz val="9"/>
            <color indexed="81"/>
            <rFont val="Tahoma"/>
            <family val="2"/>
          </rPr>
          <t>2023/09/28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90" authorId="0" shapeId="0" xr:uid="{00000000-0006-0000-0400-00006B000000}">
      <text>
        <r>
          <rPr>
            <b/>
            <sz val="9"/>
            <color indexed="81"/>
            <rFont val="Tahoma"/>
            <family val="2"/>
          </rPr>
          <t>2022/03/07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91" authorId="0" shapeId="0" xr:uid="{00000000-0006-0000-0400-00006C000000}">
      <text>
        <r>
          <rPr>
            <b/>
            <sz val="9"/>
            <color indexed="81"/>
            <rFont val="Tahoma"/>
            <family val="2"/>
          </rPr>
          <t>2022/04/21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91" authorId="0" shapeId="0" xr:uid="{00000000-0006-0000-0400-00006D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92" authorId="0" shapeId="0" xr:uid="{00000000-0006-0000-0400-00006E000000}">
      <text>
        <r>
          <rPr>
            <b/>
            <sz val="9"/>
            <color indexed="81"/>
            <rFont val="Tahoma"/>
            <family val="2"/>
          </rPr>
          <t>2024/05/02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2024/07/16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</text>
    </comment>
    <comment ref="E93" authorId="0" shapeId="0" xr:uid="{00000000-0006-0000-0400-00006F000000}">
      <text>
        <r>
          <rPr>
            <b/>
            <sz val="9"/>
            <color indexed="81"/>
            <rFont val="Tahoma"/>
            <family val="2"/>
          </rPr>
          <t>2024/05/16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 xml:space="preserve">庫存重修入庫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94" authorId="0" shapeId="0" xr:uid="{00000000-0006-0000-0400-000070000000}">
      <text>
        <r>
          <rPr>
            <b/>
            <sz val="9"/>
            <color indexed="81"/>
            <rFont val="Tahoma"/>
            <family val="2"/>
          </rPr>
          <t>2022/01/26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94" authorId="0" shapeId="0" xr:uid="{00000000-0006-0000-0400-000071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95" authorId="0" shapeId="0" xr:uid="{00000000-0006-0000-0400-000072000000}">
      <text>
        <r>
          <rPr>
            <b/>
            <sz val="9"/>
            <color indexed="81"/>
            <rFont val="Tahoma"/>
            <family val="2"/>
          </rPr>
          <t>2020/12/08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(14)3-1-1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(14)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</t>
        </r>
      </text>
    </comment>
    <comment ref="E96" authorId="0" shapeId="0" xr:uid="{00000000-0006-0000-0400-000073000000}">
      <text>
        <r>
          <rPr>
            <b/>
            <sz val="9"/>
            <color indexed="81"/>
            <rFont val="Tahoma"/>
            <family val="2"/>
          </rPr>
          <t>2021/12/29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96" authorId="0" shapeId="0" xr:uid="{00000000-0006-0000-0400-000074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97" authorId="0" shapeId="0" xr:uid="{00000000-0006-0000-0400-000075000000}">
      <text>
        <r>
          <rPr>
            <b/>
            <sz val="9"/>
            <color indexed="81"/>
            <rFont val="Tahoma"/>
            <family val="2"/>
          </rPr>
          <t>2021/01/13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2021/01/26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2022/05/09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L97" authorId="0" shapeId="0" xr:uid="{00000000-0006-0000-0400-000076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2020/11/12</t>
        </r>
      </text>
    </comment>
    <comment ref="E98" authorId="0" shapeId="0" xr:uid="{00000000-0006-0000-0400-000077000000}">
      <text>
        <r>
          <rPr>
            <b/>
            <sz val="9"/>
            <color indexed="81"/>
            <rFont val="Tahoma"/>
            <family val="2"/>
          </rPr>
          <t>2022/05/25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98" authorId="0" shapeId="0" xr:uid="{00000000-0006-0000-0400-000078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99" authorId="0" shapeId="0" xr:uid="{00000000-0006-0000-0400-000079000000}">
      <text>
        <r>
          <rPr>
            <b/>
            <sz val="9"/>
            <color indexed="81"/>
            <rFont val="Tahoma"/>
            <family val="2"/>
          </rPr>
          <t>2022/05/25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L99" authorId="0" shapeId="0" xr:uid="{00000000-0006-0000-0400-00007A000000}">
      <text>
        <r>
          <rPr>
            <b/>
            <sz val="9"/>
            <color indexed="81"/>
            <rFont val="細明體"/>
            <family val="3"/>
            <charset val="136"/>
          </rPr>
          <t>帶料到齒研</t>
        </r>
      </text>
    </comment>
    <comment ref="E100" authorId="0" shapeId="0" xr:uid="{00000000-0006-0000-0400-00007B000000}">
      <text>
        <r>
          <rPr>
            <b/>
            <sz val="9"/>
            <color indexed="81"/>
            <rFont val="Tahoma"/>
            <family val="2"/>
          </rPr>
          <t>2022/02/24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00" authorId="0" shapeId="0" xr:uid="{00000000-0006-0000-0400-00007C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01" authorId="0" shapeId="0" xr:uid="{00000000-0006-0000-0400-00007D000000}">
      <text>
        <r>
          <rPr>
            <b/>
            <sz val="9"/>
            <color indexed="81"/>
            <rFont val="Tahoma"/>
            <family val="2"/>
          </rPr>
          <t>2022/03/10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L101" authorId="0" shapeId="0" xr:uid="{00000000-0006-0000-0400-00007E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02" authorId="0" shapeId="0" xr:uid="{00000000-0006-0000-0400-00007F000000}">
      <text>
        <r>
          <rPr>
            <b/>
            <sz val="9"/>
            <color indexed="81"/>
            <rFont val="Tahoma"/>
            <family val="2"/>
          </rPr>
          <t>2022/04/12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02" authorId="0" shapeId="0" xr:uid="{00000000-0006-0000-0400-000080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03" authorId="0" shapeId="0" xr:uid="{00000000-0006-0000-0400-000081000000}">
      <text>
        <r>
          <rPr>
            <b/>
            <sz val="9"/>
            <color indexed="81"/>
            <rFont val="Tahoma"/>
            <family val="2"/>
          </rPr>
          <t>2022/01/26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L103" authorId="0" shapeId="0" xr:uid="{00000000-0006-0000-0400-000082000000}">
      <text>
        <r>
          <rPr>
            <b/>
            <sz val="9"/>
            <color indexed="81"/>
            <rFont val="細明體"/>
            <family val="3"/>
            <charset val="136"/>
          </rPr>
          <t>圖面日期：</t>
        </r>
        <r>
          <rPr>
            <b/>
            <sz val="9"/>
            <color indexed="81"/>
            <rFont val="Tahoma"/>
            <family val="2"/>
          </rPr>
          <t>29.06.05</t>
        </r>
      </text>
    </comment>
    <comment ref="E104" authorId="0" shapeId="0" xr:uid="{00000000-0006-0000-0400-000083000000}">
      <text>
        <r>
          <rPr>
            <b/>
            <sz val="9"/>
            <color indexed="81"/>
            <rFont val="Tahoma"/>
            <family val="2"/>
          </rPr>
          <t>2021/06/16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(50)3-1-1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(50)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</t>
        </r>
      </text>
    </comment>
    <comment ref="E105" authorId="0" shapeId="0" xr:uid="{00000000-0006-0000-0400-000084000000}">
      <text>
        <r>
          <rPr>
            <b/>
            <sz val="9"/>
            <color indexed="81"/>
            <rFont val="Tahoma"/>
            <family val="2"/>
          </rPr>
          <t>2021/10/19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05" authorId="0" shapeId="0" xr:uid="{00000000-0006-0000-0400-000085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06" authorId="0" shapeId="0" xr:uid="{00000000-0006-0000-0400-000086000000}">
      <text>
        <r>
          <rPr>
            <b/>
            <sz val="9"/>
            <color indexed="81"/>
            <rFont val="Tahoma"/>
            <family val="2"/>
          </rPr>
          <t>2021/08/04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06" authorId="0" shapeId="0" xr:uid="{00000000-0006-0000-0400-000087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107" authorId="0" shapeId="0" xr:uid="{00000000-0006-0000-0400-000088000000}">
      <text>
        <r>
          <rPr>
            <b/>
            <sz val="9"/>
            <color indexed="81"/>
            <rFont val="Tahoma"/>
            <family val="2"/>
          </rPr>
          <t>2021/08/11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107" authorId="0" shapeId="0" xr:uid="{00000000-0006-0000-0400-000089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08" authorId="0" shapeId="0" xr:uid="{00000000-0006-0000-0400-00008A000000}">
      <text>
        <r>
          <rPr>
            <b/>
            <sz val="9"/>
            <color indexed="81"/>
            <rFont val="Tahoma"/>
            <family val="2"/>
          </rPr>
          <t>2021/08/11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09" authorId="0" shapeId="0" xr:uid="{00000000-0006-0000-0400-00008B000000}">
      <text>
        <r>
          <rPr>
            <b/>
            <sz val="9"/>
            <color indexed="81"/>
            <rFont val="Tahoma"/>
            <family val="2"/>
          </rPr>
          <t>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0" authorId="0" shapeId="0" xr:uid="{00000000-0006-0000-0400-00008C000000}">
      <text>
        <r>
          <rPr>
            <b/>
            <sz val="9"/>
            <color indexed="81"/>
            <rFont val="Tahoma"/>
            <family val="2"/>
          </rPr>
          <t>2021/12/17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1" authorId="0" shapeId="0" xr:uid="{00000000-0006-0000-0400-00008D000000}">
      <text>
        <r>
          <rPr>
            <b/>
            <sz val="9"/>
            <color indexed="81"/>
            <rFont val="Tahoma"/>
            <family val="2"/>
          </rPr>
          <t>2021/10/22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11" authorId="0" shapeId="0" xr:uid="{00000000-0006-0000-0400-00008E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12" authorId="0" shapeId="0" xr:uid="{00000000-0006-0000-0400-00008F000000}">
      <text>
        <r>
          <rPr>
            <b/>
            <sz val="9"/>
            <color indexed="81"/>
            <rFont val="Tahoma"/>
            <family val="2"/>
          </rPr>
          <t>2022/10/26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3" authorId="0" shapeId="0" xr:uid="{00000000-0006-0000-0400-000090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</t>
        </r>
      </text>
    </comment>
    <comment ref="E114" authorId="0" shapeId="0" xr:uid="{00000000-0006-0000-0400-000091000000}">
      <text>
        <r>
          <rPr>
            <b/>
            <sz val="9"/>
            <color indexed="81"/>
            <rFont val="Tahoma"/>
            <family val="2"/>
          </rPr>
          <t>2022/02/24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2022/03/02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15" authorId="0" shapeId="0" xr:uid="{00000000-0006-0000-0400-000092000000}">
      <text>
        <r>
          <rPr>
            <b/>
            <sz val="9"/>
            <color indexed="81"/>
            <rFont val="Tahoma"/>
            <family val="2"/>
          </rPr>
          <t>2021/10/28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6" authorId="0" shapeId="0" xr:uid="{00000000-0006-0000-0400-000093000000}">
      <text>
        <r>
          <rPr>
            <b/>
            <sz val="9"/>
            <color indexed="81"/>
            <rFont val="Tahoma"/>
            <family val="2"/>
          </rPr>
          <t>2021/11/11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16" authorId="0" shapeId="0" xr:uid="{00000000-0006-0000-0400-000094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17" authorId="0" shapeId="0" xr:uid="{00000000-0006-0000-0400-000095000000}">
      <text>
        <r>
          <rPr>
            <b/>
            <sz val="9"/>
            <color indexed="81"/>
            <rFont val="Tahoma"/>
            <family val="2"/>
          </rPr>
          <t>2021/10/28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17" authorId="0" shapeId="0" xr:uid="{00000000-0006-0000-0400-000096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18" authorId="0" shapeId="0" xr:uid="{00000000-0006-0000-0400-000097000000}">
      <text>
        <r>
          <rPr>
            <b/>
            <sz val="9"/>
            <color indexed="81"/>
            <rFont val="Tahoma"/>
            <family val="2"/>
          </rPr>
          <t>2021/03/26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2021/11/08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2022/02/08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19" authorId="0" shapeId="0" xr:uid="{00000000-0006-0000-0400-000098000000}">
      <text>
        <r>
          <rPr>
            <b/>
            <sz val="9"/>
            <color indexed="81"/>
            <rFont val="Tahoma"/>
            <family val="2"/>
          </rPr>
          <t>2021/04/27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(60)3-1-1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</t>
        </r>
      </text>
    </comment>
    <comment ref="E120" authorId="0" shapeId="0" xr:uid="{00000000-0006-0000-0400-000099000000}">
      <text>
        <r>
          <rPr>
            <b/>
            <sz val="9"/>
            <color indexed="81"/>
            <rFont val="Tahoma"/>
            <family val="2"/>
          </rPr>
          <t>2022/06/10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1" authorId="0" shapeId="0" xr:uid="{00000000-0006-0000-0400-00009A000000}">
      <text>
        <r>
          <rPr>
            <b/>
            <sz val="9"/>
            <color indexed="81"/>
            <rFont val="Tahoma"/>
            <family val="2"/>
          </rPr>
          <t>2021/10/28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22" authorId="0" shapeId="0" xr:uid="{00000000-0006-0000-0400-00009B000000}">
      <text>
        <r>
          <rPr>
            <b/>
            <sz val="9"/>
            <color indexed="81"/>
            <rFont val="Tahoma"/>
            <family val="2"/>
          </rPr>
          <t>2021/10/22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3" authorId="0" shapeId="0" xr:uid="{00000000-0006-0000-0400-00009C000000}">
      <text>
        <r>
          <rPr>
            <b/>
            <sz val="9"/>
            <color indexed="81"/>
            <rFont val="Tahoma"/>
            <family val="2"/>
          </rPr>
          <t>2021/10/28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4" authorId="0" shapeId="0" xr:uid="{00000000-0006-0000-0400-00009D000000}">
      <text>
        <r>
          <rPr>
            <b/>
            <sz val="9"/>
            <color indexed="81"/>
            <rFont val="Tahoma"/>
            <family val="2"/>
          </rPr>
          <t>2022/06/10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24" authorId="0" shapeId="0" xr:uid="{00000000-0006-0000-0400-00009E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00</t>
        </r>
      </text>
    </comment>
    <comment ref="E125" authorId="0" shapeId="0" xr:uid="{00000000-0006-0000-0400-00009F000000}">
      <text>
        <r>
          <rPr>
            <b/>
            <sz val="9"/>
            <color indexed="81"/>
            <rFont val="Tahoma"/>
            <family val="2"/>
          </rPr>
          <t>2022/05/25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25" authorId="0" shapeId="0" xr:uid="{00000000-0006-0000-0400-0000A0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00</t>
        </r>
      </text>
    </comment>
    <comment ref="E126" authorId="0" shapeId="0" xr:uid="{00000000-0006-0000-0400-0000A1000000}">
      <text>
        <r>
          <rPr>
            <b/>
            <sz val="9"/>
            <color indexed="81"/>
            <rFont val="Tahoma"/>
            <family val="2"/>
          </rPr>
          <t>2021/10/28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(163)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(163)
2021/12/13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126" authorId="0" shapeId="0" xr:uid="{00000000-0006-0000-0400-0000A2000000}">
      <text>
        <r>
          <rPr>
            <b/>
            <sz val="9"/>
            <color indexed="81"/>
            <rFont val="細明體"/>
            <family val="3"/>
            <charset val="136"/>
          </rPr>
          <t>圖面日期：</t>
        </r>
        <r>
          <rPr>
            <b/>
            <sz val="9"/>
            <color indexed="81"/>
            <rFont val="Tahoma"/>
            <family val="2"/>
          </rPr>
          <t>2012-07</t>
        </r>
      </text>
    </comment>
    <comment ref="E127" authorId="0" shapeId="0" xr:uid="{00000000-0006-0000-0400-0000A3000000}">
      <text>
        <r>
          <rPr>
            <b/>
            <sz val="9"/>
            <color indexed="81"/>
            <rFont val="Tahoma"/>
            <family val="2"/>
          </rPr>
          <t>2021/11/22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28" authorId="0" shapeId="0" xr:uid="{00000000-0006-0000-0400-0000A4000000}">
      <text>
        <r>
          <rPr>
            <b/>
            <sz val="9"/>
            <color indexed="81"/>
            <rFont val="Tahoma"/>
            <family val="2"/>
          </rPr>
          <t>2021/11/22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9" authorId="0" shapeId="0" xr:uid="{00000000-0006-0000-0400-0000A5000000}">
      <text>
        <r>
          <rPr>
            <b/>
            <sz val="9"/>
            <color indexed="81"/>
            <rFont val="Tahoma"/>
            <family val="2"/>
          </rPr>
          <t>2022/05/12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30" authorId="0" shapeId="0" xr:uid="{00000000-0006-0000-0400-0000A6000000}">
      <text>
        <r>
          <rPr>
            <b/>
            <sz val="9"/>
            <color indexed="81"/>
            <rFont val="Tahoma"/>
            <family val="2"/>
          </rPr>
          <t>2021/08/11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(129)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(129)
2021/09/10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(97)
2021/10/04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 xml:space="preserve">合併計算
</t>
        </r>
        <r>
          <rPr>
            <b/>
            <sz val="9"/>
            <color indexed="81"/>
            <rFont val="Tahoma"/>
            <family val="2"/>
          </rPr>
          <t>2022/03/07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2022/03/10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L130" authorId="0" shapeId="0" xr:uid="{00000000-0006-0000-0400-0000A7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31" authorId="0" shapeId="0" xr:uid="{00000000-0006-0000-0400-0000A8000000}">
      <text>
        <r>
          <rPr>
            <b/>
            <sz val="9"/>
            <color indexed="81"/>
            <rFont val="Tahoma"/>
            <family val="2"/>
          </rPr>
          <t>2021/12/17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2022/02/18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2022/03/29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L131" authorId="0" shapeId="0" xr:uid="{00000000-0006-0000-0400-0000A9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32" authorId="0" shapeId="0" xr:uid="{00000000-0006-0000-0400-0000AA000000}">
      <text>
        <r>
          <rPr>
            <b/>
            <sz val="9"/>
            <color indexed="81"/>
            <rFont val="Tahoma"/>
            <family val="2"/>
          </rPr>
          <t>2021/12/29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2022/06/21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 xml:space="preserve">陳彥驊領取
</t>
        </r>
        <r>
          <rPr>
            <b/>
            <sz val="9"/>
            <color indexed="81"/>
            <rFont val="Tahoma"/>
            <family val="2"/>
          </rPr>
          <t>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32" authorId="0" shapeId="0" xr:uid="{00000000-0006-0000-0400-0000AB000000}">
      <text>
        <r>
          <rPr>
            <b/>
            <sz val="9"/>
            <color indexed="81"/>
            <rFont val="細明體"/>
            <family val="3"/>
            <charset val="136"/>
          </rPr>
          <t>代料至成品</t>
        </r>
      </text>
    </comment>
    <comment ref="E133" authorId="0" shapeId="0" xr:uid="{00000000-0006-0000-0400-0000AC000000}">
      <text>
        <r>
          <rPr>
            <b/>
            <sz val="9"/>
            <color indexed="81"/>
            <rFont val="Tahoma"/>
            <family val="2"/>
          </rPr>
          <t>2023/12/11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34" authorId="0" shapeId="0" xr:uid="{00000000-0006-0000-0400-0000AD000000}">
      <text>
        <r>
          <rPr>
            <b/>
            <sz val="9"/>
            <color indexed="81"/>
            <rFont val="Tahoma"/>
            <family val="2"/>
          </rPr>
          <t>2024/04/18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35" authorId="0" shapeId="0" xr:uid="{00000000-0006-0000-0400-0000AE000000}">
      <text>
        <r>
          <rPr>
            <b/>
            <sz val="9"/>
            <color indexed="81"/>
            <rFont val="Tahoma"/>
            <family val="2"/>
          </rPr>
          <t>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35" authorId="0" shapeId="0" xr:uid="{00000000-0006-0000-0400-0000AF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 29/03/2021</t>
        </r>
      </text>
    </comment>
    <comment ref="E136" authorId="0" shapeId="0" xr:uid="{00000000-0006-0000-0400-0000B0000000}">
      <text>
        <r>
          <rPr>
            <b/>
            <sz val="9"/>
            <color indexed="81"/>
            <rFont val="Tahoma"/>
            <family val="2"/>
          </rPr>
          <t>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2022/03/10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L136" authorId="0" shapeId="0" xr:uid="{00000000-0006-0000-0400-0000B1000000}">
      <text>
        <r>
          <rPr>
            <b/>
            <sz val="9"/>
            <color indexed="81"/>
            <rFont val="細明體"/>
            <family val="3"/>
            <charset val="136"/>
          </rPr>
          <t>圖面日期：</t>
        </r>
        <r>
          <rPr>
            <b/>
            <sz val="9"/>
            <color indexed="81"/>
            <rFont val="Tahoma"/>
            <family val="2"/>
          </rPr>
          <t>24/07/2008</t>
        </r>
      </text>
    </comment>
    <comment ref="E137" authorId="0" shapeId="0" xr:uid="{00000000-0006-0000-0400-0000B2000000}">
      <text>
        <r>
          <rPr>
            <b/>
            <sz val="9"/>
            <color indexed="81"/>
            <rFont val="Tahoma"/>
            <family val="2"/>
          </rPr>
          <t>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37" authorId="0" shapeId="0" xr:uid="{00000000-0006-0000-0400-0000B3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138" authorId="0" shapeId="0" xr:uid="{00000000-0006-0000-0400-0000B4000000}">
      <text>
        <r>
          <rPr>
            <b/>
            <sz val="9"/>
            <color indexed="81"/>
            <rFont val="Tahoma"/>
            <family val="2"/>
          </rPr>
          <t>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39" authorId="0" shapeId="0" xr:uid="{00000000-0006-0000-0400-0000B5000000}">
      <text>
        <r>
          <rPr>
            <b/>
            <sz val="9"/>
            <color indexed="81"/>
            <rFont val="Tahoma"/>
            <family val="2"/>
          </rPr>
          <t>2022/02/18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139" authorId="0" shapeId="0" xr:uid="{00000000-0006-0000-0400-0000B6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40" authorId="0" shapeId="0" xr:uid="{00000000-0006-0000-0400-0000B7000000}">
      <text>
        <r>
          <rPr>
            <b/>
            <sz val="9"/>
            <color indexed="81"/>
            <rFont val="Tahoma"/>
            <family val="2"/>
          </rPr>
          <t>2020/10/07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1" authorId="0" shapeId="0" xr:uid="{00000000-0006-0000-0400-0000B8000000}">
      <text>
        <r>
          <rPr>
            <b/>
            <sz val="9"/>
            <color indexed="81"/>
            <rFont val="Tahoma"/>
            <family val="2"/>
          </rPr>
          <t>2020/10/13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2" authorId="0" shapeId="0" xr:uid="{00000000-0006-0000-0400-0000B9000000}">
      <text>
        <r>
          <rPr>
            <b/>
            <sz val="9"/>
            <color indexed="81"/>
            <rFont val="Tahoma"/>
            <family val="2"/>
          </rPr>
          <t>2020/10/07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3" authorId="0" shapeId="0" xr:uid="{00000000-0006-0000-0400-0000BA000000}">
      <text>
        <r>
          <rPr>
            <b/>
            <sz val="9"/>
            <color indexed="81"/>
            <rFont val="Tahoma"/>
            <family val="2"/>
          </rPr>
          <t>2020/09/08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4" authorId="0" shapeId="0" xr:uid="{00000000-0006-0000-0400-0000BB000000}">
      <text>
        <r>
          <rPr>
            <b/>
            <sz val="9"/>
            <color indexed="81"/>
            <rFont val="Tahoma"/>
            <family val="2"/>
          </rPr>
          <t>2020/09/09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5" authorId="0" shapeId="0" xr:uid="{00000000-0006-0000-0400-0000BC000000}">
      <text>
        <r>
          <rPr>
            <b/>
            <sz val="9"/>
            <color indexed="81"/>
            <rFont val="Tahoma"/>
            <family val="2"/>
          </rPr>
          <t>2020/10/07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6" authorId="0" shapeId="0" xr:uid="{00000000-0006-0000-0400-0000B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47" authorId="0" shapeId="0" xr:uid="{00000000-0006-0000-0400-0000BE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8" authorId="0" shapeId="0" xr:uid="{00000000-0006-0000-0400-0000BF000000}">
      <text>
        <r>
          <rPr>
            <b/>
            <sz val="9"/>
            <color indexed="81"/>
            <rFont val="Tahoma"/>
            <family val="2"/>
          </rPr>
          <t>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49" authorId="0" shapeId="0" xr:uid="{00000000-0006-0000-0400-0000C0000000}">
      <text>
        <r>
          <rPr>
            <b/>
            <sz val="9"/>
            <color indexed="81"/>
            <rFont val="Tahoma"/>
            <family val="2"/>
          </rPr>
          <t>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49" authorId="0" shapeId="0" xr:uid="{00000000-0006-0000-0400-0000C1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50" authorId="0" shapeId="0" xr:uid="{00000000-0006-0000-0400-0000C2000000}">
      <text>
        <r>
          <rPr>
            <b/>
            <sz val="9"/>
            <color indexed="81"/>
            <rFont val="Tahoma"/>
            <family val="2"/>
          </rPr>
          <t>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50" authorId="0" shapeId="0" xr:uid="{00000000-0006-0000-0400-0000C3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E151" authorId="0" shapeId="0" xr:uid="{00000000-0006-0000-0400-0000C4000000}">
      <text>
        <r>
          <rPr>
            <b/>
            <sz val="9"/>
            <color indexed="81"/>
            <rFont val="Tahoma"/>
            <family val="2"/>
          </rPr>
          <t>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51" authorId="0" shapeId="0" xr:uid="{00000000-0006-0000-0400-0000C5000000}">
      <text>
        <r>
          <rPr>
            <b/>
            <sz val="9"/>
            <color indexed="81"/>
            <rFont val="細明體"/>
            <family val="3"/>
            <charset val="136"/>
          </rPr>
          <t>有改新料號</t>
        </r>
      </text>
    </comment>
    <comment ref="E152" authorId="0" shapeId="0" xr:uid="{00000000-0006-0000-0400-0000C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2019/09/17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3" authorId="0" shapeId="0" xr:uid="{00000000-0006-0000-0400-0000C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(24)1-2-1-1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</t>
        </r>
      </text>
    </comment>
    <comment ref="E154" authorId="0" shapeId="0" xr:uid="{00000000-0006-0000-0400-0000C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2019/09/24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  <r>
          <rPr>
            <b/>
            <sz val="9"/>
            <color indexed="81"/>
            <rFont val="Tahoma"/>
            <family val="2"/>
          </rPr>
          <t>9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D3-2(30)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(30)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(30)1-2-1-1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</t>
        </r>
      </text>
    </comment>
    <comment ref="E155" authorId="0" shapeId="0" xr:uid="{00000000-0006-0000-0400-0000C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6" authorId="0" shapeId="0" xr:uid="{00000000-0006-0000-0400-0000CA000000}">
      <text>
        <r>
          <rPr>
            <b/>
            <sz val="9"/>
            <color indexed="81"/>
            <rFont val="Tahoma"/>
            <family val="2"/>
          </rPr>
          <t>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56" authorId="0" shapeId="0" xr:uid="{00000000-0006-0000-0400-0000CB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C</t>
        </r>
      </text>
    </comment>
    <comment ref="E157" authorId="0" shapeId="0" xr:uid="{00000000-0006-0000-0400-0000C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58" authorId="0" shapeId="0" xr:uid="{00000000-0006-0000-0400-0000C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59" authorId="0" shapeId="0" xr:uid="{00000000-0006-0000-0400-0000C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0" authorId="0" shapeId="0" xr:uid="{00000000-0006-0000-0400-0000C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61" authorId="0" shapeId="0" xr:uid="{00000000-0006-0000-0400-0000D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D162" authorId="0" shapeId="0" xr:uid="{00000000-0006-0000-0400-0000D1000000}">
      <text>
        <r>
          <rPr>
            <b/>
            <sz val="9"/>
            <color indexed="81"/>
            <rFont val="細明體"/>
            <family val="3"/>
            <charset val="136"/>
          </rPr>
          <t>庫存：版次：</t>
        </r>
        <r>
          <rPr>
            <b/>
            <sz val="9"/>
            <color indexed="81"/>
            <rFont val="Tahoma"/>
            <family val="2"/>
          </rPr>
          <t xml:space="preserve">01
2022/10/21 </t>
        </r>
        <r>
          <rPr>
            <b/>
            <sz val="9"/>
            <color indexed="81"/>
            <rFont val="細明體"/>
            <family val="3"/>
            <charset val="136"/>
          </rPr>
          <t>新版次：</t>
        </r>
        <r>
          <rPr>
            <b/>
            <sz val="9"/>
            <color indexed="81"/>
            <rFont val="Tahoma"/>
            <family val="2"/>
          </rPr>
          <t>02</t>
        </r>
        <r>
          <rPr>
            <b/>
            <sz val="9"/>
            <color indexed="81"/>
            <rFont val="細明體"/>
            <family val="3"/>
            <charset val="136"/>
          </rPr>
          <t>的圖面</t>
        </r>
      </text>
    </comment>
    <comment ref="E162" authorId="0" shapeId="0" xr:uid="{00000000-0006-0000-0400-0000D2000000}">
      <text>
        <r>
          <rPr>
            <b/>
            <sz val="9"/>
            <color indexed="81"/>
            <rFont val="Tahoma"/>
            <family val="2"/>
          </rPr>
          <t>2020/07/24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2020/09/21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2020/09/21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D3-1(4)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L162" authorId="0" shapeId="0" xr:uid="{00000000-0006-0000-0400-0000D3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 xml:space="preserve">01
</t>
        </r>
      </text>
    </comment>
    <comment ref="E163" authorId="0" shapeId="0" xr:uid="{00000000-0006-0000-0400-0000D4000000}">
      <text>
        <r>
          <rPr>
            <b/>
            <sz val="9"/>
            <color indexed="81"/>
            <rFont val="Tahoma"/>
            <family val="2"/>
          </rPr>
          <t>2020/07/15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4" authorId="0" shapeId="0" xr:uid="{00000000-0006-0000-0400-0000D5000000}">
      <text>
        <r>
          <rPr>
            <b/>
            <sz val="9"/>
            <color indexed="81"/>
            <rFont val="Tahoma"/>
            <family val="2"/>
          </rPr>
          <t>2020/07/24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5" authorId="0" shapeId="0" xr:uid="{00000000-0006-0000-0400-0000D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65" authorId="0" shapeId="0" xr:uid="{00000000-0006-0000-0400-0000D7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01</t>
        </r>
      </text>
    </comment>
    <comment ref="E166" authorId="0" shapeId="0" xr:uid="{00000000-0006-0000-0400-0000D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7" authorId="0" shapeId="0" xr:uid="{00000000-0006-0000-0400-0000D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8" authorId="0" shapeId="0" xr:uid="{00000000-0006-0000-0400-0000DA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9" authorId="0" shapeId="0" xr:uid="{00000000-0006-0000-0400-0000D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0" authorId="0" shapeId="0" xr:uid="{00000000-0006-0000-0400-0000D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170" authorId="0" shapeId="0" xr:uid="{00000000-0006-0000-0400-0000DD000000}">
      <text>
        <r>
          <rPr>
            <b/>
            <sz val="9"/>
            <color indexed="81"/>
            <rFont val="Tahoma"/>
            <family val="2"/>
          </rPr>
          <t>SNCM415</t>
        </r>
      </text>
    </comment>
    <comment ref="E171" authorId="0" shapeId="0" xr:uid="{00000000-0006-0000-0400-0000D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2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D3-1(13)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(13)1-2-1-1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</t>
        </r>
      </text>
    </comment>
    <comment ref="L171" authorId="0" shapeId="0" xr:uid="{00000000-0006-0000-0400-0000DF000000}">
      <text>
        <r>
          <rPr>
            <b/>
            <sz val="9"/>
            <color indexed="81"/>
            <rFont val="Tahoma"/>
            <family val="2"/>
          </rPr>
          <t>S45C</t>
        </r>
      </text>
    </comment>
    <comment ref="E172" authorId="0" shapeId="0" xr:uid="{00000000-0006-0000-0400-0000E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D3-1(15)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L172" authorId="0" shapeId="0" xr:uid="{00000000-0006-0000-0400-0000E1000000}">
      <text>
        <r>
          <rPr>
            <b/>
            <sz val="9"/>
            <color indexed="81"/>
            <rFont val="Tahoma"/>
            <family val="2"/>
          </rPr>
          <t>S45C</t>
        </r>
      </text>
    </comment>
    <comment ref="E173" authorId="0" shapeId="0" xr:uid="{00000000-0006-0000-0400-0000E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74" authorId="0" shapeId="0" xr:uid="{00000000-0006-0000-0400-0000E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75" authorId="0" shapeId="0" xr:uid="{00000000-0006-0000-0400-0000E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6" authorId="0" shapeId="0" xr:uid="{00000000-0006-0000-0400-0000E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7" authorId="0" shapeId="0" xr:uid="{00000000-0006-0000-0400-0000E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 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8" authorId="0" shapeId="0" xr:uid="{00000000-0006-0000-0400-0000E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9" authorId="0" shapeId="0" xr:uid="{00000000-0006-0000-0400-0000E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0" authorId="0" shapeId="0" xr:uid="{00000000-0006-0000-0400-0000E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1" authorId="0" shapeId="0" xr:uid="{00000000-0006-0000-0400-0000E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2" authorId="0" shapeId="0" xr:uid="{00000000-0006-0000-0400-0000E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3" authorId="0" shapeId="0" xr:uid="{00000000-0006-0000-0400-0000E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4" authorId="0" shapeId="0" xr:uid="{00000000-0006-0000-0400-0000E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5" authorId="0" shapeId="0" xr:uid="{00000000-0006-0000-0400-0000E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6" authorId="0" shapeId="0" xr:uid="{00000000-0006-0000-0400-0000E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7" authorId="0" shapeId="0" xr:uid="{00000000-0006-0000-0400-0000F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8" authorId="0" shapeId="0" xr:uid="{00000000-0006-0000-0400-0000F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D3-1(6)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(6)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189" authorId="0" shapeId="0" xr:uid="{00000000-0006-0000-0400-0000F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2019/08/09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2019/09/24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90" authorId="0" shapeId="0" xr:uid="{00000000-0006-0000-0400-0000F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2019/08/09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2019/09/24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91" authorId="0" shapeId="0" xr:uid="{00000000-0006-0000-0400-0000F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2018/09/24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2019/03/02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2019/03/17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2019/03/23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D3-1(4)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L191" authorId="0" shapeId="0" xr:uid="{00000000-0006-0000-0400-0000F5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192" authorId="0" shapeId="0" xr:uid="{00000000-0006-0000-0400-0000F6000000}">
      <text>
        <r>
          <rPr>
            <b/>
            <sz val="9"/>
            <color indexed="81"/>
            <rFont val="Tahoma"/>
            <family val="2"/>
          </rPr>
          <t>2020/07/09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3" authorId="0" shapeId="0" xr:uid="{00000000-0006-0000-0400-0000F7000000}">
      <text>
        <r>
          <rPr>
            <b/>
            <sz val="9"/>
            <color indexed="81"/>
            <rFont val="Tahoma"/>
            <family val="2"/>
          </rPr>
          <t>2020/07/09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4" authorId="0" shapeId="0" xr:uid="{00000000-0006-0000-0400-0000F8000000}">
      <text>
        <r>
          <rPr>
            <b/>
            <sz val="9"/>
            <color indexed="81"/>
            <rFont val="Tahoma"/>
            <family val="2"/>
          </rPr>
          <t>2020/07/30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5" authorId="0" shapeId="0" xr:uid="{00000000-0006-0000-0400-0000F9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6" authorId="0" shapeId="0" xr:uid="{00000000-0006-0000-0400-0000FA000000}">
      <text>
        <r>
          <rPr>
            <b/>
            <sz val="9"/>
            <color indexed="81"/>
            <rFont val="Tahoma"/>
            <family val="2"/>
          </rPr>
          <t>2020/08/11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7" authorId="0" shapeId="0" xr:uid="{00000000-0006-0000-0400-0000FB000000}">
      <text>
        <r>
          <rPr>
            <b/>
            <sz val="9"/>
            <color indexed="81"/>
            <rFont val="Tahoma"/>
            <family val="2"/>
          </rPr>
          <t>2020/08/11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8" authorId="0" shapeId="0" xr:uid="{00000000-0006-0000-0400-0000FC000000}">
      <text>
        <r>
          <rPr>
            <b/>
            <sz val="9"/>
            <color indexed="81"/>
            <rFont val="Tahoma"/>
            <family val="2"/>
          </rPr>
          <t>2020/08/11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I198" authorId="0" shapeId="0" xr:uid="{00000000-0006-0000-0400-0000FD000000}">
      <text>
        <r>
          <rPr>
            <b/>
            <sz val="9"/>
            <color indexed="81"/>
            <rFont val="Tahoma"/>
            <family val="2"/>
          </rPr>
          <t>B-1090707004
B-1090707005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9" authorId="0" shapeId="0" xr:uid="{00000000-0006-0000-0400-0000FE000000}">
      <text>
        <r>
          <rPr>
            <b/>
            <sz val="9"/>
            <color indexed="81"/>
            <rFont val="Tahoma"/>
            <family val="2"/>
          </rPr>
          <t>2020/08/11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庫存(1</t>
        </r>
        <r>
          <rPr>
            <b/>
            <sz val="9"/>
            <color indexed="81"/>
            <rFont val="Tahoma"/>
            <family val="2"/>
          </rPr>
          <t>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I199" authorId="0" shapeId="0" xr:uid="{00000000-0006-0000-0400-0000FF000000}">
      <text>
        <r>
          <rPr>
            <b/>
            <sz val="9"/>
            <color indexed="81"/>
            <rFont val="Tahoma"/>
            <family val="2"/>
          </rPr>
          <t>B03L19A080-A
B03L19A080-B</t>
        </r>
      </text>
    </comment>
    <comment ref="E200" authorId="0" shapeId="0" xr:uid="{00000000-0006-0000-0400-000000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D3-1(16)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(16)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(16)1-2-1-1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</t>
        </r>
      </text>
    </comment>
    <comment ref="E201" authorId="0" shapeId="0" xr:uid="{00000000-0006-0000-0400-000001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02" authorId="0" shapeId="0" xr:uid="{00000000-0006-0000-0400-000002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3" authorId="0" shapeId="0" xr:uid="{00000000-0006-0000-0400-000003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4" authorId="0" shapeId="0" xr:uid="{00000000-0006-0000-0400-000004010000}">
      <text>
        <r>
          <rPr>
            <b/>
            <sz val="9"/>
            <color indexed="81"/>
            <rFont val="Tahoma"/>
            <family val="2"/>
          </rPr>
          <t>2020/07/27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5" authorId="0" shapeId="0" xr:uid="{00000000-0006-0000-0400-000005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6" authorId="0" shapeId="0" xr:uid="{00000000-0006-0000-0400-000006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8/9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(2)
9/24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(2)
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原億昌借出
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 xml:space="preserve">後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7" authorId="0" shapeId="0" xr:uid="{00000000-0006-0000-0400-000007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2019/09/17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8" authorId="0" shapeId="0" xr:uid="{00000000-0006-0000-0400-000008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L208" authorId="0" shapeId="0" xr:uid="{00000000-0006-0000-0400-000009010000}">
      <text>
        <r>
          <rPr>
            <b/>
            <sz val="9"/>
            <color indexed="81"/>
            <rFont val="細明體"/>
            <family val="3"/>
            <charset val="136"/>
          </rPr>
          <t>左斜</t>
        </r>
        <r>
          <rPr>
            <b/>
            <sz val="9"/>
            <color indexed="81"/>
            <rFont val="Tahoma"/>
            <family val="2"/>
          </rPr>
          <t xml:space="preserve"> 19°31’42"</t>
        </r>
      </text>
    </comment>
    <comment ref="E209" authorId="0" shapeId="0" xr:uid="{00000000-0006-0000-0400-00000A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10" authorId="0" shapeId="0" xr:uid="{00000000-0006-0000-0400-00000B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210" authorId="0" shapeId="0" xr:uid="{00000000-0006-0000-0400-00000C010000}">
      <text>
        <r>
          <rPr>
            <b/>
            <sz val="9"/>
            <color indexed="81"/>
            <rFont val="細明體"/>
            <family val="3"/>
            <charset val="136"/>
          </rPr>
          <t>帶料到齒研</t>
        </r>
      </text>
    </comment>
    <comment ref="E211" authorId="0" shapeId="0" xr:uid="{00000000-0006-0000-0400-00000D010000}">
      <text>
        <r>
          <rPr>
            <b/>
            <sz val="9"/>
            <color indexed="81"/>
            <rFont val="Tahoma"/>
            <family val="2"/>
          </rPr>
          <t>2019/09/02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12" authorId="0" shapeId="0" xr:uid="{00000000-0006-0000-0400-00000E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13" authorId="0" shapeId="0" xr:uid="{00000000-0006-0000-0400-00000F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14" authorId="0" shapeId="0" xr:uid="{00000000-0006-0000-0400-000010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15" authorId="0" shapeId="0" xr:uid="{00000000-0006-0000-0400-000011010000}">
      <text>
        <r>
          <rPr>
            <b/>
            <sz val="9"/>
            <color indexed="81"/>
            <rFont val="Tahoma"/>
            <family val="2"/>
          </rPr>
          <t>2020/09/08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16" authorId="0" shapeId="0" xr:uid="{00000000-0006-0000-0400-000012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(2)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17" authorId="0" shapeId="0" xr:uid="{00000000-0006-0000-0400-000013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 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18" authorId="0" shapeId="0" xr:uid="{00000000-0006-0000-0400-000014010000}">
      <text>
        <r>
          <rPr>
            <b/>
            <sz val="9"/>
            <color indexed="81"/>
            <rFont val="Tahoma"/>
            <family val="2"/>
          </rPr>
          <t>2020/08/26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19" authorId="0" shapeId="0" xr:uid="{00000000-0006-0000-0400-00001501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D2-2(2)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20" authorId="0" shapeId="0" xr:uid="{00000000-0006-0000-0400-000016010000}">
      <text>
        <r>
          <rPr>
            <b/>
            <sz val="9"/>
            <color indexed="81"/>
            <rFont val="Tahoma"/>
            <family val="2"/>
          </rPr>
          <t>2020/10/07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1" authorId="0" shapeId="0" xr:uid="{00000000-0006-0000-0400-000017010000}">
      <text>
        <r>
          <rPr>
            <b/>
            <sz val="9"/>
            <color indexed="81"/>
            <rFont val="Tahoma"/>
            <family val="2"/>
          </rPr>
          <t>2020/10/16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2" authorId="0" shapeId="0" xr:uid="{00000000-0006-0000-0400-000018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3" authorId="0" shapeId="0" xr:uid="{00000000-0006-0000-0400-000019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4" authorId="0" shapeId="0" xr:uid="{00000000-0006-0000-0400-00001A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D2-2(4)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225" authorId="0" shapeId="0" xr:uid="{00000000-0006-0000-0400-00001B010000}">
      <text>
        <r>
          <rPr>
            <b/>
            <sz val="9"/>
            <color indexed="81"/>
            <rFont val="Tahoma"/>
            <family val="2"/>
          </rPr>
          <t>2020/06/12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6" authorId="0" shapeId="0" xr:uid="{00000000-0006-0000-0400-00001C010000}">
      <text>
        <r>
          <rPr>
            <b/>
            <sz val="9"/>
            <color indexed="81"/>
            <rFont val="Tahoma"/>
            <family val="2"/>
          </rPr>
          <t>2020/09/23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7" authorId="0" shapeId="0" xr:uid="{00000000-0006-0000-0400-00001D010000}">
      <text>
        <r>
          <rPr>
            <b/>
            <sz val="9"/>
            <color indexed="81"/>
            <rFont val="Tahoma"/>
            <family val="2"/>
          </rPr>
          <t>2020/06/12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1-2-2-2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8" authorId="0" shapeId="0" xr:uid="{00000000-0006-0000-0400-00001E01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235" authorId="0" shapeId="0" xr:uid="{00000000-0006-0000-0400-00001F01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(37)
2019/11/22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D3-2(14)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1-2-1-1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(14)1-2-1-1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2026/01/28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2026/01/28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236" authorId="0" shapeId="0" xr:uid="{00000000-0006-0000-0400-000020010000}">
      <text>
        <r>
          <rPr>
            <b/>
            <sz val="9"/>
            <color indexed="81"/>
            <rFont val="Tahoma"/>
            <family val="2"/>
          </rPr>
          <t>2023/07/25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(102)3-1-1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(102)</t>
        </r>
        <r>
          <rPr>
            <b/>
            <sz val="9"/>
            <color indexed="81"/>
            <rFont val="細明體"/>
            <family val="3"/>
            <charset val="136"/>
          </rPr>
          <t>三廠泡殼→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3-2-2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(102)
2026/01/28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2" authorId="0" shapeId="0" xr:uid="{00000000-0006-0000-0500-000001000000}">
      <text>
        <r>
          <rPr>
            <b/>
            <sz val="10"/>
            <color indexed="81"/>
            <rFont val="Tahoma"/>
            <family val="2"/>
          </rPr>
          <t xml:space="preserve">9/12 
</t>
        </r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4-1-1</t>
        </r>
        <r>
          <rPr>
            <b/>
            <sz val="10"/>
            <color indexed="81"/>
            <rFont val="細明體"/>
            <family val="3"/>
            <charset val="136"/>
          </rPr>
          <t>→三廠樓梯旁
原二廠走道→三廠樓梯旁
原二廠鐵架前→三廠泡殼旁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 xml:space="preserve">
原二廠走道→三廠電梯旁
原棧</t>
        </r>
        <r>
          <rPr>
            <b/>
            <sz val="10"/>
            <color indexed="81"/>
            <rFont val="Tahoma"/>
            <family val="2"/>
          </rPr>
          <t>6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>C1/C2-</t>
        </r>
        <r>
          <rPr>
            <b/>
            <sz val="10"/>
            <color indexed="81"/>
            <rFont val="細明體"/>
            <family val="3"/>
            <charset val="136"/>
          </rPr>
          <t>箱</t>
        </r>
      </text>
    </comment>
    <comment ref="M2" authorId="0" shapeId="0" xr:uid="{00000000-0006-0000-05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2021/03/10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</t>
        </r>
      </text>
    </comment>
    <comment ref="E5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6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2023/06/12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7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2021/06/28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L7" authorId="0" shapeId="0" xr:uid="{00000000-0006-0000-0500-000007000000}">
      <text>
        <r>
          <rPr>
            <b/>
            <sz val="9"/>
            <color indexed="81"/>
            <rFont val="細明體"/>
            <family val="3"/>
            <charset val="136"/>
          </rPr>
          <t>代料至齒研</t>
        </r>
      </text>
    </comment>
    <comment ref="E8" authorId="0" shapeId="0" xr:uid="{00000000-0006-0000-0500-000008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9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2024/04/02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(6)5-4-2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(6)5-3-1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10" authorId="0" shapeId="0" xr:uid="{00000000-0006-0000-0500-00000A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1" authorId="0" shapeId="0" xr:uid="{00000000-0006-0000-0500-00000B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2" authorId="0" shapeId="0" xr:uid="{00000000-0006-0000-0500-00000C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(72)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(72)</t>
        </r>
      </text>
    </comment>
    <comment ref="E13" authorId="0" shapeId="0" xr:uid="{00000000-0006-0000-0500-00000D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(45)</t>
        </r>
      </text>
    </comment>
    <comment ref="E14" authorId="0" shapeId="0" xr:uid="{00000000-0006-0000-0500-00000E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5" authorId="0" shapeId="0" xr:uid="{00000000-0006-0000-0500-00000F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</t>
        </r>
      </text>
    </comment>
    <comment ref="E16" authorId="0" shapeId="0" xr:uid="{00000000-0006-0000-0500-000010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7" authorId="0" shapeId="0" xr:uid="{00000000-0006-0000-0500-000011000000}">
      <text>
        <r>
          <rPr>
            <b/>
            <sz val="9"/>
            <color indexed="81"/>
            <rFont val="Tahoma"/>
            <family val="2"/>
          </rPr>
          <t>2024/04/18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(210)
2024/08/20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(110)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(110) 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(110)
2025/01/03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8" authorId="0" shapeId="0" xr:uid="{00000000-0006-0000-0500-000012000000}">
      <text>
        <r>
          <rPr>
            <b/>
            <sz val="10"/>
            <color indexed="81"/>
            <rFont val="Tahoma"/>
            <family val="2"/>
          </rPr>
          <t>2024/09/27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</t>
        </r>
      </text>
    </comment>
    <comment ref="E19" authorId="0" shapeId="0" xr:uid="{00000000-0006-0000-0500-000013000000}">
      <text>
        <r>
          <rPr>
            <b/>
            <sz val="9"/>
            <color indexed="81"/>
            <rFont val="Tahoma"/>
            <family val="2"/>
          </rPr>
          <t>2020/03/12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2020/09/23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2020/10/22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 xml:space="preserve">試樣
</t>
        </r>
        <r>
          <rPr>
            <b/>
            <sz val="9"/>
            <color indexed="81"/>
            <rFont val="Tahoma"/>
            <family val="2"/>
          </rPr>
          <t>2020/11/05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 xml:space="preserve">試樣
</t>
        </r>
        <r>
          <rPr>
            <b/>
            <sz val="9"/>
            <color indexed="81"/>
            <rFont val="Tahoma"/>
            <family val="2"/>
          </rPr>
          <t>2020/11/09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 xml:space="preserve">試樣歸回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20" authorId="0" shapeId="0" xr:uid="{00000000-0006-0000-0500-000014000000}">
      <text>
        <r>
          <rPr>
            <b/>
            <sz val="9"/>
            <color indexed="81"/>
            <rFont val="Tahoma"/>
            <family val="2"/>
          </rPr>
          <t>2021/05/04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 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21" authorId="0" shapeId="0" xr:uid="{00000000-0006-0000-0500-000015000000}">
      <text>
        <r>
          <rPr>
            <b/>
            <sz val="9"/>
            <color indexed="81"/>
            <rFont val="Tahoma"/>
            <family val="2"/>
          </rPr>
          <t>2021/02/19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 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(98)4-1-1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(98)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(98)</t>
        </r>
      </text>
    </comment>
    <comment ref="E22" authorId="0" shapeId="0" xr:uid="{00000000-0006-0000-0500-000016000000}">
      <text>
        <r>
          <rPr>
            <b/>
            <sz val="9"/>
            <color indexed="81"/>
            <rFont val="Tahoma"/>
            <family val="2"/>
          </rPr>
          <t>2020/12/23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23" authorId="0" shapeId="0" xr:uid="{00000000-0006-0000-0500-000017000000}">
      <text>
        <r>
          <rPr>
            <b/>
            <sz val="9"/>
            <color indexed="81"/>
            <rFont val="Tahoma"/>
            <family val="2"/>
          </rPr>
          <t>2020/12/23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24" authorId="0" shapeId="0" xr:uid="{00000000-0006-0000-0500-000018000000}">
      <text>
        <r>
          <rPr>
            <b/>
            <sz val="9"/>
            <color indexed="81"/>
            <rFont val="Tahoma"/>
            <family val="2"/>
          </rPr>
          <t>2020/12/30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25" authorId="0" shapeId="0" xr:uid="{00000000-0006-0000-0500-000019000000}">
      <text>
        <r>
          <rPr>
            <b/>
            <sz val="9"/>
            <color indexed="81"/>
            <rFont val="Tahoma"/>
            <family val="2"/>
          </rPr>
          <t>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(55)</t>
        </r>
      </text>
    </comment>
    <comment ref="L25" authorId="0" shapeId="0" xr:uid="{00000000-0006-0000-0500-00001A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26" authorId="0" shapeId="0" xr:uid="{00000000-0006-0000-0500-00001B000000}">
      <text>
        <r>
          <rPr>
            <b/>
            <sz val="9"/>
            <color indexed="81"/>
            <rFont val="Tahoma"/>
            <family val="2"/>
          </rPr>
          <t>2020/12/23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</text>
    </comment>
    <comment ref="E27" authorId="0" shapeId="0" xr:uid="{00000000-0006-0000-0500-00001C000000}">
      <text>
        <r>
          <rPr>
            <b/>
            <sz val="9"/>
            <color indexed="81"/>
            <rFont val="Tahoma"/>
            <family val="2"/>
          </rPr>
          <t>2022/10/26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8" authorId="0" shapeId="0" xr:uid="{00000000-0006-0000-0500-00001D000000}">
      <text>
        <r>
          <rPr>
            <b/>
            <sz val="9"/>
            <color indexed="81"/>
            <rFont val="Tahoma"/>
            <family val="2"/>
          </rPr>
          <t>2023/03/24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2023/05/17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29" authorId="0" shapeId="0" xr:uid="{00000000-0006-0000-0500-00001E000000}">
      <text>
        <r>
          <rPr>
            <b/>
            <sz val="9"/>
            <color indexed="81"/>
            <rFont val="Tahoma"/>
            <family val="2"/>
          </rPr>
          <t>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30" authorId="0" shapeId="0" xr:uid="{00000000-0006-0000-0500-00001F000000}">
      <text>
        <r>
          <rPr>
            <b/>
            <sz val="9"/>
            <color indexed="81"/>
            <rFont val="Tahoma"/>
            <family val="2"/>
          </rPr>
          <t>2023/06/02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1" authorId="0" shapeId="0" xr:uid="{00000000-0006-0000-0500-000020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2" authorId="0" shapeId="0" xr:uid="{00000000-0006-0000-0500-000021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33" authorId="0" shapeId="0" xr:uid="{00000000-0006-0000-0500-000022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4" authorId="0" shapeId="0" xr:uid="{00000000-0006-0000-0500-000023000000}">
      <text>
        <r>
          <rPr>
            <b/>
            <sz val="9"/>
            <color indexed="81"/>
            <rFont val="Tahoma"/>
            <family val="2"/>
          </rPr>
          <t>2023/09/21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35" authorId="0" shapeId="0" xr:uid="{00000000-0006-0000-0500-000024000000}">
      <text>
        <r>
          <rPr>
            <b/>
            <sz val="9"/>
            <color indexed="81"/>
            <rFont val="Tahoma"/>
            <family val="2"/>
          </rPr>
          <t>2023/09/21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6" authorId="0" shapeId="0" xr:uid="{00000000-0006-0000-0500-000025000000}">
      <text>
        <r>
          <rPr>
            <b/>
            <sz val="9"/>
            <color indexed="81"/>
            <rFont val="Tahoma"/>
            <family val="2"/>
          </rPr>
          <t>2024/02/02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37" authorId="0" shapeId="0" xr:uid="{00000000-0006-0000-0500-000026000000}">
      <text>
        <r>
          <rPr>
            <b/>
            <sz val="9"/>
            <color indexed="81"/>
            <rFont val="Tahoma"/>
            <family val="2"/>
          </rPr>
          <t>2024/02/02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8" authorId="0" shapeId="0" xr:uid="{00000000-0006-0000-0500-000027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39" authorId="0" shapeId="0" xr:uid="{00000000-0006-0000-0500-000028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(49)4-1-1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(49)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</t>
        </r>
      </text>
    </comment>
    <comment ref="E40" authorId="0" shapeId="0" xr:uid="{00000000-0006-0000-0500-000029000000}">
      <text>
        <r>
          <rPr>
            <b/>
            <sz val="10"/>
            <color indexed="81"/>
            <rFont val="Tahoma"/>
            <family val="2"/>
          </rPr>
          <t>2024/07/15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2024/09/12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(5)4-1-1</t>
        </r>
        <r>
          <rPr>
            <b/>
            <sz val="10"/>
            <color indexed="81"/>
            <rFont val="細明體"/>
            <family val="3"/>
            <charset val="136"/>
          </rPr>
          <t>→三廠泡殼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2025/03/12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(5)</t>
        </r>
        <r>
          <rPr>
            <b/>
            <sz val="10"/>
            <color indexed="81"/>
            <rFont val="細明體"/>
            <family val="3"/>
            <charset val="136"/>
          </rPr>
          <t>三廠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泡殼旁→一廠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架</t>
        </r>
        <r>
          <rPr>
            <b/>
            <sz val="10"/>
            <color indexed="81"/>
            <rFont val="Tahoma"/>
            <family val="2"/>
          </rPr>
          <t xml:space="preserve">2-2-2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(5)
</t>
        </r>
      </text>
    </comment>
    <comment ref="E41" authorId="0" shapeId="0" xr:uid="{00000000-0006-0000-0500-00002A000000}">
      <text>
        <r>
          <rPr>
            <b/>
            <sz val="10"/>
            <color indexed="81"/>
            <rFont val="Tahoma"/>
            <family val="2"/>
          </rPr>
          <t>2024/07/15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2024/09/12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(3)4-1-1</t>
        </r>
        <r>
          <rPr>
            <b/>
            <sz val="10"/>
            <color indexed="81"/>
            <rFont val="細明體"/>
            <family val="3"/>
            <charset val="136"/>
          </rPr>
          <t>→三廠泡殼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2025/03/12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(3)</t>
        </r>
        <r>
          <rPr>
            <b/>
            <sz val="10"/>
            <color indexed="81"/>
            <rFont val="細明體"/>
            <family val="3"/>
            <charset val="136"/>
          </rPr>
          <t>三廠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泡殼旁→一廠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架</t>
        </r>
        <r>
          <rPr>
            <b/>
            <sz val="10"/>
            <color indexed="81"/>
            <rFont val="Tahoma"/>
            <family val="2"/>
          </rPr>
          <t xml:space="preserve">2-2-2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42" authorId="0" shapeId="0" xr:uid="{00000000-0006-0000-0500-00002B000000}">
      <text>
        <r>
          <rPr>
            <b/>
            <sz val="9"/>
            <color indexed="81"/>
            <rFont val="Tahoma"/>
            <family val="2"/>
          </rPr>
          <t>2022/07/22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(211)4-1-1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(211)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(211)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(211)</t>
        </r>
      </text>
    </comment>
    <comment ref="E43" authorId="0" shapeId="0" xr:uid="{00000000-0006-0000-0500-00002C000000}">
      <text>
        <r>
          <rPr>
            <b/>
            <sz val="9"/>
            <color indexed="81"/>
            <rFont val="Tahoma"/>
            <family val="2"/>
          </rPr>
          <t>2023/01/17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(255)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(255)4-1-1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(255)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(255)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(255)</t>
        </r>
      </text>
    </comment>
    <comment ref="L43" authorId="0" shapeId="0" xr:uid="{00000000-0006-0000-0500-00002D000000}">
      <text>
        <r>
          <rPr>
            <b/>
            <sz val="9"/>
            <color indexed="81"/>
            <rFont val="細明體"/>
            <family val="3"/>
            <charset val="136"/>
          </rPr>
          <t>代料至齒研</t>
        </r>
      </text>
    </comment>
    <comment ref="E44" authorId="0" shapeId="0" xr:uid="{00000000-0006-0000-0500-00002E000000}">
      <text>
        <r>
          <rPr>
            <b/>
            <sz val="9"/>
            <color indexed="81"/>
            <rFont val="Tahoma"/>
            <family val="2"/>
          </rPr>
          <t>2022/04/01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(22)4-1-1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(22)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</t>
        </r>
      </text>
    </comment>
    <comment ref="L44" authorId="0" shapeId="0" xr:uid="{00000000-0006-0000-0500-00002F000000}">
      <text>
        <r>
          <rPr>
            <b/>
            <sz val="9"/>
            <color indexed="81"/>
            <rFont val="細明體"/>
            <family val="3"/>
            <charset val="136"/>
          </rPr>
          <t>代料至齒研</t>
        </r>
      </text>
    </comment>
    <comment ref="E45" authorId="0" shapeId="0" xr:uid="{00000000-0006-0000-0500-000030000000}">
      <text>
        <r>
          <rPr>
            <b/>
            <sz val="9"/>
            <color indexed="81"/>
            <rFont val="Tahoma"/>
            <family val="2"/>
          </rPr>
          <t>2024/02/26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2024/05/09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四廠走道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→二廠鐵架前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二廠鐵架前→三廠泡殼旁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2025/02/20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三廠泡殼旁→架</t>
        </r>
        <r>
          <rPr>
            <b/>
            <sz val="9"/>
            <color indexed="81"/>
            <rFont val="Tahoma"/>
            <family val="2"/>
          </rPr>
          <t xml:space="preserve">4-3-2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46" authorId="0" shapeId="0" xr:uid="{00000000-0006-0000-0500-000031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2024/05/09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四廠走道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→二廠鐵架前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二廠鐵架前→三廠泡殼旁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2025/02/20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三廠泡殼旁→架</t>
        </r>
        <r>
          <rPr>
            <b/>
            <sz val="9"/>
            <color indexed="81"/>
            <rFont val="Tahoma"/>
            <family val="2"/>
          </rPr>
          <t xml:space="preserve">4-3-2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47" authorId="0" shapeId="0" xr:uid="{00000000-0006-0000-0500-000032000000}">
      <text>
        <r>
          <rPr>
            <b/>
            <sz val="10"/>
            <color indexed="81"/>
            <rFont val="Tahoma"/>
            <family val="2"/>
          </rPr>
          <t>2025/02/04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J47" authorId="0" shapeId="0" xr:uid="{00000000-0006-0000-0500-000033000000}">
      <text>
        <r>
          <rPr>
            <b/>
            <sz val="10"/>
            <color indexed="81"/>
            <rFont val="細明體"/>
            <family val="3"/>
            <charset val="136"/>
          </rPr>
          <t>霄特</t>
        </r>
        <r>
          <rPr>
            <b/>
            <sz val="10"/>
            <color indexed="81"/>
            <rFont val="Tahoma"/>
            <family val="2"/>
          </rPr>
          <t>40301017-1*89</t>
        </r>
      </text>
    </comment>
    <comment ref="E48" authorId="0" shapeId="0" xr:uid="{00000000-0006-0000-0500-000034000000}">
      <text>
        <r>
          <rPr>
            <b/>
            <sz val="9"/>
            <color indexed="81"/>
            <rFont val="Tahoma"/>
            <family val="2"/>
          </rPr>
          <t>2022/07/22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(207)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(207)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5-4-3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(207)</t>
        </r>
      </text>
    </comment>
    <comment ref="L48" authorId="0" shapeId="0" xr:uid="{00000000-0006-0000-0500-000035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49" authorId="0" shapeId="0" xr:uid="{00000000-0006-0000-0500-000036000000}">
      <text>
        <r>
          <rPr>
            <b/>
            <sz val="9"/>
            <color indexed="81"/>
            <rFont val="Tahoma"/>
            <family val="2"/>
          </rPr>
          <t>2023/01/07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5-4-3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L49" authorId="0" shapeId="0" xr:uid="{00000000-0006-0000-0500-000037000000}">
      <text>
        <r>
          <rPr>
            <b/>
            <sz val="9"/>
            <color indexed="81"/>
            <rFont val="細明體"/>
            <family val="3"/>
            <charset val="136"/>
          </rPr>
          <t>代料到齒研</t>
        </r>
      </text>
    </comment>
    <comment ref="E50" authorId="0" shapeId="0" xr:uid="{00000000-0006-0000-0500-000038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55" authorId="0" shapeId="0" xr:uid="{00000000-0006-0000-0500-000039000000}">
      <text>
        <r>
          <rPr>
            <b/>
            <sz val="10"/>
            <color indexed="81"/>
            <rFont val="Tahoma"/>
            <family val="2"/>
          </rPr>
          <t>2024/08/20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(15)</t>
        </r>
        <r>
          <rPr>
            <b/>
            <sz val="10"/>
            <color indexed="81"/>
            <rFont val="細明體"/>
            <family val="3"/>
            <charset val="136"/>
          </rPr>
          <t>二廠走道→三樓梯殼旁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>(15)</t>
        </r>
        <r>
          <rPr>
            <b/>
            <sz val="10"/>
            <color indexed="81"/>
            <rFont val="細明體"/>
            <family val="3"/>
            <charset val="136"/>
          </rPr>
          <t>三樓梯殼旁→一廠架</t>
        </r>
        <r>
          <rPr>
            <b/>
            <sz val="10"/>
            <color indexed="81"/>
            <rFont val="Tahoma"/>
            <family val="2"/>
          </rPr>
          <t xml:space="preserve">3-12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56" authorId="0" shapeId="0" xr:uid="{00000000-0006-0000-0500-00003A000000}">
      <text>
        <r>
          <rPr>
            <b/>
            <sz val="10"/>
            <color indexed="81"/>
            <rFont val="Tahoma"/>
            <family val="2"/>
          </rPr>
          <t>2024/08/20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(12)</t>
        </r>
        <r>
          <rPr>
            <b/>
            <sz val="10"/>
            <color indexed="81"/>
            <rFont val="細明體"/>
            <family val="3"/>
            <charset val="136"/>
          </rPr>
          <t>二廠走道→三廠樓梯旁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>(12)</t>
        </r>
        <r>
          <rPr>
            <b/>
            <sz val="10"/>
            <color indexed="81"/>
            <rFont val="細明體"/>
            <family val="3"/>
            <charset val="136"/>
          </rPr>
          <t>三樓梯殼旁→一廠架</t>
        </r>
        <r>
          <rPr>
            <b/>
            <sz val="10"/>
            <color indexed="81"/>
            <rFont val="Tahoma"/>
            <family val="2"/>
          </rPr>
          <t xml:space="preserve">3-12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57" authorId="0" shapeId="0" xr:uid="{00000000-0006-0000-0500-00003B000000}">
      <text>
        <r>
          <rPr>
            <b/>
            <sz val="10"/>
            <color indexed="81"/>
            <rFont val="Tahoma"/>
            <family val="2"/>
          </rPr>
          <t>2024/08/20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(12)</t>
        </r>
        <r>
          <rPr>
            <b/>
            <sz val="10"/>
            <color indexed="81"/>
            <rFont val="細明體"/>
            <family val="3"/>
            <charset val="136"/>
          </rPr>
          <t>二廠走道→三廠樓梯旁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>(12)</t>
        </r>
        <r>
          <rPr>
            <b/>
            <sz val="10"/>
            <color indexed="81"/>
            <rFont val="細明體"/>
            <family val="3"/>
            <charset val="136"/>
          </rPr>
          <t>三樓梯殼旁→一廠架</t>
        </r>
        <r>
          <rPr>
            <b/>
            <sz val="10"/>
            <color indexed="81"/>
            <rFont val="Tahoma"/>
            <family val="2"/>
          </rPr>
          <t xml:space="preserve">3-12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
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58" authorId="0" shapeId="0" xr:uid="{00000000-0006-0000-0500-00003C000000}">
      <text>
        <r>
          <rPr>
            <b/>
            <sz val="10"/>
            <color indexed="81"/>
            <rFont val="Tahoma"/>
            <family val="2"/>
          </rPr>
          <t>2024/08/20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(14)</t>
        </r>
        <r>
          <rPr>
            <b/>
            <sz val="10"/>
            <color indexed="81"/>
            <rFont val="細明體"/>
            <family val="3"/>
            <charset val="136"/>
          </rPr>
          <t>二廠走道→三廠樓梯旁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>(14)</t>
        </r>
        <r>
          <rPr>
            <b/>
            <sz val="10"/>
            <color indexed="81"/>
            <rFont val="細明體"/>
            <family val="3"/>
            <charset val="136"/>
          </rPr>
          <t>三樓梯殼旁→一廠架</t>
        </r>
        <r>
          <rPr>
            <b/>
            <sz val="10"/>
            <color indexed="81"/>
            <rFont val="Tahoma"/>
            <family val="2"/>
          </rPr>
          <t xml:space="preserve">3-12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59" authorId="0" shapeId="0" xr:uid="{00000000-0006-0000-0500-00003D000000}">
      <text>
        <r>
          <rPr>
            <b/>
            <sz val="10"/>
            <color indexed="81"/>
            <rFont val="Tahoma"/>
            <family val="2"/>
          </rPr>
          <t>2024/08/20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2024/09/10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(14)</t>
        </r>
        <r>
          <rPr>
            <b/>
            <sz val="10"/>
            <color indexed="81"/>
            <rFont val="細明體"/>
            <family val="3"/>
            <charset val="136"/>
          </rPr>
          <t>二廠走道→三廠樓梯旁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>(14)</t>
        </r>
        <r>
          <rPr>
            <b/>
            <sz val="10"/>
            <color indexed="81"/>
            <rFont val="細明體"/>
            <family val="3"/>
            <charset val="136"/>
          </rPr>
          <t>三樓梯殼旁→一廠架</t>
        </r>
        <r>
          <rPr>
            <b/>
            <sz val="10"/>
            <color indexed="81"/>
            <rFont val="Tahoma"/>
            <family val="2"/>
          </rPr>
          <t xml:space="preserve">3-12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2025/03/26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60" authorId="0" shapeId="0" xr:uid="{00000000-0006-0000-0500-00003E000000}">
      <text>
        <r>
          <rPr>
            <b/>
            <sz val="9"/>
            <color indexed="81"/>
            <rFont val="Tahoma"/>
            <family val="2"/>
          </rPr>
          <t>2023/12/11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(27)4-1-1</t>
        </r>
        <r>
          <rPr>
            <b/>
            <sz val="9"/>
            <color indexed="81"/>
            <rFont val="細明體"/>
            <family val="3"/>
            <charset val="136"/>
          </rPr>
          <t>→三廠泡殼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(27)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2025/10/27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(27)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泡殼旁→一廠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架</t>
        </r>
        <r>
          <rPr>
            <b/>
            <sz val="9"/>
            <color indexed="81"/>
            <rFont val="Tahoma"/>
            <family val="2"/>
          </rPr>
          <t xml:space="preserve">2-2-2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1" authorId="0" shapeId="0" xr:uid="{00000000-0006-0000-0500-00003F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2026/03/13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62" authorId="0" shapeId="0" xr:uid="{00000000-0006-0000-0500-000040000000}">
      <text>
        <r>
          <rPr>
            <b/>
            <sz val="9"/>
            <color indexed="81"/>
            <rFont val="Tahoma"/>
            <family val="2"/>
          </rPr>
          <t>2024/02/26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2024/09/10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(13)</t>
        </r>
        <r>
          <rPr>
            <b/>
            <sz val="9"/>
            <color indexed="81"/>
            <rFont val="細明體"/>
            <family val="3"/>
            <charset val="136"/>
          </rPr>
          <t>棧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2026/03/13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3" authorId="0" shapeId="0" xr:uid="{00000000-0006-0000-0500-000041000000}">
      <text>
        <r>
          <rPr>
            <b/>
            <sz val="10"/>
            <color indexed="81"/>
            <rFont val="Tahoma"/>
            <family val="2"/>
          </rPr>
          <t>2025/01/03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2026/03/13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64" authorId="0" shapeId="0" xr:uid="{00000000-0006-0000-0500-000042000000}">
      <text>
        <r>
          <rPr>
            <b/>
            <sz val="10"/>
            <color indexed="81"/>
            <rFont val="Tahoma"/>
            <family val="2"/>
          </rPr>
          <t>2025/05/14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2026/03/13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6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2019/10/22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2020/10/15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2020/10/22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2025/04/01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(2)1-3-1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1-3-2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5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2021/07/23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2021/07/28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2024/09/09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(7)3-1-2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>3-4-1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6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2021/07/23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2021/07/28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2021/08/26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2023/07/06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2024/09/09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(6)3-1-2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>3-4-1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L6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16.15KG</t>
        </r>
      </text>
    </comment>
    <comment ref="E7" authorId="0" shapeId="0" xr:uid="{00000000-0006-0000-0600-000006000000}">
      <text>
        <r>
          <rPr>
            <b/>
            <sz val="10"/>
            <color indexed="81"/>
            <rFont val="Tahoma"/>
            <family val="2"/>
          </rPr>
          <t>2025/02/10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(14)
2025/05/08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(13)
2025/10/16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(8)</t>
        </r>
      </text>
    </comment>
    <comment ref="L7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2.4KG</t>
        </r>
      </text>
    </comment>
    <comment ref="E8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2023/05/22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9" authorId="0" shapeId="0" xr:uid="{00000000-0006-0000-0600-000009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(1)
</t>
        </r>
      </text>
    </comment>
    <comment ref="L9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2.4KG</t>
        </r>
      </text>
    </comment>
    <comment ref="E10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2022/05/31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(1)5-2-1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5-2-1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2022/05/31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(1)5-2-1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5-2-1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2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2022/02/14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2023/03/06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何沐桐領出</t>
        </r>
        <r>
          <rPr>
            <b/>
            <sz val="9"/>
            <color indexed="81"/>
            <rFont val="Tahoma"/>
            <family val="2"/>
          </rPr>
          <t xml:space="preserve">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2025/07/17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L12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1.86KG</t>
        </r>
      </text>
    </comment>
    <comment ref="E13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2020/11/13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2021/12/01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2024/07/30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2024/08/21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2024/08/21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(1)5-2-2</t>
        </r>
        <r>
          <rPr>
            <b/>
            <sz val="9"/>
            <color indexed="81"/>
            <rFont val="細明體"/>
            <family val="3"/>
            <charset val="136"/>
          </rPr>
          <t>後→</t>
        </r>
        <r>
          <rPr>
            <b/>
            <sz val="9"/>
            <color indexed="81"/>
            <rFont val="Tahoma"/>
            <family val="2"/>
          </rPr>
          <t>5-2-1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2025/10/02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2026/01/19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I13" authorId="0" shapeId="0" xr:uid="{00000000-0006-0000-0600-000010000000}">
      <text>
        <r>
          <rPr>
            <b/>
            <sz val="10"/>
            <color indexed="81"/>
            <rFont val="Tahoma"/>
            <family val="2"/>
          </rPr>
          <t xml:space="preserve">9.982*2
9.99*3
10.0*5
10.01*1
</t>
        </r>
        <r>
          <rPr>
            <b/>
            <sz val="10"/>
            <color indexed="81"/>
            <rFont val="細明體"/>
            <family val="3"/>
            <charset val="136"/>
          </rPr>
          <t>未驗到</t>
        </r>
        <r>
          <rPr>
            <b/>
            <sz val="10"/>
            <color indexed="81"/>
            <rFont val="Tahoma"/>
            <family val="2"/>
          </rPr>
          <t>*1
10.02*4  8/21</t>
        </r>
        <r>
          <rPr>
            <b/>
            <sz val="10"/>
            <color indexed="81"/>
            <rFont val="細明體"/>
            <family val="3"/>
            <charset val="136"/>
          </rPr>
          <t xml:space="preserve">領
</t>
        </r>
      </text>
    </comment>
    <comment ref="E14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2023/02/17</t>
        </r>
        <r>
          <rPr>
            <b/>
            <sz val="9"/>
            <color indexed="81"/>
            <rFont val="新細明體"/>
            <family val="2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新細明體"/>
            <family val="2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新細明體"/>
            <family val="2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2021/01/12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2021/07/28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2025/09/01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6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(496)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(496)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(496)
2022/08/17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(354)
2022/09/21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(204)
2022/10/25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(200)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7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2023/01/07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9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2023/09/01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21" authorId="0" shapeId="0" xr:uid="{00000000-0006-0000-0600-00001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5-2-1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</text>
    </comment>
    <comment ref="E22" authorId="0" shapeId="0" xr:uid="{00000000-0006-0000-0600-000019000000}">
      <text>
        <r>
          <rPr>
            <b/>
            <sz val="10"/>
            <color indexed="81"/>
            <rFont val="Tahoma"/>
            <family val="2"/>
          </rPr>
          <t>2024/10/29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</t>
        </r>
      </text>
    </comment>
    <comment ref="E23" authorId="0" shapeId="0" xr:uid="{00000000-0006-0000-0600-00001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2023/09/25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B3-1(1)</t>
        </r>
      </text>
    </comment>
    <comment ref="E24" authorId="0" shapeId="0" xr:uid="{00000000-0006-0000-0600-00001B000000}">
      <text>
        <r>
          <rPr>
            <b/>
            <sz val="10"/>
            <color indexed="81"/>
            <rFont val="Tahoma"/>
            <family val="2"/>
          </rPr>
          <t>2024/08/02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2024/09/23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(2)1-1-2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1-1-1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2024/11/13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(2)1-1-1</t>
        </r>
        <r>
          <rPr>
            <b/>
            <sz val="10"/>
            <color indexed="81"/>
            <rFont val="細明體"/>
            <family val="3"/>
            <charset val="136"/>
          </rPr>
          <t>→三廠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
2025/03/12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(2)</t>
        </r>
        <r>
          <rPr>
            <b/>
            <sz val="10"/>
            <color indexed="81"/>
            <rFont val="細明體"/>
            <family val="3"/>
            <charset val="136"/>
          </rPr>
          <t>三廠泡殼旁→架</t>
        </r>
        <r>
          <rPr>
            <b/>
            <sz val="10"/>
            <color indexed="81"/>
            <rFont val="Tahoma"/>
            <family val="2"/>
          </rPr>
          <t xml:space="preserve"> 2-3-2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 xml:space="preserve">(2)
</t>
        </r>
      </text>
    </comment>
    <comment ref="B25" authorId="0" shapeId="0" xr:uid="{00000000-0006-0000-0600-00001C000000}">
      <text/>
    </comment>
    <comment ref="E25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2020/11/24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2024/05/23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(8)3-4-1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3-4-2(8)
2024/09/09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(8)3-4-2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2025/03/12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(8)</t>
        </r>
        <r>
          <rPr>
            <b/>
            <sz val="9"/>
            <color indexed="81"/>
            <rFont val="細明體"/>
            <family val="3"/>
            <charset val="136"/>
          </rPr>
          <t>三廠泡殼旁→架</t>
        </r>
        <r>
          <rPr>
            <b/>
            <sz val="9"/>
            <color indexed="81"/>
            <rFont val="Tahoma"/>
            <family val="2"/>
          </rPr>
          <t xml:space="preserve"> 2-3-2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(8)
</t>
        </r>
      </text>
    </comment>
    <comment ref="B26" authorId="0" shapeId="0" xr:uid="{00000000-0006-0000-0600-00001E000000}">
      <text/>
    </comment>
    <comment ref="E26" authorId="0" shapeId="0" xr:uid="{00000000-0006-0000-0600-00001F000000}">
      <text>
        <r>
          <rPr>
            <b/>
            <sz val="9"/>
            <color indexed="81"/>
            <rFont val="Tahoma"/>
            <family val="2"/>
          </rPr>
          <t>2020/11/24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2024/01/02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2025/06/06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(13)</t>
        </r>
        <r>
          <rPr>
            <b/>
            <sz val="9"/>
            <color indexed="81"/>
            <rFont val="細明體"/>
            <family val="3"/>
            <charset val="136"/>
          </rPr>
          <t>二廠</t>
        </r>
        <r>
          <rPr>
            <b/>
            <sz val="9"/>
            <color indexed="81"/>
            <rFont val="Tahoma"/>
            <family val="2"/>
          </rPr>
          <t>2-4-2</t>
        </r>
        <r>
          <rPr>
            <b/>
            <sz val="9"/>
            <color indexed="81"/>
            <rFont val="細明體"/>
            <family val="3"/>
            <charset val="136"/>
          </rPr>
          <t>→一廠</t>
        </r>
        <r>
          <rPr>
            <b/>
            <sz val="9"/>
            <color indexed="81"/>
            <rFont val="Tahoma"/>
            <family val="2"/>
          </rPr>
          <t xml:space="preserve">3-3-1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</t>
        </r>
      </text>
    </comment>
    <comment ref="B27" authorId="0" shapeId="0" xr:uid="{00000000-0006-0000-0600-000020000000}">
      <text/>
    </comment>
    <comment ref="E27" authorId="0" shapeId="0" xr:uid="{00000000-0006-0000-0600-000021000000}">
      <text>
        <r>
          <rPr>
            <b/>
            <sz val="9"/>
            <color indexed="81"/>
            <rFont val="Tahoma"/>
            <family val="2"/>
          </rPr>
          <t>2024/05/22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2024/09/09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(4)3-4-1</t>
        </r>
        <r>
          <rPr>
            <b/>
            <sz val="9"/>
            <color indexed="81"/>
            <rFont val="細明體"/>
            <family val="3"/>
            <charset val="136"/>
          </rPr>
          <t>→三廠鐵架前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28" authorId="0" shapeId="0" xr:uid="{00000000-0006-0000-0600-000022000000}">
      <text>
        <r>
          <rPr>
            <b/>
            <sz val="10"/>
            <color indexed="81"/>
            <rFont val="Tahoma"/>
            <family val="2"/>
          </rPr>
          <t>2025/07/02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(49)
2025/07/04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(39)
2025/07/21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(29)
2025/08/25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(19)</t>
        </r>
      </text>
    </comment>
    <comment ref="E29" authorId="0" shapeId="0" xr:uid="{00000000-0006-0000-0600-000023000000}">
      <text>
        <r>
          <rPr>
            <b/>
            <sz val="10"/>
            <color indexed="81"/>
            <rFont val="Tahoma"/>
            <family val="2"/>
          </rPr>
          <t>2025/07/02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
2025/07/04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2025/07/21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30" authorId="0" shapeId="0" xr:uid="{00000000-0006-0000-0600-000024000000}">
      <text>
        <r>
          <rPr>
            <b/>
            <sz val="10"/>
            <color indexed="81"/>
            <rFont val="Tahoma"/>
            <family val="2"/>
          </rPr>
          <t>2025/07/04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31" authorId="0" shapeId="0" xr:uid="{00000000-0006-0000-0600-000025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36" authorId="0" shapeId="0" xr:uid="{00000000-0006-0000-0600-000026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L36" authorId="0" shapeId="0" xr:uid="{00000000-0006-0000-0600-000027000000}">
      <text>
        <r>
          <rPr>
            <b/>
            <sz val="9"/>
            <color indexed="81"/>
            <rFont val="Tahoma"/>
            <family val="2"/>
          </rPr>
          <t>2.4KG</t>
        </r>
      </text>
    </comment>
    <comment ref="E37" authorId="0" shapeId="0" xr:uid="{00000000-0006-0000-0600-000028000000}">
      <text>
        <r>
          <rPr>
            <b/>
            <sz val="10"/>
            <color indexed="81"/>
            <rFont val="Tahoma"/>
            <family val="2"/>
          </rPr>
          <t>2025/02/04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2025/02/21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L37" authorId="0" shapeId="0" xr:uid="{00000000-0006-0000-0600-000029000000}">
      <text>
        <r>
          <rPr>
            <b/>
            <sz val="9"/>
            <color indexed="81"/>
            <rFont val="Tahoma"/>
            <family val="2"/>
          </rPr>
          <t>3.25KG</t>
        </r>
      </text>
    </comment>
    <comment ref="E38" authorId="0" shapeId="0" xr:uid="{00000000-0006-0000-0600-00002A000000}">
      <text>
        <r>
          <rPr>
            <b/>
            <sz val="10"/>
            <color indexed="81"/>
            <rFont val="Tahoma"/>
            <family val="2"/>
          </rPr>
          <t>2025/01/16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(3)
2025/03/26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2025/05/08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L38" authorId="0" shapeId="0" xr:uid="{00000000-0006-0000-0600-00002B000000}">
      <text>
        <r>
          <rPr>
            <b/>
            <sz val="9"/>
            <color indexed="81"/>
            <rFont val="Tahoma"/>
            <family val="2"/>
          </rPr>
          <t>2.4KG</t>
        </r>
      </text>
    </comment>
    <comment ref="E39" authorId="0" shapeId="0" xr:uid="{00000000-0006-0000-0600-00002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2019/10/22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2020/04/17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(21)
2021/01/13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2021/06/07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2023/10/03</t>
        </r>
        <r>
          <rPr>
            <b/>
            <sz val="9"/>
            <color indexed="81"/>
            <rFont val="細明體"/>
            <family val="3"/>
            <charset val="136"/>
          </rPr>
          <t>儲位變更大鐵架</t>
        </r>
        <r>
          <rPr>
            <b/>
            <sz val="9"/>
            <color indexed="81"/>
            <rFont val="Tahoma"/>
            <family val="2"/>
          </rPr>
          <t>1-3-2(11)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後</t>
        </r>
        <r>
          <rPr>
            <b/>
            <sz val="9"/>
            <color indexed="81"/>
            <rFont val="Tahoma"/>
            <family val="2"/>
          </rPr>
          <t>(11)
2023/11/17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(11)</t>
        </r>
        <r>
          <rPr>
            <b/>
            <sz val="9"/>
            <color indexed="81"/>
            <rFont val="細明體"/>
            <family val="3"/>
            <charset val="136"/>
          </rPr>
          <t>暫移→四廠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與漢鐘同棧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2023/12/27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2024/03/13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四廠棧板</t>
        </r>
        <r>
          <rPr>
            <b/>
            <sz val="9"/>
            <color indexed="81"/>
            <rFont val="Tahoma"/>
            <family val="2"/>
          </rPr>
          <t>2(5)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>1-4-2(5)
2025/05/21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40" authorId="0" shapeId="0" xr:uid="{00000000-0006-0000-0600-00002D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
2025/05/08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
2025/05/29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41" authorId="0" shapeId="0" xr:uid="{00000000-0006-0000-0600-00002E000000}">
      <text>
        <r>
          <rPr>
            <b/>
            <sz val="10"/>
            <color indexed="81"/>
            <rFont val="Tahoma"/>
            <family val="2"/>
          </rPr>
          <t>2025/02/04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2025/05/08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2025/05/29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42" authorId="0" shapeId="0" xr:uid="{00000000-0006-0000-0600-00002F000000}">
      <text>
        <r>
          <rPr>
            <b/>
            <sz val="10"/>
            <color indexed="81"/>
            <rFont val="Tahoma"/>
            <family val="2"/>
          </rPr>
          <t>2025/03/11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(4)</t>
        </r>
        <r>
          <rPr>
            <b/>
            <sz val="10"/>
            <color indexed="81"/>
            <rFont val="細明體"/>
            <family val="3"/>
            <charset val="136"/>
          </rPr>
          <t>棧</t>
        </r>
        <r>
          <rPr>
            <b/>
            <sz val="10"/>
            <color indexed="81"/>
            <rFont val="Tahoma"/>
            <family val="2"/>
          </rPr>
          <t>3</t>
        </r>
        <r>
          <rPr>
            <b/>
            <sz val="10"/>
            <color indexed="81"/>
            <rFont val="細明體"/>
            <family val="3"/>
            <charset val="136"/>
          </rPr>
          <t>→架</t>
        </r>
        <r>
          <rPr>
            <b/>
            <sz val="10"/>
            <color indexed="81"/>
            <rFont val="Tahoma"/>
            <family val="2"/>
          </rPr>
          <t xml:space="preserve"> 2-3-1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2025/05/29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L42" authorId="0" shapeId="0" xr:uid="{00000000-0006-0000-0600-000030000000}">
      <text>
        <r>
          <rPr>
            <b/>
            <sz val="9"/>
            <color indexed="81"/>
            <rFont val="Tahoma"/>
            <family val="2"/>
          </rPr>
          <t>3.25KG</t>
        </r>
      </text>
    </comment>
    <comment ref="E43" authorId="0" shapeId="0" xr:uid="{00000000-0006-0000-0600-000031000000}">
      <text>
        <r>
          <rPr>
            <b/>
            <sz val="9"/>
            <color indexed="81"/>
            <rFont val="Tahoma"/>
            <family val="2"/>
          </rPr>
          <t>2023/05/10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2023/08/24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2023/09/21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2024/09/18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2025/05/29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L43" authorId="0" shapeId="0" xr:uid="{00000000-0006-0000-0600-000032000000}">
      <text>
        <r>
          <rPr>
            <b/>
            <sz val="9"/>
            <color indexed="81"/>
            <rFont val="Tahoma"/>
            <family val="2"/>
          </rPr>
          <t>3.25KG</t>
        </r>
      </text>
    </comment>
    <comment ref="E44" authorId="0" shapeId="0" xr:uid="{00000000-0006-0000-0600-000033000000}">
      <text>
        <r>
          <rPr>
            <b/>
            <sz val="10"/>
            <color indexed="81"/>
            <rFont val="Tahoma"/>
            <family val="2"/>
          </rPr>
          <t>2025/06/09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(10)
2025/07/04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45" authorId="0" shapeId="0" xr:uid="{00000000-0006-0000-0600-000034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(30)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(30)
2025/03/28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(9)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(21)
2025/05/08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2025/05/29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(10)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2025/06/20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一廠</t>
        </r>
        <r>
          <rPr>
            <b/>
            <sz val="10"/>
            <color indexed="81"/>
            <rFont val="Tahoma"/>
            <family val="2"/>
          </rPr>
          <t xml:space="preserve"> 5-1-2</t>
        </r>
        <r>
          <rPr>
            <b/>
            <sz val="10"/>
            <color indexed="81"/>
            <rFont val="細明體"/>
            <family val="3"/>
            <charset val="136"/>
          </rPr>
          <t>→一廠出貨區旁棧板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2025/07/21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L45" authorId="0" shapeId="0" xr:uid="{00000000-0006-0000-0600-000035000000}">
      <text>
        <r>
          <rPr>
            <b/>
            <sz val="9"/>
            <color indexed="81"/>
            <rFont val="Tahoma"/>
            <family val="2"/>
          </rPr>
          <t>3.25KG</t>
        </r>
      </text>
    </comment>
    <comment ref="E46" authorId="0" shapeId="0" xr:uid="{00000000-0006-0000-0600-000036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(2)5-1-1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5-1-1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2025/10/16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47" authorId="0" shapeId="0" xr:uid="{00000000-0006-0000-0600-00003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>1-2-2-1(</t>
        </r>
        <r>
          <rPr>
            <b/>
            <sz val="9"/>
            <color indexed="81"/>
            <rFont val="細明體"/>
            <family val="3"/>
            <charset val="136"/>
          </rPr>
          <t>橘</t>
        </r>
        <r>
          <rPr>
            <b/>
            <sz val="9"/>
            <color indexed="81"/>
            <rFont val="Tahoma"/>
            <family val="2"/>
          </rPr>
          <t>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O47" authorId="0" shapeId="0" xr:uid="{00000000-0006-0000-0600-000038000000}">
      <text>
        <r>
          <rPr>
            <b/>
            <sz val="10"/>
            <color indexed="81"/>
            <rFont val="Tahoma"/>
            <family val="2"/>
          </rPr>
          <t>650</t>
        </r>
      </text>
    </comment>
    <comment ref="E48" authorId="0" shapeId="0" xr:uid="{00000000-0006-0000-0600-00003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(6)
2023/08/16 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D2-1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</t>
        </r>
        <r>
          <rPr>
            <b/>
            <sz val="9"/>
            <color indexed="81"/>
            <rFont val="細明體"/>
            <family val="3"/>
            <charset val="136"/>
          </rPr>
          <t xml:space="preserve">前
</t>
        </r>
        <r>
          <rPr>
            <b/>
            <sz val="9"/>
            <color indexed="81"/>
            <rFont val="Tahoma"/>
            <family val="2"/>
          </rPr>
          <t>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2025/02/03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O48" authorId="0" shapeId="0" xr:uid="{00000000-0006-0000-0600-00003A000000}">
      <text>
        <r>
          <rPr>
            <b/>
            <sz val="9"/>
            <color indexed="81"/>
            <rFont val="Tahoma"/>
            <family val="2"/>
          </rPr>
          <t xml:space="preserve">1000
</t>
        </r>
      </text>
    </comment>
    <comment ref="E49" authorId="0" shapeId="0" xr:uid="{00000000-0006-0000-0600-00003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2023/08/16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D2-2</t>
        </r>
        <r>
          <rPr>
            <b/>
            <sz val="9"/>
            <color indexed="81"/>
            <rFont val="細明體"/>
            <family val="3"/>
            <charset val="136"/>
          </rPr>
          <t>→大鐵架</t>
        </r>
        <r>
          <rPr>
            <b/>
            <sz val="9"/>
            <color indexed="81"/>
            <rFont val="Tahoma"/>
            <family val="2"/>
          </rPr>
          <t>1-2-2-1(</t>
        </r>
        <r>
          <rPr>
            <b/>
            <sz val="9"/>
            <color indexed="81"/>
            <rFont val="細明體"/>
            <family val="3"/>
            <charset val="136"/>
          </rPr>
          <t>橘</t>
        </r>
        <r>
          <rPr>
            <b/>
            <sz val="9"/>
            <color indexed="81"/>
            <rFont val="Tahoma"/>
            <family val="2"/>
          </rPr>
          <t>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49" authorId="0" shapeId="0" xr:uid="{00000000-0006-0000-0600-00003C000000}">
      <text>
        <r>
          <rPr>
            <b/>
            <sz val="10"/>
            <color indexed="81"/>
            <rFont val="Tahoma"/>
            <family val="2"/>
          </rPr>
          <t>2700</t>
        </r>
      </text>
    </comment>
    <comment ref="E50" authorId="0" shapeId="0" xr:uid="{00000000-0006-0000-0600-00003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0" authorId="0" shapeId="0" xr:uid="{00000000-0006-0000-0600-00003E000000}">
      <text>
        <r>
          <rPr>
            <b/>
            <sz val="9"/>
            <color indexed="81"/>
            <rFont val="Tahoma"/>
            <family val="2"/>
          </rPr>
          <t xml:space="preserve">850
</t>
        </r>
      </text>
    </comment>
    <comment ref="E51" authorId="0" shapeId="0" xr:uid="{00000000-0006-0000-0600-00003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1" authorId="0" shapeId="0" xr:uid="{00000000-0006-0000-0600-000040000000}">
      <text>
        <r>
          <rPr>
            <b/>
            <sz val="9"/>
            <color indexed="81"/>
            <rFont val="Tahoma"/>
            <family val="2"/>
          </rPr>
          <t xml:space="preserve">620
</t>
        </r>
      </text>
    </comment>
    <comment ref="E52" authorId="0" shapeId="0" xr:uid="{00000000-0006-0000-0600-00004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2" authorId="0" shapeId="0" xr:uid="{00000000-0006-0000-0600-000042000000}">
      <text>
        <r>
          <rPr>
            <b/>
            <sz val="10"/>
            <color indexed="81"/>
            <rFont val="Tahoma"/>
            <family val="2"/>
          </rPr>
          <t xml:space="preserve">2420
</t>
        </r>
      </text>
    </comment>
    <comment ref="E53" authorId="0" shapeId="0" xr:uid="{00000000-0006-0000-0600-00004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3" authorId="0" shapeId="0" xr:uid="{00000000-0006-0000-0600-000044000000}">
      <text>
        <r>
          <rPr>
            <b/>
            <sz val="10"/>
            <color indexed="81"/>
            <rFont val="Tahoma"/>
            <family val="2"/>
          </rPr>
          <t>2900</t>
        </r>
      </text>
    </comment>
    <comment ref="E54" authorId="0" shapeId="0" xr:uid="{00000000-0006-0000-0600-00004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4" authorId="0" shapeId="0" xr:uid="{00000000-0006-0000-0600-000046000000}">
      <text>
        <r>
          <rPr>
            <b/>
            <sz val="9"/>
            <color indexed="81"/>
            <rFont val="Tahoma"/>
            <family val="2"/>
          </rPr>
          <t xml:space="preserve">3275
</t>
        </r>
      </text>
    </comment>
    <comment ref="E55" authorId="0" shapeId="0" xr:uid="{00000000-0006-0000-0600-00004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5" authorId="0" shapeId="0" xr:uid="{00000000-0006-0000-0600-000048000000}">
      <text>
        <r>
          <rPr>
            <b/>
            <sz val="9"/>
            <color indexed="81"/>
            <rFont val="Tahoma"/>
            <family val="2"/>
          </rPr>
          <t xml:space="preserve">2450
</t>
        </r>
      </text>
    </comment>
    <comment ref="E56" authorId="0" shapeId="0" xr:uid="{00000000-0006-0000-0600-00004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2023/08/24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D2-3(1)</t>
        </r>
        <r>
          <rPr>
            <b/>
            <sz val="9"/>
            <color indexed="81"/>
            <rFont val="細明體"/>
            <family val="3"/>
            <charset val="136"/>
          </rPr>
          <t>→大</t>
        </r>
        <r>
          <rPr>
            <b/>
            <sz val="9"/>
            <color indexed="81"/>
            <rFont val="Tahoma"/>
            <family val="2"/>
          </rPr>
          <t>1-2-2-1</t>
        </r>
        <r>
          <rPr>
            <b/>
            <sz val="9"/>
            <color indexed="81"/>
            <rFont val="細明體"/>
            <family val="3"/>
            <charset val="136"/>
          </rPr>
          <t>前</t>
        </r>
        <r>
          <rPr>
            <b/>
            <sz val="9"/>
            <color indexed="81"/>
            <rFont val="Tahoma"/>
            <family val="2"/>
          </rPr>
          <t>(1)
2024/09/12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(1)1-2-2-1</t>
        </r>
        <r>
          <rPr>
            <b/>
            <sz val="9"/>
            <color indexed="81"/>
            <rFont val="細明體"/>
            <family val="3"/>
            <charset val="136"/>
          </rPr>
          <t>→三廠泡殼旁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O56" authorId="0" shapeId="0" xr:uid="{00000000-0006-0000-0600-00004A000000}">
      <text>
        <r>
          <rPr>
            <b/>
            <sz val="9"/>
            <color indexed="81"/>
            <rFont val="Tahoma"/>
            <family val="2"/>
          </rPr>
          <t xml:space="preserve">3275
</t>
        </r>
      </text>
    </comment>
    <comment ref="E57" authorId="0" shapeId="0" xr:uid="{00000000-0006-0000-0600-00004B000000}">
      <text>
        <r>
          <rPr>
            <b/>
            <sz val="9"/>
            <color indexed="81"/>
            <rFont val="Tahoma"/>
            <family val="2"/>
          </rPr>
          <t>2023/08/21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 5-2-2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2025/12/18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(0)
</t>
        </r>
      </text>
    </comment>
    <comment ref="L57" authorId="0" shapeId="0" xr:uid="{00000000-0006-0000-0600-00004C000000}">
      <text>
        <r>
          <rPr>
            <b/>
            <sz val="9"/>
            <color indexed="81"/>
            <rFont val="Tahoma"/>
            <family val="2"/>
          </rPr>
          <t>5.6 KG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7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2021/12/24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(28)</t>
        </r>
      </text>
    </comment>
    <comment ref="E5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6" authorId="0" shapeId="0" xr:uid="{00000000-0006-0000-0700-000004000000}">
      <text>
        <r>
          <rPr>
            <b/>
            <sz val="9"/>
            <color indexed="81"/>
            <rFont val="細明體"/>
            <family val="3"/>
            <charset val="136"/>
          </rPr>
          <t>2020/11/13入(15) 庫存(15)
2020/11/19盤(15) 庫存(15)
2021/02/19盤(15) 庫存(15)
2021/05/10出(10) 庫存(5)
2021/08/25盤(5) 庫存(5)
2021/12/08盤(5) 庫存(5)
2022/04/13盤(5) 庫存(5)
2022/07/19盤(5) 庫存(5)</t>
        </r>
      </text>
    </comment>
    <comment ref="E7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2021/09/15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</t>
        </r>
      </text>
    </comment>
    <comment ref="L7" authorId="0" shapeId="0" xr:uid="{00000000-0006-0000-0700-000006000000}">
      <text>
        <r>
          <rPr>
            <b/>
            <sz val="9"/>
            <color indexed="81"/>
            <rFont val="細明體"/>
            <family val="3"/>
            <charset val="136"/>
          </rPr>
          <t>庫存單價</t>
        </r>
        <r>
          <rPr>
            <b/>
            <sz val="9"/>
            <color indexed="81"/>
            <rFont val="Tahoma"/>
            <family val="2"/>
          </rPr>
          <t>+70(</t>
        </r>
        <r>
          <rPr>
            <b/>
            <sz val="9"/>
            <color indexed="81"/>
            <rFont val="細明體"/>
            <family val="3"/>
            <charset val="136"/>
          </rPr>
          <t>設變孔研</t>
        </r>
      </text>
    </comment>
    <comment ref="E8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2021/10/19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9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2021/08/04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2021/08/05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0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2020/11/04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</t>
        </r>
      </text>
    </comment>
    <comment ref="E11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2020/11/09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2021/01/06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2021/06/09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3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2022/04/29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2023/09/11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4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2022/04/29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2023/09/11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5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2020/10/19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庫存(</t>
        </r>
        <r>
          <rPr>
            <b/>
            <sz val="9"/>
            <color indexed="81"/>
            <rFont val="Tahoma"/>
            <family val="2"/>
          </rPr>
          <t>19)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6" authorId="0" shapeId="0" xr:uid="{00000000-0006-0000-0700-00000E000000}">
      <text>
        <r>
          <rPr>
            <b/>
            <sz val="9"/>
            <color indexed="81"/>
            <rFont val="Tahoma"/>
            <family val="2"/>
          </rPr>
          <t>2020/10/19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7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>2020/10/19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2021/06/18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8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2022/04/29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19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2022/04/29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(10)A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-4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E20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>2020/06/17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2020/08/31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2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2023/12/11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3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2020/06/17</t>
        </r>
        <r>
          <rPr>
            <b/>
            <sz val="9"/>
            <color indexed="81"/>
            <rFont val="細明體"/>
            <family val="3"/>
            <charset val="136"/>
          </rPr>
          <t>舊品入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2023/09/07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B1-1(3)</t>
        </r>
      </text>
    </comment>
    <comment ref="E24" authorId="0" shapeId="0" xr:uid="{00000000-0006-0000-0700-00001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2019/12/30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B1-1(4)</t>
        </r>
      </text>
    </comment>
    <comment ref="E26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2019/11/14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(30)
2019/11/21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(30)</t>
        </r>
        <r>
          <rPr>
            <b/>
            <sz val="9"/>
            <color indexed="81"/>
            <rFont val="細明體"/>
            <family val="3"/>
            <charset val="136"/>
          </rPr>
          <t xml:space="preserve">打毛邊
</t>
        </r>
        <r>
          <rPr>
            <b/>
            <sz val="9"/>
            <color indexed="81"/>
            <rFont val="Tahoma"/>
            <family val="2"/>
          </rPr>
          <t>2019/12/02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2020/04/07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2020/07/31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2020/09/07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2021/06/18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27" authorId="0" shapeId="0" xr:uid="{00000000-0006-0000-0700-00001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2019/11/14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(30)
2019/11/21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(30)</t>
        </r>
        <r>
          <rPr>
            <b/>
            <sz val="9"/>
            <color indexed="81"/>
            <rFont val="細明體"/>
            <family val="3"/>
            <charset val="136"/>
          </rPr>
          <t xml:space="preserve">打毛邊
</t>
        </r>
        <r>
          <rPr>
            <b/>
            <sz val="9"/>
            <color indexed="81"/>
            <rFont val="Tahoma"/>
            <family val="2"/>
          </rPr>
          <t>2019/12/02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2020/04/07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2020/09/07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(20)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B1-1(20)</t>
        </r>
      </text>
    </comment>
    <comment ref="E28" authorId="0" shapeId="0" xr:uid="{00000000-0006-0000-0700-00001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29" authorId="0" shapeId="0" xr:uid="{00000000-0006-0000-0700-00001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0" authorId="0" shapeId="0" xr:uid="{00000000-0006-0000-0700-00001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1" authorId="0" shapeId="0" xr:uid="{00000000-0006-0000-0700-00001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2" authorId="0" shapeId="0" xr:uid="{00000000-0006-0000-0700-00001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3" authorId="0" shapeId="0" xr:uid="{00000000-0006-0000-0700-00001D000000}">
      <text>
        <r>
          <rPr>
            <b/>
            <sz val="9"/>
            <color indexed="81"/>
            <rFont val="Tahoma"/>
            <family val="2"/>
          </rPr>
          <t>2021/04/27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4" authorId="0" shapeId="0" xr:uid="{00000000-0006-0000-0700-00001E000000}">
      <text>
        <r>
          <rPr>
            <b/>
            <sz val="9"/>
            <color indexed="81"/>
            <rFont val="Tahoma"/>
            <family val="2"/>
          </rPr>
          <t>2021/04/27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5" authorId="0" shapeId="0" xr:uid="{00000000-0006-0000-0700-00001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儲存變更</t>
        </r>
        <r>
          <rPr>
            <b/>
            <sz val="9"/>
            <color indexed="81"/>
            <rFont val="Tahoma"/>
            <family val="2"/>
          </rPr>
          <t>D1-1(1)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B1-1(1)</t>
        </r>
      </text>
    </comment>
    <comment ref="E36" authorId="0" shapeId="0" xr:uid="{00000000-0006-0000-0700-00002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(15)
2020/09/02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2023/09/12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D1-3(15)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B1-5(15)</t>
        </r>
      </text>
    </comment>
    <comment ref="E37" authorId="0" shapeId="0" xr:uid="{00000000-0006-0000-0700-00002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B1-5(15)</t>
        </r>
      </text>
    </comment>
    <comment ref="E38" authorId="0" shapeId="0" xr:uid="{00000000-0006-0000-0700-00002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2020/04/15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2020/10/27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2023/09/26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D2-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</text>
    </comment>
    <comment ref="E39" authorId="0" shapeId="0" xr:uid="{00000000-0006-0000-0700-000023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40" authorId="0" shapeId="0" xr:uid="{00000000-0006-0000-0700-000024000000}">
      <text>
        <r>
          <rPr>
            <b/>
            <sz val="9"/>
            <color indexed="81"/>
            <rFont val="Tahoma"/>
            <family val="2"/>
          </rPr>
          <t>2024/02/15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庫存棧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2026/02/04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L40" authorId="0" shapeId="0" xr:uid="{00000000-0006-0000-0700-000025000000}">
      <text>
        <r>
          <rPr>
            <b/>
            <sz val="9"/>
            <color indexed="81"/>
            <rFont val="細明體"/>
            <family val="3"/>
            <charset val="136"/>
          </rPr>
          <t>版次：</t>
        </r>
        <r>
          <rPr>
            <b/>
            <sz val="9"/>
            <color indexed="81"/>
            <rFont val="Tahoma"/>
            <family val="2"/>
          </rPr>
          <t>2</t>
        </r>
      </text>
    </comment>
    <comment ref="E41" authorId="0" shapeId="0" xr:uid="{00000000-0006-0000-0700-000026000000}">
      <text>
        <r>
          <rPr>
            <b/>
            <sz val="9"/>
            <color indexed="81"/>
            <rFont val="Tahoma"/>
            <family val="2"/>
          </rPr>
          <t>2024/02/15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庫存棧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42" authorId="0" shapeId="0" xr:uid="{00000000-0006-0000-0700-000027000000}">
      <text>
        <r>
          <rPr>
            <b/>
            <sz val="9"/>
            <color indexed="81"/>
            <rFont val="Tahoma"/>
            <family val="2"/>
          </rPr>
          <t>2024/02/15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庫存棧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43" authorId="0" shapeId="0" xr:uid="{00000000-0006-0000-0700-000028000000}">
      <text>
        <r>
          <rPr>
            <b/>
            <sz val="9"/>
            <color indexed="81"/>
            <rFont val="Tahoma"/>
            <family val="2"/>
          </rPr>
          <t>2024/02/15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b/>
            <sz val="9"/>
            <color indexed="81"/>
            <rFont val="細明體"/>
            <family val="3"/>
            <charset val="136"/>
          </rPr>
          <t>庫存棧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C1/C2-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44" authorId="0" shapeId="0" xr:uid="{00000000-0006-0000-0700-000029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54" authorId="0" shapeId="0" xr:uid="{00000000-0006-0000-0700-00002A000000}">
      <text>
        <r>
          <rPr>
            <b/>
            <sz val="9"/>
            <color indexed="81"/>
            <rFont val="細明體"/>
            <family val="3"/>
            <charset val="136"/>
          </rPr>
          <t>2020/11/13入(15) 庫存(15)
2020/11/19盤(15) 庫存(15)
2021/02/19盤(15) 庫存(15)
2021/05/10出(10) 庫存(5)
2021/08/25盤(5) 庫存(5)
2021/12/08盤(5) 庫存(5)
2022/04/13盤(5) 庫存(5)
2022/07/19盤(5) 庫存(5)
2026/02/04出(5) 庫存(0)</t>
        </r>
      </text>
    </comment>
    <comment ref="E55" authorId="0" shapeId="0" xr:uid="{00000000-0006-0000-0700-00002B000000}">
      <text>
        <r>
          <rPr>
            <b/>
            <sz val="9"/>
            <color indexed="81"/>
            <rFont val="Tahoma"/>
            <family val="2"/>
          </rPr>
          <t>2020/10/28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2021/05/10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2026/02/04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56" authorId="0" shapeId="0" xr:uid="{00000000-0006-0000-0700-00002C000000}">
      <text>
        <r>
          <rPr>
            <b/>
            <sz val="9"/>
            <color indexed="81"/>
            <rFont val="Tahoma"/>
            <family val="2"/>
          </rPr>
          <t>2020/11/03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2021/05/10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2026/02/04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8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2022/11/09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2021/10/19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(54)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(54)
2022/01/26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(59)</t>
        </r>
      </text>
    </comment>
    <comment ref="E6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2022/05/19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2022/06/06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L6" authorId="0" shapeId="0" xr:uid="{00000000-0006-0000-0800-000005000000}">
      <text>
        <r>
          <rPr>
            <b/>
            <sz val="9"/>
            <color indexed="81"/>
            <rFont val="細明體"/>
            <family val="3"/>
            <charset val="136"/>
          </rPr>
          <t>代料成品</t>
        </r>
      </text>
    </comment>
    <comment ref="E7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2020/12/30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8" authorId="0" shapeId="0" xr:uid="{00000000-0006-0000-0800-00000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9" authorId="0" shapeId="0" xr:uid="{00000000-0006-0000-0800-00000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0" authorId="0" shapeId="0" xr:uid="{00000000-0006-0000-0800-00000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2020/12/27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2020/08/21</t>
        </r>
        <r>
          <rPr>
            <b/>
            <sz val="9"/>
            <color indexed="81"/>
            <rFont val="細明體"/>
            <family val="3"/>
            <charset val="136"/>
          </rPr>
          <t>尋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1" authorId="0" shapeId="0" xr:uid="{00000000-0006-0000-0800-00000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2" authorId="0" shapeId="0" xr:uid="{00000000-0006-0000-0800-00000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3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2019/09/04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2019/10/21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2020/04/16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4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2024/01/03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</t>
        </r>
      </text>
    </comment>
    <comment ref="E15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2020/11/03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C2-4(9)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4(9)</t>
        </r>
      </text>
    </comment>
    <comment ref="E16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>2020/12/03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2023/09/15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4(1)</t>
        </r>
      </text>
    </comment>
    <comment ref="E17" authorId="0" shapeId="0" xr:uid="{00000000-0006-0000-0800-000010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9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900-00000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5" authorId="0" shapeId="0" xr:uid="{00000000-0006-0000-0900-00000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C1-3(1)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B1-3(1)
</t>
        </r>
      </text>
    </comment>
    <comment ref="E6" authorId="0" shapeId="0" xr:uid="{00000000-0006-0000-0900-00000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C1-6(5)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B1-3(5)</t>
        </r>
      </text>
    </comment>
    <comment ref="E7" authorId="0" shapeId="0" xr:uid="{00000000-0006-0000-0900-00000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C1-6(9)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B1-3(9)</t>
        </r>
      </text>
    </comment>
    <comment ref="E8" authorId="0" shapeId="0" xr:uid="{00000000-0006-0000-0900-000006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B1-3(3)</t>
        </r>
      </text>
    </comment>
    <comment ref="E9" authorId="0" shapeId="0" xr:uid="{00000000-0006-0000-0900-00000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10" authorId="0" shapeId="0" xr:uid="{00000000-0006-0000-0900-00000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11" authorId="0" shapeId="0" xr:uid="{00000000-0006-0000-0900-00000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B1-3(2)</t>
        </r>
      </text>
    </comment>
    <comment ref="E12" authorId="0" shapeId="0" xr:uid="{00000000-0006-0000-0900-00000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11/22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B1-3(3)</t>
        </r>
      </text>
    </comment>
    <comment ref="E13" authorId="0" shapeId="0" xr:uid="{00000000-0006-0000-0900-00000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14" authorId="0" shapeId="0" xr:uid="{00000000-0006-0000-0900-00000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15" authorId="0" shapeId="0" xr:uid="{00000000-0006-0000-0900-00000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庫存(</t>
        </r>
        <r>
          <rPr>
            <b/>
            <sz val="9"/>
            <color indexed="81"/>
            <rFont val="Tahoma"/>
            <family val="2"/>
          </rPr>
          <t>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B1-3(2)</t>
        </r>
      </text>
    </comment>
    <comment ref="E16" authorId="0" shapeId="0" xr:uid="{00000000-0006-0000-0900-00000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17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盤(2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C1-6(3)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B1-3(3)</t>
        </r>
      </text>
    </comment>
    <comment ref="E18" authorId="0" shapeId="0" xr:uid="{00000000-0006-0000-0900-000010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C1-6(4)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B1-3(4)</t>
        </r>
      </text>
    </comment>
    <comment ref="E19" authorId="0" shapeId="0" xr:uid="{00000000-0006-0000-0900-000011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20" authorId="0" shapeId="0" xr:uid="{00000000-0006-0000-0900-00001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B1-3(2)</t>
        </r>
      </text>
    </comment>
    <comment ref="E21" authorId="0" shapeId="0" xr:uid="{00000000-0006-0000-0900-00001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B1-3(2)</t>
        </r>
      </text>
    </comment>
    <comment ref="E22" authorId="0" shapeId="0" xr:uid="{00000000-0006-0000-0900-000014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23" authorId="0" shapeId="0" xr:uid="{00000000-0006-0000-0900-00001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2023/09/13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B1-3(1)</t>
        </r>
      </text>
    </comment>
    <comment ref="E24" authorId="0" shapeId="0" xr:uid="{00000000-0006-0000-0900-000016000000}">
      <text>
        <r>
          <rPr>
            <b/>
            <sz val="10"/>
            <color indexed="81"/>
            <rFont val="Tahoma"/>
            <family val="2"/>
          </rPr>
          <t>2025/04/02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>(1</t>
        </r>
        <r>
          <rPr>
            <b/>
            <sz val="10"/>
            <color indexed="81"/>
            <rFont val="細明體"/>
            <family val="3"/>
            <charset val="136"/>
          </rPr>
          <t>棧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</t>
        </r>
        <r>
          <rPr>
            <b/>
            <sz val="10"/>
            <color indexed="81"/>
            <rFont val="細明體"/>
            <family val="3"/>
            <charset val="136"/>
          </rPr>
          <t>棧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E25" authorId="0" shapeId="0" xr:uid="{00000000-0006-0000-0900-000017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O2" authorId="0" shapeId="0" xr:uid="{00000000-0006-0000-0A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2020/08/27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2020/09/01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 5-2-2</t>
        </r>
        <r>
          <rPr>
            <b/>
            <sz val="9"/>
            <color indexed="81"/>
            <rFont val="細明體"/>
            <family val="3"/>
            <charset val="136"/>
          </rPr>
          <t>前→</t>
        </r>
        <r>
          <rPr>
            <b/>
            <sz val="9"/>
            <color indexed="81"/>
            <rFont val="Tahoma"/>
            <family val="2"/>
          </rPr>
          <t xml:space="preserve">5-2-2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O4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4050</t>
        </r>
      </text>
    </comment>
    <comment ref="P4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3038</t>
        </r>
      </text>
    </comment>
    <comment ref="Q4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27338</t>
        </r>
      </text>
    </comment>
    <comment ref="E5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2019/11/11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2019/11/11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2020/04/01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2025/04/24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棧板→一廠架</t>
        </r>
        <r>
          <rPr>
            <b/>
            <sz val="9"/>
            <color indexed="81"/>
            <rFont val="Tahoma"/>
            <family val="2"/>
          </rPr>
          <t xml:space="preserve">1-3-1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O5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4800</t>
        </r>
      </text>
    </comment>
    <comment ref="P5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3600</t>
        </r>
      </text>
    </comment>
    <comment ref="Q5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18000</t>
        </r>
      </text>
    </comment>
    <comment ref="E6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2020/08/27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2020/10/07</t>
        </r>
        <r>
          <rPr>
            <b/>
            <sz val="9"/>
            <color indexed="81"/>
            <rFont val="細明體"/>
            <family val="3"/>
            <charset val="136"/>
          </rPr>
          <t>移位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2021/08/25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2025/04/24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棧板→一廠架</t>
        </r>
        <r>
          <rPr>
            <b/>
            <sz val="9"/>
            <color indexed="81"/>
            <rFont val="Tahoma"/>
            <family val="2"/>
          </rPr>
          <t xml:space="preserve">1-3-1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</t>
        </r>
      </text>
    </comment>
    <comment ref="O6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4050</t>
        </r>
      </text>
    </comment>
    <comment ref="P6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3038</t>
        </r>
      </text>
    </comment>
    <comment ref="Q6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30375</t>
        </r>
      </text>
    </comment>
    <comment ref="E7" authorId="0" shapeId="0" xr:uid="{00000000-0006-0000-0A00-00000E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14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2020/08/27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2020/10/07</t>
        </r>
        <r>
          <rPr>
            <b/>
            <sz val="9"/>
            <color indexed="81"/>
            <rFont val="細明體"/>
            <family val="3"/>
            <charset val="136"/>
          </rPr>
          <t>移位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2021/08/27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2022/09/23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2025/04/24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三廠</t>
        </r>
        <r>
          <rPr>
            <b/>
            <sz val="9"/>
            <color indexed="81"/>
            <rFont val="Tahoma"/>
            <family val="2"/>
          </rPr>
          <t>3-2-1</t>
        </r>
        <r>
          <rPr>
            <b/>
            <sz val="9"/>
            <color indexed="81"/>
            <rFont val="細明體"/>
            <family val="3"/>
            <charset val="136"/>
          </rPr>
          <t>棧板→一廠架</t>
        </r>
        <r>
          <rPr>
            <b/>
            <sz val="9"/>
            <color indexed="81"/>
            <rFont val="Tahoma"/>
            <family val="2"/>
          </rPr>
          <t xml:space="preserve">1-3-1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2025/04/24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O14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7050</t>
        </r>
      </text>
    </comment>
    <comment ref="P14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5288</t>
        </r>
      </text>
    </comment>
    <comment ref="Q14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26438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B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B00-000002000000}">
      <text>
        <r>
          <rPr>
            <b/>
            <sz val="10"/>
            <color indexed="81"/>
            <rFont val="Tahoma"/>
            <family val="2"/>
          </rPr>
          <t>2024/12/24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5" authorId="0" shapeId="0" xr:uid="{00000000-0006-0000-0B00-000003000000}">
      <text>
        <r>
          <rPr>
            <b/>
            <sz val="10"/>
            <color indexed="81"/>
            <rFont val="Tahoma"/>
            <family val="2"/>
          </rPr>
          <t>2024/12/24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6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2019/12/17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2019/12/17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8" authorId="0" shapeId="0" xr:uid="{00000000-0006-0000-0B00-000006000000}">
      <text>
        <r>
          <rPr>
            <b/>
            <sz val="9"/>
            <color indexed="81"/>
            <rFont val="Tahoma"/>
            <family val="2"/>
          </rPr>
          <t>2019/12/17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9" authorId="0" shapeId="0" xr:uid="{00000000-0006-0000-0B00-000007000000}">
      <text>
        <r>
          <rPr>
            <b/>
            <sz val="9"/>
            <color indexed="81"/>
            <rFont val="Tahoma"/>
            <family val="2"/>
          </rPr>
          <t>2019/12/20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0" authorId="0" shapeId="0" xr:uid="{00000000-0006-0000-0B00-000008000000}">
      <text>
        <r>
          <rPr>
            <b/>
            <sz val="9"/>
            <color indexed="81"/>
            <rFont val="Tahoma"/>
            <family val="2"/>
          </rPr>
          <t>2019/12/20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2022/08/24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1" authorId="0" shapeId="0" xr:uid="{00000000-0006-0000-0B00-000009000000}">
      <text>
        <r>
          <rPr>
            <b/>
            <sz val="9"/>
            <color indexed="81"/>
            <rFont val="Tahoma"/>
            <family val="2"/>
          </rPr>
          <t>2019/12/25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2" authorId="0" shapeId="0" xr:uid="{00000000-0006-0000-0B00-00000A000000}">
      <text>
        <r>
          <rPr>
            <b/>
            <sz val="9"/>
            <color indexed="81"/>
            <rFont val="Tahoma"/>
            <family val="2"/>
          </rPr>
          <t>2020/05/09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3" authorId="0" shapeId="0" xr:uid="{00000000-0006-0000-0B00-00000B000000}">
      <text>
        <r>
          <rPr>
            <b/>
            <sz val="9"/>
            <color indexed="81"/>
            <rFont val="Tahoma"/>
            <family val="2"/>
          </rPr>
          <t>2019/12/25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4" authorId="0" shapeId="0" xr:uid="{00000000-0006-0000-0B00-00000C000000}">
      <text>
        <r>
          <rPr>
            <b/>
            <sz val="9"/>
            <color indexed="81"/>
            <rFont val="Tahoma"/>
            <family val="2"/>
          </rPr>
          <t>2020/05/09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6" authorId="0" shapeId="0" xr:uid="{00000000-0006-0000-0B00-00000D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7" authorId="0" shapeId="0" xr:uid="{00000000-0006-0000-0B00-00000E000000}">
      <text>
        <r>
          <rPr>
            <b/>
            <sz val="9"/>
            <color indexed="81"/>
            <rFont val="Tahoma"/>
            <family val="2"/>
          </rPr>
          <t>2024/04/19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" authorId="0" shapeId="0" xr:uid="{00000000-0006-0000-0B00-00000F000000}">
      <text>
        <r>
          <rPr>
            <b/>
            <sz val="9"/>
            <color indexed="81"/>
            <rFont val="Tahoma"/>
            <family val="2"/>
          </rPr>
          <t>2024/04/19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9" authorId="0" shapeId="0" xr:uid="{00000000-0006-0000-0B00-000010000000}">
      <text>
        <r>
          <rPr>
            <b/>
            <sz val="9"/>
            <color indexed="81"/>
            <rFont val="Tahoma"/>
            <family val="2"/>
          </rPr>
          <t>2024/03/21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0" authorId="0" shapeId="0" xr:uid="{00000000-0006-0000-0B00-000011000000}">
      <text>
        <r>
          <rPr>
            <b/>
            <sz val="10"/>
            <color indexed="81"/>
            <rFont val="Tahoma"/>
            <family val="2"/>
          </rPr>
          <t>2024/12/24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2025/01/09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(1)1-2-1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2-4-1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21" authorId="0" shapeId="0" xr:uid="{00000000-0006-0000-0B00-000012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22" authorId="0" shapeId="0" xr:uid="{00000000-0006-0000-0B00-000013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23" authorId="0" shapeId="0" xr:uid="{00000000-0006-0000-0B00-000014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E24" authorId="0" shapeId="0" xr:uid="{00000000-0006-0000-0B00-000015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E25" authorId="0" shapeId="0" xr:uid="{00000000-0006-0000-0B00-000016000000}">
      <text>
        <r>
          <rPr>
            <b/>
            <sz val="10"/>
            <color indexed="81"/>
            <rFont val="Tahoma"/>
            <family val="2"/>
          </rPr>
          <t>2026/01/15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 xml:space="preserve">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</t>
        </r>
        <r>
          <rPr>
            <b/>
            <sz val="10"/>
            <color indexed="81"/>
            <rFont val="細明體"/>
            <family val="3"/>
            <charset val="136"/>
          </rPr>
          <t>組</t>
        </r>
        <r>
          <rPr>
            <b/>
            <sz val="10"/>
            <color indexed="81"/>
            <rFont val="Tahoma"/>
            <family val="2"/>
          </rPr>
          <t>)</t>
        </r>
      </text>
    </comment>
    <comment ref="E26" authorId="0" shapeId="0" xr:uid="{00000000-0006-0000-0B00-000017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30" authorId="0" shapeId="0" xr:uid="{00000000-0006-0000-0B00-000018000000}">
      <text>
        <r>
          <rPr>
            <b/>
            <sz val="9"/>
            <color indexed="81"/>
            <rFont val="Tahoma"/>
            <family val="2"/>
          </rPr>
          <t>2023/02/04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2025/04/01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32" authorId="0" shapeId="0" xr:uid="{00000000-0006-0000-0B00-000019000000}">
      <text>
        <r>
          <rPr>
            <b/>
            <sz val="9"/>
            <color indexed="81"/>
            <rFont val="Tahoma"/>
            <family val="2"/>
          </rPr>
          <t>2025/06/09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2025/08/08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33" authorId="0" shapeId="0" xr:uid="{00000000-0006-0000-0B00-00001A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2025/08/08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34" authorId="0" shapeId="0" xr:uid="{00000000-0006-0000-0B00-00001B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2025/08/08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35" authorId="0" shapeId="0" xr:uid="{00000000-0006-0000-0B00-00001C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2025/08/08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36" authorId="0" shapeId="0" xr:uid="{00000000-0006-0000-0B00-00001D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2025/08/08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37" authorId="0" shapeId="0" xr:uid="{00000000-0006-0000-0B00-00001E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
2025/08/08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(1)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38" authorId="0" shapeId="0" xr:uid="{00000000-0006-0000-0B00-00001F000000}">
      <text>
        <r>
          <rPr>
            <b/>
            <sz val="10"/>
            <color indexed="81"/>
            <rFont val="Tahoma"/>
            <family val="2"/>
          </rPr>
          <t>2025/03/26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
2025/08/08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>(4)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(0)</t>
        </r>
      </text>
    </comment>
    <comment ref="E39" authorId="0" shapeId="0" xr:uid="{00000000-0006-0000-0B00-000020000000}">
      <text>
        <r>
          <rPr>
            <b/>
            <sz val="9"/>
            <color indexed="81"/>
            <rFont val="Tahoma"/>
            <family val="2"/>
          </rPr>
          <t>2023/04/07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2025/08/08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40" authorId="0" shapeId="0" xr:uid="{00000000-0006-0000-0B00-000021000000}">
      <text>
        <r>
          <rPr>
            <b/>
            <sz val="9"/>
            <color indexed="81"/>
            <rFont val="Tahoma"/>
            <family val="2"/>
          </rPr>
          <t>2024/04/19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2-4-1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2025/10/29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2" authorId="0" shapeId="0" xr:uid="{00000000-0006-0000-0C00-000001000000}">
      <text>
        <r>
          <rPr>
            <b/>
            <sz val="10"/>
            <color indexed="81"/>
            <rFont val="細明體"/>
            <family val="3"/>
            <charset val="136"/>
          </rPr>
          <t>原</t>
        </r>
        <r>
          <rPr>
            <b/>
            <sz val="10"/>
            <color indexed="81"/>
            <rFont val="Tahoma"/>
            <family val="2"/>
          </rPr>
          <t>A</t>
        </r>
        <r>
          <rPr>
            <b/>
            <sz val="10"/>
            <color indexed="81"/>
            <rFont val="細明體"/>
            <family val="3"/>
            <charset val="136"/>
          </rPr>
          <t>外箱</t>
        </r>
        <r>
          <rPr>
            <b/>
            <sz val="10"/>
            <color indexed="81"/>
            <rFont val="Tahoma"/>
            <family val="2"/>
          </rPr>
          <t>-3</t>
        </r>
        <r>
          <rPr>
            <b/>
            <sz val="10"/>
            <color indexed="81"/>
            <rFont val="細明體"/>
            <family val="3"/>
            <charset val="136"/>
          </rPr>
          <t>→移</t>
        </r>
        <r>
          <rPr>
            <b/>
            <sz val="10"/>
            <color indexed="81"/>
            <rFont val="Tahoma"/>
            <family val="2"/>
          </rPr>
          <t>2-4-1</t>
        </r>
      </text>
    </comment>
    <comment ref="M2" authorId="0" shapeId="0" xr:uid="{00000000-0006-0000-0C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2020/06/08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5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2020/06/08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驗貨庫存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6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2020/06/08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驗貨庫存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7" authorId="0" shapeId="0" xr:uid="{00000000-0006-0000-0C00-000006000000}">
      <text>
        <r>
          <rPr>
            <b/>
            <sz val="9"/>
            <color indexed="81"/>
            <rFont val="Tahoma"/>
            <family val="2"/>
          </rPr>
          <t>2020/06/08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驗貨庫存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(7)A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8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2020/06/08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驗貨庫存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(7)A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</t>
        </r>
      </text>
    </comment>
    <comment ref="E9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2020/11/16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0" authorId="0" shapeId="0" xr:uid="{00000000-0006-0000-0C00-00000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1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2020/08/05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12" authorId="0" shapeId="0" xr:uid="{00000000-0006-0000-0C00-00000B000000}">
      <text>
        <r>
          <rPr>
            <b/>
            <sz val="9"/>
            <color indexed="81"/>
            <rFont val="Tahoma"/>
            <family val="2"/>
          </rPr>
          <t>2021/04/08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I12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#16-30</t>
        </r>
      </text>
    </comment>
    <comment ref="E13" authorId="0" shapeId="0" xr:uid="{00000000-0006-0000-0C00-00000D000000}">
      <text>
        <r>
          <rPr>
            <b/>
            <sz val="9"/>
            <color indexed="81"/>
            <rFont val="Tahoma"/>
            <family val="2"/>
          </rPr>
          <t>2020/12/30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4" authorId="0" shapeId="0" xr:uid="{00000000-0006-0000-0C00-00000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5" authorId="0" shapeId="0" xr:uid="{00000000-0006-0000-0C00-00000F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6" authorId="0" shapeId="0" xr:uid="{00000000-0006-0000-0C00-000010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2019/10/21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2019/11/19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7" authorId="0" shapeId="0" xr:uid="{00000000-0006-0000-0C00-000011000000}">
      <text>
        <r>
          <rPr>
            <b/>
            <sz val="9"/>
            <color indexed="81"/>
            <rFont val="Tahoma"/>
            <family val="2"/>
          </rPr>
          <t>2020/07/09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I17" authorId="0" shapeId="0" xr:uid="{00000000-0006-0000-0C00-000012000000}">
      <text>
        <r>
          <rPr>
            <b/>
            <sz val="9"/>
            <color indexed="81"/>
            <rFont val="Tahoma"/>
            <family val="2"/>
          </rPr>
          <t>#16-30</t>
        </r>
      </text>
    </comment>
    <comment ref="E18" authorId="0" shapeId="0" xr:uid="{00000000-0006-0000-0C00-000013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2020/03/18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</t>
        </r>
      </text>
    </comment>
    <comment ref="E19" authorId="0" shapeId="0" xr:uid="{00000000-0006-0000-0C00-00001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2020/03/02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(5)A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20" authorId="0" shapeId="0" xr:uid="{00000000-0006-0000-0C00-000015000000}">
      <text>
        <r>
          <rPr>
            <b/>
            <sz val="9"/>
            <color indexed="81"/>
            <rFont val="Tahoma"/>
            <family val="2"/>
          </rPr>
          <t>2020/12/30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21" authorId="0" shapeId="0" xr:uid="{00000000-0006-0000-0C00-000016000000}">
      <text>
        <r>
          <rPr>
            <b/>
            <sz val="9"/>
            <color indexed="81"/>
            <rFont val="Tahoma"/>
            <family val="2"/>
          </rPr>
          <t>2020/12/30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(9)A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</text>
    </comment>
    <comment ref="E22" authorId="0" shapeId="0" xr:uid="{00000000-0006-0000-0C00-000017000000}">
      <text>
        <r>
          <rPr>
            <b/>
            <sz val="9"/>
            <color indexed="81"/>
            <rFont val="Tahoma"/>
            <family val="2"/>
          </rPr>
          <t>2020/2/7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2020/08/05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2025/11/21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3" authorId="0" shapeId="0" xr:uid="{00000000-0006-0000-0C00-000018000000}">
      <text>
        <r>
          <rPr>
            <b/>
            <sz val="9"/>
            <color indexed="81"/>
            <rFont val="Tahoma"/>
            <family val="2"/>
          </rPr>
          <t>2020/2/7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>(1)
2020/08/05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2024/09/18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(1)A</t>
        </r>
        <r>
          <rPr>
            <b/>
            <sz val="9"/>
            <color indexed="81"/>
            <rFont val="細明體"/>
            <family val="3"/>
            <charset val="136"/>
          </rPr>
          <t>外箱</t>
        </r>
        <r>
          <rPr>
            <b/>
            <sz val="9"/>
            <color indexed="81"/>
            <rFont val="Tahoma"/>
            <family val="2"/>
          </rPr>
          <t>-3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2-4-1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2025/11/21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(1)2-4-1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A3-1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24" authorId="0" shapeId="0" xr:uid="{00000000-0006-0000-0C00-000019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D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2021/08/20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(46)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(46)</t>
        </r>
      </text>
    </comment>
    <comment ref="E5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2021/08/20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2022/01/03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(36)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(36)</t>
        </r>
      </text>
    </comment>
    <comment ref="E6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2021/06/07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7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2021/06/07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2022/01/03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(34)</t>
        </r>
      </text>
    </comment>
    <comment ref="E8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2021/06/07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2022/01/03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9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>2021/07/21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0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>2021/07/21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1" authorId="0" shapeId="0" xr:uid="{00000000-0006-0000-0D00-000009000000}">
      <text>
        <r>
          <rPr>
            <b/>
            <sz val="9"/>
            <color indexed="81"/>
            <rFont val="Tahoma"/>
            <family val="2"/>
          </rPr>
          <t>2021/07/21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2" authorId="0" shapeId="0" xr:uid="{00000000-0006-0000-0D00-00000A000000}">
      <text>
        <r>
          <rPr>
            <b/>
            <sz val="9"/>
            <color indexed="81"/>
            <rFont val="Tahoma"/>
            <family val="2"/>
          </rPr>
          <t>2021/06/07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3" authorId="0" shapeId="0" xr:uid="{00000000-0006-0000-0D00-00000B000000}">
      <text>
        <r>
          <rPr>
            <b/>
            <sz val="9"/>
            <color indexed="81"/>
            <rFont val="Tahoma"/>
            <family val="2"/>
          </rPr>
          <t>2021/07/21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14" authorId="0" shapeId="0" xr:uid="{00000000-0006-0000-0D00-00000C000000}">
      <text>
        <r>
          <rPr>
            <b/>
            <sz val="9"/>
            <color indexed="81"/>
            <rFont val="Tahoma"/>
            <family val="2"/>
          </rPr>
          <t>2021/05/18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15" authorId="0" shapeId="0" xr:uid="{00000000-0006-0000-0D00-00000D000000}">
      <text>
        <r>
          <rPr>
            <b/>
            <sz val="9"/>
            <color indexed="81"/>
            <rFont val="Tahoma"/>
            <family val="2"/>
          </rPr>
          <t>2021/05/18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2021/06/07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6" authorId="0" shapeId="0" xr:uid="{00000000-0006-0000-0D00-00000E000000}">
      <text>
        <r>
          <rPr>
            <b/>
            <sz val="9"/>
            <color indexed="81"/>
            <rFont val="Tahoma"/>
            <family val="2"/>
          </rPr>
          <t>2021/05/18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7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2021/05/18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18" authorId="0" shapeId="0" xr:uid="{00000000-0006-0000-0D00-000010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19" authorId="0" shapeId="0" xr:uid="{00000000-0006-0000-0D00-000011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20" authorId="0" shapeId="0" xr:uid="{00000000-0006-0000-0D00-000012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21" authorId="0" shapeId="0" xr:uid="{00000000-0006-0000-0D00-000013000000}">
      <text>
        <r>
          <rPr>
            <b/>
            <sz val="9"/>
            <color indexed="81"/>
            <rFont val="Tahoma"/>
            <family val="2"/>
          </rPr>
          <t>2021/05/11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C2-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22" authorId="0" shapeId="0" xr:uid="{00000000-0006-0000-0D00-000014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E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2019/10/03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2020/03/09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2019/10/03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2020/03/09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2020/03/09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  <r>
          <rPr>
            <b/>
            <sz val="9"/>
            <color indexed="81"/>
            <rFont val="Tahoma"/>
            <family val="2"/>
          </rPr>
          <t>3PC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B4-3(6)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2(6)</t>
        </r>
      </text>
    </comment>
    <comment ref="E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2019/10/03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2020/03/09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B4-3(7)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2(7)</t>
        </r>
      </text>
    </comment>
    <comment ref="E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2019/10/03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2020/03/09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2020/03/09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尋</t>
        </r>
        <r>
          <rPr>
            <b/>
            <sz val="9"/>
            <color indexed="81"/>
            <rFont val="Tahoma"/>
            <family val="2"/>
          </rPr>
          <t>(1) 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10" authorId="0" shapeId="0" xr:uid="{00000000-0006-0000-0E00-00000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2020/03/09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Tahoma"/>
            <family val="2"/>
          </rPr>
          <t xml:space="preserve">
2020/03/09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Tahoma"/>
            <family val="2"/>
          </rPr>
          <t xml:space="preserve">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  <r>
          <rPr>
            <b/>
            <sz val="9"/>
            <color indexed="81"/>
            <rFont val="Tahoma"/>
            <family val="2"/>
          </rPr>
          <t>1PC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2(2)</t>
        </r>
      </text>
    </comment>
    <comment ref="E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B4-3(3)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2(3)</t>
        </r>
      </text>
    </comment>
    <comment ref="E14" authorId="0" shapeId="0" xr:uid="{00000000-0006-0000-0E00-00000C000000}">
      <text>
        <r>
          <rPr>
            <b/>
            <sz val="9"/>
            <color indexed="81"/>
            <rFont val="Tahoma"/>
            <family val="2"/>
          </rPr>
          <t>2020/12/02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2(2)</t>
        </r>
      </text>
    </comment>
    <comment ref="O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 xml:space="preserve">4650
</t>
        </r>
      </text>
    </comment>
    <comment ref="E15" authorId="0" shapeId="0" xr:uid="{00000000-0006-0000-0E00-00000E000000}">
      <text>
        <r>
          <rPr>
            <b/>
            <sz val="9"/>
            <color indexed="81"/>
            <rFont val="Tahoma"/>
            <family val="2"/>
          </rPr>
          <t>2020/03/18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3(5)</t>
        </r>
      </text>
    </comment>
    <comment ref="E16" authorId="0" shapeId="0" xr:uid="{00000000-0006-0000-0E00-00000F000000}">
      <text>
        <r>
          <rPr>
            <b/>
            <sz val="9"/>
            <color indexed="81"/>
            <rFont val="Tahoma"/>
            <family val="2"/>
          </rPr>
          <t>2020/03/18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3(5)</t>
        </r>
      </text>
    </comment>
    <comment ref="I16" authorId="0" shapeId="0" xr:uid="{00000000-0006-0000-0E00-000010000000}">
      <text>
        <r>
          <rPr>
            <b/>
            <sz val="9"/>
            <color indexed="81"/>
            <rFont val="細明體"/>
            <family val="3"/>
            <charset val="136"/>
          </rPr>
          <t>已車床至花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細明體"/>
            <family val="3"/>
            <charset val="136"/>
          </rPr>
          <t>熱處理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細明體"/>
            <family val="3"/>
            <charset val="136"/>
          </rPr>
          <t>放電</t>
        </r>
      </text>
    </comment>
    <comment ref="E17" authorId="0" shapeId="0" xr:uid="{00000000-0006-0000-0E00-000011000000}">
      <text>
        <r>
          <rPr>
            <b/>
            <sz val="9"/>
            <color indexed="81"/>
            <rFont val="Tahoma"/>
            <family val="2"/>
          </rPr>
          <t>2022/11/28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3(5)</t>
        </r>
      </text>
    </comment>
    <comment ref="E18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2022/12/21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3(2)</t>
        </r>
      </text>
    </comment>
    <comment ref="L18" authorId="0" shapeId="0" xr:uid="{00000000-0006-0000-0E00-000013000000}">
      <text>
        <r>
          <rPr>
            <b/>
            <sz val="9"/>
            <color indexed="81"/>
            <rFont val="細明體"/>
            <family val="3"/>
            <charset val="136"/>
          </rPr>
          <t>代料至成品</t>
        </r>
      </text>
    </comment>
    <comment ref="E19" authorId="0" shapeId="0" xr:uid="{00000000-0006-0000-0E00-000014000000}">
      <text>
        <r>
          <rPr>
            <b/>
            <sz val="9"/>
            <color indexed="81"/>
            <rFont val="Tahoma"/>
            <family val="2"/>
          </rPr>
          <t>2023/01/18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3(2)</t>
        </r>
      </text>
    </comment>
    <comment ref="L19" authorId="0" shapeId="0" xr:uid="{00000000-0006-0000-0E00-000015000000}">
      <text>
        <r>
          <rPr>
            <b/>
            <sz val="9"/>
            <color indexed="81"/>
            <rFont val="細明體"/>
            <family val="3"/>
            <charset val="136"/>
          </rPr>
          <t>代料至成品</t>
        </r>
      </text>
    </comment>
    <comment ref="E20" authorId="0" shapeId="0" xr:uid="{00000000-0006-0000-0E00-000016000000}">
      <text>
        <r>
          <rPr>
            <b/>
            <sz val="9"/>
            <color indexed="81"/>
            <rFont val="Tahoma"/>
            <family val="2"/>
          </rPr>
          <t>2023/01/18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3(1)</t>
        </r>
      </text>
    </comment>
    <comment ref="L20" authorId="0" shapeId="0" xr:uid="{00000000-0006-0000-0E00-000017000000}">
      <text>
        <r>
          <rPr>
            <b/>
            <sz val="9"/>
            <color indexed="81"/>
            <rFont val="細明體"/>
            <family val="3"/>
            <charset val="136"/>
          </rPr>
          <t>代料至成品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1" authorId="0" shapeId="0" xr:uid="{00000000-0006-0000-0E00-000018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庫存(2</t>
        </r>
        <r>
          <rPr>
            <b/>
            <sz val="9"/>
            <color indexed="81"/>
            <rFont val="Tahoma"/>
            <family val="2"/>
          </rPr>
          <t>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3(2)</t>
        </r>
      </text>
    </comment>
    <comment ref="E22" authorId="0" shapeId="0" xr:uid="{00000000-0006-0000-0E00-000019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B4-4(4)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3(4)</t>
        </r>
      </text>
    </comment>
    <comment ref="E23" authorId="0" shapeId="0" xr:uid="{00000000-0006-0000-0E00-00001A000000}">
      <text>
        <r>
          <rPr>
            <b/>
            <sz val="9"/>
            <color indexed="81"/>
            <rFont val="Tahoma"/>
            <family val="2"/>
          </rPr>
          <t>2021/07/20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3(2)</t>
        </r>
      </text>
    </comment>
    <comment ref="E24" authorId="0" shapeId="0" xr:uid="{00000000-0006-0000-0E00-00001B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3(1)</t>
        </r>
      </text>
    </comment>
    <comment ref="E25" authorId="0" shapeId="0" xr:uid="{00000000-0006-0000-0E00-00001C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3(1)</t>
        </r>
      </text>
    </comment>
    <comment ref="E26" authorId="0" shapeId="0" xr:uid="{00000000-0006-0000-0E00-00001D000000}">
      <text>
        <r>
          <rPr>
            <b/>
            <sz val="9"/>
            <color indexed="81"/>
            <rFont val="Tahoma"/>
            <family val="2"/>
          </rPr>
          <t>2021/02/01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B4-4(1)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3(1)</t>
        </r>
      </text>
    </comment>
    <comment ref="E27" authorId="0" shapeId="0" xr:uid="{00000000-0006-0000-0E00-00001E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0F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0F00-000002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2023/09/07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A1-2(1)</t>
        </r>
      </text>
    </comment>
    <comment ref="B5" authorId="0" shapeId="0" xr:uid="{00000000-0006-0000-0F00-000003000000}">
      <text>
        <r>
          <rPr>
            <b/>
            <sz val="9"/>
            <color indexed="81"/>
            <rFont val="細明體"/>
            <family val="3"/>
            <charset val="136"/>
          </rPr>
          <t>同料號：</t>
        </r>
        <r>
          <rPr>
            <b/>
            <sz val="9"/>
            <color indexed="81"/>
            <rFont val="Tahoma"/>
            <family val="2"/>
          </rPr>
          <t>3J0000080002</t>
        </r>
      </text>
    </comment>
    <comment ref="E5" authorId="0" shapeId="0" xr:uid="{00000000-0006-0000-0F00-000004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2023/09/07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A1-2(1)</t>
        </r>
      </text>
    </comment>
    <comment ref="E6" authorId="0" shapeId="0" xr:uid="{00000000-0006-0000-0F00-000005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7" authorId="0" shapeId="0" xr:uid="{00000000-0006-0000-0F00-000006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8" authorId="0" shapeId="0" xr:uid="{00000000-0006-0000-0F00-000007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9" authorId="0" shapeId="0" xr:uid="{00000000-0006-0000-0F00-000008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0" authorId="0" shapeId="0" xr:uid="{00000000-0006-0000-0F00-000009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1" authorId="0" shapeId="0" xr:uid="{00000000-0006-0000-0F00-00000A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2" authorId="0" shapeId="0" xr:uid="{00000000-0006-0000-0F00-00000B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C1-2(1)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3" authorId="0" shapeId="0" xr:uid="{00000000-0006-0000-0F00-00000C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C1-5(1)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4" authorId="0" shapeId="0" xr:uid="{00000000-0006-0000-0F00-00000D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C1-5(1)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5" authorId="0" shapeId="0" xr:uid="{00000000-0006-0000-0F00-00000E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2020/03/19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2023/09/12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C1-5(1)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B1-4(1)</t>
        </r>
      </text>
    </comment>
    <comment ref="E16" authorId="0" shapeId="0" xr:uid="{00000000-0006-0000-0F00-00000F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10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2020/05/04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4(1)</t>
        </r>
      </text>
    </comment>
    <comment ref="E5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2020/01/09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4(2)</t>
        </r>
      </text>
    </comment>
    <comment ref="E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2020/05/04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4(2)</t>
        </r>
      </text>
    </comment>
    <comment ref="E7" authorId="0" shapeId="0" xr:uid="{00000000-0006-0000-1000-000005000000}">
      <text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
2020/01/09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2020/04/14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4(2)</t>
        </r>
      </text>
    </comment>
    <comment ref="E8" authorId="0" shapeId="0" xr:uid="{00000000-0006-0000-1000-000006000000}">
      <text>
        <r>
          <rPr>
            <b/>
            <sz val="9"/>
            <color indexed="81"/>
            <rFont val="Tahoma"/>
            <family val="2"/>
          </rPr>
          <t>2020/05/15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2020/10/23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
2021/04/15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4(1)</t>
        </r>
      </text>
    </comment>
    <comment ref="E9" authorId="0" shapeId="0" xr:uid="{00000000-0006-0000-1000-000007000000}">
      <text>
        <r>
          <rPr>
            <b/>
            <sz val="9"/>
            <color indexed="81"/>
            <rFont val="Tahoma"/>
            <family val="2"/>
          </rPr>
          <t>2020/10/07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C4-1(2)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4(2)</t>
        </r>
      </text>
    </comment>
    <comment ref="E10" authorId="0" shapeId="0" xr:uid="{00000000-0006-0000-1000-000008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M2" authorId="0" shapeId="0" xr:uid="{00000000-0006-0000-11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 xml:space="preserve">鐵架層數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2019/12/05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2020/04/09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5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2020/07/10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6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7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2020/07/10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8" authorId="0" shapeId="0" xr:uid="{00000000-0006-0000-1100-00000600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9" authorId="0" shapeId="0" xr:uid="{00000000-0006-0000-1100-000007000000}">
      <text>
        <r>
          <rPr>
            <b/>
            <sz val="9"/>
            <color indexed="81"/>
            <rFont val="Tahoma"/>
            <family val="2"/>
          </rPr>
          <t>2020/07/10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0" authorId="0" shapeId="0" xr:uid="{00000000-0006-0000-1100-00000800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1" authorId="0" shapeId="0" xr:uid="{00000000-0006-0000-1100-000009000000}">
      <text>
        <r>
          <rPr>
            <b/>
            <sz val="9"/>
            <color indexed="81"/>
            <rFont val="Tahoma"/>
            <family val="2"/>
          </rPr>
          <t>2020/07/10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2" authorId="0" shapeId="0" xr:uid="{00000000-0006-0000-1100-00000A000000}">
      <text>
        <r>
          <rPr>
            <b/>
            <sz val="9"/>
            <color indexed="81"/>
            <rFont val="Tahoma"/>
            <family val="2"/>
          </rPr>
          <t>2020/07/10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2020/08/04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3" authorId="0" shapeId="0" xr:uid="{00000000-0006-0000-1100-00000B000000}">
      <text>
        <r>
          <rPr>
            <b/>
            <sz val="9"/>
            <color indexed="81"/>
            <rFont val="Tahoma"/>
            <family val="2"/>
          </rPr>
          <t>2020/08/21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4" authorId="0" shapeId="0" xr:uid="{00000000-0006-0000-1100-00000C00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5" authorId="0" shapeId="0" xr:uid="{00000000-0006-0000-1100-00000D000000}">
      <text>
        <r>
          <rPr>
            <b/>
            <sz val="9"/>
            <color indexed="81"/>
            <rFont val="Tahoma"/>
            <family val="2"/>
          </rPr>
          <t>2020/10/20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2021/02/03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6" authorId="0" shapeId="0" xr:uid="{00000000-0006-0000-1100-00000E000000}">
      <text>
        <r>
          <rPr>
            <b/>
            <sz val="9"/>
            <color indexed="81"/>
            <rFont val="Tahoma"/>
            <family val="2"/>
          </rPr>
          <t>2021/03/11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7" authorId="0" shapeId="0" xr:uid="{00000000-0006-0000-1100-00000F000000}">
      <text>
        <r>
          <rPr>
            <b/>
            <sz val="9"/>
            <color indexed="81"/>
            <rFont val="Tahoma"/>
            <family val="2"/>
          </rPr>
          <t>2023/02/17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(2)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5(2)</t>
        </r>
      </text>
    </comment>
    <comment ref="E18" authorId="0" shapeId="0" xr:uid="{00000000-0006-0000-1100-000010000000}">
      <text>
        <r>
          <rPr>
            <b/>
            <sz val="10"/>
            <color indexed="81"/>
            <rFont val="Tahoma"/>
            <family val="2"/>
          </rPr>
          <t>2024/09/26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19" authorId="0" shapeId="0" xr:uid="{00000000-0006-0000-1100-000011000000}">
      <text>
        <r>
          <rPr>
            <b/>
            <sz val="10"/>
            <color indexed="81"/>
            <rFont val="Tahoma"/>
            <family val="2"/>
          </rPr>
          <t xml:space="preserve">2026/01/14 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20" authorId="0" shapeId="0" xr:uid="{00000000-0006-0000-1100-000012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C4-4(5)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5(5)</t>
        </r>
      </text>
    </comment>
    <comment ref="E21" authorId="0" shapeId="0" xr:uid="{00000000-0006-0000-1100-000013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5(1)</t>
        </r>
      </text>
    </comment>
    <comment ref="E22" authorId="0" shapeId="0" xr:uid="{00000000-0006-0000-1100-000014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5(1)</t>
        </r>
      </text>
    </comment>
    <comment ref="E23" authorId="0" shapeId="0" xr:uid="{00000000-0006-0000-1100-000015000000}">
      <text>
        <r>
          <rPr>
            <b/>
            <sz val="9"/>
            <color indexed="81"/>
            <rFont val="Tahoma"/>
            <family val="2"/>
          </rPr>
          <t>2021/07/02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2023/09/14</t>
        </r>
        <r>
          <rPr>
            <b/>
            <sz val="9"/>
            <color indexed="81"/>
            <rFont val="細明體"/>
            <family val="3"/>
            <charset val="136"/>
          </rPr>
          <t>儲位變更</t>
        </r>
        <r>
          <rPr>
            <b/>
            <sz val="9"/>
            <color indexed="81"/>
            <rFont val="Tahoma"/>
            <family val="2"/>
          </rPr>
          <t>C4-4(1)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>A4-</t>
        </r>
        <r>
          <rPr>
            <b/>
            <sz val="9"/>
            <color indexed="81"/>
            <rFont val="細明體"/>
            <family val="3"/>
            <charset val="136"/>
          </rPr>
          <t>箱</t>
        </r>
        <r>
          <rPr>
            <b/>
            <sz val="9"/>
            <color indexed="81"/>
            <rFont val="Tahoma"/>
            <family val="2"/>
          </rPr>
          <t>5(1)</t>
        </r>
      </text>
    </comment>
    <comment ref="E24" authorId="0" shapeId="0" xr:uid="{00000000-0006-0000-1100-000016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2" authorId="0" shapeId="0" xr:uid="{00000000-0006-0000-1200-000001000000}">
      <text>
        <r>
          <rPr>
            <b/>
            <sz val="10"/>
            <color indexed="81"/>
            <rFont val="Tahoma"/>
            <family val="2"/>
          </rPr>
          <t>DD-32+DD-27</t>
        </r>
        <r>
          <rPr>
            <b/>
            <sz val="10"/>
            <color indexed="81"/>
            <rFont val="細明體"/>
            <family val="3"/>
            <charset val="136"/>
          </rPr>
          <t>組合</t>
        </r>
      </text>
    </comment>
    <comment ref="M2" authorId="0" shapeId="0" xr:uid="{00000000-0006-0000-12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鐵架標示
</t>
        </r>
        <r>
          <rPr>
            <b/>
            <sz val="9"/>
            <color indexed="81"/>
            <rFont val="Tahoma"/>
            <family val="2"/>
          </rPr>
          <t xml:space="preserve">1~5 </t>
        </r>
        <r>
          <rPr>
            <b/>
            <sz val="9"/>
            <color indexed="81"/>
            <rFont val="細明體"/>
            <family val="3"/>
            <charset val="136"/>
          </rPr>
          <t>鐵架數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由大門往內數</t>
        </r>
        <r>
          <rPr>
            <b/>
            <sz val="9"/>
            <color indexed="81"/>
            <rFont val="Tahoma"/>
            <family val="2"/>
          </rPr>
          <t xml:space="preserve">)
1~4 </t>
        </r>
        <r>
          <rPr>
            <b/>
            <sz val="9"/>
            <color indexed="81"/>
            <rFont val="細明體"/>
            <family val="3"/>
            <charset val="136"/>
          </rPr>
          <t>鐵架層數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由下往上數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1~2 </t>
        </r>
        <r>
          <rPr>
            <b/>
            <sz val="9"/>
            <color indexed="81"/>
            <rFont val="細明體"/>
            <family val="3"/>
            <charset val="136"/>
          </rPr>
          <t>鐵架棧板位置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 xml:space="preserve">2)
1~2 </t>
        </r>
        <r>
          <rPr>
            <b/>
            <sz val="9"/>
            <color indexed="81"/>
            <rFont val="細明體"/>
            <family val="3"/>
            <charset val="136"/>
          </rPr>
          <t>鐵架橘籃位置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細明體"/>
            <family val="3"/>
            <charset val="136"/>
          </rPr>
          <t>左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細明體"/>
            <family val="3"/>
            <charset val="136"/>
          </rPr>
          <t>右</t>
        </r>
        <r>
          <rPr>
            <b/>
            <sz val="9"/>
            <color indexed="81"/>
            <rFont val="Tahoma"/>
            <family val="2"/>
          </rPr>
          <t>2)</t>
        </r>
      </text>
    </comment>
    <comment ref="E4" authorId="0" shapeId="0" xr:uid="{00000000-0006-0000-1200-000003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5" authorId="0" shapeId="0" xr:uid="{00000000-0006-0000-1200-000004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6" authorId="0" shapeId="0" xr:uid="{00000000-0006-0000-1200-000005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7" authorId="0" shapeId="0" xr:uid="{00000000-0006-0000-1200-000006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8" authorId="0" shapeId="0" xr:uid="{00000000-0006-0000-1200-000007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9" authorId="0" shapeId="0" xr:uid="{00000000-0006-0000-1200-000008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0" authorId="0" shapeId="0" xr:uid="{00000000-0006-0000-1200-000009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1" authorId="0" shapeId="0" xr:uid="{00000000-0006-0000-1200-00000A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2" authorId="0" shapeId="0" xr:uid="{00000000-0006-0000-1200-00000B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3" authorId="0" shapeId="0" xr:uid="{00000000-0006-0000-1200-00000C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4" authorId="0" shapeId="0" xr:uid="{00000000-0006-0000-1200-00000D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5" authorId="0" shapeId="0" xr:uid="{00000000-0006-0000-1200-00000E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6" authorId="0" shapeId="0" xr:uid="{00000000-0006-0000-1200-00000F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7" authorId="0" shapeId="0" xr:uid="{00000000-0006-0000-1200-000010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8" authorId="0" shapeId="0" xr:uid="{00000000-0006-0000-1200-000011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19" authorId="0" shapeId="0" xr:uid="{00000000-0006-0000-1200-000012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</t>
        </r>
        <r>
          <rPr>
            <b/>
            <sz val="9"/>
            <color indexed="81"/>
            <rFont val="細明體"/>
            <family val="3"/>
            <charset val="136"/>
          </rPr>
          <t xml:space="preserve">組
</t>
        </r>
        <r>
          <rPr>
            <b/>
            <sz val="9"/>
            <color indexed="81"/>
            <rFont val="Tahoma"/>
            <family val="2"/>
          </rPr>
          <t>2025/08/11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</text>
    </comment>
    <comment ref="E22" authorId="0" shapeId="0" xr:uid="{00000000-0006-0000-1200-000013000000}">
      <text>
        <r>
          <rPr>
            <b/>
            <sz val="9"/>
            <color indexed="81"/>
            <rFont val="Tahoma"/>
            <family val="2"/>
          </rPr>
          <t>2024/06/28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</t>
        </r>
      </text>
    </comment>
    <comment ref="E23" authorId="0" shapeId="0" xr:uid="{00000000-0006-0000-1200-000014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</t>
        </r>
      </text>
    </comment>
    <comment ref="E24" authorId="0" shapeId="0" xr:uid="{00000000-0006-0000-1200-000015000000}">
      <text>
        <r>
          <rPr>
            <b/>
            <sz val="9"/>
            <color indexed="81"/>
            <rFont val="Tahoma"/>
            <family val="2"/>
          </rPr>
          <t>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2022/01/03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</t>
        </r>
        <r>
          <rPr>
            <b/>
            <sz val="9"/>
            <color indexed="81"/>
            <rFont val="細明體"/>
            <family val="3"/>
            <charset val="136"/>
          </rPr>
          <t xml:space="preserve">合併計算
</t>
        </r>
        <r>
          <rPr>
            <b/>
            <sz val="9"/>
            <color indexed="81"/>
            <rFont val="Tahoma"/>
            <family val="2"/>
          </rPr>
          <t>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(32)
2023/08/16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(25)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1200-000016000000}">
      <text>
        <r>
          <rPr>
            <b/>
            <sz val="9"/>
            <color indexed="81"/>
            <rFont val="Tahoma"/>
            <family val="2"/>
          </rPr>
          <t>2019/09/09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2020/07/01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2020/10/08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2021/05/19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2022/01/03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2022/01/26</t>
        </r>
        <r>
          <rPr>
            <b/>
            <sz val="9"/>
            <color indexed="81"/>
            <rFont val="細明體"/>
            <family val="3"/>
            <charset val="136"/>
          </rPr>
          <t>移入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2022/02/09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2022/11/24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</t>
        </r>
        <r>
          <rPr>
            <b/>
            <sz val="9"/>
            <color indexed="81"/>
            <rFont val="Tahoma"/>
            <family val="2"/>
          </rPr>
          <t>(22)</t>
        </r>
      </text>
    </comment>
    <comment ref="E26" authorId="0" shapeId="0" xr:uid="{00000000-0006-0000-1200-000017000000}">
      <text>
        <r>
          <rPr>
            <b/>
            <sz val="9"/>
            <color indexed="81"/>
            <rFont val="Tahoma"/>
            <family val="2"/>
          </rPr>
          <t>2023/02/01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(22)</t>
        </r>
      </text>
    </comment>
    <comment ref="E27" authorId="0" shapeId="0" xr:uid="{00000000-0006-0000-1200-000018000000}">
      <text>
        <r>
          <rPr>
            <b/>
            <sz val="9"/>
            <color indexed="81"/>
            <rFont val="Tahoma"/>
            <family val="2"/>
          </rPr>
          <t>2020/07/03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
</t>
        </r>
      </text>
    </comment>
    <comment ref="E28" authorId="0" shapeId="0" xr:uid="{00000000-0006-0000-1200-000019000000}">
      <text>
        <r>
          <rPr>
            <b/>
            <sz val="9"/>
            <color indexed="81"/>
            <rFont val="Tahoma"/>
            <family val="2"/>
          </rPr>
          <t>2020/07/03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2025/04/09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
</t>
        </r>
      </text>
    </comment>
    <comment ref="E29" authorId="0" shapeId="0" xr:uid="{00000000-0006-0000-1200-00001A000000}">
      <text>
        <r>
          <rPr>
            <b/>
            <sz val="9"/>
            <color indexed="81"/>
            <rFont val="Tahoma"/>
            <family val="2"/>
          </rPr>
          <t>2019/09/09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(77)
2020/07/01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(72)
2020/10/08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(71)
2021/05/19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2022/02/09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(47)
2022/11/24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2023/08/16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>(26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(7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
 </t>
        </r>
      </text>
    </comment>
    <comment ref="E32" authorId="0" shapeId="0" xr:uid="{00000000-0006-0000-1200-00001B000000}">
      <text>
        <r>
          <rPr>
            <b/>
            <sz val="9"/>
            <color indexed="81"/>
            <rFont val="Tahoma"/>
            <family val="2"/>
          </rPr>
          <t>2020/10/08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(50)</t>
        </r>
      </text>
    </comment>
    <comment ref="E33" authorId="0" shapeId="0" xr:uid="{00000000-0006-0000-1200-00001C000000}">
      <text>
        <r>
          <rPr>
            <b/>
            <sz val="9"/>
            <color indexed="81"/>
            <rFont val="Tahoma"/>
            <family val="2"/>
          </rPr>
          <t>2020/07/03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(44)</t>
        </r>
      </text>
    </comment>
    <comment ref="E34" authorId="0" shapeId="0" xr:uid="{00000000-0006-0000-1200-00001D000000}">
      <text>
        <r>
          <rPr>
            <b/>
            <sz val="9"/>
            <color indexed="81"/>
            <rFont val="Tahoma"/>
            <family val="2"/>
          </rPr>
          <t>2020/07/03</t>
        </r>
        <r>
          <rPr>
            <b/>
            <sz val="9"/>
            <color indexed="81"/>
            <rFont val="細明體"/>
            <family val="3"/>
            <charset val="136"/>
          </rPr>
          <t>清</t>
        </r>
        <r>
          <rPr>
            <b/>
            <sz val="9"/>
            <color indexed="81"/>
            <rFont val="Tahoma"/>
            <family val="2"/>
          </rPr>
          <t xml:space="preserve">(53)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(53)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(53)
2021/05/19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2021/12/15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2022/02/09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
2022/02/17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(28) </t>
        </r>
        <r>
          <rPr>
            <b/>
            <sz val="9"/>
            <color indexed="81"/>
            <rFont val="細明體"/>
            <family val="3"/>
            <charset val="136"/>
          </rPr>
          <t>遺失</t>
        </r>
        <r>
          <rPr>
            <b/>
            <sz val="9"/>
            <color indexed="81"/>
            <rFont val="Tahoma"/>
            <family val="2"/>
          </rPr>
          <t>1
2022/11/24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(6)</t>
        </r>
      </text>
    </comment>
    <comment ref="E35" authorId="0" shapeId="0" xr:uid="{00000000-0006-0000-1200-00001E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2025/01/16</t>
        </r>
        <r>
          <rPr>
            <b/>
            <sz val="10"/>
            <color indexed="81"/>
            <rFont val="細明體"/>
            <family val="3"/>
            <charset val="136"/>
          </rPr>
          <t>移</t>
        </r>
        <r>
          <rPr>
            <b/>
            <sz val="10"/>
            <color indexed="81"/>
            <rFont val="Tahoma"/>
            <family val="2"/>
          </rPr>
          <t>(5)1-2-1</t>
        </r>
        <r>
          <rPr>
            <b/>
            <sz val="10"/>
            <color indexed="81"/>
            <rFont val="細明體"/>
            <family val="3"/>
            <charset val="136"/>
          </rPr>
          <t>→</t>
        </r>
        <r>
          <rPr>
            <b/>
            <sz val="10"/>
            <color indexed="81"/>
            <rFont val="Tahoma"/>
            <family val="2"/>
          </rPr>
          <t xml:space="preserve">5-3-2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
2025/02/21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6" authorId="0" shapeId="0" xr:uid="{00000000-0006-0000-1200-00001F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37" authorId="0" shapeId="0" xr:uid="{00000000-0006-0000-1200-000020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2025/10/30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2025/11/25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(2)</t>
        </r>
      </text>
    </comment>
    <comment ref="E38" authorId="0" shapeId="0" xr:uid="{00000000-0006-0000-1200-000021000000}">
      <text>
        <r>
          <rPr>
            <b/>
            <sz val="10"/>
            <color indexed="81"/>
            <rFont val="Tahoma"/>
            <family val="2"/>
          </rPr>
          <t>2025/04/28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(5)</t>
        </r>
      </text>
    </comment>
    <comment ref="E39" authorId="0" shapeId="0" xr:uid="{00000000-0006-0000-1200-000022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</t>
        </r>
      </text>
    </comment>
    <comment ref="E40" authorId="0" shapeId="0" xr:uid="{00000000-0006-0000-1200-000023000000}">
      <text>
        <r>
          <rPr>
            <b/>
            <sz val="9"/>
            <color indexed="81"/>
            <rFont val="Tahoma"/>
            <family val="2"/>
          </rPr>
          <t>2022/01/17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</t>
        </r>
      </text>
    </comment>
    <comment ref="E41" authorId="0" shapeId="0" xr:uid="{00000000-0006-0000-1200-000024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(33)</t>
        </r>
      </text>
    </comment>
    <comment ref="E42" authorId="0" shapeId="0" xr:uid="{00000000-0006-0000-1200-000025000000}">
      <text>
        <r>
          <rPr>
            <b/>
            <sz val="9"/>
            <color indexed="81"/>
            <rFont val="Tahoma"/>
            <family val="2"/>
          </rPr>
          <t>2021/08/30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2021/12/08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2023/06/29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2023/08/17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20204/10/28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(24)4-4-1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</t>
        </r>
      </text>
    </comment>
    <comment ref="L42" authorId="0" shapeId="0" xr:uid="{00000000-0006-0000-1200-000026000000}">
      <text>
        <r>
          <rPr>
            <b/>
            <sz val="9"/>
            <color indexed="81"/>
            <rFont val="細明體"/>
            <family val="3"/>
            <charset val="136"/>
          </rPr>
          <t>磨外徑</t>
        </r>
      </text>
    </comment>
    <comment ref="E43" authorId="0" shapeId="0" xr:uid="{00000000-0006-0000-1200-000027000000}">
      <text>
        <r>
          <rPr>
            <b/>
            <sz val="9"/>
            <color indexed="81"/>
            <rFont val="Tahoma"/>
            <family val="2"/>
          </rPr>
          <t>2022/01/20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2023/08/17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2024/10/28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(14)4-4-1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2025/10/27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44" authorId="0" shapeId="0" xr:uid="{00000000-0006-0000-1200-000028000000}">
      <text>
        <r>
          <rPr>
            <b/>
            <sz val="9"/>
            <color indexed="81"/>
            <rFont val="Tahoma"/>
            <family val="2"/>
          </rPr>
          <t>2022/01/20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2023/08/17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2024/10/28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(15)4-4-1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</t>
        </r>
      </text>
    </comment>
    <comment ref="E45" authorId="0" shapeId="0" xr:uid="{00000000-0006-0000-1200-000029000000}">
      <text>
        <r>
          <rPr>
            <b/>
            <sz val="9"/>
            <color indexed="81"/>
            <rFont val="Tahoma"/>
            <family val="2"/>
          </rPr>
          <t>2022/03/15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(88)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(88)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(88)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(88)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(88)
2023/04/21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(67)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(67)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(62)
2024/05/14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</t>
        </r>
        <r>
          <rPr>
            <b/>
            <sz val="9"/>
            <color indexed="81"/>
            <rFont val="細明體"/>
            <family val="3"/>
            <charset val="136"/>
          </rPr>
          <t>研六栓未加工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細明體"/>
            <family val="3"/>
            <charset val="136"/>
          </rPr>
          <t xml:space="preserve">補
</t>
        </r>
        <r>
          <rPr>
            <b/>
            <sz val="9"/>
            <color indexed="81"/>
            <rFont val="Tahoma"/>
            <family val="2"/>
          </rPr>
          <t>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(60)4-4-2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(60)
2024/11/17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2026/04/07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</t>
        </r>
      </text>
    </comment>
    <comment ref="E46" authorId="0" shapeId="0" xr:uid="{00000000-0006-0000-1200-00002A000000}">
      <text>
        <r>
          <rPr>
            <b/>
            <sz val="9"/>
            <color indexed="81"/>
            <rFont val="Tahoma"/>
            <family val="2"/>
          </rPr>
          <t>2022/03/14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(66)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(66)
2022/03/17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(69)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(69)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(69)
2023/04/21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(48)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(48)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(43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)4-4-2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2024/11/17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(29)</t>
        </r>
      </text>
    </comment>
    <comment ref="E48" authorId="0" shapeId="0" xr:uid="{00000000-0006-0000-1200-00002B000000}">
      <text>
        <r>
          <rPr>
            <b/>
            <sz val="9"/>
            <color indexed="81"/>
            <rFont val="Tahoma"/>
            <family val="2"/>
          </rPr>
          <t>2022/01/17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(16)4-4-2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(16)
2025/02/19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</t>
        </r>
      </text>
    </comment>
    <comment ref="E49" authorId="0" shapeId="0" xr:uid="{00000000-0006-0000-1200-00002C000000}">
      <text>
        <r>
          <rPr>
            <b/>
            <sz val="9"/>
            <color indexed="81"/>
            <rFont val="Tahoma"/>
            <family val="2"/>
          </rPr>
          <t>2022/01/17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2022/04/26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(26)4-4-2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2024/12/17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2025/02/19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(11)
2025/05/20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(8)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0" authorId="0" shapeId="0" xr:uid="{00000000-0006-0000-1200-00002D000000}">
      <text>
        <r>
          <rPr>
            <b/>
            <sz val="9"/>
            <color indexed="81"/>
            <rFont val="Tahoma"/>
            <family val="2"/>
          </rPr>
          <t>2022/01/20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2022/04/26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2023/08/17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2024/10/28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(12)4-4-1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(12)
2024/12/17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2025/02/19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(1)</t>
        </r>
      </text>
    </comment>
    <comment ref="E51" authorId="0" shapeId="0" xr:uid="{00000000-0006-0000-1200-00002E000000}">
      <text>
        <r>
          <rPr>
            <b/>
            <sz val="9"/>
            <color indexed="81"/>
            <rFont val="Tahoma"/>
            <family val="2"/>
          </rPr>
          <t>2022/01/20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2022/01/26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(41)
2022/04/26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2023/08/17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2024/10/28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(26)4-4-1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2024/12/17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(24)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(20)
2025/02/27(5)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(15)
2025/10/27(4)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(11)
2025/11/17(7)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52" authorId="0" shapeId="0" xr:uid="{00000000-0006-0000-1200-00002F000000}">
      <text>
        <r>
          <rPr>
            <b/>
            <sz val="9"/>
            <color indexed="81"/>
            <rFont val="Tahoma"/>
            <family val="2"/>
          </rPr>
          <t>2022/03/02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(45)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(54)</t>
        </r>
        <r>
          <rPr>
            <b/>
            <sz val="9"/>
            <color indexed="81"/>
            <rFont val="細明體"/>
            <family val="3"/>
            <charset val="136"/>
          </rPr>
          <t xml:space="preserve">合併計算
</t>
        </r>
        <r>
          <rPr>
            <b/>
            <sz val="9"/>
            <color indexed="81"/>
            <rFont val="Tahoma"/>
            <family val="2"/>
          </rPr>
          <t>2023/06/29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(39)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(34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)4-4-2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5-4-2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2025/08/11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(3)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(31)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(14)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</t>
        </r>
      </text>
    </comment>
    <comment ref="E54" authorId="0" shapeId="0" xr:uid="{00000000-0006-0000-1200-000030000000}">
      <text>
        <r>
          <rPr>
            <b/>
            <sz val="10"/>
            <color indexed="81"/>
            <rFont val="Tahoma"/>
            <family val="2"/>
          </rPr>
          <t>2025/02/21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(15)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(15)
2026/04/09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(3)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(12)</t>
        </r>
      </text>
    </comment>
    <comment ref="E55" authorId="0" shapeId="0" xr:uid="{00000000-0006-0000-1200-000031000000}">
      <text>
        <r>
          <rPr>
            <b/>
            <sz val="10"/>
            <color indexed="81"/>
            <rFont val="Tahoma"/>
            <family val="2"/>
          </rPr>
          <t>2025/02/20</t>
        </r>
        <r>
          <rPr>
            <b/>
            <sz val="10"/>
            <color indexed="81"/>
            <rFont val="細明體"/>
            <family val="3"/>
            <charset val="136"/>
          </rPr>
          <t>盤</t>
        </r>
        <r>
          <rPr>
            <b/>
            <sz val="10"/>
            <color indexed="81"/>
            <rFont val="Tahoma"/>
            <family val="2"/>
          </rPr>
          <t xml:space="preserve">(26)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(26)
2025/02/14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(24)
2025/02/20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(17)
2025/10/27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(4)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(13)
2025/11/17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(7)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(6)</t>
        </r>
      </text>
    </comment>
    <comment ref="E56" authorId="0" shapeId="0" xr:uid="{00000000-0006-0000-1200-000032000000}">
      <text>
        <r>
          <rPr>
            <b/>
            <sz val="10"/>
            <color indexed="81"/>
            <rFont val="Tahoma"/>
            <family val="2"/>
          </rPr>
          <t>2024/09/30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(1)</t>
        </r>
      </text>
    </comment>
    <comment ref="E57" authorId="0" shapeId="0" xr:uid="{00000000-0006-0000-1200-000033000000}">
      <text>
        <r>
          <rPr>
            <b/>
            <sz val="9"/>
            <color indexed="81"/>
            <rFont val="細明體"/>
            <family val="3"/>
            <charset val="136"/>
          </rPr>
          <t>總筆數</t>
        </r>
      </text>
    </comment>
    <comment ref="E63" authorId="0" shapeId="0" xr:uid="{00000000-0006-0000-1200-000034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(40)
2022/11/24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(23)
2023/03/02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(13)
2023/11/10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尋回</t>
        </r>
        <r>
          <rPr>
            <b/>
            <sz val="9"/>
            <color indexed="81"/>
            <rFont val="Tahoma"/>
            <family val="2"/>
          </rPr>
          <t>4PC</t>
        </r>
        <r>
          <rPr>
            <b/>
            <sz val="9"/>
            <color indexed="81"/>
            <rFont val="細明體"/>
            <family val="3"/>
            <charset val="136"/>
          </rPr>
          <t>，庫存</t>
        </r>
        <r>
          <rPr>
            <b/>
            <sz val="9"/>
            <color indexed="81"/>
            <rFont val="Tahoma"/>
            <family val="2"/>
          </rPr>
          <t>(7)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4" authorId="0" shapeId="0" xr:uid="{00000000-0006-0000-1200-000035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5" authorId="0" shapeId="0" xr:uid="{00000000-0006-0000-1200-000036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
2025/05/12</t>
        </r>
        <r>
          <rPr>
            <b/>
            <sz val="9"/>
            <color indexed="81"/>
            <rFont val="細明體"/>
            <family val="3"/>
            <charset val="136"/>
          </rPr>
          <t>變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  <r>
          <rPr>
            <b/>
            <sz val="9"/>
            <color indexed="81"/>
            <rFont val="細明體"/>
            <family val="3"/>
            <charset val="136"/>
          </rPr>
          <t>料號有誤，修正為</t>
        </r>
        <r>
          <rPr>
            <b/>
            <sz val="9"/>
            <color indexed="81"/>
            <rFont val="Tahoma"/>
            <family val="2"/>
          </rPr>
          <t>RB-18
2025/05/12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(4)RB-15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RB-18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(4)</t>
        </r>
      </text>
    </comment>
    <comment ref="E66" authorId="0" shapeId="0" xr:uid="{00000000-0006-0000-1200-000037000000}">
      <text>
        <r>
          <rPr>
            <b/>
            <sz val="9"/>
            <color indexed="81"/>
            <rFont val="Tahoma"/>
            <family val="2"/>
          </rPr>
          <t>2022/07/12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2023/03/30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2025/05/20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7" authorId="0" shapeId="0" xr:uid="{00000000-0006-0000-1200-000038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(42)
2024/06/21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2025/06/17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8" authorId="0" shapeId="0" xr:uid="{00000000-0006-0000-1200-000039000000}">
      <text>
        <r>
          <rPr>
            <b/>
            <sz val="9"/>
            <color indexed="81"/>
            <rFont val="Tahoma"/>
            <family val="2"/>
          </rPr>
          <t>2024/06/04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(42)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(42)
2024/06/21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(30)
2025/06/17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69" authorId="0" shapeId="0" xr:uid="{00000000-0006-0000-1200-00003A000000}">
      <text>
        <r>
          <rPr>
            <b/>
            <sz val="9"/>
            <color indexed="81"/>
            <rFont val="Tahoma"/>
            <family val="2"/>
          </rPr>
          <t>2024/02/01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(34)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(34)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(27)
2024/05/14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(25)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(18)
2025/08/06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(18)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0" authorId="0" shapeId="0" xr:uid="{00000000-0006-0000-1200-00003B000000}">
      <text>
        <r>
          <rPr>
            <b/>
            <sz val="9"/>
            <color indexed="81"/>
            <rFont val="Tahoma"/>
            <family val="2"/>
          </rPr>
          <t>2022/06/17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2024/07/17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2024/10/29</t>
        </r>
        <r>
          <rPr>
            <b/>
            <sz val="9"/>
            <color indexed="81"/>
            <rFont val="細明體"/>
            <family val="3"/>
            <charset val="136"/>
          </rPr>
          <t>移</t>
        </r>
        <r>
          <rPr>
            <b/>
            <sz val="9"/>
            <color indexed="81"/>
            <rFont val="Tahoma"/>
            <family val="2"/>
          </rPr>
          <t>(2)4-3-2</t>
        </r>
        <r>
          <rPr>
            <b/>
            <sz val="9"/>
            <color indexed="81"/>
            <rFont val="細明體"/>
            <family val="3"/>
            <charset val="136"/>
          </rPr>
          <t>→</t>
        </r>
        <r>
          <rPr>
            <b/>
            <sz val="9"/>
            <color indexed="81"/>
            <rFont val="Tahoma"/>
            <family val="2"/>
          </rPr>
          <t xml:space="preserve">4-3-1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 xml:space="preserve">(2)
2024/10/29 4-3-1 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1" authorId="0" shapeId="0" xr:uid="{00000000-0006-0000-1200-00003C000000}">
      <text>
        <r>
          <rPr>
            <b/>
            <sz val="9"/>
            <color indexed="81"/>
            <rFont val="Tahoma"/>
            <family val="2"/>
          </rPr>
          <t>2022/01/17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(14)
2024/07/17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(9)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(5)
2025/11/17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2" authorId="0" shapeId="0" xr:uid="{00000000-0006-0000-1200-00003D000000}">
      <text>
        <r>
          <rPr>
            <b/>
            <sz val="9"/>
            <color indexed="81"/>
            <rFont val="Tahoma"/>
            <family val="2"/>
          </rPr>
          <t>2023/07/25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3" authorId="0" shapeId="0" xr:uid="{00000000-0006-0000-1200-00003E000000}">
      <text>
        <r>
          <rPr>
            <b/>
            <sz val="9"/>
            <color indexed="81"/>
            <rFont val="Tahoma"/>
            <family val="2"/>
          </rPr>
          <t>2023/07/06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(20)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(20)
2023/11/10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2024/03/27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2025/05/12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4" authorId="0" shapeId="0" xr:uid="{00000000-0006-0000-1200-00003F000000}">
      <text>
        <r>
          <rPr>
            <b/>
            <sz val="9"/>
            <color indexed="81"/>
            <rFont val="Tahoma"/>
            <family val="2"/>
          </rPr>
          <t>2023/09/14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>(12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2023/10/23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(10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>(2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</t>
        </r>
        <r>
          <rPr>
            <b/>
            <sz val="9"/>
            <color indexed="81"/>
            <rFont val="細明體"/>
            <family val="3"/>
            <charset val="136"/>
          </rPr>
          <t>組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77" authorId="0" shapeId="0" xr:uid="{00000000-0006-0000-1200-000040000000}">
      <text>
        <r>
          <rPr>
            <b/>
            <sz val="9"/>
            <color indexed="81"/>
            <rFont val="Tahoma"/>
            <family val="2"/>
          </rPr>
          <t>2019/9/09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2020/07/01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(61)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(61)
2020/10/08</t>
        </r>
        <r>
          <rPr>
            <b/>
            <sz val="9"/>
            <color indexed="81"/>
            <rFont val="細明體"/>
            <family val="3"/>
            <charset val="136"/>
          </rPr>
          <t>遺</t>
        </r>
        <r>
          <rPr>
            <b/>
            <sz val="9"/>
            <color indexed="81"/>
            <rFont val="Tahoma"/>
            <family val="2"/>
          </rPr>
          <t xml:space="preserve">(12)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2020/11/19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2021/05/19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2022/01/03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(46)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(46)
2022/01/26</t>
        </r>
        <r>
          <rPr>
            <b/>
            <sz val="9"/>
            <color indexed="81"/>
            <rFont val="細明體"/>
            <family val="3"/>
            <charset val="136"/>
          </rPr>
          <t>移入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(49)
2022/02/09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(43)
2022/11/24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(36)
2023/03/03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(10)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2023/04/24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(26)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(26)
2023/08/16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(7)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2024/10/29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(19)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(19)
2024/11/06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(17)
2025/01/10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(13)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(2)
2025/11/17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(2)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8" authorId="0" shapeId="0" xr:uid="{00000000-0006-0000-1200-000041000000}">
      <text>
        <r>
          <rPr>
            <b/>
            <sz val="9"/>
            <color indexed="81"/>
            <rFont val="Tahoma"/>
            <family val="2"/>
          </rPr>
          <t>2022/01/17</t>
        </r>
        <r>
          <rPr>
            <b/>
            <sz val="9"/>
            <color indexed="81"/>
            <rFont val="細明體"/>
            <family val="3"/>
            <charset val="136"/>
          </rPr>
          <t>入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2022/04/13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2022/07/19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2023/03/28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(15)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(15)
2024/07/17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(5)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(10)
2024/10/29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(7)
2025/01/16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(4)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2025/02/21</t>
        </r>
        <r>
          <rPr>
            <b/>
            <sz val="9"/>
            <color indexed="81"/>
            <rFont val="細明體"/>
            <family val="3"/>
            <charset val="136"/>
          </rPr>
          <t>盤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(3)
2025/12/10</t>
        </r>
        <r>
          <rPr>
            <b/>
            <sz val="9"/>
            <color indexed="81"/>
            <rFont val="細明體"/>
            <family val="3"/>
            <charset val="136"/>
          </rPr>
          <t>出</t>
        </r>
        <r>
          <rPr>
            <b/>
            <sz val="9"/>
            <color indexed="81"/>
            <rFont val="Tahoma"/>
            <family val="2"/>
          </rPr>
          <t xml:space="preserve">(3) </t>
        </r>
        <r>
          <rPr>
            <b/>
            <sz val="9"/>
            <color indexed="81"/>
            <rFont val="細明體"/>
            <family val="3"/>
            <charset val="136"/>
          </rPr>
          <t>庫存</t>
        </r>
        <r>
          <rPr>
            <b/>
            <sz val="9"/>
            <color indexed="81"/>
            <rFont val="Tahoma"/>
            <family val="2"/>
          </rPr>
          <t>(0)</t>
        </r>
      </text>
    </comment>
    <comment ref="E79" authorId="0" shapeId="0" xr:uid="{00000000-0006-0000-1200-000042000000}">
      <text>
        <r>
          <rPr>
            <b/>
            <sz val="10"/>
            <color indexed="81"/>
            <rFont val="Tahoma"/>
            <family val="2"/>
          </rPr>
          <t>2025/01/06</t>
        </r>
        <r>
          <rPr>
            <b/>
            <sz val="10"/>
            <color indexed="81"/>
            <rFont val="細明體"/>
            <family val="3"/>
            <charset val="136"/>
          </rPr>
          <t>入</t>
        </r>
        <r>
          <rPr>
            <b/>
            <sz val="10"/>
            <color indexed="81"/>
            <rFont val="Tahoma"/>
            <family val="2"/>
          </rPr>
          <t xml:space="preserve">(16)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(16)
2025/01/10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(11)
2025/05/12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(2)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(9)
2025/07/17</t>
        </r>
        <r>
          <rPr>
            <b/>
            <sz val="10"/>
            <color indexed="81"/>
            <rFont val="細明體"/>
            <family val="3"/>
            <charset val="136"/>
          </rPr>
          <t>出</t>
        </r>
        <r>
          <rPr>
            <b/>
            <sz val="10"/>
            <color indexed="81"/>
            <rFont val="Tahoma"/>
            <family val="2"/>
          </rPr>
          <t xml:space="preserve">(5) </t>
        </r>
        <r>
          <rPr>
            <b/>
            <sz val="10"/>
            <color indexed="81"/>
            <rFont val="細明體"/>
            <family val="3"/>
            <charset val="136"/>
          </rPr>
          <t>庫存</t>
        </r>
        <r>
          <rPr>
            <b/>
            <sz val="10"/>
            <color indexed="81"/>
            <rFont val="Tahoma"/>
            <family val="2"/>
          </rPr>
          <t>(4)</t>
        </r>
      </text>
    </comment>
  </commentList>
</comments>
</file>

<file path=xl/sharedStrings.xml><?xml version="1.0" encoding="utf-8"?>
<sst xmlns="http://schemas.openxmlformats.org/spreadsheetml/2006/main" count="8142" uniqueCount="3257">
  <si>
    <t>B1-4</t>
    <phoneticPr fontId="1" type="noConversion"/>
  </si>
  <si>
    <t>B1-3</t>
    <phoneticPr fontId="1" type="noConversion"/>
  </si>
  <si>
    <t>B1-2</t>
    <phoneticPr fontId="1" type="noConversion"/>
  </si>
  <si>
    <t>B3-2</t>
    <phoneticPr fontId="1" type="noConversion"/>
  </si>
  <si>
    <t>B3-5</t>
    <phoneticPr fontId="1" type="noConversion"/>
  </si>
  <si>
    <t>A1-2</t>
    <phoneticPr fontId="1" type="noConversion"/>
  </si>
  <si>
    <t>A2-2</t>
    <phoneticPr fontId="1" type="noConversion"/>
  </si>
  <si>
    <t>A2-4</t>
    <phoneticPr fontId="1" type="noConversion"/>
  </si>
  <si>
    <t>A3-3</t>
    <phoneticPr fontId="1" type="noConversion"/>
  </si>
  <si>
    <t>A3-4</t>
    <phoneticPr fontId="1" type="noConversion"/>
  </si>
  <si>
    <t>A3-5</t>
    <phoneticPr fontId="1" type="noConversion"/>
  </si>
  <si>
    <t>A3-6</t>
    <phoneticPr fontId="1" type="noConversion"/>
  </si>
  <si>
    <t>A3-7</t>
    <phoneticPr fontId="1" type="noConversion"/>
  </si>
  <si>
    <t>483-08054001A</t>
    <phoneticPr fontId="1" type="noConversion"/>
  </si>
  <si>
    <t>220-29900500A</t>
    <phoneticPr fontId="1" type="noConversion"/>
  </si>
  <si>
    <t>220-29900692A</t>
    <phoneticPr fontId="1" type="noConversion"/>
  </si>
  <si>
    <t>220-29900499A</t>
    <phoneticPr fontId="1" type="noConversion"/>
  </si>
  <si>
    <t>220-29900639A</t>
    <phoneticPr fontId="1" type="noConversion"/>
  </si>
  <si>
    <t>220-29900568A</t>
    <phoneticPr fontId="1" type="noConversion"/>
  </si>
  <si>
    <t>220-29900575A</t>
    <phoneticPr fontId="1" type="noConversion"/>
  </si>
  <si>
    <t>220-29900612A</t>
    <phoneticPr fontId="1" type="noConversion"/>
  </si>
  <si>
    <t>220-29900691A</t>
    <phoneticPr fontId="1" type="noConversion"/>
  </si>
  <si>
    <t>220-29900657A</t>
    <phoneticPr fontId="1" type="noConversion"/>
  </si>
  <si>
    <t>PH300049-80</t>
    <phoneticPr fontId="1" type="noConversion"/>
  </si>
  <si>
    <t>462-25020002A</t>
    <phoneticPr fontId="1" type="noConversion"/>
  </si>
  <si>
    <t>202-21200581A</t>
    <phoneticPr fontId="1" type="noConversion"/>
  </si>
  <si>
    <t>220-29900577A</t>
    <phoneticPr fontId="1" type="noConversion"/>
  </si>
  <si>
    <t>MN50021</t>
    <phoneticPr fontId="1" type="noConversion"/>
  </si>
  <si>
    <t>T36M20D22</t>
    <phoneticPr fontId="1" type="noConversion"/>
  </si>
  <si>
    <t>客戶</t>
    <phoneticPr fontId="1" type="noConversion"/>
  </si>
  <si>
    <t>件號</t>
    <phoneticPr fontId="1" type="noConversion"/>
  </si>
  <si>
    <t>MI63005</t>
    <phoneticPr fontId="1" type="noConversion"/>
  </si>
  <si>
    <t>VN17016-K</t>
    <phoneticPr fontId="1" type="noConversion"/>
  </si>
  <si>
    <t>VN12B004</t>
    <phoneticPr fontId="1" type="noConversion"/>
  </si>
  <si>
    <t>MN25103</t>
    <phoneticPr fontId="1" type="noConversion"/>
  </si>
  <si>
    <t>MN32021-H</t>
    <phoneticPr fontId="1" type="noConversion"/>
  </si>
  <si>
    <t>和昕</t>
    <phoneticPr fontId="1" type="noConversion"/>
  </si>
  <si>
    <t>旭陽</t>
    <phoneticPr fontId="1" type="noConversion"/>
  </si>
  <si>
    <t>寶嘉誠</t>
    <phoneticPr fontId="1" type="noConversion"/>
  </si>
  <si>
    <t>組合齒</t>
    <phoneticPr fontId="1" type="noConversion"/>
  </si>
  <si>
    <t>金豐</t>
    <phoneticPr fontId="1" type="noConversion"/>
  </si>
  <si>
    <t>PM1A03-0202A</t>
    <phoneticPr fontId="1" type="noConversion"/>
  </si>
  <si>
    <t>吉輔</t>
    <phoneticPr fontId="1" type="noConversion"/>
  </si>
  <si>
    <t>原億昌</t>
    <phoneticPr fontId="1" type="noConversion"/>
  </si>
  <si>
    <t>UV35-A05</t>
    <phoneticPr fontId="1" type="noConversion"/>
  </si>
  <si>
    <t>SPTT-19T</t>
    <phoneticPr fontId="1" type="noConversion"/>
  </si>
  <si>
    <t>GOGORO</t>
    <phoneticPr fontId="1" type="noConversion"/>
  </si>
  <si>
    <t>D3-3</t>
    <phoneticPr fontId="1" type="noConversion"/>
  </si>
  <si>
    <t>崴立</t>
    <phoneticPr fontId="1" type="noConversion"/>
  </si>
  <si>
    <t>22150-3001-01</t>
    <phoneticPr fontId="1" type="noConversion"/>
  </si>
  <si>
    <t>20550-6012-00</t>
    <phoneticPr fontId="1" type="noConversion"/>
  </si>
  <si>
    <t>CSMHCP1020-Q6</t>
    <phoneticPr fontId="1" type="noConversion"/>
  </si>
  <si>
    <t>御成</t>
    <phoneticPr fontId="1" type="noConversion"/>
  </si>
  <si>
    <t>220-29900574A</t>
    <phoneticPr fontId="1" type="noConversion"/>
  </si>
  <si>
    <t>組合件</t>
    <phoneticPr fontId="1" type="noConversion"/>
  </si>
  <si>
    <t>22150-3002-00</t>
    <phoneticPr fontId="1" type="noConversion"/>
  </si>
  <si>
    <t>總數</t>
    <phoneticPr fontId="1" type="noConversion"/>
  </si>
  <si>
    <t>備註1</t>
    <phoneticPr fontId="1" type="noConversion"/>
  </si>
  <si>
    <t>成大</t>
    <phoneticPr fontId="1" type="noConversion"/>
  </si>
  <si>
    <t>RB-15</t>
    <phoneticPr fontId="1" type="noConversion"/>
  </si>
  <si>
    <t>新穎</t>
    <phoneticPr fontId="1" type="noConversion"/>
  </si>
  <si>
    <t>明暐</t>
    <phoneticPr fontId="1" type="noConversion"/>
  </si>
  <si>
    <t>出入庫</t>
    <phoneticPr fontId="1" type="noConversion"/>
  </si>
  <si>
    <t>B3-4</t>
    <phoneticPr fontId="1" type="noConversion"/>
  </si>
  <si>
    <t>2803002101-5</t>
    <phoneticPr fontId="1" type="noConversion"/>
  </si>
  <si>
    <t>GT2090-00100</t>
    <phoneticPr fontId="1" type="noConversion"/>
  </si>
  <si>
    <t>HELICAL GEAR-21</t>
    <phoneticPr fontId="1" type="noConversion"/>
  </si>
  <si>
    <t>HELICAL GEAR-62</t>
    <phoneticPr fontId="1" type="noConversion"/>
  </si>
  <si>
    <t>組合件 A</t>
    <phoneticPr fontId="1" type="noConversion"/>
  </si>
  <si>
    <t>大齒輪</t>
  </si>
  <si>
    <t>六方栓輸出軸</t>
  </si>
  <si>
    <t>SPTM-6
SPTM-67T</t>
    <phoneticPr fontId="1" type="noConversion"/>
  </si>
  <si>
    <t>已磨研</t>
  </si>
  <si>
    <t>已磨研</t>
    <phoneticPr fontId="1" type="noConversion"/>
  </si>
  <si>
    <t>A1-2</t>
    <phoneticPr fontId="1" type="noConversion"/>
  </si>
  <si>
    <t>精滾</t>
    <phoneticPr fontId="1" type="noConversion"/>
  </si>
  <si>
    <t>盟 英</t>
    <phoneticPr fontId="1" type="noConversion"/>
  </si>
  <si>
    <t>M1.5*24TB*20L</t>
    <phoneticPr fontId="1" type="noConversion"/>
  </si>
  <si>
    <t>220-29900508A</t>
    <phoneticPr fontId="1" type="noConversion"/>
  </si>
  <si>
    <t>寶嘉誠</t>
    <phoneticPr fontId="1" type="noConversion"/>
  </si>
  <si>
    <t>立翔</t>
    <phoneticPr fontId="1" type="noConversion"/>
  </si>
  <si>
    <t>東芳</t>
    <phoneticPr fontId="1" type="noConversion"/>
  </si>
  <si>
    <t>東芳</t>
    <phoneticPr fontId="1" type="noConversion"/>
  </si>
  <si>
    <t>東芳</t>
    <phoneticPr fontId="1" type="noConversion"/>
  </si>
  <si>
    <t>原億昌</t>
    <phoneticPr fontId="1" type="noConversion"/>
  </si>
  <si>
    <t>弘旺</t>
    <phoneticPr fontId="1" type="noConversion"/>
  </si>
  <si>
    <t>盟 英</t>
    <phoneticPr fontId="1" type="noConversion"/>
  </si>
  <si>
    <t>GS-M100T59</t>
    <phoneticPr fontId="1" type="noConversion"/>
  </si>
  <si>
    <t>GS-M100T58-02</t>
    <phoneticPr fontId="1" type="noConversion"/>
  </si>
  <si>
    <t>寶嘉誠</t>
    <phoneticPr fontId="1" type="noConversion"/>
  </si>
  <si>
    <t>原億昌</t>
    <phoneticPr fontId="1" type="noConversion"/>
  </si>
  <si>
    <t>原億昌</t>
    <phoneticPr fontId="1" type="noConversion"/>
  </si>
  <si>
    <t>尾號+T</t>
    <phoneticPr fontId="1" type="noConversion"/>
  </si>
  <si>
    <t>GS-M100T58-01</t>
    <phoneticPr fontId="1" type="noConversion"/>
  </si>
  <si>
    <t>盟 英</t>
    <phoneticPr fontId="1" type="noConversion"/>
  </si>
  <si>
    <t>盟 英</t>
    <phoneticPr fontId="1" type="noConversion"/>
  </si>
  <si>
    <t>MHSGH020015</t>
    <phoneticPr fontId="1" type="noConversion"/>
  </si>
  <si>
    <t>原億昌</t>
    <phoneticPr fontId="1" type="noConversion"/>
  </si>
  <si>
    <t>GS-M100T26T52</t>
    <phoneticPr fontId="1" type="noConversion"/>
  </si>
  <si>
    <t>未切斷</t>
    <phoneticPr fontId="1" type="noConversion"/>
  </si>
  <si>
    <t>未磨齒</t>
    <phoneticPr fontId="1" type="noConversion"/>
  </si>
  <si>
    <t>11121-BC2-0X01</t>
    <phoneticPr fontId="1" type="noConversion"/>
  </si>
  <si>
    <t>未研磨</t>
    <phoneticPr fontId="1" type="noConversion"/>
  </si>
  <si>
    <t>B4-箱</t>
    <phoneticPr fontId="1" type="noConversion"/>
  </si>
  <si>
    <t>A3-1</t>
    <phoneticPr fontId="1" type="noConversion"/>
  </si>
  <si>
    <t>UKGD0892402</t>
    <phoneticPr fontId="1" type="noConversion"/>
  </si>
  <si>
    <t>短齒條</t>
    <phoneticPr fontId="1" type="noConversion"/>
  </si>
  <si>
    <t>長齒條</t>
    <phoneticPr fontId="1" type="noConversion"/>
  </si>
  <si>
    <t>(左)</t>
    <phoneticPr fontId="1" type="noConversion"/>
  </si>
  <si>
    <t>尾號+5-02T</t>
    <phoneticPr fontId="1" type="noConversion"/>
  </si>
  <si>
    <t>A012-02-0135A</t>
    <phoneticPr fontId="1" type="noConversion"/>
  </si>
  <si>
    <t>A012-02-0136A</t>
    <phoneticPr fontId="1" type="noConversion"/>
  </si>
  <si>
    <t>CMA1530CGE-01-04-02</t>
    <phoneticPr fontId="1" type="noConversion"/>
  </si>
  <si>
    <t>E2020010070000</t>
    <phoneticPr fontId="1" type="noConversion"/>
  </si>
  <si>
    <t>E2020010130001</t>
    <phoneticPr fontId="1" type="noConversion"/>
  </si>
  <si>
    <t>VB21002-D</t>
    <phoneticPr fontId="1" type="noConversion"/>
  </si>
  <si>
    <t>GT2040-00300</t>
    <phoneticPr fontId="1" type="noConversion"/>
  </si>
  <si>
    <t>組合件</t>
    <phoneticPr fontId="1" type="noConversion"/>
  </si>
  <si>
    <t>GT2080-00100</t>
    <phoneticPr fontId="1" type="noConversion"/>
  </si>
  <si>
    <t>TR255012</t>
    <phoneticPr fontId="1" type="noConversion"/>
  </si>
  <si>
    <t>TR321010-A-01</t>
    <phoneticPr fontId="1" type="noConversion"/>
  </si>
  <si>
    <t>TR251039-B</t>
    <phoneticPr fontId="1" type="noConversion"/>
  </si>
  <si>
    <t>HI80006-A</t>
    <phoneticPr fontId="1" type="noConversion"/>
  </si>
  <si>
    <t>HR1512015-B-01</t>
    <phoneticPr fontId="1" type="noConversion"/>
  </si>
  <si>
    <t>MH80011</t>
    <phoneticPr fontId="1" type="noConversion"/>
  </si>
  <si>
    <t>MH34010-01</t>
    <phoneticPr fontId="1" type="noConversion"/>
  </si>
  <si>
    <t>VN12B003</t>
    <phoneticPr fontId="1" type="noConversion"/>
  </si>
  <si>
    <t>組合件</t>
    <phoneticPr fontId="1" type="noConversion"/>
  </si>
  <si>
    <t>MN25015-A</t>
    <phoneticPr fontId="1" type="noConversion"/>
  </si>
  <si>
    <t>MN63005</t>
    <phoneticPr fontId="1" type="noConversion"/>
  </si>
  <si>
    <t>MN32018-A</t>
    <phoneticPr fontId="1" type="noConversion"/>
  </si>
  <si>
    <t>AI63042</t>
    <phoneticPr fontId="1" type="noConversion"/>
  </si>
  <si>
    <t>AI63044</t>
    <phoneticPr fontId="1" type="noConversion"/>
  </si>
  <si>
    <t>MA00046P10</t>
    <phoneticPr fontId="1" type="noConversion"/>
  </si>
  <si>
    <t>MR-10</t>
    <phoneticPr fontId="1" type="noConversion"/>
  </si>
  <si>
    <t>CSM03002011-Q8</t>
    <phoneticPr fontId="1" type="noConversion"/>
  </si>
  <si>
    <t>CHMH0501812-B-99021</t>
    <phoneticPr fontId="1" type="noConversion"/>
  </si>
  <si>
    <t>CHGH0401812-Q6</t>
    <phoneticPr fontId="1" type="noConversion"/>
  </si>
  <si>
    <t>UV35-A12</t>
    <phoneticPr fontId="1" type="noConversion"/>
  </si>
  <si>
    <t>UV35-A04</t>
    <phoneticPr fontId="1" type="noConversion"/>
  </si>
  <si>
    <t>CHM02002042-DIN8</t>
    <phoneticPr fontId="1" type="noConversion"/>
  </si>
  <si>
    <t>M3*25TB*65L-AU011</t>
    <phoneticPr fontId="1" type="noConversion"/>
  </si>
  <si>
    <t>3K0000080002</t>
    <phoneticPr fontId="1" type="noConversion"/>
  </si>
  <si>
    <t>PH300043-80</t>
    <phoneticPr fontId="1" type="noConversion"/>
  </si>
  <si>
    <t>220-29900457A</t>
    <phoneticPr fontId="1" type="noConversion"/>
  </si>
  <si>
    <t>220-29900509A</t>
    <phoneticPr fontId="1" type="noConversion"/>
  </si>
  <si>
    <t>220-29900502A</t>
    <phoneticPr fontId="1" type="noConversion"/>
  </si>
  <si>
    <t>462-25020001A</t>
    <phoneticPr fontId="1" type="noConversion"/>
  </si>
  <si>
    <t>RB-43</t>
    <phoneticPr fontId="1" type="noConversion"/>
  </si>
  <si>
    <t>RB-101</t>
    <phoneticPr fontId="1" type="noConversion"/>
  </si>
  <si>
    <t>RB-14</t>
    <phoneticPr fontId="1" type="noConversion"/>
  </si>
  <si>
    <t>RB-31</t>
    <phoneticPr fontId="1" type="noConversion"/>
  </si>
  <si>
    <t>RB-33</t>
    <phoneticPr fontId="1" type="noConversion"/>
  </si>
  <si>
    <t>RB-36</t>
    <phoneticPr fontId="1" type="noConversion"/>
  </si>
  <si>
    <t>PDA758</t>
    <phoneticPr fontId="1" type="noConversion"/>
  </si>
  <si>
    <t>UKGD0891702</t>
    <phoneticPr fontId="1" type="noConversion"/>
  </si>
  <si>
    <t>M1*26T-M1*52T-A</t>
    <phoneticPr fontId="1" type="noConversion"/>
  </si>
  <si>
    <t>GS-M100T26T52</t>
    <phoneticPr fontId="1" type="noConversion"/>
  </si>
  <si>
    <t>GS-M100T98</t>
    <phoneticPr fontId="1" type="noConversion"/>
  </si>
  <si>
    <t>GS-M100T78</t>
    <phoneticPr fontId="1" type="noConversion"/>
  </si>
  <si>
    <t>DV-32063102</t>
    <phoneticPr fontId="1" type="noConversion"/>
  </si>
  <si>
    <t>DV-16500220</t>
    <phoneticPr fontId="1" type="noConversion"/>
  </si>
  <si>
    <t>3J0000080006-48</t>
    <phoneticPr fontId="1" type="noConversion"/>
  </si>
  <si>
    <t>3I0000080001-55</t>
    <phoneticPr fontId="1" type="noConversion"/>
  </si>
  <si>
    <t>3I0000080008</t>
    <phoneticPr fontId="1" type="noConversion"/>
  </si>
  <si>
    <t>3J0000080005</t>
    <phoneticPr fontId="1" type="noConversion"/>
  </si>
  <si>
    <t>3J0000080003</t>
    <phoneticPr fontId="1" type="noConversion"/>
  </si>
  <si>
    <t>3I0000080004</t>
    <phoneticPr fontId="1" type="noConversion"/>
  </si>
  <si>
    <t>3I0000080003</t>
    <phoneticPr fontId="1" type="noConversion"/>
  </si>
  <si>
    <t>PH300047</t>
    <phoneticPr fontId="1" type="noConversion"/>
  </si>
  <si>
    <t>PM1618-0201A</t>
    <phoneticPr fontId="1" type="noConversion"/>
  </si>
  <si>
    <t>PF381A-0202A</t>
    <phoneticPr fontId="1" type="noConversion"/>
  </si>
  <si>
    <t>序號#2、#3</t>
    <phoneticPr fontId="1" type="noConversion"/>
  </si>
  <si>
    <t>SPTT-35T</t>
    <phoneticPr fontId="1" type="noConversion"/>
  </si>
  <si>
    <t>SPTT-14T</t>
    <phoneticPr fontId="1" type="noConversion"/>
  </si>
  <si>
    <t>SPTM-6</t>
    <phoneticPr fontId="1" type="noConversion"/>
  </si>
  <si>
    <t>SPUR GEAR-54</t>
    <phoneticPr fontId="1" type="noConversion"/>
  </si>
  <si>
    <t>HELICAL GEAR-21</t>
    <phoneticPr fontId="1" type="noConversion"/>
  </si>
  <si>
    <t>SPUR GEAR-18</t>
    <phoneticPr fontId="1" type="noConversion"/>
  </si>
  <si>
    <t>11121-BC2-0X01</t>
    <phoneticPr fontId="1" type="noConversion"/>
  </si>
  <si>
    <t>21436-3008-00</t>
    <phoneticPr fontId="1" type="noConversion"/>
  </si>
  <si>
    <t>10601-0531-01</t>
    <phoneticPr fontId="1" type="noConversion"/>
  </si>
  <si>
    <t>10601-0894-00</t>
    <phoneticPr fontId="1" type="noConversion"/>
  </si>
  <si>
    <t>01-0201-0008</t>
    <phoneticPr fontId="1" type="noConversion"/>
  </si>
  <si>
    <t>VN12012-A</t>
    <phoneticPr fontId="1" type="noConversion"/>
  </si>
  <si>
    <t>HI80005</t>
    <phoneticPr fontId="1" type="noConversion"/>
  </si>
  <si>
    <t>MH34011</t>
    <phoneticPr fontId="1" type="noConversion"/>
  </si>
  <si>
    <t>AI63036-B-01</t>
    <phoneticPr fontId="1" type="noConversion"/>
  </si>
  <si>
    <t>E2991280320000</t>
    <phoneticPr fontId="1" type="noConversion"/>
  </si>
  <si>
    <t>HA3003F</t>
    <phoneticPr fontId="1" type="noConversion"/>
  </si>
  <si>
    <t>GT2040-00100</t>
    <phoneticPr fontId="1" type="noConversion"/>
  </si>
  <si>
    <t>GT2040-00200</t>
    <phoneticPr fontId="1" type="noConversion"/>
  </si>
  <si>
    <t>尾號+T</t>
    <phoneticPr fontId="1" type="noConversion"/>
  </si>
  <si>
    <t>尾號+T</t>
    <phoneticPr fontId="1" type="noConversion"/>
  </si>
  <si>
    <t>CH-KP-020025038-01</t>
    <phoneticPr fontId="1" type="noConversion"/>
  </si>
  <si>
    <t>PM1366-0203A</t>
    <phoneticPr fontId="1" type="noConversion"/>
  </si>
  <si>
    <t>PM1656-0201A</t>
    <phoneticPr fontId="1" type="noConversion"/>
  </si>
  <si>
    <t>PM1369-0201A</t>
    <phoneticPr fontId="1" type="noConversion"/>
  </si>
  <si>
    <t>DV-16500110</t>
    <phoneticPr fontId="1" type="noConversion"/>
  </si>
  <si>
    <t>DV-42210180</t>
    <phoneticPr fontId="1" type="noConversion"/>
  </si>
  <si>
    <t>22550-6014-00</t>
    <phoneticPr fontId="1" type="noConversion"/>
  </si>
  <si>
    <t>21436-3009-00</t>
    <phoneticPr fontId="1" type="noConversion"/>
  </si>
  <si>
    <t>10601-0897-00</t>
    <phoneticPr fontId="1" type="noConversion"/>
  </si>
  <si>
    <t>10601-0898-00</t>
    <phoneticPr fontId="1" type="noConversion"/>
  </si>
  <si>
    <t>20550-6008-00</t>
    <phoneticPr fontId="1" type="noConversion"/>
  </si>
  <si>
    <t>22150-0020-02</t>
    <phoneticPr fontId="1" type="noConversion"/>
  </si>
  <si>
    <t>21436-3004-00</t>
    <phoneticPr fontId="1" type="noConversion"/>
  </si>
  <si>
    <t>21436-3003-00</t>
    <phoneticPr fontId="1" type="noConversion"/>
  </si>
  <si>
    <t>22150-0025-00</t>
    <phoneticPr fontId="1" type="noConversion"/>
  </si>
  <si>
    <t>HG3005L</t>
    <phoneticPr fontId="1" type="noConversion"/>
  </si>
  <si>
    <t>HG3006R</t>
    <phoneticPr fontId="1" type="noConversion"/>
  </si>
  <si>
    <t>HG3007R</t>
    <phoneticPr fontId="1" type="noConversion"/>
  </si>
  <si>
    <t>HG3008L</t>
    <phoneticPr fontId="1" type="noConversion"/>
  </si>
  <si>
    <t>GSE3000-0059</t>
    <phoneticPr fontId="1" type="noConversion"/>
  </si>
  <si>
    <t>HF0101PAC9400644B</t>
    <phoneticPr fontId="1" type="noConversion"/>
  </si>
  <si>
    <t>少染黑</t>
    <phoneticPr fontId="1" type="noConversion"/>
  </si>
  <si>
    <t>少線割</t>
    <phoneticPr fontId="1" type="noConversion"/>
  </si>
  <si>
    <t>少料</t>
    <phoneticPr fontId="1" type="noConversion"/>
  </si>
  <si>
    <t>S1905F1006A-R</t>
    <phoneticPr fontId="1" type="noConversion"/>
  </si>
  <si>
    <t>TT00465-312325-W33-0</t>
    <phoneticPr fontId="1" type="noConversion"/>
  </si>
  <si>
    <t>TT00465-312326-W33-0</t>
    <phoneticPr fontId="1" type="noConversion"/>
  </si>
  <si>
    <t>TT00465-312327-W33-0</t>
    <phoneticPr fontId="1" type="noConversion"/>
  </si>
  <si>
    <t>TT00465-398675-W36-0</t>
    <phoneticPr fontId="1" type="noConversion"/>
  </si>
  <si>
    <t>TT00465-398964-W36-0</t>
    <phoneticPr fontId="1" type="noConversion"/>
  </si>
  <si>
    <t>20170927101-47.5L</t>
    <phoneticPr fontId="1" type="noConversion"/>
  </si>
  <si>
    <t>10M227T67L-2</t>
    <phoneticPr fontId="1" type="noConversion"/>
  </si>
  <si>
    <t>10M227T50L-2</t>
    <phoneticPr fontId="1" type="noConversion"/>
  </si>
  <si>
    <t>MHGH-L-0250161-DIN6</t>
    <phoneticPr fontId="1" type="noConversion"/>
  </si>
  <si>
    <t>MAINTAIN-02</t>
    <phoneticPr fontId="1" type="noConversion"/>
  </si>
  <si>
    <t>CMA1606CDGFA-01-02-2</t>
    <phoneticPr fontId="1" type="noConversion"/>
  </si>
  <si>
    <t>GSH3000-0053</t>
    <phoneticPr fontId="1" type="noConversion"/>
  </si>
  <si>
    <t>CMA2040CGHA-01A-02-0</t>
    <phoneticPr fontId="1" type="noConversion"/>
  </si>
  <si>
    <t>MHGH010030-JIS2</t>
    <phoneticPr fontId="1" type="noConversion"/>
  </si>
  <si>
    <t>MSGH0200241-JIS2</t>
    <phoneticPr fontId="1" type="noConversion"/>
  </si>
  <si>
    <t>GW07M2T27W25D22A-L</t>
    <phoneticPr fontId="1" type="noConversion"/>
  </si>
  <si>
    <t>GW11-M3-T30W32D32B-R</t>
    <phoneticPr fontId="1" type="noConversion"/>
  </si>
  <si>
    <t>MHMH0500243</t>
    <phoneticPr fontId="1" type="noConversion"/>
  </si>
  <si>
    <t>MHGH-L-0250201-DIN6</t>
    <phoneticPr fontId="1" type="noConversion"/>
  </si>
  <si>
    <t>MHGH01502512-DIN6</t>
    <phoneticPr fontId="1" type="noConversion"/>
  </si>
  <si>
    <t>01-0203-0007</t>
    <phoneticPr fontId="1" type="noConversion"/>
  </si>
  <si>
    <t>CMA1310CGA-01-03-03</t>
    <phoneticPr fontId="1" type="noConversion"/>
  </si>
  <si>
    <t>MHFGHΦ063*40T*26L</t>
    <phoneticPr fontId="1" type="noConversion"/>
  </si>
  <si>
    <t>MHGH030032Φ22-DIN6</t>
    <phoneticPr fontId="1" type="noConversion"/>
  </si>
  <si>
    <t>SV7063-79-CP15</t>
    <phoneticPr fontId="1" type="noConversion"/>
  </si>
  <si>
    <t>M1.5*30TB*23L</t>
    <phoneticPr fontId="1" type="noConversion"/>
  </si>
  <si>
    <t>M1.5*30TB*48L</t>
    <phoneticPr fontId="1" type="noConversion"/>
  </si>
  <si>
    <t>M2*39TB*38L-AU011</t>
    <phoneticPr fontId="1" type="noConversion"/>
  </si>
  <si>
    <t>M2.5-32T*20L-JP111</t>
    <phoneticPr fontId="1" type="noConversion"/>
  </si>
  <si>
    <t>M4*21TB*75L-AU011</t>
    <phoneticPr fontId="1" type="noConversion"/>
  </si>
  <si>
    <t>CMA1530CGE-01-04-02</t>
    <phoneticPr fontId="1" type="noConversion"/>
  </si>
  <si>
    <t>MA00046P02</t>
    <phoneticPr fontId="1" type="noConversion"/>
  </si>
  <si>
    <t>MA00046P09</t>
    <phoneticPr fontId="1" type="noConversion"/>
  </si>
  <si>
    <t>CSM1000151</t>
    <phoneticPr fontId="1" type="noConversion"/>
  </si>
  <si>
    <t>M1.5*24TB*20L</t>
    <phoneticPr fontId="1" type="noConversion"/>
  </si>
  <si>
    <t>81219-E1002</t>
    <phoneticPr fontId="1" type="noConversion"/>
  </si>
  <si>
    <t>CHM0302012-Q8</t>
    <phoneticPr fontId="1" type="noConversion"/>
  </si>
  <si>
    <t>CHMH0502112-B-99021</t>
    <phoneticPr fontId="1" type="noConversion"/>
  </si>
  <si>
    <t>CHM02002042-R-DIN8</t>
    <phoneticPr fontId="1" type="noConversion"/>
  </si>
  <si>
    <t>CHMH0401812-B</t>
    <phoneticPr fontId="1" type="noConversion"/>
  </si>
  <si>
    <t>CHMH0402112-B</t>
    <phoneticPr fontId="1" type="noConversion"/>
  </si>
  <si>
    <t>LSD00071-01-121-A</t>
    <phoneticPr fontId="1" type="noConversion"/>
  </si>
  <si>
    <t>LSD00071-01-144-0</t>
    <phoneticPr fontId="1" type="noConversion"/>
  </si>
  <si>
    <t>CHGH0152112-Q6</t>
    <phoneticPr fontId="1" type="noConversion"/>
  </si>
  <si>
    <t>CHGH0202552-Q5</t>
    <phoneticPr fontId="1" type="noConversion"/>
  </si>
  <si>
    <t>歸零區</t>
    <phoneticPr fontId="1" type="noConversion"/>
  </si>
  <si>
    <t>6P4A-LB63032-1030000</t>
    <phoneticPr fontId="1" type="noConversion"/>
  </si>
  <si>
    <t>HS05-HB50024-1240S00</t>
    <phoneticPr fontId="1" type="noConversion"/>
  </si>
  <si>
    <t>2GOT-LB50004-1030000</t>
    <phoneticPr fontId="1" type="noConversion"/>
  </si>
  <si>
    <t>HS0W-HT10240-1120000</t>
    <phoneticPr fontId="1" type="noConversion"/>
  </si>
  <si>
    <t>A506GF90R165-5150000</t>
    <phoneticPr fontId="1" type="noConversion"/>
  </si>
  <si>
    <t>A506GF90R165-5160000</t>
    <phoneticPr fontId="1" type="noConversion"/>
  </si>
  <si>
    <t>A506GF90R165-5170000</t>
    <phoneticPr fontId="1" type="noConversion"/>
  </si>
  <si>
    <t>CV03-CD63060-3040000</t>
    <phoneticPr fontId="1" type="noConversion"/>
  </si>
  <si>
    <t>SF30-HM50100-00067M0</t>
    <phoneticPr fontId="1" type="noConversion"/>
  </si>
  <si>
    <t>SF30-HM50100-00066M0</t>
    <phoneticPr fontId="1" type="noConversion"/>
  </si>
  <si>
    <t>MD20-HM50100-10007M0</t>
    <phoneticPr fontId="1" type="noConversion"/>
  </si>
  <si>
    <t>MC20-HM50100-00008M0</t>
    <phoneticPr fontId="1" type="noConversion"/>
  </si>
  <si>
    <t>E2991280330000</t>
    <phoneticPr fontId="1" type="noConversion"/>
  </si>
  <si>
    <t>E2020010140000</t>
    <phoneticPr fontId="1" type="noConversion"/>
  </si>
  <si>
    <t>E2020010060000</t>
    <phoneticPr fontId="1" type="noConversion"/>
  </si>
  <si>
    <t>E2090270080000</t>
    <phoneticPr fontId="1" type="noConversion"/>
  </si>
  <si>
    <t>E2090240270000</t>
    <phoneticPr fontId="1" type="noConversion"/>
  </si>
  <si>
    <t>少銑</t>
    <phoneticPr fontId="1" type="noConversion"/>
  </si>
  <si>
    <t>GS-M100T78</t>
    <phoneticPr fontId="1" type="noConversion"/>
  </si>
  <si>
    <t>GS-M100T59b</t>
    <phoneticPr fontId="1" type="noConversion"/>
  </si>
  <si>
    <t>GS-M100T59</t>
    <phoneticPr fontId="1" type="noConversion"/>
  </si>
  <si>
    <t>GS-M100T48-01</t>
    <phoneticPr fontId="1" type="noConversion"/>
  </si>
  <si>
    <t>驗OK</t>
  </si>
  <si>
    <t>驗OK</t>
    <phoneticPr fontId="1" type="noConversion"/>
  </si>
  <si>
    <t>10601-0530-04</t>
    <phoneticPr fontId="1" type="noConversion"/>
  </si>
  <si>
    <t>10601-0530-04</t>
    <phoneticPr fontId="1" type="noConversion"/>
  </si>
  <si>
    <t>MI4005</t>
    <phoneticPr fontId="1" type="noConversion"/>
  </si>
  <si>
    <t>MN32018-A</t>
    <phoneticPr fontId="1" type="noConversion"/>
  </si>
  <si>
    <t>PR4005</t>
    <phoneticPr fontId="1" type="noConversion"/>
  </si>
  <si>
    <t>1158-00455</t>
    <phoneticPr fontId="1" type="noConversion"/>
  </si>
  <si>
    <t>RB-14</t>
    <phoneticPr fontId="1" type="noConversion"/>
  </si>
  <si>
    <t>倉區儲位</t>
    <phoneticPr fontId="1" type="noConversion"/>
  </si>
  <si>
    <t>MHFGH0303121</t>
    <phoneticPr fontId="1" type="noConversion"/>
  </si>
  <si>
    <t>MHFGH0303012-Q6-REV</t>
    <phoneticPr fontId="1" type="noConversion"/>
  </si>
  <si>
    <t>驗OK</t>
    <phoneticPr fontId="1" type="noConversion"/>
  </si>
  <si>
    <t>RZT141001000M1</t>
    <phoneticPr fontId="1" type="noConversion"/>
  </si>
  <si>
    <t>RXT141002000M1</t>
    <phoneticPr fontId="1" type="noConversion"/>
  </si>
  <si>
    <t>CH-KP-020024038-01</t>
    <phoneticPr fontId="1" type="noConversion"/>
  </si>
  <si>
    <t>CH-KP-028038048-01</t>
    <phoneticPr fontId="1" type="noConversion"/>
  </si>
  <si>
    <t>CH-KP-028042048-01</t>
    <phoneticPr fontId="1" type="noConversion"/>
  </si>
  <si>
    <t>CH-KP-024030048-01</t>
    <phoneticPr fontId="1" type="noConversion"/>
  </si>
  <si>
    <t>CH-KP-024030048-02</t>
    <phoneticPr fontId="1" type="noConversion"/>
  </si>
  <si>
    <t>BDM02168</t>
    <phoneticPr fontId="1" type="noConversion"/>
  </si>
  <si>
    <t>GT3028-00200</t>
    <phoneticPr fontId="1" type="noConversion"/>
  </si>
  <si>
    <t>I5033024</t>
    <phoneticPr fontId="1" type="noConversion"/>
  </si>
  <si>
    <t>F23383A</t>
    <phoneticPr fontId="1" type="noConversion"/>
  </si>
  <si>
    <t>MHGH03002252-DIN6</t>
    <phoneticPr fontId="1" type="noConversion"/>
  </si>
  <si>
    <t>MSCPG5-20A-33757-B</t>
    <phoneticPr fontId="1" type="noConversion"/>
  </si>
  <si>
    <t>歸零區</t>
    <phoneticPr fontId="1" type="noConversion"/>
  </si>
  <si>
    <t>歸零區</t>
    <phoneticPr fontId="1" type="noConversion"/>
  </si>
  <si>
    <t>歸零區</t>
    <phoneticPr fontId="1" type="noConversion"/>
  </si>
  <si>
    <t>歸零區</t>
    <phoneticPr fontId="1" type="noConversion"/>
  </si>
  <si>
    <t>歸零區</t>
    <phoneticPr fontId="1" type="noConversion"/>
  </si>
  <si>
    <t>2803002100-4</t>
    <phoneticPr fontId="1" type="noConversion"/>
  </si>
  <si>
    <t>GS-M100T15</t>
    <phoneticPr fontId="1" type="noConversion"/>
  </si>
  <si>
    <t>VN17016-G</t>
    <phoneticPr fontId="1" type="noConversion"/>
  </si>
  <si>
    <t>歸零區</t>
    <phoneticPr fontId="1" type="noConversion"/>
  </si>
  <si>
    <t>B03L19A080</t>
    <phoneticPr fontId="1" type="noConversion"/>
  </si>
  <si>
    <t>結合件</t>
    <phoneticPr fontId="1" type="noConversion"/>
  </si>
  <si>
    <t>C02L29A031</t>
    <phoneticPr fontId="1" type="noConversion"/>
  </si>
  <si>
    <t>1G0T-LBS0012-1040000</t>
    <phoneticPr fontId="1" type="noConversion"/>
  </si>
  <si>
    <t>歸零區</t>
    <phoneticPr fontId="1" type="noConversion"/>
  </si>
  <si>
    <t>079232000</t>
    <phoneticPr fontId="1" type="noConversion"/>
  </si>
  <si>
    <t>歸零區</t>
    <phoneticPr fontId="1" type="noConversion"/>
  </si>
  <si>
    <t>歸零區</t>
    <phoneticPr fontId="1" type="noConversion"/>
  </si>
  <si>
    <t>製造日期</t>
    <phoneticPr fontId="1" type="noConversion"/>
  </si>
  <si>
    <t>庫存日期</t>
    <phoneticPr fontId="1" type="noConversion"/>
  </si>
  <si>
    <t>歸零區</t>
    <phoneticPr fontId="1" type="noConversion"/>
  </si>
  <si>
    <t>CH-KP-060065080-01</t>
    <phoneticPr fontId="1" type="noConversion"/>
  </si>
  <si>
    <t>A1-1</t>
    <phoneticPr fontId="1" type="noConversion"/>
  </si>
  <si>
    <t>GT2027-00100</t>
    <phoneticPr fontId="1" type="noConversion"/>
  </si>
  <si>
    <t>409-251-522</t>
    <phoneticPr fontId="1" type="noConversion"/>
  </si>
  <si>
    <t>GT2021-00100</t>
    <phoneticPr fontId="1" type="noConversion"/>
  </si>
  <si>
    <t>MHGH01502112-CN-U</t>
    <phoneticPr fontId="1" type="noConversion"/>
  </si>
  <si>
    <t>MHFGH02003311-DIN6</t>
    <phoneticPr fontId="1" type="noConversion"/>
  </si>
  <si>
    <t>歸零區</t>
    <phoneticPr fontId="1" type="noConversion"/>
  </si>
  <si>
    <t>M1.5*30T*110L-KR021</t>
    <phoneticPr fontId="1" type="noConversion"/>
  </si>
  <si>
    <t>JD56-0-20020701-L</t>
    <phoneticPr fontId="1" type="noConversion"/>
  </si>
  <si>
    <t>MHGH04002132-DIN6</t>
    <phoneticPr fontId="1" type="noConversion"/>
  </si>
  <si>
    <t>MHGH04001812-DIN6</t>
    <phoneticPr fontId="1" type="noConversion"/>
  </si>
  <si>
    <t>MSGH02004041-DIN6</t>
    <phoneticPr fontId="1" type="noConversion"/>
  </si>
  <si>
    <t>MSGH02005611-DIN6</t>
    <phoneticPr fontId="1" type="noConversion"/>
  </si>
  <si>
    <t>M2.5*26T-ID40</t>
    <phoneticPr fontId="1" type="noConversion"/>
  </si>
  <si>
    <t>歸零區</t>
    <phoneticPr fontId="1" type="noConversion"/>
  </si>
  <si>
    <t>BDM06169</t>
    <phoneticPr fontId="1" type="noConversion"/>
  </si>
  <si>
    <t>BDM06129</t>
    <phoneticPr fontId="1" type="noConversion"/>
  </si>
  <si>
    <t>MHGH-L-0250251-DIN6</t>
    <phoneticPr fontId="1" type="noConversion"/>
  </si>
  <si>
    <t>MHGH-L-0300201-DIN6</t>
    <phoneticPr fontId="1" type="noConversion"/>
  </si>
  <si>
    <t>歸零區</t>
    <phoneticPr fontId="1" type="noConversion"/>
  </si>
  <si>
    <t>CHM0202022-Q8</t>
    <phoneticPr fontId="1" type="noConversion"/>
  </si>
  <si>
    <t>M2*20T*30L-KR021</t>
    <phoneticPr fontId="1" type="noConversion"/>
  </si>
  <si>
    <t>CSMH02002411-B</t>
    <phoneticPr fontId="1" type="noConversion"/>
  </si>
  <si>
    <t>MHGH04021-99012</t>
    <phoneticPr fontId="1" type="noConversion"/>
  </si>
  <si>
    <t>04E03TP0000004</t>
    <phoneticPr fontId="1" type="noConversion"/>
  </si>
  <si>
    <t>HA3011A</t>
    <phoneticPr fontId="1" type="noConversion"/>
  </si>
  <si>
    <t>歸零區</t>
    <phoneticPr fontId="1" type="noConversion"/>
  </si>
  <si>
    <t>RB-64</t>
    <phoneticPr fontId="1" type="noConversion"/>
  </si>
  <si>
    <t>GTA046-00100</t>
    <phoneticPr fontId="1" type="noConversion"/>
  </si>
  <si>
    <t>04E03TP0000003</t>
    <phoneticPr fontId="1" type="noConversion"/>
  </si>
  <si>
    <t>DIN6</t>
    <phoneticPr fontId="1" type="noConversion"/>
  </si>
  <si>
    <t>MHFGH02003711-Φ6</t>
    <phoneticPr fontId="1" type="noConversion"/>
  </si>
  <si>
    <t>483-30044007A</t>
    <phoneticPr fontId="1" type="noConversion"/>
  </si>
  <si>
    <t>21436-3002-00</t>
    <phoneticPr fontId="1" type="noConversion"/>
  </si>
  <si>
    <t>21436-3001-00</t>
    <phoneticPr fontId="1" type="noConversion"/>
  </si>
  <si>
    <t>21436-3004-00</t>
    <phoneticPr fontId="1" type="noConversion"/>
  </si>
  <si>
    <t>CP5*25T*57L-35003</t>
    <phoneticPr fontId="1" type="noConversion"/>
  </si>
  <si>
    <t>GTA035-00100</t>
    <phoneticPr fontId="1" type="noConversion"/>
  </si>
  <si>
    <t>CH-KP-082088090-01</t>
    <phoneticPr fontId="1" type="noConversion"/>
  </si>
  <si>
    <t>CH-KP-028042048-02</t>
    <phoneticPr fontId="1" type="noConversion"/>
  </si>
  <si>
    <t>CH-KP-028038048-02</t>
    <phoneticPr fontId="1" type="noConversion"/>
  </si>
  <si>
    <t>CH-KP-060070080-01</t>
    <phoneticPr fontId="1" type="noConversion"/>
  </si>
  <si>
    <t>CH-KP-027032050-01</t>
    <phoneticPr fontId="1" type="noConversion"/>
  </si>
  <si>
    <t>MGRNSP20092001A1</t>
    <phoneticPr fontId="1" type="noConversion"/>
  </si>
  <si>
    <t>22150-3003-00</t>
    <phoneticPr fontId="1" type="noConversion"/>
  </si>
  <si>
    <t>20YF010-HJ-20-02</t>
    <phoneticPr fontId="1" type="noConversion"/>
  </si>
  <si>
    <t>20YF010-HJ-10-02</t>
    <phoneticPr fontId="1" type="noConversion"/>
  </si>
  <si>
    <t>22150-3004-00</t>
    <phoneticPr fontId="1" type="noConversion"/>
  </si>
  <si>
    <t>PS2T31-0204A</t>
    <phoneticPr fontId="1" type="noConversion"/>
  </si>
  <si>
    <t>滾齒</t>
    <phoneticPr fontId="1" type="noConversion"/>
  </si>
  <si>
    <t>B3-3</t>
    <phoneticPr fontId="1" type="noConversion"/>
  </si>
  <si>
    <t>崴立(新竹)</t>
    <phoneticPr fontId="1" type="noConversion"/>
  </si>
  <si>
    <t>10601-0531-01</t>
    <phoneticPr fontId="1" type="noConversion"/>
  </si>
  <si>
    <t>10601-0530-04</t>
    <phoneticPr fontId="1" type="noConversion"/>
  </si>
  <si>
    <t>組合件</t>
    <phoneticPr fontId="1" type="noConversion"/>
  </si>
  <si>
    <t>D3-箱</t>
    <phoneticPr fontId="1" type="noConversion"/>
  </si>
  <si>
    <t>CSM0250301-99611</t>
    <phoneticPr fontId="1" type="noConversion"/>
  </si>
  <si>
    <t>V0011-TRC-024</t>
    <phoneticPr fontId="1" type="noConversion"/>
  </si>
  <si>
    <t>GS-M100T59</t>
    <phoneticPr fontId="1" type="noConversion"/>
  </si>
  <si>
    <t>CHGH042112-Q6</t>
    <phoneticPr fontId="1" type="noConversion"/>
  </si>
  <si>
    <t>組合件</t>
    <phoneticPr fontId="1" type="noConversion"/>
  </si>
  <si>
    <t>組合件</t>
    <phoneticPr fontId="1" type="noConversion"/>
  </si>
  <si>
    <t>吉輔</t>
  </si>
  <si>
    <t>LC01-LB50024-2020000</t>
  </si>
  <si>
    <t>成大</t>
  </si>
  <si>
    <t>LKGA0891302</t>
  </si>
  <si>
    <t>LKGB0892602</t>
  </si>
  <si>
    <t>LEGS08923</t>
  </si>
  <si>
    <t>LEGS08922</t>
  </si>
  <si>
    <t>原億昌</t>
  </si>
  <si>
    <t>M5*17TB*425L-RU033</t>
  </si>
  <si>
    <t>MR32-03-09</t>
  </si>
  <si>
    <t>和昕</t>
  </si>
  <si>
    <t>TR54017-A</t>
  </si>
  <si>
    <t>TR54018-D</t>
  </si>
  <si>
    <t>旭陽</t>
  </si>
  <si>
    <t>15001-012L-S02</t>
    <phoneticPr fontId="1" type="noConversion"/>
  </si>
  <si>
    <t>PS2396-0207A</t>
    <phoneticPr fontId="1" type="noConversion"/>
  </si>
  <si>
    <t>Long shaft for AM6</t>
    <phoneticPr fontId="1" type="noConversion"/>
  </si>
  <si>
    <t>MHGH03002211-US024</t>
    <phoneticPr fontId="1" type="noConversion"/>
  </si>
  <si>
    <t>K96464</t>
    <phoneticPr fontId="1" type="noConversion"/>
  </si>
  <si>
    <t>MSGH03002252-DIN6</t>
    <phoneticPr fontId="1" type="noConversion"/>
  </si>
  <si>
    <t>PS2506-0204A</t>
    <phoneticPr fontId="1" type="noConversion"/>
  </si>
  <si>
    <t>GS-M100T50-1</t>
    <phoneticPr fontId="1" type="noConversion"/>
  </si>
  <si>
    <t>GS-M100T50-2</t>
    <phoneticPr fontId="1" type="noConversion"/>
  </si>
  <si>
    <t>B2-3</t>
    <phoneticPr fontId="1" type="noConversion"/>
  </si>
  <si>
    <t>LEGS08924</t>
    <phoneticPr fontId="1" type="noConversion"/>
  </si>
  <si>
    <t>HS08-HB50060-5841S00</t>
    <phoneticPr fontId="1" type="noConversion"/>
  </si>
  <si>
    <t>MHGH02002552-DIN6</t>
    <phoneticPr fontId="1" type="noConversion"/>
  </si>
  <si>
    <t>I5031586</t>
    <phoneticPr fontId="1" type="noConversion"/>
  </si>
  <si>
    <t>M2*20T*30L-KR021</t>
    <phoneticPr fontId="1" type="noConversion"/>
  </si>
  <si>
    <t>MHGH-L-0300201-DIN6</t>
    <phoneticPr fontId="1" type="noConversion"/>
  </si>
  <si>
    <t>11211-HB2-0000-R02</t>
    <phoneticPr fontId="1" type="noConversion"/>
  </si>
  <si>
    <t>11211-HB2-0000-R01</t>
    <phoneticPr fontId="1" type="noConversion"/>
  </si>
  <si>
    <t>RR BRAKE DISK HUB</t>
    <phoneticPr fontId="1" type="noConversion"/>
  </si>
  <si>
    <t>RR SHAFT</t>
    <phoneticPr fontId="1" type="noConversion"/>
  </si>
  <si>
    <t>RR WHEEL HUB</t>
    <phoneticPr fontId="1" type="noConversion"/>
  </si>
  <si>
    <t>料號不清楚</t>
    <phoneticPr fontId="1" type="noConversion"/>
  </si>
  <si>
    <t>大鐵架 5-2-2前</t>
    <phoneticPr fontId="1" type="noConversion"/>
  </si>
  <si>
    <t>同一籃</t>
  </si>
  <si>
    <t>同一籃</t>
    <phoneticPr fontId="1" type="noConversion"/>
  </si>
  <si>
    <t>大鐵架5-2-1後</t>
    <phoneticPr fontId="1" type="noConversion"/>
  </si>
  <si>
    <t>大鐵架 5-2-1前</t>
    <phoneticPr fontId="1" type="noConversion"/>
  </si>
  <si>
    <t>大鐵架 4-1-1後</t>
    <phoneticPr fontId="1" type="noConversion"/>
  </si>
  <si>
    <t>大鐵架 2-1-2後</t>
    <phoneticPr fontId="1" type="noConversion"/>
  </si>
  <si>
    <t>大鐵架 4-2-1前</t>
    <phoneticPr fontId="1" type="noConversion"/>
  </si>
  <si>
    <t>大鐵架 4-2-1後</t>
    <phoneticPr fontId="1" type="noConversion"/>
  </si>
  <si>
    <t>大鐵架 4-2-2前</t>
    <phoneticPr fontId="1" type="noConversion"/>
  </si>
  <si>
    <t>大鐵架 3-2-1後</t>
    <phoneticPr fontId="1" type="noConversion"/>
  </si>
  <si>
    <t>大鐵架 3-2-1前</t>
    <phoneticPr fontId="1" type="noConversion"/>
  </si>
  <si>
    <t>齒研入庫</t>
    <phoneticPr fontId="1" type="noConversion"/>
  </si>
  <si>
    <t>E2090260130000</t>
    <phoneticPr fontId="1" type="noConversion"/>
  </si>
  <si>
    <t>M1.5*20T*136L-KR021</t>
    <phoneticPr fontId="1" type="noConversion"/>
  </si>
  <si>
    <t>PS2156-0910A</t>
    <phoneticPr fontId="1" type="noConversion"/>
  </si>
  <si>
    <t>東芳</t>
  </si>
  <si>
    <t>1211-2</t>
  </si>
  <si>
    <t>2-2-2</t>
    <phoneticPr fontId="1" type="noConversion"/>
  </si>
  <si>
    <t>RB-103-1</t>
    <phoneticPr fontId="1" type="noConversion"/>
  </si>
  <si>
    <t>RB-77</t>
    <phoneticPr fontId="1" type="noConversion"/>
  </si>
  <si>
    <t>RB-103-2</t>
    <phoneticPr fontId="1" type="noConversion"/>
  </si>
  <si>
    <t>HSCT-HB50040-1070000</t>
    <phoneticPr fontId="1" type="noConversion"/>
  </si>
  <si>
    <t>RC-134</t>
    <phoneticPr fontId="1" type="noConversion"/>
  </si>
  <si>
    <t>RB-90</t>
    <phoneticPr fontId="1" type="noConversion"/>
  </si>
  <si>
    <t>MN32021-A-01</t>
    <phoneticPr fontId="1" type="noConversion"/>
  </si>
  <si>
    <t>RB-93</t>
    <phoneticPr fontId="1" type="noConversion"/>
  </si>
  <si>
    <t>CH-KP-082100090-01</t>
    <phoneticPr fontId="1" type="noConversion"/>
  </si>
  <si>
    <t>M0.5*130T-M1*16T</t>
    <phoneticPr fontId="1" type="noConversion"/>
  </si>
  <si>
    <t>大鐵架 4-2-1前</t>
    <phoneticPr fontId="1" type="noConversion"/>
  </si>
  <si>
    <t>22150-0045-00</t>
    <phoneticPr fontId="1" type="noConversion"/>
  </si>
  <si>
    <t>22150-0043-00</t>
    <phoneticPr fontId="1" type="noConversion"/>
  </si>
  <si>
    <t>崴立檢驗ok</t>
    <phoneticPr fontId="1" type="noConversion"/>
  </si>
  <si>
    <t>JKGA1624R1</t>
    <phoneticPr fontId="1" type="noConversion"/>
  </si>
  <si>
    <t>M1.5*30T*110L-KR021</t>
    <phoneticPr fontId="1" type="noConversion"/>
  </si>
  <si>
    <t>JKKE04715R</t>
    <phoneticPr fontId="1" type="noConversion"/>
  </si>
  <si>
    <t>GT3049-00100</t>
    <phoneticPr fontId="1" type="noConversion"/>
  </si>
  <si>
    <t>E2090260140000</t>
    <phoneticPr fontId="1" type="noConversion"/>
  </si>
  <si>
    <t>和大</t>
    <phoneticPr fontId="1" type="noConversion"/>
  </si>
  <si>
    <t>HGHDNJ004</t>
    <phoneticPr fontId="1" type="noConversion"/>
  </si>
  <si>
    <t>HGHDNJ005</t>
  </si>
  <si>
    <t>HGHDNJ006</t>
  </si>
  <si>
    <t>HGHDNJ007</t>
  </si>
  <si>
    <t>HGHAN4003</t>
    <phoneticPr fontId="1" type="noConversion"/>
  </si>
  <si>
    <t>HGHAN4004</t>
  </si>
  <si>
    <t>HGHAN4005</t>
  </si>
  <si>
    <t>HGHAN4006</t>
  </si>
  <si>
    <t>HGHAN4005</t>
    <phoneticPr fontId="1" type="noConversion"/>
  </si>
  <si>
    <t>HGHAN4006</t>
    <phoneticPr fontId="1" type="noConversion"/>
  </si>
  <si>
    <t>HGHANA004</t>
    <phoneticPr fontId="1" type="noConversion"/>
  </si>
  <si>
    <t>HGHANA005</t>
    <phoneticPr fontId="1" type="noConversion"/>
  </si>
  <si>
    <t>泳建</t>
  </si>
  <si>
    <t>備註1</t>
    <phoneticPr fontId="1" type="noConversion"/>
  </si>
  <si>
    <t>5-1-1、D1-箱</t>
    <phoneticPr fontId="1" type="noConversion"/>
  </si>
  <si>
    <t>大鐵架 4-3-2</t>
    <phoneticPr fontId="1" type="noConversion"/>
  </si>
  <si>
    <t>E2090220140001</t>
    <phoneticPr fontId="1" type="noConversion"/>
  </si>
  <si>
    <t>E2090260120000</t>
    <phoneticPr fontId="1" type="noConversion"/>
  </si>
  <si>
    <t>泳建</t>
    <phoneticPr fontId="1" type="noConversion"/>
  </si>
  <si>
    <t>KKYC24710021-1</t>
    <phoneticPr fontId="1" type="noConversion"/>
  </si>
  <si>
    <t>大鐵架 5-1-2後</t>
    <phoneticPr fontId="1" type="noConversion"/>
  </si>
  <si>
    <t>D3-箱</t>
    <phoneticPr fontId="1" type="noConversion"/>
  </si>
  <si>
    <t>I5034718</t>
    <phoneticPr fontId="1" type="noConversion"/>
  </si>
  <si>
    <t>MN25015-A</t>
    <phoneticPr fontId="1" type="noConversion"/>
  </si>
  <si>
    <t>JKGC04719L1</t>
    <phoneticPr fontId="1" type="noConversion"/>
  </si>
  <si>
    <t>11122-HB2-0000-R05</t>
    <phoneticPr fontId="1" type="noConversion"/>
  </si>
  <si>
    <t>HGHAN4003</t>
    <phoneticPr fontId="1" type="noConversion"/>
  </si>
  <si>
    <t>同一箱</t>
    <phoneticPr fontId="1" type="noConversion"/>
  </si>
  <si>
    <t>6P3A-LB63040-1020000</t>
    <phoneticPr fontId="1" type="noConversion"/>
  </si>
  <si>
    <t>6P3A-LB63040-1030000</t>
    <phoneticPr fontId="1" type="noConversion"/>
  </si>
  <si>
    <t>包裝箱</t>
    <phoneticPr fontId="1" type="noConversion"/>
  </si>
  <si>
    <t>22150-0046-00</t>
    <phoneticPr fontId="1" type="noConversion"/>
  </si>
  <si>
    <t>大鐵架 5-1-1前</t>
    <phoneticPr fontId="1" type="noConversion"/>
  </si>
  <si>
    <t>IM038019</t>
    <phoneticPr fontId="1" type="noConversion"/>
  </si>
  <si>
    <t>SRG-M2.5-24-32-58.5</t>
    <phoneticPr fontId="1" type="noConversion"/>
  </si>
  <si>
    <t>HH02-HB50060-307000E</t>
    <phoneticPr fontId="1" type="noConversion"/>
  </si>
  <si>
    <t>I5031586</t>
    <phoneticPr fontId="1" type="noConversion"/>
  </si>
  <si>
    <t>X12830</t>
    <phoneticPr fontId="1" type="noConversion"/>
  </si>
  <si>
    <t>3-1-1前</t>
    <phoneticPr fontId="1" type="noConversion"/>
  </si>
  <si>
    <t>3-1-1後</t>
    <phoneticPr fontId="1" type="noConversion"/>
  </si>
  <si>
    <t>MHGH02002011-US024</t>
    <phoneticPr fontId="1" type="noConversion"/>
  </si>
  <si>
    <t>HGHANA003</t>
    <phoneticPr fontId="1" type="noConversion"/>
  </si>
  <si>
    <t>HGHANA005</t>
    <phoneticPr fontId="1" type="noConversion"/>
  </si>
  <si>
    <t>CP820T25B40L</t>
    <phoneticPr fontId="1" type="noConversion"/>
  </si>
  <si>
    <t>CP820T211L</t>
    <phoneticPr fontId="1" type="noConversion"/>
  </si>
  <si>
    <t>1箱</t>
    <phoneticPr fontId="1" type="noConversion"/>
  </si>
  <si>
    <t>6+3</t>
    <phoneticPr fontId="1" type="noConversion"/>
  </si>
  <si>
    <t>2*5</t>
    <phoneticPr fontId="1" type="noConversion"/>
  </si>
  <si>
    <t>3+2</t>
    <phoneticPr fontId="1" type="noConversion"/>
  </si>
  <si>
    <t>4+1</t>
    <phoneticPr fontId="1" type="noConversion"/>
  </si>
  <si>
    <t>1箱</t>
    <phoneticPr fontId="1" type="noConversion"/>
  </si>
  <si>
    <t>3*3+1</t>
    <phoneticPr fontId="1" type="noConversion"/>
  </si>
  <si>
    <t>包裝箱</t>
    <phoneticPr fontId="1" type="noConversion"/>
  </si>
  <si>
    <t>1箱</t>
    <phoneticPr fontId="1" type="noConversion"/>
  </si>
  <si>
    <t>1箱</t>
    <phoneticPr fontId="1" type="noConversion"/>
  </si>
  <si>
    <t>11+6+2</t>
    <phoneticPr fontId="1" type="noConversion"/>
  </si>
  <si>
    <t>3+1</t>
    <phoneticPr fontId="1" type="noConversion"/>
  </si>
  <si>
    <t>16+4</t>
    <phoneticPr fontId="1" type="noConversion"/>
  </si>
  <si>
    <t>30+20+10</t>
    <phoneticPr fontId="1" type="noConversion"/>
  </si>
  <si>
    <t>2*3+1</t>
    <phoneticPr fontId="1" type="noConversion"/>
  </si>
  <si>
    <t>8*2+3</t>
    <phoneticPr fontId="1" type="noConversion"/>
  </si>
  <si>
    <t>1箱</t>
    <phoneticPr fontId="1" type="noConversion"/>
  </si>
  <si>
    <t>SRG-M2.5-24-32-45</t>
    <phoneticPr fontId="1" type="noConversion"/>
  </si>
  <si>
    <t>成大</t>
    <phoneticPr fontId="1" type="noConversion"/>
  </si>
  <si>
    <t>GEAR_M2_50_20</t>
    <phoneticPr fontId="1" type="noConversion"/>
  </si>
  <si>
    <t>SRG-M2-30-32-58</t>
    <phoneticPr fontId="1" type="noConversion"/>
  </si>
  <si>
    <t>SRS-M2-23-32-58.5</t>
    <phoneticPr fontId="1" type="noConversion"/>
  </si>
  <si>
    <t>MHFGH03004032-DIN6</t>
    <phoneticPr fontId="1" type="noConversion"/>
  </si>
  <si>
    <r>
      <t xml:space="preserve">超正齒輪科技有限公司
</t>
    </r>
    <r>
      <rPr>
        <sz val="18"/>
        <rFont val="Times New Roman"/>
        <family val="1"/>
      </rPr>
      <t xml:space="preserve">EXCELLENT GEAR TECHNOLOGY CO., LTD
</t>
    </r>
    <phoneticPr fontId="25" type="noConversion"/>
  </si>
  <si>
    <t>2-WH-01-01</t>
    <phoneticPr fontId="1" type="noConversion"/>
  </si>
  <si>
    <t>鍊輪/內齒配合件</t>
    <phoneticPr fontId="1" type="noConversion"/>
  </si>
  <si>
    <t>GEAR_M2_75_20_2</t>
  </si>
  <si>
    <t>22150-0019-01</t>
    <phoneticPr fontId="1" type="noConversion"/>
  </si>
  <si>
    <t>22150-0020-02</t>
    <phoneticPr fontId="1" type="noConversion"/>
  </si>
  <si>
    <t>22150-3005-01</t>
    <phoneticPr fontId="1" type="noConversion"/>
  </si>
  <si>
    <t>1+1</t>
    <phoneticPr fontId="1" type="noConversion"/>
  </si>
  <si>
    <t>HSAN-HB50040-1060000</t>
    <phoneticPr fontId="1" type="noConversion"/>
  </si>
  <si>
    <t>E2090330170000</t>
    <phoneticPr fontId="1" type="noConversion"/>
  </si>
  <si>
    <t>MHGH02002572-99021</t>
    <phoneticPr fontId="1" type="noConversion"/>
  </si>
  <si>
    <t>CHGH02025-99021</t>
    <phoneticPr fontId="1" type="noConversion"/>
  </si>
  <si>
    <t>CHGH0402112-Q6</t>
    <phoneticPr fontId="1" type="noConversion"/>
  </si>
  <si>
    <t>00352</t>
    <phoneticPr fontId="1" type="noConversion"/>
  </si>
  <si>
    <t>MHFGH02002611-DIN6</t>
    <phoneticPr fontId="1" type="noConversion"/>
  </si>
  <si>
    <t>HCPR134-30029C</t>
    <phoneticPr fontId="1" type="noConversion"/>
  </si>
  <si>
    <t>CHGH03022</t>
    <phoneticPr fontId="1" type="noConversion"/>
  </si>
  <si>
    <t>SRG-M2-22-22-53</t>
    <phoneticPr fontId="1" type="noConversion"/>
  </si>
  <si>
    <t>PS2056-0901A</t>
    <phoneticPr fontId="1" type="noConversion"/>
  </si>
  <si>
    <t>CP10*30TB*60L-66013</t>
  </si>
  <si>
    <t>E2C152A050096A</t>
  </si>
  <si>
    <t>USTI4000106</t>
    <phoneticPr fontId="1" type="noConversion"/>
  </si>
  <si>
    <t>保存年限</t>
    <phoneticPr fontId="1" type="noConversion"/>
  </si>
  <si>
    <t>M1.5*48T*110L-KR021</t>
  </si>
  <si>
    <t>LJJX-0701</t>
    <phoneticPr fontId="1" type="noConversion"/>
  </si>
  <si>
    <t>M2*33TB*30L</t>
    <phoneticPr fontId="1" type="noConversion"/>
  </si>
  <si>
    <t>CC7-00-06D</t>
    <phoneticPr fontId="1" type="noConversion"/>
  </si>
  <si>
    <t>60+40</t>
    <phoneticPr fontId="1" type="noConversion"/>
  </si>
  <si>
    <t>M1.5*40TB*40L-KR021</t>
    <phoneticPr fontId="1" type="noConversion"/>
  </si>
  <si>
    <t>E2090220120005</t>
    <phoneticPr fontId="1" type="noConversion"/>
  </si>
  <si>
    <t>E2090220130002</t>
    <phoneticPr fontId="1" type="noConversion"/>
  </si>
  <si>
    <t>22152-0083-00</t>
    <phoneticPr fontId="1" type="noConversion"/>
  </si>
  <si>
    <t>22150-3008-01</t>
    <phoneticPr fontId="1" type="noConversion"/>
  </si>
  <si>
    <t>D2-1006</t>
    <phoneticPr fontId="1" type="noConversion"/>
  </si>
  <si>
    <t>CL-00-207-2</t>
    <phoneticPr fontId="1" type="noConversion"/>
  </si>
  <si>
    <t>4*3+2+1</t>
    <phoneticPr fontId="1" type="noConversion"/>
  </si>
  <si>
    <t>E2090330040000</t>
    <phoneticPr fontId="1" type="noConversion"/>
  </si>
  <si>
    <t>HH02-HB50060-309000D</t>
    <phoneticPr fontId="1" type="noConversion"/>
  </si>
  <si>
    <t>X12830</t>
    <phoneticPr fontId="1" type="noConversion"/>
  </si>
  <si>
    <t>D3-3</t>
    <phoneticPr fontId="1" type="noConversion"/>
  </si>
  <si>
    <t>3-1-1後</t>
    <phoneticPr fontId="1" type="noConversion"/>
  </si>
  <si>
    <t>LKGB0892602-A</t>
    <phoneticPr fontId="1" type="noConversion"/>
  </si>
  <si>
    <t>SRS-M2-18-22-36</t>
  </si>
  <si>
    <t>3+1</t>
    <phoneticPr fontId="1" type="noConversion"/>
  </si>
  <si>
    <t>3+2</t>
    <phoneticPr fontId="1" type="noConversion"/>
  </si>
  <si>
    <t>PHGH-20-12-W50-06</t>
  </si>
  <si>
    <t>PG-M080T90T87T18R30TM-03</t>
    <phoneticPr fontId="1" type="noConversion"/>
  </si>
  <si>
    <t>#16-30</t>
    <phoneticPr fontId="1" type="noConversion"/>
  </si>
  <si>
    <t>5+6</t>
    <phoneticPr fontId="1" type="noConversion"/>
  </si>
  <si>
    <t>1+1</t>
    <phoneticPr fontId="1" type="noConversion"/>
  </si>
  <si>
    <t>4*3</t>
    <phoneticPr fontId="1" type="noConversion"/>
  </si>
  <si>
    <t>5*8</t>
    <phoneticPr fontId="1" type="noConversion"/>
  </si>
  <si>
    <t>5*6</t>
    <phoneticPr fontId="1" type="noConversion"/>
  </si>
  <si>
    <t>10*44+3</t>
    <phoneticPr fontId="1" type="noConversion"/>
  </si>
  <si>
    <t>10*2+4*7</t>
    <phoneticPr fontId="1" type="noConversion"/>
  </si>
  <si>
    <t>11*4+8</t>
    <phoneticPr fontId="1" type="noConversion"/>
  </si>
  <si>
    <t>同一箱</t>
    <phoneticPr fontId="1" type="noConversion"/>
  </si>
  <si>
    <t>大鐵架 2-3-2前</t>
    <phoneticPr fontId="1" type="noConversion"/>
  </si>
  <si>
    <t>大鐵架 2-3-2後</t>
    <phoneticPr fontId="1" type="noConversion"/>
  </si>
  <si>
    <t>2+2</t>
    <phoneticPr fontId="1" type="noConversion"/>
  </si>
  <si>
    <t>同1箱</t>
    <phoneticPr fontId="1" type="noConversion"/>
  </si>
  <si>
    <t>CHGH-20-21-2-Φ16K5</t>
  </si>
  <si>
    <t>I5031589</t>
    <phoneticPr fontId="1" type="noConversion"/>
  </si>
  <si>
    <t>12+16</t>
    <phoneticPr fontId="1" type="noConversion"/>
  </si>
  <si>
    <t>JKGASS13R3</t>
    <phoneticPr fontId="1" type="noConversion"/>
  </si>
  <si>
    <t>106-2-24</t>
    <phoneticPr fontId="1" type="noConversion"/>
  </si>
  <si>
    <t>20YF010-05-011</t>
    <phoneticPr fontId="1" type="noConversion"/>
  </si>
  <si>
    <t>I5025365</t>
    <phoneticPr fontId="1" type="noConversion"/>
  </si>
  <si>
    <t>MHGH02001811-US024</t>
    <phoneticPr fontId="1" type="noConversion"/>
  </si>
  <si>
    <t>CL-00-208</t>
    <phoneticPr fontId="1" type="noConversion"/>
  </si>
  <si>
    <t>JKGA01715R</t>
    <phoneticPr fontId="1" type="noConversion"/>
  </si>
  <si>
    <t>DD-25</t>
    <phoneticPr fontId="1" type="noConversion"/>
  </si>
  <si>
    <t>DB-08</t>
    <phoneticPr fontId="1" type="noConversion"/>
  </si>
  <si>
    <t>DB-09</t>
    <phoneticPr fontId="1" type="noConversion"/>
  </si>
  <si>
    <t>DD-16</t>
    <phoneticPr fontId="1" type="noConversion"/>
  </si>
  <si>
    <t>10+6</t>
    <phoneticPr fontId="1" type="noConversion"/>
  </si>
  <si>
    <t>2-2-2後</t>
    <phoneticPr fontId="1" type="noConversion"/>
  </si>
  <si>
    <t>2-2-1前</t>
    <phoneticPr fontId="1" type="noConversion"/>
  </si>
  <si>
    <t>20+12</t>
    <phoneticPr fontId="1" type="noConversion"/>
  </si>
  <si>
    <t>20*2+14+6</t>
    <phoneticPr fontId="1" type="noConversion"/>
  </si>
  <si>
    <t>CC7-00-07A</t>
    <phoneticPr fontId="1" type="noConversion"/>
  </si>
  <si>
    <t>MHFGH03003143-DIN6</t>
    <phoneticPr fontId="1" type="noConversion"/>
  </si>
  <si>
    <t>M2*33TB*29L</t>
    <phoneticPr fontId="1" type="noConversion"/>
  </si>
  <si>
    <t>RB-93-2</t>
    <phoneticPr fontId="1" type="noConversion"/>
  </si>
  <si>
    <t>LC01-LB63020-102000D</t>
    <phoneticPr fontId="1" type="noConversion"/>
  </si>
  <si>
    <t>2+1</t>
    <phoneticPr fontId="1" type="noConversion"/>
  </si>
  <si>
    <t>RB-21</t>
    <phoneticPr fontId="1" type="noConversion"/>
  </si>
  <si>
    <t>組合件</t>
  </si>
  <si>
    <t>20YF010-05-099</t>
    <phoneticPr fontId="1" type="noConversion"/>
  </si>
  <si>
    <t>MHFGH02003711-DIN6</t>
    <phoneticPr fontId="1" type="noConversion"/>
  </si>
  <si>
    <t>組合件</t>
    <phoneticPr fontId="1" type="noConversion"/>
  </si>
  <si>
    <t>I5030624</t>
    <phoneticPr fontId="1" type="noConversion"/>
  </si>
  <si>
    <t>2022/05/15出</t>
    <phoneticPr fontId="1" type="noConversion"/>
  </si>
  <si>
    <t>D2-1016</t>
    <phoneticPr fontId="1" type="noConversion"/>
  </si>
  <si>
    <t>E2C152A072176A</t>
    <phoneticPr fontId="1" type="noConversion"/>
  </si>
  <si>
    <t>KKYC11007121</t>
    <phoneticPr fontId="1" type="noConversion"/>
  </si>
  <si>
    <t>18+4</t>
    <phoneticPr fontId="1" type="noConversion"/>
  </si>
  <si>
    <t>I5023445</t>
    <phoneticPr fontId="1" type="noConversion"/>
  </si>
  <si>
    <t>MSGH0150801-JIS2</t>
    <phoneticPr fontId="1" type="noConversion"/>
  </si>
  <si>
    <t>HS05-HB50120-3840S00</t>
    <phoneticPr fontId="1" type="noConversion"/>
  </si>
  <si>
    <t>組合件(A&amp;B)</t>
    <phoneticPr fontId="1" type="noConversion"/>
  </si>
  <si>
    <t>13+7</t>
    <phoneticPr fontId="1" type="noConversion"/>
  </si>
  <si>
    <t>12+3</t>
    <phoneticPr fontId="1" type="noConversion"/>
  </si>
  <si>
    <t>4+1</t>
    <phoneticPr fontId="1" type="noConversion"/>
  </si>
  <si>
    <t>2+1</t>
    <phoneticPr fontId="1" type="noConversion"/>
  </si>
  <si>
    <t>2+1</t>
    <phoneticPr fontId="1" type="noConversion"/>
  </si>
  <si>
    <t>售價</t>
    <phoneticPr fontId="1" type="noConversion"/>
  </si>
  <si>
    <t>庫存帳</t>
    <phoneticPr fontId="1" type="noConversion"/>
  </si>
  <si>
    <t>庫存價(售價*75%)</t>
    <phoneticPr fontId="1" type="noConversion"/>
  </si>
  <si>
    <t>僅齒研</t>
    <phoneticPr fontId="1" type="noConversion"/>
  </si>
  <si>
    <t>VB21006</t>
    <phoneticPr fontId="1" type="noConversion"/>
  </si>
  <si>
    <t>SRG-M2-30-22-36</t>
  </si>
  <si>
    <t>MHGH01503022-DIN6</t>
    <phoneticPr fontId="1" type="noConversion"/>
  </si>
  <si>
    <t>CMA1325CGH-01A-04-11</t>
    <phoneticPr fontId="1" type="noConversion"/>
  </si>
  <si>
    <t>MHGH03003052-DIN6</t>
    <phoneticPr fontId="1" type="noConversion"/>
  </si>
  <si>
    <t>MHGH03004512-DIN6</t>
    <phoneticPr fontId="1" type="noConversion"/>
  </si>
  <si>
    <t>SM10907TW1-064-0</t>
    <phoneticPr fontId="1" type="noConversion"/>
  </si>
  <si>
    <t>1158-00454</t>
    <phoneticPr fontId="1" type="noConversion"/>
  </si>
  <si>
    <t>尾號+S01</t>
    <phoneticPr fontId="1" type="noConversion"/>
  </si>
  <si>
    <t>03G03TP0000011</t>
    <phoneticPr fontId="1" type="noConversion"/>
  </si>
  <si>
    <t>尾號+0</t>
    <phoneticPr fontId="1" type="noConversion"/>
  </si>
  <si>
    <t>MHGH02003012-US024</t>
    <phoneticPr fontId="1" type="noConversion"/>
  </si>
  <si>
    <t>CMA1530CGE-01-04-02</t>
    <phoneticPr fontId="1" type="noConversion"/>
  </si>
  <si>
    <t>16+1</t>
    <phoneticPr fontId="1" type="noConversion"/>
  </si>
  <si>
    <t>27+4</t>
    <phoneticPr fontId="1" type="noConversion"/>
  </si>
  <si>
    <t>同一箱</t>
    <phoneticPr fontId="1" type="noConversion"/>
  </si>
  <si>
    <t>21436-3001-00</t>
    <phoneticPr fontId="1" type="noConversion"/>
  </si>
  <si>
    <t>21436-3003-00</t>
    <phoneticPr fontId="1" type="noConversion"/>
  </si>
  <si>
    <t>MN25015-G</t>
    <phoneticPr fontId="1" type="noConversion"/>
  </si>
  <si>
    <t>26+9+5+1</t>
    <phoneticPr fontId="1" type="noConversion"/>
  </si>
  <si>
    <t>TR54018-H</t>
    <phoneticPr fontId="1" type="noConversion"/>
  </si>
  <si>
    <t>TR54018-G</t>
    <phoneticPr fontId="1" type="noConversion"/>
  </si>
  <si>
    <t>MN50017</t>
    <phoneticPr fontId="1" type="noConversion"/>
  </si>
  <si>
    <t>MN50018</t>
    <phoneticPr fontId="1" type="noConversion"/>
  </si>
  <si>
    <t>原億昌</t>
    <phoneticPr fontId="1" type="noConversion"/>
  </si>
  <si>
    <t>I5034224</t>
    <phoneticPr fontId="1" type="noConversion"/>
  </si>
  <si>
    <t>MHGH03002282-DIN6</t>
    <phoneticPr fontId="1" type="noConversion"/>
  </si>
  <si>
    <t>T2A-06-019</t>
    <phoneticPr fontId="1" type="noConversion"/>
  </si>
  <si>
    <t>實測31.49</t>
    <phoneticPr fontId="1" type="noConversion"/>
  </si>
  <si>
    <t>FC4S-LD63030-1100000</t>
  </si>
  <si>
    <t>FC4S-LD63030-1110000</t>
  </si>
  <si>
    <t>GT2024-001A0</t>
    <phoneticPr fontId="1" type="noConversion"/>
  </si>
  <si>
    <t>T2A-06-018</t>
    <phoneticPr fontId="1" type="noConversion"/>
  </si>
  <si>
    <t>M4*24TB*80L-33108</t>
    <phoneticPr fontId="1" type="noConversion"/>
  </si>
  <si>
    <t>製令單號</t>
    <phoneticPr fontId="1" type="noConversion"/>
  </si>
  <si>
    <t>GT3021-00100</t>
    <phoneticPr fontId="1" type="noConversion"/>
  </si>
  <si>
    <t>MHGH01502112-B</t>
    <phoneticPr fontId="1" type="noConversion"/>
  </si>
  <si>
    <t>B-1110422010</t>
    <phoneticPr fontId="1" type="noConversion"/>
  </si>
  <si>
    <t>DB-4</t>
    <phoneticPr fontId="1" type="noConversion"/>
  </si>
  <si>
    <t>80+120</t>
    <phoneticPr fontId="1" type="noConversion"/>
  </si>
  <si>
    <t>B-1110520002</t>
    <phoneticPr fontId="1" type="noConversion"/>
  </si>
  <si>
    <t>MHFGH02027-33.5L-B</t>
    <phoneticPr fontId="1" type="noConversion"/>
  </si>
  <si>
    <t>B-1110418010</t>
    <phoneticPr fontId="1" type="noConversion"/>
  </si>
  <si>
    <t>E2093340040001</t>
    <phoneticPr fontId="1" type="noConversion"/>
  </si>
  <si>
    <t>B-1110309006</t>
    <phoneticPr fontId="1" type="noConversion"/>
  </si>
  <si>
    <t>100+99</t>
    <phoneticPr fontId="1" type="noConversion"/>
  </si>
  <si>
    <t>E2093350270001</t>
    <phoneticPr fontId="1" type="noConversion"/>
  </si>
  <si>
    <t>21+5</t>
    <phoneticPr fontId="1" type="noConversion"/>
  </si>
  <si>
    <t>5箱裝的有2只黑皮下修</t>
    <phoneticPr fontId="1" type="noConversion"/>
  </si>
  <si>
    <t>倉庫庫存表</t>
    <phoneticPr fontId="1" type="noConversion"/>
  </si>
  <si>
    <t>10年</t>
    <phoneticPr fontId="1" type="noConversion"/>
  </si>
  <si>
    <t>DV11-RB40024-1120000</t>
  </si>
  <si>
    <t>B-1110509015</t>
    <phoneticPr fontId="1" type="noConversion"/>
  </si>
  <si>
    <t>B-1110429001</t>
    <phoneticPr fontId="1" type="noConversion"/>
  </si>
  <si>
    <t>RB-18</t>
    <phoneticPr fontId="1" type="noConversion"/>
  </si>
  <si>
    <t>RB-64</t>
    <phoneticPr fontId="1" type="noConversion"/>
  </si>
  <si>
    <t>DD-11</t>
    <phoneticPr fontId="1" type="noConversion"/>
  </si>
  <si>
    <t>DD-14</t>
    <phoneticPr fontId="1" type="noConversion"/>
  </si>
  <si>
    <t>B-1100928012</t>
    <phoneticPr fontId="1" type="noConversion"/>
  </si>
  <si>
    <t>B-1100928009</t>
    <phoneticPr fontId="1" type="noConversion"/>
  </si>
  <si>
    <t>B-1100720010</t>
    <phoneticPr fontId="1" type="noConversion"/>
  </si>
  <si>
    <t>RB-8</t>
    <phoneticPr fontId="1" type="noConversion"/>
  </si>
  <si>
    <t>包裝寫RB-08</t>
    <phoneticPr fontId="1" type="noConversion"/>
  </si>
  <si>
    <t>4+1</t>
    <phoneticPr fontId="1" type="noConversion"/>
  </si>
  <si>
    <t>1+1</t>
    <phoneticPr fontId="1" type="noConversion"/>
  </si>
  <si>
    <t>MN32015-A</t>
    <phoneticPr fontId="1" type="noConversion"/>
  </si>
  <si>
    <t>MN32017-A</t>
    <phoneticPr fontId="1" type="noConversion"/>
  </si>
  <si>
    <t>12*2+3</t>
    <phoneticPr fontId="1" type="noConversion"/>
  </si>
  <si>
    <t>優先出貨</t>
    <phoneticPr fontId="1" type="noConversion"/>
  </si>
  <si>
    <t>JKGB07790L</t>
    <phoneticPr fontId="1" type="noConversion"/>
  </si>
  <si>
    <t>JKGB03749L</t>
    <phoneticPr fontId="1" type="noConversion"/>
  </si>
  <si>
    <t>105+106</t>
    <phoneticPr fontId="1" type="noConversion"/>
  </si>
  <si>
    <t>TR54018-A</t>
    <phoneticPr fontId="1" type="noConversion"/>
  </si>
  <si>
    <t>B-1110706003</t>
    <phoneticPr fontId="1" type="noConversion"/>
  </si>
  <si>
    <t>100*3</t>
    <phoneticPr fontId="1" type="noConversion"/>
  </si>
  <si>
    <t>1*5</t>
    <phoneticPr fontId="1" type="noConversion"/>
  </si>
  <si>
    <t>大鐵架 5-4-2後</t>
    <phoneticPr fontId="1" type="noConversion"/>
  </si>
  <si>
    <t>大鐵架 5-4-2前</t>
    <phoneticPr fontId="1" type="noConversion"/>
  </si>
  <si>
    <t>5-4-2前</t>
    <phoneticPr fontId="1" type="noConversion"/>
  </si>
  <si>
    <t>A版特殊品</t>
    <phoneticPr fontId="1" type="noConversion"/>
  </si>
  <si>
    <t>2802002110-4</t>
    <phoneticPr fontId="1" type="noConversion"/>
  </si>
  <si>
    <t>B-1110408001</t>
    <phoneticPr fontId="1" type="noConversion"/>
  </si>
  <si>
    <t>B-1100531021</t>
    <phoneticPr fontId="1" type="noConversion"/>
  </si>
  <si>
    <t>B-1110606008</t>
    <phoneticPr fontId="1" type="noConversion"/>
  </si>
  <si>
    <t>B-1110606009</t>
    <phoneticPr fontId="1" type="noConversion"/>
  </si>
  <si>
    <t>B-1110419003</t>
    <phoneticPr fontId="1" type="noConversion"/>
  </si>
  <si>
    <t>16+15</t>
    <phoneticPr fontId="1" type="noConversion"/>
  </si>
  <si>
    <t>E2991281020000</t>
    <phoneticPr fontId="1" type="noConversion"/>
  </si>
  <si>
    <t>B-1110718009</t>
    <phoneticPr fontId="1" type="noConversion"/>
  </si>
  <si>
    <t>3-2-1前</t>
    <phoneticPr fontId="1" type="noConversion"/>
  </si>
  <si>
    <t>3-1-2前</t>
    <phoneticPr fontId="1" type="noConversion"/>
  </si>
  <si>
    <t>B3-1</t>
    <phoneticPr fontId="1" type="noConversion"/>
  </si>
  <si>
    <t>D3-3</t>
    <phoneticPr fontId="1" type="noConversion"/>
  </si>
  <si>
    <t>D3-1</t>
    <phoneticPr fontId="1" type="noConversion"/>
  </si>
  <si>
    <t>3-1-1後</t>
    <phoneticPr fontId="1" type="noConversion"/>
  </si>
  <si>
    <t>C1-5</t>
    <phoneticPr fontId="1" type="noConversion"/>
  </si>
  <si>
    <t>A外-3、D1-箱</t>
    <phoneticPr fontId="1" type="noConversion"/>
  </si>
  <si>
    <t>5-1-1、A外-3</t>
    <phoneticPr fontId="1" type="noConversion"/>
  </si>
  <si>
    <t>B-1110718007</t>
    <phoneticPr fontId="1" type="noConversion"/>
  </si>
  <si>
    <t>30+6</t>
    <phoneticPr fontId="1" type="noConversion"/>
  </si>
  <si>
    <t>B-1110608010</t>
    <phoneticPr fontId="1" type="noConversion"/>
  </si>
  <si>
    <t>組合件</t>
    <phoneticPr fontId="1" type="noConversion"/>
  </si>
  <si>
    <t>B-1110718006</t>
    <phoneticPr fontId="1" type="noConversion"/>
  </si>
  <si>
    <t>包裝寫WSTI</t>
    <phoneticPr fontId="1" type="noConversion"/>
  </si>
  <si>
    <t>13+1</t>
    <phoneticPr fontId="1" type="noConversion"/>
  </si>
  <si>
    <t>1+1</t>
    <phoneticPr fontId="1" type="noConversion"/>
  </si>
  <si>
    <t>MHSGH020018</t>
  </si>
  <si>
    <t>B-1110517012</t>
    <phoneticPr fontId="1" type="noConversion"/>
  </si>
  <si>
    <t>2*2+1</t>
    <phoneticPr fontId="1" type="noConversion"/>
  </si>
  <si>
    <t>VB21005-A</t>
    <phoneticPr fontId="1" type="noConversion"/>
  </si>
  <si>
    <t>MN63006-D</t>
    <phoneticPr fontId="1" type="noConversion"/>
  </si>
  <si>
    <t>PLD035-8YU00</t>
    <phoneticPr fontId="1" type="noConversion"/>
  </si>
  <si>
    <t>B-1110805005</t>
    <phoneticPr fontId="1" type="noConversion"/>
  </si>
  <si>
    <t>B-1110912017</t>
    <phoneticPr fontId="1" type="noConversion"/>
  </si>
  <si>
    <t>B-1110905001</t>
  </si>
  <si>
    <t>M1.25*29TB*18.5L</t>
  </si>
  <si>
    <t>B-1110822008</t>
    <phoneticPr fontId="1" type="noConversion"/>
  </si>
  <si>
    <t>LKGA0891302</t>
    <phoneticPr fontId="1" type="noConversion"/>
  </si>
  <si>
    <t>伸出端外徑未加工下批一起修</t>
  </si>
  <si>
    <t>製令單號</t>
    <phoneticPr fontId="1" type="noConversion"/>
  </si>
  <si>
    <t>10+5</t>
    <phoneticPr fontId="1" type="noConversion"/>
  </si>
  <si>
    <t>B-1110906012</t>
    <phoneticPr fontId="1" type="noConversion"/>
  </si>
  <si>
    <t>B-1110718011</t>
    <phoneticPr fontId="1" type="noConversion"/>
  </si>
  <si>
    <t>B-1110803012</t>
    <phoneticPr fontId="1" type="noConversion"/>
  </si>
  <si>
    <t>B-1110801002</t>
    <phoneticPr fontId="1" type="noConversion"/>
  </si>
  <si>
    <t>毛邊 ok</t>
    <phoneticPr fontId="1" type="noConversion"/>
  </si>
  <si>
    <t>2*5</t>
    <phoneticPr fontId="1" type="noConversion"/>
  </si>
  <si>
    <t>PS2009-1301A-1</t>
  </si>
  <si>
    <t>B-1111005002</t>
    <phoneticPr fontId="1" type="noConversion"/>
  </si>
  <si>
    <t>B-1110926010</t>
    <phoneticPr fontId="1" type="noConversion"/>
  </si>
  <si>
    <t>B-1111004007</t>
    <phoneticPr fontId="1" type="noConversion"/>
  </si>
  <si>
    <t>2-2-1前</t>
  </si>
  <si>
    <t>2-1-2後</t>
    <phoneticPr fontId="1" type="noConversion"/>
  </si>
  <si>
    <t>9*4</t>
    <phoneticPr fontId="1" type="noConversion"/>
  </si>
  <si>
    <t>20+9</t>
    <phoneticPr fontId="1" type="noConversion"/>
  </si>
  <si>
    <t>12*3+4</t>
    <phoneticPr fontId="1" type="noConversion"/>
  </si>
  <si>
    <t>TR54017-B</t>
    <phoneticPr fontId="1" type="noConversion"/>
  </si>
  <si>
    <t>11122-JR2-0X01</t>
    <phoneticPr fontId="1" type="noConversion"/>
  </si>
  <si>
    <t>B-1111007001</t>
    <phoneticPr fontId="1" type="noConversion"/>
  </si>
  <si>
    <t>已鍍鋅</t>
    <phoneticPr fontId="1" type="noConversion"/>
  </si>
  <si>
    <t>優先出貨</t>
    <phoneticPr fontId="1" type="noConversion"/>
  </si>
  <si>
    <t>10年</t>
  </si>
  <si>
    <t>2803002100-4</t>
    <phoneticPr fontId="1" type="noConversion"/>
  </si>
  <si>
    <t>B-1110323016</t>
    <phoneticPr fontId="1" type="noConversion"/>
  </si>
  <si>
    <t>4*2+1</t>
    <phoneticPr fontId="1" type="noConversion"/>
  </si>
  <si>
    <t>10年</t>
    <phoneticPr fontId="1" type="noConversion"/>
  </si>
  <si>
    <t>100*3</t>
    <phoneticPr fontId="1" type="noConversion"/>
  </si>
  <si>
    <t>B-1110519003</t>
    <phoneticPr fontId="1" type="noConversion"/>
  </si>
  <si>
    <t>7+2</t>
    <phoneticPr fontId="1" type="noConversion"/>
  </si>
  <si>
    <t>2只下修</t>
    <phoneticPr fontId="1" type="noConversion"/>
  </si>
  <si>
    <t>B-1110928003</t>
    <phoneticPr fontId="1" type="noConversion"/>
  </si>
  <si>
    <t>B-1110906013</t>
    <phoneticPr fontId="1" type="noConversion"/>
  </si>
  <si>
    <t>B-1110816011</t>
    <phoneticPr fontId="1" type="noConversion"/>
  </si>
  <si>
    <t>B-1100701002</t>
    <phoneticPr fontId="1" type="noConversion"/>
  </si>
  <si>
    <t>B-1110718011</t>
    <phoneticPr fontId="1" type="noConversion"/>
  </si>
  <si>
    <t>B-1111025005</t>
    <phoneticPr fontId="1" type="noConversion"/>
  </si>
  <si>
    <t>B-1110211005</t>
    <phoneticPr fontId="1" type="noConversion"/>
  </si>
  <si>
    <t>18+6</t>
    <phoneticPr fontId="1" type="noConversion"/>
  </si>
  <si>
    <t>2*2+1</t>
    <phoneticPr fontId="1" type="noConversion"/>
  </si>
  <si>
    <t>20+14</t>
    <phoneticPr fontId="1" type="noConversion"/>
  </si>
  <si>
    <t>2-2-2後</t>
    <phoneticPr fontId="1" type="noConversion"/>
  </si>
  <si>
    <t>2-2-2後、3-3-2後</t>
    <phoneticPr fontId="1" type="noConversion"/>
  </si>
  <si>
    <t>2-2-2後、5-1-2前</t>
    <phoneticPr fontId="1" type="noConversion"/>
  </si>
  <si>
    <t>5-1-2前、3-3-2後</t>
    <phoneticPr fontId="1" type="noConversion"/>
  </si>
  <si>
    <t>大鐵架 1-1-2</t>
    <phoneticPr fontId="1" type="noConversion"/>
  </si>
  <si>
    <t>11122-UC2-1000-R01</t>
  </si>
  <si>
    <t>B-1111121001</t>
    <phoneticPr fontId="1" type="noConversion"/>
  </si>
  <si>
    <t xml:space="preserve"> 2-2-1前</t>
  </si>
  <si>
    <t>M3H-20Z-N001-1902181</t>
  </si>
  <si>
    <t>B-1101112001</t>
    <phoneticPr fontId="1" type="noConversion"/>
  </si>
  <si>
    <t>B-1110824018</t>
    <phoneticPr fontId="1" type="noConversion"/>
  </si>
  <si>
    <t>JKGB07790L</t>
    <phoneticPr fontId="1" type="noConversion"/>
  </si>
  <si>
    <t>B-1101013007</t>
    <phoneticPr fontId="1" type="noConversion"/>
  </si>
  <si>
    <t>6P4A-LB63024-1020100</t>
    <phoneticPr fontId="1" type="noConversion"/>
  </si>
  <si>
    <t>2*10</t>
    <phoneticPr fontId="1" type="noConversion"/>
  </si>
  <si>
    <t>16+13</t>
    <phoneticPr fontId="1" type="noConversion"/>
  </si>
  <si>
    <t>B-1111221011</t>
    <phoneticPr fontId="1" type="noConversion"/>
  </si>
  <si>
    <t>B-1111220003</t>
    <phoneticPr fontId="1" type="noConversion"/>
  </si>
  <si>
    <t>B-1111221012</t>
    <phoneticPr fontId="1" type="noConversion"/>
  </si>
  <si>
    <t>B-1110819012</t>
    <phoneticPr fontId="1" type="noConversion"/>
  </si>
  <si>
    <t>B-1111108002</t>
    <phoneticPr fontId="1" type="noConversion"/>
  </si>
  <si>
    <t>B-1100322006</t>
    <phoneticPr fontId="1" type="noConversion"/>
  </si>
  <si>
    <t>25*9+30</t>
    <phoneticPr fontId="1" type="noConversion"/>
  </si>
  <si>
    <t>JKGD04794R</t>
    <phoneticPr fontId="1" type="noConversion"/>
  </si>
  <si>
    <t>1只特採</t>
    <phoneticPr fontId="1" type="noConversion"/>
  </si>
  <si>
    <t>已研磨</t>
    <phoneticPr fontId="1" type="noConversion"/>
  </si>
  <si>
    <t>FRONT SHAFT</t>
  </si>
  <si>
    <t>REAR SHAFT</t>
  </si>
  <si>
    <t>B-1111215009</t>
    <phoneticPr fontId="1" type="noConversion"/>
  </si>
  <si>
    <t>B-1111215010</t>
  </si>
  <si>
    <t>8*4+4</t>
    <phoneticPr fontId="1" type="noConversion"/>
  </si>
  <si>
    <t>9*3+4</t>
    <phoneticPr fontId="1" type="noConversion"/>
  </si>
  <si>
    <t>大鐵架 4-3-2</t>
    <phoneticPr fontId="1" type="noConversion"/>
  </si>
  <si>
    <t>B-1120111005</t>
    <phoneticPr fontId="1" type="noConversion"/>
  </si>
  <si>
    <t>B-1111123009</t>
    <phoneticPr fontId="1" type="noConversion"/>
  </si>
  <si>
    <t>B-1111123010</t>
  </si>
  <si>
    <t>HH02-HB50060-306020A</t>
    <phoneticPr fontId="1" type="noConversion"/>
  </si>
  <si>
    <t>B-1111228005</t>
    <phoneticPr fontId="1" type="noConversion"/>
  </si>
  <si>
    <t>BN32A006</t>
    <phoneticPr fontId="1" type="noConversion"/>
  </si>
  <si>
    <t>B-1111231001</t>
    <phoneticPr fontId="1" type="noConversion"/>
  </si>
  <si>
    <t>3I0000080005</t>
    <phoneticPr fontId="1" type="noConversion"/>
  </si>
  <si>
    <t>10+3</t>
    <phoneticPr fontId="1" type="noConversion"/>
  </si>
  <si>
    <t>未結合同箱</t>
    <phoneticPr fontId="1" type="noConversion"/>
  </si>
  <si>
    <t>9*2+8</t>
    <phoneticPr fontId="1" type="noConversion"/>
  </si>
  <si>
    <t>B-1111102003</t>
    <phoneticPr fontId="1" type="noConversion"/>
  </si>
  <si>
    <t>B-1111221014</t>
    <phoneticPr fontId="1" type="noConversion"/>
  </si>
  <si>
    <t>B-1111123008</t>
    <phoneticPr fontId="1" type="noConversion"/>
  </si>
  <si>
    <t>2-2-2前</t>
    <phoneticPr fontId="1" type="noConversion"/>
  </si>
  <si>
    <t>2-1-1前</t>
    <phoneticPr fontId="1" type="noConversion"/>
  </si>
  <si>
    <t>2804002111-4</t>
    <phoneticPr fontId="1" type="noConversion"/>
  </si>
  <si>
    <t>2804002111-5</t>
    <phoneticPr fontId="1" type="noConversion"/>
  </si>
  <si>
    <t>B-1111221013</t>
    <phoneticPr fontId="1" type="noConversion"/>
  </si>
  <si>
    <t>B-1120111002</t>
    <phoneticPr fontId="1" type="noConversion"/>
  </si>
  <si>
    <t>B-1111019006</t>
    <phoneticPr fontId="1" type="noConversion"/>
  </si>
  <si>
    <t>B-1111019005</t>
    <phoneticPr fontId="1" type="noConversion"/>
  </si>
  <si>
    <t>2+1</t>
    <phoneticPr fontId="1" type="noConversion"/>
  </si>
  <si>
    <t>組合件</t>
    <phoneticPr fontId="1" type="noConversion"/>
  </si>
  <si>
    <t>JKGE09715R1_JIG</t>
  </si>
  <si>
    <t>研磨治具</t>
    <phoneticPr fontId="1" type="noConversion"/>
  </si>
  <si>
    <t>B-1120301009</t>
    <phoneticPr fontId="1" type="noConversion"/>
  </si>
  <si>
    <t>B-1111125013</t>
    <phoneticPr fontId="1" type="noConversion"/>
  </si>
  <si>
    <t>每箱一顆</t>
    <phoneticPr fontId="1" type="noConversion"/>
  </si>
  <si>
    <t>每箱一顆</t>
    <phoneticPr fontId="1" type="noConversion"/>
  </si>
  <si>
    <t>每箱一顆</t>
    <phoneticPr fontId="1" type="noConversion"/>
  </si>
  <si>
    <t>大鐵架 5-3-2後</t>
    <phoneticPr fontId="1" type="noConversion"/>
  </si>
  <si>
    <t>GT2021-001B0</t>
    <phoneticPr fontId="1" type="noConversion"/>
  </si>
  <si>
    <t>B-1120302002</t>
    <phoneticPr fontId="1" type="noConversion"/>
  </si>
  <si>
    <t>107-1</t>
    <phoneticPr fontId="1" type="noConversion"/>
  </si>
  <si>
    <t>107-3</t>
    <phoneticPr fontId="1" type="noConversion"/>
  </si>
  <si>
    <t>B-1111222017</t>
    <phoneticPr fontId="1" type="noConversion"/>
  </si>
  <si>
    <t>B-1111222018</t>
    <phoneticPr fontId="1" type="noConversion"/>
  </si>
  <si>
    <t>B-1111222020</t>
    <phoneticPr fontId="1" type="noConversion"/>
  </si>
  <si>
    <t>B-1120221004</t>
    <phoneticPr fontId="1" type="noConversion"/>
  </si>
  <si>
    <t>VVB1-VA50050-1180000</t>
    <phoneticPr fontId="1" type="noConversion"/>
  </si>
  <si>
    <t>B-1120215010</t>
    <phoneticPr fontId="1" type="noConversion"/>
  </si>
  <si>
    <t>已雷刻</t>
    <phoneticPr fontId="1" type="noConversion"/>
  </si>
  <si>
    <t>B-1120215001</t>
    <phoneticPr fontId="1" type="noConversion"/>
  </si>
  <si>
    <t>16*3</t>
    <phoneticPr fontId="1" type="noConversion"/>
  </si>
  <si>
    <t>大鐵架 4-3-1前</t>
    <phoneticPr fontId="1" type="noConversion"/>
  </si>
  <si>
    <t>大鐵架 4-3-1後</t>
    <phoneticPr fontId="1" type="noConversion"/>
  </si>
  <si>
    <t>大鐵架 4-3-1後</t>
    <phoneticPr fontId="1" type="noConversion"/>
  </si>
  <si>
    <t>15*3+13+9</t>
    <phoneticPr fontId="1" type="noConversion"/>
  </si>
  <si>
    <t>B-1120314006</t>
    <phoneticPr fontId="1" type="noConversion"/>
  </si>
  <si>
    <t>B-1111226007</t>
    <phoneticPr fontId="1" type="noConversion"/>
  </si>
  <si>
    <t>B-1120213007</t>
    <phoneticPr fontId="1" type="noConversion"/>
  </si>
  <si>
    <t>3+1</t>
    <phoneticPr fontId="1" type="noConversion"/>
  </si>
  <si>
    <t>B-1110425010</t>
    <phoneticPr fontId="1" type="noConversion"/>
  </si>
  <si>
    <t>VN12013-T</t>
    <phoneticPr fontId="1" type="noConversion"/>
  </si>
  <si>
    <t>GT2027-00100</t>
    <phoneticPr fontId="1" type="noConversion"/>
  </si>
  <si>
    <t>GT2027-00200</t>
    <phoneticPr fontId="1" type="noConversion"/>
  </si>
  <si>
    <t>B-1120213006</t>
    <phoneticPr fontId="1" type="noConversion"/>
  </si>
  <si>
    <t>B-1120324007</t>
    <phoneticPr fontId="1" type="noConversion"/>
  </si>
  <si>
    <t>B-1120330025</t>
    <phoneticPr fontId="1" type="noConversion"/>
  </si>
  <si>
    <t>B-1120327011</t>
    <phoneticPr fontId="1" type="noConversion"/>
  </si>
  <si>
    <t>LKGD0891702-JIG</t>
    <phoneticPr fontId="1" type="noConversion"/>
  </si>
  <si>
    <t>LEGS08924-JIG-GO</t>
  </si>
  <si>
    <t>LEGS08924-JIG-NG</t>
    <phoneticPr fontId="1" type="noConversion"/>
  </si>
  <si>
    <t>B-1120302011</t>
    <phoneticPr fontId="1" type="noConversion"/>
  </si>
  <si>
    <t>B-1120310008</t>
    <phoneticPr fontId="1" type="noConversion"/>
  </si>
  <si>
    <t>B-1120310007</t>
    <phoneticPr fontId="1" type="noConversion"/>
  </si>
  <si>
    <t>B-1120425011</t>
    <phoneticPr fontId="1" type="noConversion"/>
  </si>
  <si>
    <t>B-1100531015</t>
    <phoneticPr fontId="1" type="noConversion"/>
  </si>
  <si>
    <t>B-1120310006</t>
    <phoneticPr fontId="1" type="noConversion"/>
  </si>
  <si>
    <t>3*3+1</t>
    <phoneticPr fontId="1" type="noConversion"/>
  </si>
  <si>
    <t>6P4A-LB63032-1020000</t>
    <phoneticPr fontId="1" type="noConversion"/>
  </si>
  <si>
    <t>B-1120112001</t>
    <phoneticPr fontId="1" type="noConversion"/>
  </si>
  <si>
    <t>5-1-2前</t>
    <phoneticPr fontId="1" type="noConversion"/>
  </si>
  <si>
    <t>B-1120504015</t>
    <phoneticPr fontId="1" type="noConversion"/>
  </si>
  <si>
    <t>GTA028-00200</t>
    <phoneticPr fontId="1" type="noConversion"/>
  </si>
  <si>
    <t>TR255011</t>
    <phoneticPr fontId="1" type="noConversion"/>
  </si>
  <si>
    <t>MN50015</t>
    <phoneticPr fontId="1" type="noConversion"/>
  </si>
  <si>
    <t>MH25011</t>
    <phoneticPr fontId="1" type="noConversion"/>
  </si>
  <si>
    <t>B-1120427012</t>
    <phoneticPr fontId="1" type="noConversion"/>
  </si>
  <si>
    <t>B-1120411007</t>
    <phoneticPr fontId="1" type="noConversion"/>
  </si>
  <si>
    <t>B-1120417017</t>
    <phoneticPr fontId="1" type="noConversion"/>
  </si>
  <si>
    <t>JKGE09715R1_35GO</t>
  </si>
  <si>
    <t>JKGE09715R1_35NOGO</t>
  </si>
  <si>
    <t>B-1120519010</t>
    <phoneticPr fontId="1" type="noConversion"/>
  </si>
  <si>
    <t>B-1120519011</t>
  </si>
  <si>
    <t>優先出貨</t>
    <phoneticPr fontId="1" type="noConversion"/>
  </si>
  <si>
    <t>1+1</t>
    <phoneticPr fontId="1" type="noConversion"/>
  </si>
  <si>
    <t>B-1120323014</t>
    <phoneticPr fontId="1" type="noConversion"/>
  </si>
  <si>
    <t>B-1120324008</t>
    <phoneticPr fontId="1" type="noConversion"/>
  </si>
  <si>
    <t>B-1120515002</t>
    <phoneticPr fontId="1" type="noConversion"/>
  </si>
  <si>
    <t>JKGASS20R1</t>
    <phoneticPr fontId="1" type="noConversion"/>
  </si>
  <si>
    <t>B-1120224020</t>
    <phoneticPr fontId="1" type="noConversion"/>
  </si>
  <si>
    <t>TR54018</t>
    <phoneticPr fontId="1" type="noConversion"/>
  </si>
  <si>
    <t>2+1</t>
    <phoneticPr fontId="1" type="noConversion"/>
  </si>
  <si>
    <t>B-1120323015</t>
    <phoneticPr fontId="1" type="noConversion"/>
  </si>
  <si>
    <t>B-1120502001</t>
    <phoneticPr fontId="1" type="noConversion"/>
  </si>
  <si>
    <t>優先出貨</t>
    <phoneticPr fontId="1" type="noConversion"/>
  </si>
  <si>
    <t>MN50015</t>
    <phoneticPr fontId="1" type="noConversion"/>
  </si>
  <si>
    <t>PLE024-8YU00</t>
    <phoneticPr fontId="1" type="noConversion"/>
  </si>
  <si>
    <t>8+2</t>
    <phoneticPr fontId="1" type="noConversion"/>
  </si>
  <si>
    <t>內孔尺寸OK，已鍍鋅</t>
    <phoneticPr fontId="1" type="noConversion"/>
  </si>
  <si>
    <t>10年</t>
    <phoneticPr fontId="1" type="noConversion"/>
  </si>
  <si>
    <t>10年</t>
    <phoneticPr fontId="1" type="noConversion"/>
  </si>
  <si>
    <t>大鐵架 5-2-2後</t>
    <phoneticPr fontId="1" type="noConversion"/>
  </si>
  <si>
    <t>14-39T</t>
    <phoneticPr fontId="1" type="noConversion"/>
  </si>
  <si>
    <t>板井</t>
    <phoneticPr fontId="1" type="noConversion"/>
  </si>
  <si>
    <t>14-38T</t>
    <phoneticPr fontId="1" type="noConversion"/>
  </si>
  <si>
    <t>14-37T</t>
    <phoneticPr fontId="1" type="noConversion"/>
  </si>
  <si>
    <t>14-14T</t>
    <phoneticPr fontId="1" type="noConversion"/>
  </si>
  <si>
    <t>10*2+4</t>
    <phoneticPr fontId="1" type="noConversion"/>
  </si>
  <si>
    <t>B-1120504004</t>
    <phoneticPr fontId="1" type="noConversion"/>
  </si>
  <si>
    <t>B-1120323015</t>
    <phoneticPr fontId="1" type="noConversion"/>
  </si>
  <si>
    <t>B-1120427013</t>
    <phoneticPr fontId="1" type="noConversion"/>
  </si>
  <si>
    <t>B-1120427011</t>
    <phoneticPr fontId="1" type="noConversion"/>
  </si>
  <si>
    <t>B-1110309007</t>
    <phoneticPr fontId="1" type="noConversion"/>
  </si>
  <si>
    <t>B-1100720009</t>
    <phoneticPr fontId="1" type="noConversion"/>
  </si>
  <si>
    <t>2*3</t>
    <phoneticPr fontId="1" type="noConversion"/>
  </si>
  <si>
    <t>優先出貨</t>
    <phoneticPr fontId="1" type="noConversion"/>
  </si>
  <si>
    <t>大鐵架 5-3-2前</t>
    <phoneticPr fontId="1" type="noConversion"/>
  </si>
  <si>
    <t>2*2</t>
    <phoneticPr fontId="1" type="noConversion"/>
  </si>
  <si>
    <t>B-1120511014</t>
    <phoneticPr fontId="1" type="noConversion"/>
  </si>
  <si>
    <t>B-1120504010*9
B-1120116021*1</t>
    <phoneticPr fontId="1" type="noConversion"/>
  </si>
  <si>
    <t>10+1</t>
    <phoneticPr fontId="1" type="noConversion"/>
  </si>
  <si>
    <t>B-1111226008</t>
    <phoneticPr fontId="1" type="noConversion"/>
  </si>
  <si>
    <t>10年</t>
    <phoneticPr fontId="1" type="noConversion"/>
  </si>
  <si>
    <t>和昕</t>
    <phoneticPr fontId="1" type="noConversion"/>
  </si>
  <si>
    <t>TR54018-E</t>
    <phoneticPr fontId="1" type="noConversion"/>
  </si>
  <si>
    <t>大鐵架 4-2-1後</t>
    <phoneticPr fontId="1" type="noConversion"/>
  </si>
  <si>
    <t>10年</t>
    <phoneticPr fontId="1" type="noConversion"/>
  </si>
  <si>
    <t>TR54018-E</t>
    <phoneticPr fontId="1" type="noConversion"/>
  </si>
  <si>
    <t>大鐵架 4-2-1後</t>
    <phoneticPr fontId="1" type="noConversion"/>
  </si>
  <si>
    <t>原億昌</t>
    <phoneticPr fontId="1" type="noConversion"/>
  </si>
  <si>
    <t>優先出貨</t>
    <phoneticPr fontId="1" type="noConversion"/>
  </si>
  <si>
    <t>B-1110609005</t>
    <phoneticPr fontId="1" type="noConversion"/>
  </si>
  <si>
    <t>B-1120617012</t>
    <phoneticPr fontId="1" type="noConversion"/>
  </si>
  <si>
    <t>GT3045-00100</t>
    <phoneticPr fontId="1" type="noConversion"/>
  </si>
  <si>
    <t>GT2027-00100</t>
    <phoneticPr fontId="1" type="noConversion"/>
  </si>
  <si>
    <t>B-1120418002</t>
    <phoneticPr fontId="1" type="noConversion"/>
  </si>
  <si>
    <t>B-1120511013</t>
    <phoneticPr fontId="1" type="noConversion"/>
  </si>
  <si>
    <t>66+21</t>
    <phoneticPr fontId="1" type="noConversion"/>
  </si>
  <si>
    <t>B-1120427014</t>
    <phoneticPr fontId="1" type="noConversion"/>
  </si>
  <si>
    <t>11+10</t>
    <phoneticPr fontId="1" type="noConversion"/>
  </si>
  <si>
    <t>MN63A12</t>
    <phoneticPr fontId="1" type="noConversion"/>
  </si>
  <si>
    <t>10年</t>
    <phoneticPr fontId="1" type="noConversion"/>
  </si>
  <si>
    <t>MN63A13</t>
    <phoneticPr fontId="1" type="noConversion"/>
  </si>
  <si>
    <t>B-1120427015</t>
    <phoneticPr fontId="1" type="noConversion"/>
  </si>
  <si>
    <t>已結合，出貨需備註GT-M3T3624</t>
    <phoneticPr fontId="1" type="noConversion"/>
  </si>
  <si>
    <t>20*3+18+9</t>
    <phoneticPr fontId="1" type="noConversion"/>
  </si>
  <si>
    <t>36+1</t>
    <phoneticPr fontId="1" type="noConversion"/>
  </si>
  <si>
    <t>B-1120601029</t>
    <phoneticPr fontId="1" type="noConversion"/>
  </si>
  <si>
    <t>RB-15</t>
    <phoneticPr fontId="1" type="noConversion"/>
  </si>
  <si>
    <t>079232000</t>
    <phoneticPr fontId="1" type="noConversion"/>
  </si>
  <si>
    <t>已修整完成</t>
    <phoneticPr fontId="1" type="noConversion"/>
  </si>
  <si>
    <t>7+6*2+1</t>
    <phoneticPr fontId="1" type="noConversion"/>
  </si>
  <si>
    <t>20*2+5</t>
    <phoneticPr fontId="1" type="noConversion"/>
  </si>
  <si>
    <t>大鐵架 2-2-1 前</t>
    <phoneticPr fontId="1" type="noConversion"/>
  </si>
  <si>
    <t>鐵架標示</t>
    <phoneticPr fontId="1" type="noConversion"/>
  </si>
  <si>
    <t>鐵架標示</t>
    <phoneticPr fontId="1" type="noConversion"/>
  </si>
  <si>
    <t>備註2(同料號位置)</t>
    <phoneticPr fontId="1" type="noConversion"/>
  </si>
  <si>
    <t>大鐵架 3-2-1前</t>
    <phoneticPr fontId="1" type="noConversion"/>
  </si>
  <si>
    <t>B-1090721001</t>
    <phoneticPr fontId="1" type="noConversion"/>
  </si>
  <si>
    <t>B-1090702003</t>
    <phoneticPr fontId="1" type="noConversion"/>
  </si>
  <si>
    <t>B-1120608011</t>
    <phoneticPr fontId="1" type="noConversion"/>
  </si>
  <si>
    <t>B-1120511012</t>
    <phoneticPr fontId="1" type="noConversion"/>
  </si>
  <si>
    <t>優先出貨1</t>
    <phoneticPr fontId="1" type="noConversion"/>
  </si>
  <si>
    <t>優先出貨2</t>
    <phoneticPr fontId="1" type="noConversion"/>
  </si>
  <si>
    <t>B-1120504001</t>
    <phoneticPr fontId="1" type="noConversion"/>
  </si>
  <si>
    <t>B-1120628005</t>
    <phoneticPr fontId="1" type="noConversion"/>
  </si>
  <si>
    <t>VH05-HB50060-3840S00</t>
  </si>
  <si>
    <t>10年</t>
    <phoneticPr fontId="1" type="noConversion"/>
  </si>
  <si>
    <t>B-1120704003</t>
    <phoneticPr fontId="1" type="noConversion"/>
  </si>
  <si>
    <t>B-1120224002</t>
  </si>
  <si>
    <t>B-1120616008</t>
    <phoneticPr fontId="1" type="noConversion"/>
  </si>
  <si>
    <t>CHM01502112-P</t>
  </si>
  <si>
    <t>KBSH02193</t>
  </si>
  <si>
    <t>長方形箱</t>
    <phoneticPr fontId="1" type="noConversion"/>
  </si>
  <si>
    <t>備註2
(同料號位置)</t>
    <phoneticPr fontId="1" type="noConversion"/>
  </si>
  <si>
    <t>產品品名</t>
    <phoneticPr fontId="1" type="noConversion"/>
  </si>
  <si>
    <t>產品規格</t>
    <phoneticPr fontId="1" type="noConversion"/>
  </si>
  <si>
    <t>正齒輪</t>
  </si>
  <si>
    <t/>
  </si>
  <si>
    <t>齒輪</t>
  </si>
  <si>
    <t>馬達皮帶輪P27-8YU-25</t>
  </si>
  <si>
    <t>蝸桿皮帶輪</t>
  </si>
  <si>
    <t>馬達皮帶輪</t>
  </si>
  <si>
    <t>M2T35W14.5L23</t>
  </si>
  <si>
    <t>齒輪36T</t>
  </si>
  <si>
    <t>馬達齒輪</t>
  </si>
  <si>
    <t>M2T24W22L52</t>
  </si>
  <si>
    <t>M3T21W22L52</t>
  </si>
  <si>
    <t>馬達皮帶輪P24-8YU-20</t>
  </si>
  <si>
    <t>蝸桿齒輪</t>
  </si>
  <si>
    <t>M1.5T28W15L35</t>
  </si>
  <si>
    <t>旋轉惰輪</t>
  </si>
  <si>
    <t>M3T28W18L20</t>
  </si>
  <si>
    <t>馬達測主動輪</t>
  </si>
  <si>
    <t>惰齒輪</t>
  </si>
  <si>
    <t>戟齒桿齒輪</t>
  </si>
  <si>
    <t>蝸桿端齒輪</t>
  </si>
  <si>
    <t>從動齒輪</t>
  </si>
  <si>
    <t>惰輪</t>
  </si>
  <si>
    <t>M1.5T35W20L50</t>
  </si>
  <si>
    <t>M1.5T46W25L25</t>
  </si>
  <si>
    <t>傳動齒輪</t>
  </si>
  <si>
    <t>馬達齒輪</t>
    <phoneticPr fontId="1" type="noConversion"/>
  </si>
  <si>
    <t>馬達皮帶輪P27-8YU-25</t>
    <phoneticPr fontId="1" type="noConversion"/>
  </si>
  <si>
    <t>M2T27W15L37</t>
  </si>
  <si>
    <t>齒輪</t>
    <phoneticPr fontId="1" type="noConversion"/>
  </si>
  <si>
    <t>M2T18W15L42.5</t>
  </si>
  <si>
    <t>M2.5T32W15L23</t>
  </si>
  <si>
    <t>M2.5T32W15L23</t>
    <phoneticPr fontId="1" type="noConversion"/>
  </si>
  <si>
    <t>M2*36T*W15L23</t>
    <phoneticPr fontId="1" type="noConversion"/>
  </si>
  <si>
    <t>M2T21W15L37</t>
  </si>
  <si>
    <t>M2T21W15L37</t>
    <phoneticPr fontId="1" type="noConversion"/>
  </si>
  <si>
    <t>M2T27W20L42</t>
  </si>
  <si>
    <t>M1.5T32W15L42</t>
  </si>
  <si>
    <t>M2.5T48W15L23</t>
    <phoneticPr fontId="1" type="noConversion"/>
  </si>
  <si>
    <t>M2.5T40W15L23</t>
  </si>
  <si>
    <t>M2.5T30W20L43</t>
  </si>
  <si>
    <t>惰輪</t>
    <phoneticPr fontId="1" type="noConversion"/>
  </si>
  <si>
    <t>M2T46W18L20</t>
  </si>
  <si>
    <t>M1.25T48L31.5</t>
  </si>
  <si>
    <t>傳動齒輪</t>
    <phoneticPr fontId="1" type="noConversion"/>
  </si>
  <si>
    <t>M3.5T20W25L33</t>
  </si>
  <si>
    <t>M2T18W15L30</t>
  </si>
  <si>
    <t>M3T24W20L60</t>
  </si>
  <si>
    <t>M2T24W15L37</t>
  </si>
  <si>
    <t>M2T60W15L23</t>
  </si>
  <si>
    <t>從動齒輪</t>
    <phoneticPr fontId="1" type="noConversion"/>
  </si>
  <si>
    <t>M3T45W20L32</t>
  </si>
  <si>
    <t>T55W32L32</t>
  </si>
  <si>
    <t>蝸桿皮帶輪</t>
    <phoneticPr fontId="1" type="noConversion"/>
  </si>
  <si>
    <t>M2T24W15L30</t>
  </si>
  <si>
    <t>M1.5T28W25L45</t>
  </si>
  <si>
    <t>M2T36W15L23</t>
  </si>
  <si>
    <t>M2T40W25L25</t>
  </si>
  <si>
    <t>M2T80W20L20</t>
  </si>
  <si>
    <t>M2T40W20L60</t>
  </si>
  <si>
    <t>M2T90W23L23</t>
  </si>
  <si>
    <t>M2T30W23L23</t>
  </si>
  <si>
    <t>蝸桿齒輪</t>
    <phoneticPr fontId="1" type="noConversion"/>
  </si>
  <si>
    <t>M2T60W18L27</t>
  </si>
  <si>
    <t>M3.5T30W33L33</t>
  </si>
  <si>
    <t>M3.5T40W25L25</t>
  </si>
  <si>
    <t>馬達皮帶輪P24-8YU-25</t>
    <phoneticPr fontId="1" type="noConversion"/>
  </si>
  <si>
    <t>M3T72W5.2L46</t>
  </si>
  <si>
    <t>M2.5T56W25L51</t>
  </si>
  <si>
    <t>M2T30W20L43</t>
  </si>
  <si>
    <t>M2T36W23L23</t>
  </si>
  <si>
    <t>M3T30W20L43</t>
  </si>
  <si>
    <t>產品品名</t>
    <phoneticPr fontId="1" type="noConversion"/>
  </si>
  <si>
    <t>產品規格</t>
    <phoneticPr fontId="1" type="noConversion"/>
  </si>
  <si>
    <t>產品品名</t>
  </si>
  <si>
    <t>代料至齒研</t>
  </si>
  <si>
    <t>M2.5T52W20L26</t>
  </si>
  <si>
    <t>M2T25W20L54</t>
  </si>
  <si>
    <t>蝸桿齒輪(1.5M*27T)</t>
  </si>
  <si>
    <t>M2.5T36W25L27</t>
  </si>
  <si>
    <t>直線軸馬達齒輪</t>
  </si>
  <si>
    <t>M1.5T36W18.5L51.5</t>
  </si>
  <si>
    <t>M1.5T40W24L25</t>
  </si>
  <si>
    <t>M2.5T43W20L26</t>
  </si>
  <si>
    <t>鍊輪</t>
  </si>
  <si>
    <t>M2.5T28W20L40</t>
  </si>
  <si>
    <t>M1.5T30W17.5L19</t>
  </si>
  <si>
    <t>M1.5T36W20L20</t>
  </si>
  <si>
    <t>M2T50W20L25</t>
  </si>
  <si>
    <t>鏈輪T20</t>
  </si>
  <si>
    <t>24T等分盤</t>
  </si>
  <si>
    <t>代料到齒研</t>
  </si>
  <si>
    <t>凸輪軸齒輪</t>
  </si>
  <si>
    <t>M2T60W18L30</t>
  </si>
  <si>
    <t>鏈輪</t>
  </si>
  <si>
    <t>旋轉齒輪</t>
  </si>
  <si>
    <t>迴轉齒</t>
  </si>
  <si>
    <t>D140*D75*40L</t>
  </si>
  <si>
    <t>迴轉齒-4D</t>
  </si>
  <si>
    <t>M4*28T*31L</t>
  </si>
  <si>
    <t>心軸帶動齒輪</t>
  </si>
  <si>
    <t>小齒輪</t>
  </si>
  <si>
    <t>M2T36W20.5L49</t>
  </si>
  <si>
    <t>M2T30W18L32</t>
  </si>
  <si>
    <t>M1.5T28W22L40</t>
  </si>
  <si>
    <t>M5T20W39L117</t>
  </si>
  <si>
    <t>M2.5T36W24L51</t>
  </si>
  <si>
    <t>M2.5T28W22L38</t>
  </si>
  <si>
    <t>手輪齒輪</t>
  </si>
  <si>
    <t>M2.5T24W27L62</t>
  </si>
  <si>
    <t>外傳動齒</t>
  </si>
  <si>
    <t>M1.75T72W14L22</t>
  </si>
  <si>
    <t>內傳動齒</t>
  </si>
  <si>
    <t>M1.75T72W10L14.5</t>
  </si>
  <si>
    <t>M1.75T72W18L50</t>
  </si>
  <si>
    <t>D227*D190*235L</t>
  </si>
  <si>
    <t>旋轉座</t>
  </si>
  <si>
    <t>旋轉齒輪</t>
    <phoneticPr fontId="1" type="noConversion"/>
  </si>
  <si>
    <t>四分度大齒輪</t>
  </si>
  <si>
    <t>M3T120W28L28</t>
  </si>
  <si>
    <t>φ229.57T21</t>
  </si>
  <si>
    <t>M4T44W34L47</t>
  </si>
  <si>
    <t>馬達齒輪</t>
    <phoneticPr fontId="1" type="noConversion"/>
  </si>
  <si>
    <t>M4T32W34L137</t>
  </si>
  <si>
    <t>M2T30W18L38</t>
  </si>
  <si>
    <t>惰齒輪</t>
    <phoneticPr fontId="1" type="noConversion"/>
  </si>
  <si>
    <t>M4T34W30L30</t>
  </si>
  <si>
    <t>迴轉齒</t>
    <phoneticPr fontId="1" type="noConversion"/>
  </si>
  <si>
    <t>M1.75T48/M2T52L33</t>
  </si>
  <si>
    <t>M1.5T30W19L20</t>
  </si>
  <si>
    <t>M2.5*27T22W40L</t>
  </si>
  <si>
    <t>蝸桿齒輪</t>
    <phoneticPr fontId="1" type="noConversion"/>
  </si>
  <si>
    <t>M2.5T36W20L85</t>
  </si>
  <si>
    <t>惰輪齒輪</t>
    <phoneticPr fontId="1" type="noConversion"/>
  </si>
  <si>
    <t>M3T30W35L36</t>
  </si>
  <si>
    <t>M2.5T20W28L62</t>
  </si>
  <si>
    <t>鏈輪</t>
    <phoneticPr fontId="1" type="noConversion"/>
  </si>
  <si>
    <t>M1.5T40W25L27</t>
  </si>
  <si>
    <t>M2.5T28W20L24</t>
  </si>
  <si>
    <t>M2.5T35W27.5L43</t>
  </si>
  <si>
    <t>M4T32W38L43</t>
  </si>
  <si>
    <t>M2.5T26W30L60</t>
  </si>
  <si>
    <t>齒輪</t>
    <phoneticPr fontId="1" type="noConversion"/>
  </si>
  <si>
    <t>M4T22W47L47</t>
  </si>
  <si>
    <t>M3T70W29.5L41.5</t>
    <phoneticPr fontId="1" type="noConversion"/>
  </si>
  <si>
    <t>心軸帶動齒</t>
    <phoneticPr fontId="1" type="noConversion"/>
  </si>
  <si>
    <t>M4T40W8L32</t>
    <phoneticPr fontId="1" type="noConversion"/>
  </si>
  <si>
    <t>惰齒輪(弧齒輪)</t>
    <phoneticPr fontId="1" type="noConversion"/>
  </si>
  <si>
    <t>M2.5T46W22L26</t>
  </si>
  <si>
    <t>心軸齒輪</t>
    <phoneticPr fontId="1" type="noConversion"/>
  </si>
  <si>
    <t>M3T20W35L158</t>
  </si>
  <si>
    <t>馬達連動齒</t>
    <phoneticPr fontId="1" type="noConversion"/>
  </si>
  <si>
    <t>M3T48W32L42</t>
    <phoneticPr fontId="1" type="noConversion"/>
  </si>
  <si>
    <t>M4T32W34L137</t>
    <phoneticPr fontId="1" type="noConversion"/>
  </si>
  <si>
    <t>左旋齒輪</t>
    <phoneticPr fontId="1" type="noConversion"/>
  </si>
  <si>
    <t>M6T25W70L103</t>
  </si>
  <si>
    <t>M3T42W25L74</t>
  </si>
  <si>
    <t>M2T30W18L30</t>
    <phoneticPr fontId="1" type="noConversion"/>
  </si>
  <si>
    <t>M1.5T27W18L25</t>
  </si>
  <si>
    <t>M2T25W20L28</t>
  </si>
  <si>
    <t>M4T32W24L28</t>
  </si>
  <si>
    <t>正齒輪</t>
    <phoneticPr fontId="1" type="noConversion"/>
  </si>
  <si>
    <t>M2.5T40W25L26</t>
  </si>
  <si>
    <t>M3T24W41L42</t>
  </si>
  <si>
    <t>M2.5T26W27.5L38.5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</si>
  <si>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109.76T20</t>
    </r>
    <phoneticPr fontId="1" type="noConversion"/>
  </si>
  <si>
    <t>M3T15W19L20</t>
  </si>
  <si>
    <t>M3T34W25L29</t>
    <phoneticPr fontId="1" type="noConversion"/>
  </si>
  <si>
    <t>M2T30W17.5L26</t>
  </si>
  <si>
    <t>M1.5T30W18L22</t>
  </si>
  <si>
    <t>M3T15W26L52</t>
  </si>
  <si>
    <t>預備站小齒輪</t>
    <phoneticPr fontId="1" type="noConversion"/>
  </si>
  <si>
    <t>M2T27W21.5L25</t>
  </si>
  <si>
    <t>M1.5T48W18L21</t>
  </si>
  <si>
    <t>M1.5T32W19L27</t>
  </si>
  <si>
    <t>M2.5T20W21L58</t>
  </si>
  <si>
    <t>凸輪軸齒輪</t>
    <phoneticPr fontId="1" type="noConversion"/>
  </si>
  <si>
    <t>M2.5T50W21L27</t>
  </si>
  <si>
    <t>小齒輪</t>
    <phoneticPr fontId="1" type="noConversion"/>
  </si>
  <si>
    <t>M2.5T40W23.5L29</t>
  </si>
  <si>
    <t>M2.5T24W20L22.5</t>
  </si>
  <si>
    <t>M1.5T27W19.5L25</t>
  </si>
  <si>
    <t>M1.5T30W21L23</t>
  </si>
  <si>
    <t>M1.5T40W26L50</t>
  </si>
  <si>
    <t>M1.5T40W18.5L23.5</t>
  </si>
  <si>
    <t>M2.5T24W23L58</t>
  </si>
  <si>
    <t>M2.5T36W20L24</t>
  </si>
  <si>
    <t>M2.5T34W20L26</t>
  </si>
  <si>
    <t>M2.5T30W19.5L40</t>
  </si>
  <si>
    <t>M1.5T36W20L86</t>
  </si>
  <si>
    <t>M2.5T35W24L26</t>
  </si>
  <si>
    <t>M1.5T46W26L27</t>
  </si>
  <si>
    <t>M1.5T30W14.5L30</t>
  </si>
  <si>
    <t>M1.5T28W20L35.5</t>
    <phoneticPr fontId="1" type="noConversion"/>
  </si>
  <si>
    <t>鏈輪ANSI50-16T</t>
    <phoneticPr fontId="1" type="noConversion"/>
  </si>
  <si>
    <t>φ307.32T20</t>
    <phoneticPr fontId="1" type="noConversion"/>
  </si>
  <si>
    <t>M2.5T60W20L35</t>
  </si>
  <si>
    <t>M2.5T45W27L28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</si>
  <si>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89.33T16</t>
    </r>
    <phoneticPr fontId="1" type="noConversion"/>
  </si>
  <si>
    <t>馬達齒輪</t>
    <phoneticPr fontId="1" type="noConversion"/>
  </si>
  <si>
    <t>M2.5T26W26L30</t>
    <phoneticPr fontId="1" type="noConversion"/>
  </si>
  <si>
    <t>M3T34W25L29</t>
  </si>
  <si>
    <t>齒輪</t>
    <phoneticPr fontId="1" type="noConversion"/>
  </si>
  <si>
    <t>φ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</si>
  <si>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190.76T20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</si>
  <si>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56.11T26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</si>
  <si>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140*</t>
    </r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75*L40</t>
    </r>
    <phoneticPr fontId="1" type="noConversion"/>
  </si>
  <si>
    <t>M2.5T45W16L35L</t>
  </si>
  <si>
    <t>M5T36W50L131</t>
  </si>
  <si>
    <t>M2.5T20W28L66</t>
  </si>
  <si>
    <t>M2.5T35W24L36</t>
  </si>
  <si>
    <t>馬達齒輪-QSY116J</t>
    <phoneticPr fontId="1" type="noConversion"/>
  </si>
  <si>
    <t>M3T70/M3.5T48L41.5</t>
  </si>
  <si>
    <t>M3T70/M3.5T48L41.5</t>
    <phoneticPr fontId="1" type="noConversion"/>
  </si>
  <si>
    <t>M3.5T48W8.5L32</t>
  </si>
  <si>
    <t>心軸帶動齒輪</t>
    <phoneticPr fontId="1" type="noConversion"/>
  </si>
  <si>
    <t>M1.5T36W21L73</t>
  </si>
  <si>
    <t>M3T40W31L43</t>
  </si>
  <si>
    <t>M2.5T39W25L25</t>
  </si>
  <si>
    <t>M2T30W17.530</t>
  </si>
  <si>
    <t>M2T48W5.5L35</t>
  </si>
  <si>
    <t>惰齒輪</t>
    <phoneticPr fontId="1" type="noConversion"/>
  </si>
  <si>
    <t>M2.5T38W20L32</t>
  </si>
  <si>
    <t>M2.5T21W23.5L35</t>
  </si>
  <si>
    <t>M2.5T28W24.5L38</t>
  </si>
  <si>
    <t>M6T42W50L245</t>
  </si>
  <si>
    <t>M6T42W50L188</t>
  </si>
  <si>
    <t>M5T25W57L101</t>
  </si>
  <si>
    <t>蝸桿齒輪(弧形齒)</t>
    <phoneticPr fontId="1" type="noConversion"/>
  </si>
  <si>
    <t>M4T36W30L30</t>
  </si>
  <si>
    <t>M2.5T2819.5L24</t>
  </si>
  <si>
    <t>M5T36W44L138</t>
  </si>
  <si>
    <t>M5T25W54.5L230</t>
  </si>
  <si>
    <t>M5T28W55L57</t>
  </si>
  <si>
    <t>OD116.76T10</t>
  </si>
  <si>
    <t>D83.71T19</t>
  </si>
  <si>
    <t>M1.5T30W20.5L36</t>
  </si>
  <si>
    <t>M2.5T27W25L55</t>
  </si>
  <si>
    <t>M2.5T35W23.5L26</t>
  </si>
  <si>
    <t>M2.5T18W30L120</t>
  </si>
  <si>
    <t>M1.5T40W26L28</t>
  </si>
  <si>
    <t>馬達齒輪-旋</t>
    <phoneticPr fontId="1" type="noConversion"/>
  </si>
  <si>
    <t>10年</t>
    <phoneticPr fontId="1" type="noConversion"/>
  </si>
  <si>
    <t>B-1120810012</t>
    <phoneticPr fontId="1" type="noConversion"/>
  </si>
  <si>
    <t>B-1120504003</t>
    <phoneticPr fontId="1" type="noConversion"/>
  </si>
  <si>
    <t>M2.5T27W21L52</t>
  </si>
  <si>
    <t>B-1120705019</t>
    <phoneticPr fontId="1" type="noConversion"/>
  </si>
  <si>
    <t>M1.5T40W15L19</t>
  </si>
  <si>
    <t>B-1120628004</t>
    <phoneticPr fontId="1" type="noConversion"/>
  </si>
  <si>
    <t>10*1</t>
    <phoneticPr fontId="1" type="noConversion"/>
  </si>
  <si>
    <t>18*1/2*1</t>
    <phoneticPr fontId="1" type="noConversion"/>
  </si>
  <si>
    <t>10*2</t>
    <phoneticPr fontId="1" type="noConversion"/>
  </si>
  <si>
    <t>時規皮帶輪</t>
  </si>
  <si>
    <t>滾輪軸</t>
  </si>
  <si>
    <t>M1.25T72W19.5L25.5</t>
  </si>
  <si>
    <t>齒輪/6支刀</t>
  </si>
  <si>
    <t>轉位齒輪</t>
  </si>
  <si>
    <t>齒輪心軸</t>
  </si>
  <si>
    <t>齒輪軸</t>
  </si>
  <si>
    <t>齒輪軸(A)</t>
  </si>
  <si>
    <t>馬達齒輪軸</t>
  </si>
  <si>
    <t>主軸齒輪</t>
  </si>
  <si>
    <t>驅動軸</t>
  </si>
  <si>
    <t>內齒輪軸</t>
  </si>
  <si>
    <t>外齒輪軸</t>
  </si>
  <si>
    <t>中間齒輪</t>
  </si>
  <si>
    <t>M2*25T*W30</t>
  </si>
  <si>
    <t>M2*30T*66L</t>
  </si>
  <si>
    <t>左斜齒輪</t>
  </si>
  <si>
    <t>CP5*25T*64L</t>
  </si>
  <si>
    <t>M1.5*25T*W19</t>
  </si>
  <si>
    <t>M4*25T*60L</t>
  </si>
  <si>
    <t>(M4*21T*40W)</t>
  </si>
  <si>
    <t>M4*21T*40W</t>
  </si>
  <si>
    <t>101.49*M3*30T*32W</t>
  </si>
  <si>
    <t>M1.5T13W18L76</t>
  </si>
  <si>
    <t>M5*18T*85L</t>
  </si>
  <si>
    <t>M5*21T*85L</t>
  </si>
  <si>
    <t>正心軸心</t>
  </si>
  <si>
    <t>封蓋2</t>
  </si>
  <si>
    <t>封蓋1</t>
  </si>
  <si>
    <t>M1.5*20T</t>
  </si>
  <si>
    <t>M2*20T*56L</t>
  </si>
  <si>
    <t>M4*18T*75L</t>
  </si>
  <si>
    <t>M4*21T*75L</t>
  </si>
  <si>
    <t>M2*25T*W28</t>
  </si>
  <si>
    <t>M1.5*21T*W20</t>
  </si>
  <si>
    <t>M3*20TB*60L 右斜</t>
  </si>
  <si>
    <t>01直齒輪Z60</t>
  </si>
  <si>
    <t>M1*60T*10L</t>
  </si>
  <si>
    <t>01直齒輪Z30</t>
  </si>
  <si>
    <t>M1*30T*10L</t>
  </si>
  <si>
    <t>01直齒輪Z50</t>
  </si>
  <si>
    <t>M1*50T*20L</t>
  </si>
  <si>
    <t>01  S51帶動齒輪</t>
  </si>
  <si>
    <t>M1*38T*12L</t>
  </si>
  <si>
    <t>01圓柱直齒齒輪</t>
  </si>
  <si>
    <t>M1*40T*19.1L</t>
  </si>
  <si>
    <t>斜齒輪(M2*35T)</t>
  </si>
  <si>
    <t>16CrNn4</t>
  </si>
  <si>
    <t>M2*27T*W28</t>
  </si>
  <si>
    <t>M2T18W16L33</t>
  </si>
  <si>
    <t>M2T18W23L28</t>
  </si>
  <si>
    <t>5CPT25W25L57</t>
  </si>
  <si>
    <t>左斜法蘭齒輪</t>
  </si>
  <si>
    <t>M2T29W26L29</t>
  </si>
  <si>
    <t>M2T30W28L43</t>
  </si>
  <si>
    <t>M3T19W20L52.5</t>
  </si>
  <si>
    <t>M2*20T*W24</t>
  </si>
  <si>
    <t>M1*30T*21L</t>
  </si>
  <si>
    <t>M2*24T*30L</t>
  </si>
  <si>
    <t>61.3*M2*27T*25W</t>
  </si>
  <si>
    <t>CP5*20T*30L</t>
  </si>
  <si>
    <t>斜齒硬化齒輪</t>
  </si>
  <si>
    <t>M5*24T*110L</t>
  </si>
  <si>
    <t>M2.5*20T*108L</t>
  </si>
  <si>
    <t>M1.5*25T*46L</t>
  </si>
  <si>
    <t>M3*32T*L65</t>
  </si>
  <si>
    <t>M2T33W26L29</t>
  </si>
  <si>
    <t>CP15*25TA*50L</t>
  </si>
  <si>
    <t>M1.5*30T*23L</t>
  </si>
  <si>
    <t>橫向齒輪</t>
  </si>
  <si>
    <t>左旋齒輪</t>
  </si>
  <si>
    <t>M1.5T30W14.5L110</t>
  </si>
  <si>
    <t>直齒法蘭齒研齒輪</t>
  </si>
  <si>
    <t>M2.5*32T*20L</t>
  </si>
  <si>
    <t>齒軸</t>
  </si>
  <si>
    <t>M2T31W30L299</t>
  </si>
  <si>
    <t>M2T92W24L35</t>
  </si>
  <si>
    <t>M3T28W30L336</t>
  </si>
  <si>
    <t>M3*30T*35W</t>
  </si>
  <si>
    <t>M3*31T*31W</t>
  </si>
  <si>
    <t>M3.1831*20T</t>
  </si>
  <si>
    <t>M2T40W28L28</t>
  </si>
  <si>
    <t>M3T40W28L38</t>
  </si>
  <si>
    <t>M3*22TB*56L</t>
  </si>
  <si>
    <t>花鍵齒輪</t>
  </si>
  <si>
    <t>M2*18T*33L</t>
  </si>
  <si>
    <t>左旋齒輪軸</t>
  </si>
  <si>
    <t>M5T17W75L425</t>
  </si>
  <si>
    <t>斜齒輪</t>
  </si>
  <si>
    <t>M5T24W50L85</t>
  </si>
  <si>
    <t>法蘭齒輪M2T40</t>
  </si>
  <si>
    <t>同MHFGHΦ063-40T-26L</t>
  </si>
  <si>
    <t>M3*22T*L65</t>
  </si>
  <si>
    <t>M5T18W55L55</t>
  </si>
  <si>
    <t>M3*20T*162L</t>
  </si>
  <si>
    <t>M2T56L30</t>
  </si>
  <si>
    <t>M2*25T*56L</t>
  </si>
  <si>
    <t>M4*21T40W75L</t>
  </si>
  <si>
    <t>上齒型定位盤</t>
  </si>
  <si>
    <t>全製</t>
  </si>
  <si>
    <t>M1.25T17W12.5L96</t>
  </si>
  <si>
    <t>M2T60W24L24</t>
  </si>
  <si>
    <t>M1.5*20T*W20</t>
  </si>
  <si>
    <t>CP10T30W30L60</t>
  </si>
  <si>
    <t>M1.25T29W10L18.5</t>
  </si>
  <si>
    <t>直齒齒輪</t>
  </si>
  <si>
    <t>M2*20T*30L</t>
  </si>
  <si>
    <t>M2T33W26L30</t>
  </si>
  <si>
    <t>M1.5*48T*15W*110L</t>
  </si>
  <si>
    <t>H-9B中心齒輪</t>
  </si>
  <si>
    <t>M2T48W35L43</t>
  </si>
  <si>
    <t>M2.5T81W35L35</t>
  </si>
  <si>
    <t>M2T30W28L33</t>
  </si>
  <si>
    <t>M1.5915T30W15L25</t>
  </si>
  <si>
    <t>M6T24W60L107</t>
  </si>
  <si>
    <t>M10*15T*W80</t>
  </si>
  <si>
    <t>斜齒齒研齒輪</t>
  </si>
  <si>
    <t>M3T45W28L65</t>
  </si>
  <si>
    <t>M3T30W30L85</t>
  </si>
  <si>
    <t>M8*24T*110L</t>
  </si>
  <si>
    <t>M2*24T*32L</t>
  </si>
  <si>
    <t>M4*24T*64.5L</t>
  </si>
  <si>
    <t>M3T29W29L61</t>
  </si>
  <si>
    <t>M3T29W29L62</t>
  </si>
  <si>
    <t>M2.5T30W25L40</t>
  </si>
  <si>
    <t>M2T40W28L57</t>
  </si>
  <si>
    <t>S45C/M3*20T</t>
  </si>
  <si>
    <t>M3*20T*37L</t>
  </si>
  <si>
    <t>斜齒齒輪</t>
  </si>
  <si>
    <t>M6*20T*88L</t>
  </si>
  <si>
    <t>M2*18T*32L</t>
  </si>
  <si>
    <t>M2*22T*32L</t>
  </si>
  <si>
    <t>DIN6</t>
  </si>
  <si>
    <t>M2T37W26L29</t>
  </si>
  <si>
    <t>M4T22W40L50</t>
  </si>
  <si>
    <t>M4T21W40L80</t>
  </si>
  <si>
    <t>M2T15W26L32</t>
  </si>
  <si>
    <t>1G/2P雙齒輪</t>
  </si>
  <si>
    <t>出力軸</t>
  </si>
  <si>
    <t>M2.5*12T*180L</t>
  </si>
  <si>
    <t>3P齒軸</t>
  </si>
  <si>
    <t>M1.25T15W47L112</t>
  </si>
  <si>
    <t>1P齒軸</t>
  </si>
  <si>
    <t>M1.25*24T*18W</t>
  </si>
  <si>
    <t>出力齒輪</t>
  </si>
  <si>
    <t>M23.75*17T*16W</t>
  </si>
  <si>
    <t>離合齒輪</t>
  </si>
  <si>
    <t>M3.75*24T*16W</t>
  </si>
  <si>
    <t>直結出力軸</t>
  </si>
  <si>
    <t>M1.25*13T*18W28L</t>
  </si>
  <si>
    <t>M1*90T*18W*112外20長</t>
  </si>
  <si>
    <t>外研40尺寸量測用(GO)</t>
  </si>
  <si>
    <t>外研35尺寸量測用</t>
  </si>
  <si>
    <t>MS/LEGS08924公模</t>
  </si>
  <si>
    <t>塞規</t>
  </si>
  <si>
    <t>免鍵軸襯-1.9375"</t>
  </si>
  <si>
    <t>1G齒輪(代料到齒研)</t>
  </si>
  <si>
    <t>M1*49T*12W*15.5L</t>
  </si>
  <si>
    <t>M1*94T*17W20L</t>
  </si>
  <si>
    <t>M1.5*71T*23W*126.9外23長</t>
  </si>
  <si>
    <t>M2.5*100T36.5W*36.5L</t>
  </si>
  <si>
    <t>M3.75*16T+M3.75*26T</t>
  </si>
  <si>
    <t>離合器主軸</t>
  </si>
  <si>
    <t>M0.75*20T*42.7L</t>
  </si>
  <si>
    <t>M1*20T</t>
  </si>
  <si>
    <t>減速小齒輪</t>
  </si>
  <si>
    <t>小齒輪-32T</t>
  </si>
  <si>
    <t>M3*32T*53W</t>
  </si>
  <si>
    <t>齒型皮帶輪</t>
  </si>
  <si>
    <t>HTD-8M*40T</t>
  </si>
  <si>
    <t>主動鍊輪24T</t>
  </si>
  <si>
    <t>齒輪(三)</t>
  </si>
  <si>
    <t>M3*28T*28W</t>
  </si>
  <si>
    <t>齒型皮帶輪40T</t>
  </si>
  <si>
    <t>HTD-8M</t>
  </si>
  <si>
    <t>M2.5*32T*E24精滾</t>
  </si>
  <si>
    <t>隔環</t>
  </si>
  <si>
    <t>M2*21T</t>
  </si>
  <si>
    <t>M2*42T</t>
  </si>
  <si>
    <t>M3T25W35L54</t>
  </si>
  <si>
    <t>大齒輪 HM500_ATC</t>
  </si>
  <si>
    <t>2M*20T*20W</t>
  </si>
  <si>
    <t>外齒輪(M2*82T)</t>
  </si>
  <si>
    <t>SNCM21/8620</t>
  </si>
  <si>
    <t>內齒輪</t>
  </si>
  <si>
    <t>M2*82T*L15</t>
  </si>
  <si>
    <t>長齒條</t>
  </si>
  <si>
    <t>短齒條</t>
  </si>
  <si>
    <t>小齒輪HMC500_ATC</t>
  </si>
  <si>
    <t>2M*30T*20W</t>
  </si>
  <si>
    <t>M2.5T54W41L41</t>
  </si>
  <si>
    <t>M2.5T18W29.3L29.3</t>
  </si>
  <si>
    <t>長齒條 HMC630_ATC</t>
  </si>
  <si>
    <t>短齒條 HMC630_ATC</t>
  </si>
  <si>
    <t>馬達軸</t>
  </si>
  <si>
    <t>M4*20T</t>
  </si>
  <si>
    <t>C型扣環</t>
  </si>
  <si>
    <t>M1.5T30W15L20</t>
  </si>
  <si>
    <t>76*2M2*36T*15W</t>
  </si>
  <si>
    <t>齒輪STD-600</t>
  </si>
  <si>
    <t>齒輪SDS-1000</t>
  </si>
  <si>
    <t>齒輪S4-1200，B40607</t>
  </si>
  <si>
    <t>齒輪S4-2000</t>
  </si>
  <si>
    <t>小齒輪KP-400</t>
  </si>
  <si>
    <t>10*11.5*7</t>
  </si>
  <si>
    <t>M2T40W15L41</t>
  </si>
  <si>
    <t>漏斗移動張力鏈輪</t>
  </si>
  <si>
    <t>橫向移動渦輪</t>
  </si>
  <si>
    <t>輸送帶驅動皮帶輪</t>
  </si>
  <si>
    <t>螺旋齒輪</t>
  </si>
  <si>
    <t>譯碼器齒輪</t>
  </si>
  <si>
    <t>中間軸齒輪</t>
  </si>
  <si>
    <t>分流轉軸</t>
  </si>
  <si>
    <t>槽寬6mm外徑32根徑26</t>
  </si>
  <si>
    <t>主軸傳動方栓</t>
  </si>
  <si>
    <t>M2.5T32L107</t>
  </si>
  <si>
    <t>傳動套B齒輪</t>
  </si>
  <si>
    <t>M2.5T31W11.5L15</t>
  </si>
  <si>
    <t>B軸變速齒輪3</t>
  </si>
  <si>
    <t>M2.5T22W18L46</t>
  </si>
  <si>
    <t>B軸變速齒輪</t>
  </si>
  <si>
    <t>M2.5T12W18L184</t>
  </si>
  <si>
    <t>M1.75T39W10L10</t>
  </si>
  <si>
    <t>M2T12W14L138</t>
  </si>
  <si>
    <t>B軸齒輪</t>
  </si>
  <si>
    <t>M2.5*27T*78L</t>
  </si>
  <si>
    <t>Φ40*199.5</t>
  </si>
  <si>
    <t>72*315L</t>
  </si>
  <si>
    <t>主軸變速軸</t>
  </si>
  <si>
    <t>M2.5*48T/M2*50T*144L</t>
  </si>
  <si>
    <t>主軸變速套齒輪</t>
  </si>
  <si>
    <t>B軸中齒輪</t>
  </si>
  <si>
    <t>M2T55W11.5L29</t>
  </si>
  <si>
    <t>傳動套A齒輪</t>
  </si>
  <si>
    <t>M2.5*82T*40L</t>
  </si>
  <si>
    <t>主軸變速上齒輪</t>
  </si>
  <si>
    <t>M2.5*52T*25L</t>
  </si>
  <si>
    <t>B軸下齒輪</t>
  </si>
  <si>
    <t>M2.5*28T*241L</t>
  </si>
  <si>
    <t>A軸齒輪</t>
  </si>
  <si>
    <t>M2.5*18T**241L</t>
  </si>
  <si>
    <t>M1T59W7L7</t>
  </si>
  <si>
    <t>M1*26T-M1*52T</t>
  </si>
  <si>
    <t>M1*78T</t>
  </si>
  <si>
    <t>M1*59T</t>
  </si>
  <si>
    <t>M1*48T</t>
  </si>
  <si>
    <t>M1*58T</t>
  </si>
  <si>
    <t>M1*98T</t>
  </si>
  <si>
    <t>M1T15W9L55</t>
  </si>
  <si>
    <t>M0.5*130T-M1*16T</t>
  </si>
  <si>
    <t>M-03行星齒輪</t>
  </si>
  <si>
    <t>M0.8T18W8.90L8.90</t>
  </si>
  <si>
    <t>M1*26T*7.5W</t>
  </si>
  <si>
    <t>M1T50</t>
  </si>
  <si>
    <t>HGHDNB000-墊塊40 (每組3pcs)</t>
  </si>
  <si>
    <t>HGHDNB000-墊塊20 (每組2pcs)</t>
  </si>
  <si>
    <t>HGHDNG000-墊塊30 (每組2pcs)</t>
  </si>
  <si>
    <t>HGHDNG000-墊塊40 (每組2pcs)</t>
  </si>
  <si>
    <t>HGHDNB000-墊塊30 (每組2pcs)</t>
  </si>
  <si>
    <t>HGHDNG000-墊塊10 (每組2pcs)</t>
  </si>
  <si>
    <t>HGHDNG000-墊塊20 (每組3pcs)</t>
  </si>
  <si>
    <t>HGHDNJ000-墊塊20 (每組2pcs)</t>
  </si>
  <si>
    <t>HGHDNJ000-墊塊30 (每組2pcs)</t>
  </si>
  <si>
    <t>HGHDNJ000-墊塊40 (每組2pcs)</t>
  </si>
  <si>
    <t>SPTM-六方栓輸出軸</t>
  </si>
  <si>
    <t>96L</t>
  </si>
  <si>
    <t>Long shaft for AM6</t>
  </si>
  <si>
    <t>大鍊輪</t>
  </si>
  <si>
    <t>35T*7L</t>
  </si>
  <si>
    <t>小鍊輪</t>
  </si>
  <si>
    <t>14T*7.2L</t>
  </si>
  <si>
    <t>M1.5*19T*20W</t>
  </si>
  <si>
    <t>SECONDARY GEAR</t>
  </si>
  <si>
    <t>M1.25W23L23</t>
  </si>
  <si>
    <t>DP24/48*17T*62.6L</t>
  </si>
  <si>
    <t>Φ118*22L</t>
  </si>
  <si>
    <t>RR SHAFT</t>
  </si>
  <si>
    <t>Φ47L226.6</t>
  </si>
  <si>
    <t>Φ132*28L</t>
  </si>
  <si>
    <t>MOTOR OUTOUT SHAFT</t>
  </si>
  <si>
    <t>Φ32*159.55L</t>
  </si>
  <si>
    <t>MOTOR OUTPUT GEAR</t>
  </si>
  <si>
    <t>電機齒輪-D55</t>
  </si>
  <si>
    <t>電機軸齒輪30T</t>
  </si>
  <si>
    <t>主軸齒輪40T</t>
  </si>
  <si>
    <t>電機齒輪</t>
  </si>
  <si>
    <t>中軸中齒(大齒)</t>
  </si>
  <si>
    <t>M2.5*T72*20W</t>
  </si>
  <si>
    <t>M2.5*35T*W35</t>
  </si>
  <si>
    <t>主軸小齒</t>
  </si>
  <si>
    <t>主軸大齒</t>
  </si>
  <si>
    <t>M1T30W10L27</t>
  </si>
  <si>
    <t>M2*20T*21L</t>
  </si>
  <si>
    <t>M2*20T*28L</t>
  </si>
  <si>
    <t>M2*20T*54L</t>
  </si>
  <si>
    <t>M1.5*26T10W*21L</t>
  </si>
  <si>
    <t>M1T40W10L21</t>
  </si>
  <si>
    <t>膨脹心軸套筒</t>
  </si>
  <si>
    <t>Φ25*38L</t>
  </si>
  <si>
    <t>Φ24*38L</t>
  </si>
  <si>
    <t>Φ38*48L</t>
  </si>
  <si>
    <t>Φ42*48L</t>
  </si>
  <si>
    <t>Φ30*48L</t>
  </si>
  <si>
    <t>Φ65*80L</t>
  </si>
  <si>
    <t>Φ88*90L</t>
  </si>
  <si>
    <t>Φ32*50L</t>
  </si>
  <si>
    <t>Φ70*80L</t>
  </si>
  <si>
    <t>Φ100*90L/IDΦ82</t>
  </si>
  <si>
    <t>產品品名</t>
    <phoneticPr fontId="1" type="noConversion"/>
  </si>
  <si>
    <t>產品規格</t>
    <phoneticPr fontId="1" type="noConversion"/>
  </si>
  <si>
    <t>心軸</t>
  </si>
  <si>
    <t>2M*43T*14W</t>
  </si>
  <si>
    <t>橫轉立心軸</t>
  </si>
  <si>
    <t>2M*49T*22.2W</t>
  </si>
  <si>
    <t>2M*31T*18W</t>
  </si>
  <si>
    <t>2M*44T*10.5W</t>
  </si>
  <si>
    <t>2M*57T*10W</t>
  </si>
  <si>
    <t>2M*35T*15W</t>
  </si>
  <si>
    <t>2.5M*30T*40W</t>
  </si>
  <si>
    <t>齒輪軸(1)</t>
  </si>
  <si>
    <t>M2T25W22L23</t>
  </si>
  <si>
    <t>惰齒輪</t>
    <phoneticPr fontId="1" type="noConversion"/>
  </si>
  <si>
    <t>馬達齒輪</t>
    <phoneticPr fontId="1" type="noConversion"/>
  </si>
  <si>
    <t>M2T40W19.5L24</t>
  </si>
  <si>
    <t>M2.5T27W21.5L25</t>
  </si>
  <si>
    <t>M2.5T60W19L32</t>
  </si>
  <si>
    <t>M2.5T20W19.532</t>
  </si>
  <si>
    <t>M2T20W18L20</t>
  </si>
  <si>
    <t>M2T24W13.5L30</t>
  </si>
  <si>
    <t>M2T33W26L27</t>
  </si>
  <si>
    <t>M2.5T24W22.5L58</t>
  </si>
  <si>
    <t>M2T40W22L24</t>
  </si>
  <si>
    <t>旋轉齒輪</t>
    <phoneticPr fontId="1" type="noConversion"/>
  </si>
  <si>
    <t>M5T36W10L179</t>
  </si>
  <si>
    <t>M5T24W48.5L110</t>
  </si>
  <si>
    <t>M2.5T26W20.5L29</t>
  </si>
  <si>
    <t>M1.5T36W16L17</t>
  </si>
  <si>
    <t>M2.5T36W26L27</t>
  </si>
  <si>
    <t>M1.5T36W19.5L84.5</t>
  </si>
  <si>
    <t>M1.5T40W19L41</t>
  </si>
  <si>
    <t>M4T30W29.5L35</t>
  </si>
  <si>
    <t>M4T32W23.5L28</t>
  </si>
  <si>
    <t>M2.5T26W25.5L30</t>
  </si>
  <si>
    <t>M4T25W29.5L35</t>
  </si>
  <si>
    <t>M2.5T20W25.5L56</t>
  </si>
  <si>
    <t>M6T25W69.5L85</t>
  </si>
  <si>
    <t>M1.5T28W15.5L24</t>
  </si>
  <si>
    <t>M2.5T27W19.5L30</t>
  </si>
  <si>
    <t>M2.5T28W19.5L24</t>
  </si>
  <si>
    <t>M3T32W24.5L30</t>
  </si>
  <si>
    <t>M1.5T42W25.5L35</t>
  </si>
  <si>
    <t>M2.5T52W19.5L24</t>
  </si>
  <si>
    <t>M1.5T36W23L24</t>
    <phoneticPr fontId="1" type="noConversion"/>
  </si>
  <si>
    <t>M2T24W20L30</t>
    <phoneticPr fontId="1" type="noConversion"/>
  </si>
  <si>
    <t>M2T36W20L49</t>
    <phoneticPr fontId="1" type="noConversion"/>
  </si>
  <si>
    <t>蝸桿齒輪</t>
    <phoneticPr fontId="1" type="noConversion"/>
  </si>
  <si>
    <t>M2T30W26.5L53</t>
    <phoneticPr fontId="1" type="noConversion"/>
  </si>
  <si>
    <t>M2.5T36W24L51</t>
    <phoneticPr fontId="1" type="noConversion"/>
  </si>
  <si>
    <t>M2.5T36W23L46</t>
  </si>
  <si>
    <t>惰齒輪(右旋)</t>
    <phoneticPr fontId="1" type="noConversion"/>
  </si>
  <si>
    <t>M5T25W43L44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</si>
  <si>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109.76T20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</si>
  <si>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59.15T13</t>
    </r>
    <phoneticPr fontId="1" type="noConversion"/>
  </si>
  <si>
    <t>M1.75T72W12L18.5</t>
  </si>
  <si>
    <t>中軸齒輪</t>
    <phoneticPr fontId="1" type="noConversion"/>
  </si>
  <si>
    <t>M2.5T68W22L31</t>
  </si>
  <si>
    <t>主軸小齒</t>
    <phoneticPr fontId="1" type="noConversion"/>
  </si>
  <si>
    <t>M2.5T60W20L46</t>
  </si>
  <si>
    <t>中軸上齒</t>
    <phoneticPr fontId="1" type="noConversion"/>
  </si>
  <si>
    <t>M2.5T54W22L54</t>
  </si>
  <si>
    <t>M2T51W22L46.5</t>
  </si>
  <si>
    <t>正齒輪</t>
    <phoneticPr fontId="1" type="noConversion"/>
  </si>
  <si>
    <t>M1.25T24W15L36</t>
  </si>
  <si>
    <t>M1.25T36W22L30</t>
  </si>
  <si>
    <t>馬達齒輪</t>
    <phoneticPr fontId="1" type="noConversion"/>
  </si>
  <si>
    <t>M2T45W15L21</t>
  </si>
  <si>
    <t>M1.25T56W30L41</t>
  </si>
  <si>
    <t>齒輪</t>
    <phoneticPr fontId="1" type="noConversion"/>
  </si>
  <si>
    <t>M1.25T30W22L22</t>
  </si>
  <si>
    <t>M3.25T75W25L45</t>
  </si>
  <si>
    <t>M2T28W15L29</t>
  </si>
  <si>
    <t>M2.5T19W28L85</t>
  </si>
  <si>
    <t>時規皮帶輪8YUT70</t>
    <phoneticPr fontId="1" type="noConversion"/>
  </si>
  <si>
    <t>皮帶輪</t>
  </si>
  <si>
    <t>M1.5T60W25L50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</si>
  <si>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70T24W21.7L28</t>
    </r>
    <phoneticPr fontId="1" type="noConversion"/>
  </si>
  <si>
    <t>M2.25T34W32.5L144</t>
  </si>
  <si>
    <t>中間齒輪</t>
    <phoneticPr fontId="1" type="noConversion"/>
  </si>
  <si>
    <t>M1.25T34W20L45</t>
  </si>
  <si>
    <t>M1.25T33W21L21</t>
  </si>
  <si>
    <t>M1.25T33W20L45</t>
  </si>
  <si>
    <t>M1.25T42W2626</t>
  </si>
  <si>
    <t>時規皮帶輪8YU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</si>
  <si>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151.42T60W21.7L55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</si>
  <si>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ajor"/>
      </rPr>
      <t>85.21T34W22.8L34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</si>
  <si>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ajor"/>
      </rPr>
      <t>178.25T70W26.7L60</t>
    </r>
    <phoneticPr fontId="1" type="noConversion"/>
  </si>
  <si>
    <t>M1.25T30W22L22</t>
    <phoneticPr fontId="1" type="noConversion"/>
  </si>
  <si>
    <t>M2T15W65L161</t>
  </si>
  <si>
    <t>齒輪軸</t>
    <phoneticPr fontId="1" type="noConversion"/>
  </si>
  <si>
    <t>M3T18W46L46</t>
  </si>
  <si>
    <t>轉位齒輪</t>
    <phoneticPr fontId="1" type="noConversion"/>
  </si>
  <si>
    <t>M1T21W10L25</t>
  </si>
  <si>
    <t>M2T51W20L30</t>
  </si>
  <si>
    <t>無圖</t>
    <phoneticPr fontId="1" type="noConversion"/>
  </si>
  <si>
    <t>M1T37W12L16</t>
  </si>
  <si>
    <t>平齒輪</t>
    <phoneticPr fontId="1" type="noConversion"/>
  </si>
  <si>
    <t>M1.25T36W26L26</t>
  </si>
  <si>
    <t>M1.25T32W23L26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</si>
  <si>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41.38T26W16.3L20</t>
    </r>
    <phoneticPr fontId="1" type="noConversion"/>
  </si>
  <si>
    <t>M1.25T34W16L40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</si>
  <si>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59.75T24W21.7L28</t>
    </r>
    <phoneticPr fontId="1" type="noConversion"/>
  </si>
  <si>
    <t>料號有錯</t>
    <phoneticPr fontId="1" type="noConversion"/>
  </si>
  <si>
    <t>M1.25T36W20L37</t>
  </si>
  <si>
    <t>正齒輪</t>
    <phoneticPr fontId="1" type="noConversion"/>
  </si>
  <si>
    <t>馬達齒輪</t>
    <phoneticPr fontId="1" type="noConversion"/>
  </si>
  <si>
    <t>M1.25T36W30L58</t>
  </si>
  <si>
    <t>時規皮帶輪8YU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</si>
  <si>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75.06T30W21.7L28</t>
    </r>
    <phoneticPr fontId="1" type="noConversion"/>
  </si>
  <si>
    <t>中間齒輪</t>
    <phoneticPr fontId="1" type="noConversion"/>
  </si>
  <si>
    <t>齒輪</t>
    <phoneticPr fontId="1" type="noConversion"/>
  </si>
  <si>
    <t>M1.5T90W20L20</t>
  </si>
  <si>
    <t>M1T20W9L20</t>
  </si>
  <si>
    <t>M2T17W15L29</t>
  </si>
  <si>
    <t>M1.25T54W30L40</t>
    <phoneticPr fontId="1" type="noConversion"/>
  </si>
  <si>
    <t>M2.25T51W26L66</t>
  </si>
  <si>
    <t>M1.5T16W15L21</t>
  </si>
  <si>
    <t>M1.25T84W17L17</t>
    <phoneticPr fontId="1" type="noConversion"/>
  </si>
  <si>
    <t>M3.25T25W28L113.5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</si>
  <si>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59.75T24W29L33</t>
    </r>
    <phoneticPr fontId="1" type="noConversion"/>
  </si>
  <si>
    <t>皮帶輪8YU型</t>
    <phoneticPr fontId="1" type="noConversion"/>
  </si>
  <si>
    <t>齒輪軸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</si>
  <si>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85.21T34W28L33</t>
    </r>
    <phoneticPr fontId="1" type="noConversion"/>
  </si>
  <si>
    <t>皮帶輪P8M</t>
    <phoneticPr fontId="1" type="noConversion"/>
  </si>
  <si>
    <t>M2.5T20W46L46</t>
  </si>
  <si>
    <t>M2T45W14L33</t>
  </si>
  <si>
    <t>M2T77W14L33</t>
    <phoneticPr fontId="1" type="noConversion"/>
  </si>
  <si>
    <t>M3T40W35L50</t>
  </si>
  <si>
    <t>M2T17W15L86</t>
  </si>
  <si>
    <t>無圖</t>
    <phoneticPr fontId="1" type="noConversion"/>
  </si>
  <si>
    <t>M1.5T66W12L26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</si>
  <si>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20L43</t>
    </r>
    <phoneticPr fontId="1" type="noConversion"/>
  </si>
  <si>
    <t>M1.25T12W13.5L57</t>
  </si>
  <si>
    <t>齒輪軸(A)</t>
    <phoneticPr fontId="1" type="noConversion"/>
  </si>
  <si>
    <t>M1.5T12W27L57</t>
  </si>
  <si>
    <t>M2T13W20L69</t>
  </si>
  <si>
    <t>M1.5T22W17L44.5</t>
  </si>
  <si>
    <t>M1.5T22TW20L20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</si>
  <si>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36L58</t>
    </r>
    <phoneticPr fontId="1" type="noConversion"/>
  </si>
  <si>
    <t>M1.25T60TW12L23</t>
  </si>
  <si>
    <t>M2T52W20L20</t>
  </si>
  <si>
    <t>M2T68W22L22</t>
  </si>
  <si>
    <t>M2T15W20L86</t>
  </si>
  <si>
    <t>M1T60W12L16</t>
  </si>
  <si>
    <t>轉位平齒輪</t>
    <phoneticPr fontId="1" type="noConversion"/>
  </si>
  <si>
    <t>平齒輪</t>
    <phoneticPr fontId="1" type="noConversion"/>
  </si>
  <si>
    <t>M2.75T17TL40</t>
  </si>
  <si>
    <t>圖面待確認</t>
    <phoneticPr fontId="1" type="noConversion"/>
  </si>
  <si>
    <t>M2.5T19W38L38</t>
  </si>
  <si>
    <t>M2T38TW13.5L21.5</t>
  </si>
  <si>
    <t>M2T25TW16L23</t>
  </si>
  <si>
    <t>M2T20W1262</t>
  </si>
  <si>
    <t>M2.25T19TW19L95</t>
  </si>
  <si>
    <t>M2.25T15TW15L65</t>
  </si>
  <si>
    <t>M2.75T17W30L97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</si>
  <si>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69.9T28W29L33</t>
    </r>
    <phoneticPr fontId="1" type="noConversion"/>
  </si>
  <si>
    <t>與原圖尺寸有異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</si>
  <si>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70T24W21.7L28</t>
    </r>
    <phoneticPr fontId="1" type="noConversion"/>
  </si>
  <si>
    <t>OD120.86T48W26.7L33</t>
  </si>
  <si>
    <t>M1.5T66W15L19</t>
  </si>
  <si>
    <t>大四方箱*2</t>
    <phoneticPr fontId="1" type="noConversion"/>
  </si>
  <si>
    <t>無圖</t>
    <phoneticPr fontId="1" type="noConversion"/>
  </si>
  <si>
    <t>M2.5T48W15L23</t>
    <phoneticPr fontId="1" type="noConversion"/>
  </si>
  <si>
    <t>M3T24W20L43</t>
  </si>
  <si>
    <t>M3T36W15L23</t>
  </si>
  <si>
    <t>蝸桿皮帶輪8YU</t>
    <phoneticPr fontId="1" type="noConversion"/>
  </si>
  <si>
    <t>T37W44L44</t>
    <phoneticPr fontId="1" type="noConversion"/>
  </si>
  <si>
    <t>蝸桿皮帶輪P45-8YU</t>
    <phoneticPr fontId="1" type="noConversion"/>
  </si>
  <si>
    <t>馬達皮帶輪P27-8YU</t>
    <phoneticPr fontId="1" type="noConversion"/>
  </si>
  <si>
    <t>φ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</si>
  <si>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67.378T27W26.7L70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</si>
  <si>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67.378T37W41.7L86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</si>
  <si>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114.59T37W44L44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</si>
  <si>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59.743T24W25L25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</si>
  <si>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89.13T35W22L27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</si>
  <si>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61.12W26.7L70</t>
    </r>
    <phoneticPr fontId="1" type="noConversion"/>
  </si>
  <si>
    <t>M3T40W15L23</t>
  </si>
  <si>
    <t>傳動齒輪</t>
    <phoneticPr fontId="1" type="noConversion"/>
  </si>
  <si>
    <t>斜齒齒研齒輪軸</t>
    <phoneticPr fontId="1" type="noConversion"/>
  </si>
  <si>
    <t>M2.5T25W19.5L108</t>
  </si>
  <si>
    <t>齒輪</t>
    <phoneticPr fontId="1" type="noConversion"/>
  </si>
  <si>
    <t>M2T39W24L33</t>
  </si>
  <si>
    <t>M3T23W30L30</t>
  </si>
  <si>
    <t>M2T24W25L35</t>
  </si>
  <si>
    <t>M4T30TW40L40</t>
  </si>
  <si>
    <t>M2T20W20L30</t>
  </si>
  <si>
    <t>M2T50W24L24</t>
  </si>
  <si>
    <t>M4T40W40L60</t>
  </si>
  <si>
    <t>M2T34W15.6L15.6</t>
  </si>
  <si>
    <t>M2T34W15.5L23.5</t>
  </si>
  <si>
    <r>
      <t>MHFGH020037</t>
    </r>
    <r>
      <rPr>
        <sz val="12"/>
        <color theme="1"/>
        <rFont val="Calibri"/>
        <family val="1"/>
        <charset val="161"/>
      </rPr>
      <t>Φ</t>
    </r>
    <r>
      <rPr>
        <sz val="12"/>
        <color theme="1"/>
        <rFont val="新細明體"/>
        <family val="1"/>
        <charset val="136"/>
        <scheme val="minor"/>
      </rPr>
      <t>63-9904</t>
    </r>
    <phoneticPr fontId="1" type="noConversion"/>
  </si>
  <si>
    <t>0齒輪</t>
    <phoneticPr fontId="1" type="noConversion"/>
  </si>
  <si>
    <r>
      <t>MHFGH020037</t>
    </r>
    <r>
      <rPr>
        <sz val="12"/>
        <color theme="1"/>
        <rFont val="Calibri"/>
        <family val="1"/>
        <charset val="161"/>
      </rPr>
      <t>Φ</t>
    </r>
    <r>
      <rPr>
        <sz val="12"/>
        <color theme="1"/>
        <rFont val="新細明體"/>
        <family val="1"/>
        <charset val="136"/>
      </rPr>
      <t>50-9904</t>
    </r>
    <phoneticPr fontId="1" type="noConversion"/>
  </si>
  <si>
    <t>M421TW40L75</t>
  </si>
  <si>
    <t>M3T29W30L30</t>
  </si>
  <si>
    <t>M1.5915T46W12L33.5</t>
  </si>
  <si>
    <t>齒輪CP5</t>
    <phoneticPr fontId="1" type="noConversion"/>
  </si>
  <si>
    <t>M2T20W24L28</t>
  </si>
  <si>
    <t>螺旋傘齒輪</t>
    <phoneticPr fontId="1" type="noConversion"/>
  </si>
  <si>
    <t>M3T40W30L60</t>
  </si>
  <si>
    <t>M2T21W28L36</t>
  </si>
  <si>
    <t>M2T25W30L45</t>
  </si>
  <si>
    <t>-T Y向主動齒輪</t>
    <phoneticPr fontId="1" type="noConversion"/>
  </si>
  <si>
    <t>無圖</t>
    <phoneticPr fontId="1" type="noConversion"/>
  </si>
  <si>
    <t>M2.5T45W24T127.5</t>
    <phoneticPr fontId="1" type="noConversion"/>
  </si>
  <si>
    <t>未齒研</t>
    <phoneticPr fontId="1" type="noConversion"/>
  </si>
  <si>
    <t>B1-1</t>
    <phoneticPr fontId="1" type="noConversion"/>
  </si>
  <si>
    <t>M2T82W15L15</t>
    <phoneticPr fontId="1" type="noConversion"/>
  </si>
  <si>
    <t>B1-5</t>
    <phoneticPr fontId="1" type="noConversion"/>
  </si>
  <si>
    <t>B1-1</t>
    <phoneticPr fontId="1" type="noConversion"/>
  </si>
  <si>
    <t>大鐵架 1-2-2</t>
    <phoneticPr fontId="1" type="noConversion"/>
  </si>
  <si>
    <t>20191018</t>
    <phoneticPr fontId="1" type="noConversion"/>
  </si>
  <si>
    <t>B2-箱</t>
    <phoneticPr fontId="1" type="noConversion"/>
  </si>
  <si>
    <t>B3-7</t>
    <phoneticPr fontId="1" type="noConversion"/>
  </si>
  <si>
    <t>包裝寫HI80006</t>
    <phoneticPr fontId="1" type="noConversion"/>
  </si>
  <si>
    <t>B3-6</t>
    <phoneticPr fontId="1" type="noConversion"/>
  </si>
  <si>
    <t>RB-93-1</t>
    <phoneticPr fontId="1" type="noConversion"/>
  </si>
  <si>
    <t>RB-99</t>
    <phoneticPr fontId="1" type="noConversion"/>
  </si>
  <si>
    <t>B2-箱</t>
    <phoneticPr fontId="1" type="noConversion"/>
  </si>
  <si>
    <t>領出時要確認料號</t>
    <phoneticPr fontId="1" type="noConversion"/>
  </si>
  <si>
    <t>HGHDNJ000-墊塊10 (每組1pc)</t>
    <phoneticPr fontId="1" type="noConversion"/>
  </si>
  <si>
    <t>與立翔同箱</t>
    <phoneticPr fontId="1" type="noConversion"/>
  </si>
  <si>
    <t>齒軸</t>
    <phoneticPr fontId="1" type="noConversion"/>
  </si>
  <si>
    <t>M1.75T14W23.8L60.5</t>
    <phoneticPr fontId="1" type="noConversion"/>
  </si>
  <si>
    <t>齒輪</t>
    <phoneticPr fontId="1" type="noConversion"/>
  </si>
  <si>
    <t>M1.75T37W20L20</t>
    <phoneticPr fontId="1" type="noConversion"/>
  </si>
  <si>
    <t>M1.75T38W20L20</t>
    <phoneticPr fontId="1" type="noConversion"/>
  </si>
  <si>
    <t>M1.75T39W20L20</t>
  </si>
  <si>
    <t>Φ40*50L</t>
    <phoneticPr fontId="1" type="noConversion"/>
  </si>
  <si>
    <t>Φ50*60L</t>
    <phoneticPr fontId="1" type="noConversion"/>
  </si>
  <si>
    <t>與弘旺同箱</t>
    <phoneticPr fontId="1" type="noConversion"/>
  </si>
  <si>
    <t>A2-1</t>
    <phoneticPr fontId="1" type="noConversion"/>
  </si>
  <si>
    <t>齒輪軸</t>
    <phoneticPr fontId="1" type="noConversion"/>
  </si>
  <si>
    <t>M2*21T*174.5L</t>
  </si>
  <si>
    <t>斜齒齒輪</t>
    <phoneticPr fontId="1" type="noConversion"/>
  </si>
  <si>
    <t>M2T56W24L28</t>
  </si>
  <si>
    <t>齒輪</t>
    <phoneticPr fontId="1" type="noConversion"/>
  </si>
  <si>
    <t>M2T12W15L46</t>
  </si>
  <si>
    <t>M2T20W16L234.5</t>
  </si>
  <si>
    <t>M2T32W28L53.5</t>
  </si>
  <si>
    <t>M1.5T21W20L46</t>
  </si>
  <si>
    <t>斜齒齒輪軸</t>
    <phoneticPr fontId="1" type="noConversion"/>
  </si>
  <si>
    <t>M3T22W30L360</t>
  </si>
  <si>
    <t>斜齒齒研齒輪</t>
    <phoneticPr fontId="1" type="noConversion"/>
  </si>
  <si>
    <t xml:space="preserve">M1.5T30W20L50 </t>
  </si>
  <si>
    <t>M3T22W28L93</t>
  </si>
  <si>
    <t>M2T18W28L34.5</t>
  </si>
  <si>
    <t>左斜齒輪</t>
    <phoneticPr fontId="1" type="noConversion"/>
  </si>
  <si>
    <t>M2T25W28L56</t>
  </si>
  <si>
    <t>M3T22W30L60</t>
  </si>
  <si>
    <t>斜齒法蘭齒輪</t>
    <phoneticPr fontId="1" type="noConversion"/>
  </si>
  <si>
    <t>M3T31W31L36</t>
  </si>
  <si>
    <t>直齒齒研齒輪</t>
    <phoneticPr fontId="1" type="noConversion"/>
  </si>
  <si>
    <t>M1.5T80W15L25</t>
  </si>
  <si>
    <t>-T X向主動齒輪</t>
    <phoneticPr fontId="1" type="noConversion"/>
  </si>
  <si>
    <t>M3T26W30L41.5</t>
  </si>
  <si>
    <t>M2T22W21L53</t>
  </si>
  <si>
    <t>M2.5T24W25L58.5</t>
  </si>
  <si>
    <t>M2T26W28L35</t>
  </si>
  <si>
    <t>M2T75W20L34</t>
  </si>
  <si>
    <t>斜齒輪</t>
    <phoneticPr fontId="1" type="noConversion"/>
  </si>
  <si>
    <t>M2T21W28L44</t>
  </si>
  <si>
    <t>A4-箱 4</t>
    <phoneticPr fontId="1" type="noConversion"/>
  </si>
  <si>
    <t>A4-箱 5</t>
    <phoneticPr fontId="1" type="noConversion"/>
  </si>
  <si>
    <t>A4-箱 2</t>
    <phoneticPr fontId="1" type="noConversion"/>
  </si>
  <si>
    <t>A4-箱 3</t>
    <phoneticPr fontId="1" type="noConversion"/>
  </si>
  <si>
    <t>10年</t>
    <phoneticPr fontId="1" type="noConversion"/>
  </si>
  <si>
    <t>無圖</t>
    <phoneticPr fontId="1" type="noConversion"/>
  </si>
  <si>
    <t>A4-箱 1</t>
    <phoneticPr fontId="1" type="noConversion"/>
  </si>
  <si>
    <t>B3-3</t>
    <phoneticPr fontId="1" type="noConversion"/>
  </si>
  <si>
    <t>B2-箱</t>
    <phoneticPr fontId="1" type="noConversion"/>
  </si>
  <si>
    <t>馬達傳動齒輪</t>
    <phoneticPr fontId="1" type="noConversion"/>
  </si>
  <si>
    <t>齒輪</t>
    <phoneticPr fontId="1" type="noConversion"/>
  </si>
  <si>
    <t>傳動鏈輪</t>
    <phoneticPr fontId="1" type="noConversion"/>
  </si>
  <si>
    <t>Φ171.37T20L18</t>
  </si>
  <si>
    <t>驅動鏈輪</t>
    <phoneticPr fontId="1" type="noConversion"/>
  </si>
  <si>
    <t>Φ93T10W12.6L61.1</t>
  </si>
  <si>
    <t>齒輪</t>
    <phoneticPr fontId="1" type="noConversion"/>
  </si>
  <si>
    <t>M5T18W30L50</t>
  </si>
  <si>
    <t>定位盤</t>
    <phoneticPr fontId="1" type="noConversion"/>
  </si>
  <si>
    <t>Φ140L16</t>
  </si>
  <si>
    <t>主動鍊輪</t>
    <phoneticPr fontId="1" type="noConversion"/>
  </si>
  <si>
    <t>減速大齒輪</t>
    <phoneticPr fontId="1" type="noConversion"/>
  </si>
  <si>
    <t>M3.5T60W30L42</t>
  </si>
  <si>
    <t>M5T60W45</t>
  </si>
  <si>
    <t>M1.25*34T*16W</t>
  </si>
  <si>
    <t>外M2.5*49T+外M2*23T</t>
  </si>
  <si>
    <t>旋轉惰輪</t>
    <phoneticPr fontId="1" type="noConversion"/>
  </si>
  <si>
    <t>GT3028-00100</t>
    <phoneticPr fontId="1" type="noConversion"/>
  </si>
  <si>
    <t>M3T28W19.5L20.5</t>
  </si>
  <si>
    <t>旋轉齒輪-1</t>
    <phoneticPr fontId="1" type="noConversion"/>
  </si>
  <si>
    <t>KHYD0611</t>
    <phoneticPr fontId="1" type="noConversion"/>
  </si>
  <si>
    <t>樣品*1/成品*4</t>
  </si>
  <si>
    <t>KHYD0451</t>
    <phoneticPr fontId="1" type="noConversion"/>
  </si>
  <si>
    <t>11年</t>
  </si>
  <si>
    <t>樣品*1</t>
    <phoneticPr fontId="1" type="noConversion"/>
  </si>
  <si>
    <t>軸承小蓋</t>
  </si>
  <si>
    <t>1箱</t>
    <phoneticPr fontId="1" type="noConversion"/>
  </si>
  <si>
    <t>GT2024-00100</t>
    <phoneticPr fontId="1" type="noConversion"/>
  </si>
  <si>
    <t>M2T24W22L52</t>
    <phoneticPr fontId="1" type="noConversion"/>
  </si>
  <si>
    <t>MN25053-A-01</t>
    <phoneticPr fontId="1" type="noConversion"/>
  </si>
  <si>
    <t>MN50021</t>
    <phoneticPr fontId="1" type="noConversion"/>
  </si>
  <si>
    <t>GT2027-00100</t>
    <phoneticPr fontId="1" type="noConversion"/>
  </si>
  <si>
    <t>已完工待出貨</t>
  </si>
  <si>
    <t>M2T50W15L23</t>
    <phoneticPr fontId="1" type="noConversion"/>
  </si>
  <si>
    <t>包裝日期：6/30</t>
    <phoneticPr fontId="1" type="noConversion"/>
  </si>
  <si>
    <t>包裝日期：6/17</t>
    <phoneticPr fontId="1" type="noConversion"/>
  </si>
  <si>
    <t>1P入力齒輪</t>
    <phoneticPr fontId="1" type="noConversion"/>
  </si>
  <si>
    <t>M3.75*13T*201.5L</t>
  </si>
  <si>
    <t>出力軸</t>
    <phoneticPr fontId="1" type="noConversion"/>
  </si>
  <si>
    <t>M2.5T12W82.8L180</t>
  </si>
  <si>
    <t>與 事必得同箱</t>
    <phoneticPr fontId="1" type="noConversion"/>
  </si>
  <si>
    <t>鏈輪ANSI50-16T</t>
  </si>
  <si>
    <t>M2T38W26L27</t>
  </si>
  <si>
    <t>B-1120504002</t>
    <phoneticPr fontId="1" type="noConversion"/>
  </si>
  <si>
    <t>優先出貨1</t>
    <phoneticPr fontId="1" type="noConversion"/>
  </si>
  <si>
    <t>TR17016-E-01</t>
    <phoneticPr fontId="1" type="noConversion"/>
  </si>
  <si>
    <t>M1.5*30T*15W*48外33長</t>
  </si>
  <si>
    <t>B-1120726013</t>
    <phoneticPr fontId="1" type="noConversion"/>
  </si>
  <si>
    <t>5*1</t>
    <phoneticPr fontId="1" type="noConversion"/>
  </si>
  <si>
    <t>M3T22W28L65</t>
  </si>
  <si>
    <t>M5T32W30L36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</si>
  <si>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208T24L44.6</t>
    </r>
    <phoneticPr fontId="1" type="noConversion"/>
  </si>
  <si>
    <t>齒型皮帶輪</t>
    <phoneticPr fontId="1" type="noConversion"/>
  </si>
  <si>
    <t>40T-HTD-8M</t>
  </si>
  <si>
    <t>M3.5T20W80L80</t>
    <phoneticPr fontId="1" type="noConversion"/>
  </si>
  <si>
    <t>主動鍊輪</t>
    <phoneticPr fontId="1" type="noConversion"/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</si>
  <si>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154.1T24L35.5</t>
    </r>
    <phoneticPr fontId="1" type="noConversion"/>
  </si>
  <si>
    <t>主動鍊輪</t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</si>
  <si>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208T24L44.6</t>
    </r>
    <phoneticPr fontId="1" type="noConversion"/>
  </si>
  <si>
    <r>
      <rPr>
        <sz val="12"/>
        <rFont val="Calibri"/>
        <family val="2"/>
        <charset val="161"/>
      </rPr>
      <t>φ</t>
    </r>
    <r>
      <rPr>
        <sz val="12"/>
        <rFont val="新細明體"/>
        <family val="2"/>
        <charset val="136"/>
        <scheme val="minor"/>
      </rPr>
      <t>261.5T16L56.1</t>
    </r>
    <phoneticPr fontId="1" type="noConversion"/>
  </si>
  <si>
    <t>無圖</t>
    <phoneticPr fontId="1" type="noConversion"/>
  </si>
  <si>
    <r>
      <rPr>
        <sz val="12"/>
        <color theme="1"/>
        <rFont val="Calibri"/>
        <family val="1"/>
        <charset val="161"/>
      </rPr>
      <t>φ</t>
    </r>
    <r>
      <rPr>
        <sz val="12"/>
        <color theme="1"/>
        <rFont val="新細明體"/>
        <family val="1"/>
        <charset val="136"/>
        <scheme val="minor"/>
      </rPr>
      <t>261.5T16L57.1</t>
    </r>
    <phoneticPr fontId="1" type="noConversion"/>
  </si>
  <si>
    <t>減速大齒輪</t>
  </si>
  <si>
    <t>M3.5T50W30L47</t>
    <phoneticPr fontId="1" type="noConversion"/>
  </si>
  <si>
    <t>齒輪</t>
    <phoneticPr fontId="1" type="noConversion"/>
  </si>
  <si>
    <t>M5T60W45L65</t>
    <phoneticPr fontId="1" type="noConversion"/>
  </si>
  <si>
    <t>Φ265T12L101.1</t>
    <phoneticPr fontId="1" type="noConversion"/>
  </si>
  <si>
    <t>正齒輪</t>
    <phoneticPr fontId="1" type="noConversion"/>
  </si>
  <si>
    <t>M3T28W40L40</t>
    <phoneticPr fontId="1" type="noConversion"/>
  </si>
  <si>
    <t>M3T28W40L44</t>
    <phoneticPr fontId="1" type="noConversion"/>
  </si>
  <si>
    <t>小齒輪</t>
    <phoneticPr fontId="1" type="noConversion"/>
  </si>
  <si>
    <t>M3T36W53L96.5</t>
    <phoneticPr fontId="1" type="noConversion"/>
  </si>
  <si>
    <t>齒型皮帶輪</t>
    <phoneticPr fontId="1" type="noConversion"/>
  </si>
  <si>
    <t>8M*40T*W54</t>
  </si>
  <si>
    <t>M3*18T*30W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</si>
  <si>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208T24L49.6</t>
    </r>
    <phoneticPr fontId="1" type="noConversion"/>
  </si>
  <si>
    <t>APC傳動齒輪軸</t>
  </si>
  <si>
    <t>M3T18W48L229</t>
  </si>
  <si>
    <t>M3T72W46L47</t>
  </si>
  <si>
    <t>APC旋轉齒輪</t>
    <phoneticPr fontId="1" type="noConversion"/>
  </si>
  <si>
    <t>APC傳動軸減速齒輪</t>
  </si>
  <si>
    <t>M3T50W32L48</t>
  </si>
  <si>
    <t>B軸輸入齒輪</t>
  </si>
  <si>
    <t>B軸輸入齒輪</t>
    <phoneticPr fontId="1" type="noConversion"/>
  </si>
  <si>
    <t>M2.5*24T</t>
  </si>
  <si>
    <t>M3T24W38L40</t>
  </si>
  <si>
    <t>大齒輪</t>
    <phoneticPr fontId="1" type="noConversion"/>
  </si>
  <si>
    <t>M2T21W24L31</t>
  </si>
  <si>
    <t>M2W440L440</t>
  </si>
  <si>
    <t>M2W230L230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</si>
  <si>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96L41</t>
    </r>
    <phoneticPr fontId="1" type="noConversion"/>
  </si>
  <si>
    <t>無圖</t>
    <phoneticPr fontId="1" type="noConversion"/>
  </si>
  <si>
    <t>M2W655L655</t>
  </si>
  <si>
    <t>齒輪</t>
    <phoneticPr fontId="1" type="noConversion"/>
  </si>
  <si>
    <t>M2T40W28L30</t>
  </si>
  <si>
    <t>M2T56W28L30</t>
  </si>
  <si>
    <t>M2.5T34W30L79</t>
  </si>
  <si>
    <t>CP2T50W10L22.2</t>
    <phoneticPr fontId="1" type="noConversion"/>
  </si>
  <si>
    <t>M4*21TB*75L</t>
    <phoneticPr fontId="1" type="noConversion"/>
  </si>
  <si>
    <t>M3*25TB*65L</t>
    <phoneticPr fontId="1" type="noConversion"/>
  </si>
  <si>
    <t>齒軸</t>
    <phoneticPr fontId="1" type="noConversion"/>
  </si>
  <si>
    <t>無圖</t>
    <phoneticPr fontId="1" type="noConversion"/>
  </si>
  <si>
    <t>斜齒齒研齒輪</t>
    <phoneticPr fontId="1" type="noConversion"/>
  </si>
  <si>
    <t>直齒齒輪</t>
    <phoneticPr fontId="1" type="noConversion"/>
  </si>
  <si>
    <t>CP5T30W18L42</t>
  </si>
  <si>
    <t>M4T18W40L75</t>
  </si>
  <si>
    <t>φ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</si>
  <si>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55L84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</si>
  <si>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80L3</t>
    </r>
    <phoneticPr fontId="1" type="noConversion"/>
  </si>
  <si>
    <t>M2*25TB*56L</t>
  </si>
  <si>
    <t>CP*10*20TB*43L</t>
  </si>
  <si>
    <t>齒輪軸</t>
    <phoneticPr fontId="1" type="noConversion"/>
  </si>
  <si>
    <t>M2.5T16W19.5L108</t>
  </si>
  <si>
    <t>5-02-T X向主動齒輪</t>
    <phoneticPr fontId="1" type="noConversion"/>
  </si>
  <si>
    <t xml:space="preserve">T Y向主動齒輪 </t>
    <phoneticPr fontId="1" type="noConversion"/>
  </si>
  <si>
    <t xml:space="preserve">M1.5T25W20L25 </t>
    <phoneticPr fontId="1" type="noConversion"/>
  </si>
  <si>
    <t>M2*39TB*38L</t>
    <phoneticPr fontId="1" type="noConversion"/>
  </si>
  <si>
    <t>M1.5T30W20L48</t>
  </si>
  <si>
    <t>M1.5T24W15L20</t>
  </si>
  <si>
    <t>M1.25T58TW9L9</t>
  </si>
  <si>
    <t>M1.25T29W10L10</t>
  </si>
  <si>
    <t>M2T50W20L34</t>
  </si>
  <si>
    <t>M2T30W20L36</t>
    <phoneticPr fontId="1" type="noConversion"/>
  </si>
  <si>
    <t>B-1110517015
B-1100706007</t>
    <phoneticPr fontId="1" type="noConversion"/>
  </si>
  <si>
    <t>斜齒法蘭齒研齒輪</t>
  </si>
  <si>
    <t>斜齒法蘭齒研齒輪</t>
    <phoneticPr fontId="1" type="noConversion"/>
  </si>
  <si>
    <t>M2T27W30L33.5</t>
  </si>
  <si>
    <t>M3T20W28L65</t>
  </si>
  <si>
    <t>CP5T30W9L31.5</t>
  </si>
  <si>
    <t>直齒齒研齒輪</t>
  </si>
  <si>
    <t>直齒齒研齒輪</t>
    <phoneticPr fontId="1" type="noConversion"/>
  </si>
  <si>
    <t>M2.5T24W25L45.5</t>
  </si>
  <si>
    <t>M2T18W25L36.5</t>
  </si>
  <si>
    <t>M2T30W20L58.5</t>
  </si>
  <si>
    <t>M2T23W25L58.5</t>
    <phoneticPr fontId="1" type="noConversion"/>
  </si>
  <si>
    <t>M2T26W26L29</t>
  </si>
  <si>
    <t>左旋齒輪</t>
    <phoneticPr fontId="1" type="noConversion"/>
  </si>
  <si>
    <t>斜齒法蘭齒輪</t>
    <phoneticPr fontId="1" type="noConversion"/>
  </si>
  <si>
    <t>M3T40W31L36</t>
  </si>
  <si>
    <t>齒輪L</t>
    <phoneticPr fontId="1" type="noConversion"/>
  </si>
  <si>
    <t>M2*20T*30</t>
  </si>
  <si>
    <t>M2T16W28L34</t>
  </si>
  <si>
    <t>M2T16W28L30</t>
  </si>
  <si>
    <t>馬達齒輪</t>
    <phoneticPr fontId="1" type="noConversion"/>
  </si>
  <si>
    <t>M2.5T20W16L16</t>
  </si>
  <si>
    <t>CP8T20W25L40</t>
  </si>
  <si>
    <t>CP8T20W25L211</t>
  </si>
  <si>
    <t>斜齒齒輪軸</t>
    <phoneticPr fontId="1" type="noConversion"/>
  </si>
  <si>
    <t>M2*24T*41L</t>
  </si>
  <si>
    <t>M2.5T28W16L41</t>
  </si>
  <si>
    <t>M2T16W28L38</t>
  </si>
  <si>
    <t>斜齒齒輪</t>
    <phoneticPr fontId="1" type="noConversion"/>
  </si>
  <si>
    <t>正齒輪</t>
    <phoneticPr fontId="1" type="noConversion"/>
  </si>
  <si>
    <t>M2T25W20L30</t>
  </si>
  <si>
    <t>M2*32TB*32L</t>
  </si>
  <si>
    <t>M2T25W20L23</t>
  </si>
  <si>
    <t xml:space="preserve">M4T42W40L56 </t>
  </si>
  <si>
    <t xml:space="preserve">M4T21W40L55 </t>
    <phoneticPr fontId="1" type="noConversion"/>
  </si>
  <si>
    <t xml:space="preserve">M4T24W40L80 </t>
  </si>
  <si>
    <t>JIG-53-5302-A</t>
    <phoneticPr fontId="1" type="noConversion"/>
  </si>
  <si>
    <t>DP12T85W30L30</t>
  </si>
  <si>
    <t>斜齒齒研齒輪軸</t>
    <phoneticPr fontId="1" type="noConversion"/>
  </si>
  <si>
    <t>M1.5T20W20L136</t>
  </si>
  <si>
    <t>M1.5*40T*14W*40L</t>
    <phoneticPr fontId="1" type="noConversion"/>
  </si>
  <si>
    <t>M2T25W25L46</t>
    <phoneticPr fontId="1" type="noConversion"/>
  </si>
  <si>
    <t>齒輪Gear</t>
  </si>
  <si>
    <t>料號有異</t>
    <phoneticPr fontId="1" type="noConversion"/>
  </si>
  <si>
    <t>SUSCP10-30J35-MLAT35</t>
    <phoneticPr fontId="1" type="noConversion"/>
  </si>
  <si>
    <t>M3.1831T30W38L38</t>
  </si>
  <si>
    <t>此料號作廢</t>
    <phoneticPr fontId="1" type="noConversion"/>
  </si>
  <si>
    <t>齒輪軸
20YF010-R150001-HJ-20-02</t>
    <phoneticPr fontId="1" type="noConversion"/>
  </si>
  <si>
    <t>齒輪軸
20YF010-R150001-HJ-10-02</t>
    <phoneticPr fontId="1" type="noConversion"/>
  </si>
  <si>
    <t>黑皮下修
(23.08、23.06)</t>
    <phoneticPr fontId="1" type="noConversion"/>
  </si>
  <si>
    <t>包裝寫
MHGH03004512-L</t>
    <phoneticPr fontId="1" type="noConversion"/>
  </si>
  <si>
    <t>包裝寫
SM10907TW1-064</t>
    <phoneticPr fontId="1" type="noConversion"/>
  </si>
  <si>
    <t>包裝寫
MHGH03003052-L</t>
    <phoneticPr fontId="1" type="noConversion"/>
  </si>
  <si>
    <t>包裝寫
MHGH02003012</t>
    <phoneticPr fontId="1" type="noConversion"/>
  </si>
  <si>
    <t>尾號-T 包裝寫
CMA1530CGE</t>
    <phoneticPr fontId="1" type="noConversion"/>
  </si>
  <si>
    <t>8-T X向齒輪</t>
    <phoneticPr fontId="1" type="noConversion"/>
  </si>
  <si>
    <t>-T Y向主動齒輪</t>
    <phoneticPr fontId="1" type="noConversion"/>
  </si>
  <si>
    <t>攻牙軸套推進齒輪
(下次要調漲)</t>
    <phoneticPr fontId="1" type="noConversion"/>
  </si>
  <si>
    <t>M1.5T36W20L68.5</t>
  </si>
  <si>
    <t>馬達齒輪</t>
    <phoneticPr fontId="1" type="noConversion"/>
  </si>
  <si>
    <t>M1.5T28W12L70.5</t>
  </si>
  <si>
    <t>B-1120616009</t>
    <phoneticPr fontId="1" type="noConversion"/>
  </si>
  <si>
    <t>1箱*1</t>
    <phoneticPr fontId="1" type="noConversion"/>
  </si>
  <si>
    <t>M2W340L340</t>
  </si>
  <si>
    <t>接頭</t>
    <phoneticPr fontId="1" type="noConversion"/>
  </si>
  <si>
    <t>無圖</t>
    <phoneticPr fontId="1" type="noConversion"/>
  </si>
  <si>
    <t>M5T47W60L157</t>
  </si>
  <si>
    <t>M12T17W185L185</t>
  </si>
  <si>
    <t>齒條M1.5T1</t>
    <phoneticPr fontId="1" type="noConversion"/>
  </si>
  <si>
    <t>M2.5T30W24L118</t>
  </si>
  <si>
    <t>M2.5T40W22L34</t>
  </si>
  <si>
    <t>φ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</si>
  <si>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60*L84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</si>
  <si>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60*L99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</si>
  <si>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32*290</t>
    </r>
    <phoneticPr fontId="1" type="noConversion"/>
  </si>
  <si>
    <t>齒輪心軸</t>
    <phoneticPr fontId="1" type="noConversion"/>
  </si>
  <si>
    <t>齒輪</t>
    <phoneticPr fontId="1" type="noConversion"/>
  </si>
  <si>
    <t>M2T50W10L32</t>
    <phoneticPr fontId="1" type="noConversion"/>
  </si>
  <si>
    <t>M2T42W10L46</t>
    <phoneticPr fontId="1" type="noConversion"/>
  </si>
  <si>
    <t>M2T50W10L17</t>
    <phoneticPr fontId="1" type="noConversion"/>
  </si>
  <si>
    <t>M2T34W10L14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</si>
  <si>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52*50.5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</si>
  <si>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50*290</t>
    </r>
    <phoneticPr fontId="1" type="noConversion"/>
  </si>
  <si>
    <t>M2T45W15L15</t>
    <phoneticPr fontId="1" type="noConversion"/>
  </si>
  <si>
    <t>M2T33W15L46</t>
    <phoneticPr fontId="1" type="noConversion"/>
  </si>
  <si>
    <t>蝸輪軸</t>
    <phoneticPr fontId="1" type="noConversion"/>
  </si>
  <si>
    <t>3*1</t>
    <phoneticPr fontId="1" type="noConversion"/>
  </si>
  <si>
    <t>1*1</t>
    <phoneticPr fontId="1" type="noConversion"/>
  </si>
  <si>
    <t>2*1</t>
    <phoneticPr fontId="1" type="noConversion"/>
  </si>
  <si>
    <t>B-1121027030</t>
  </si>
  <si>
    <t>1*1</t>
    <phoneticPr fontId="1" type="noConversion"/>
  </si>
  <si>
    <t>時規皮帶輪8YUT35</t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</si>
  <si>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ajor"/>
      </rPr>
      <t>98t35w31.7L70</t>
    </r>
    <phoneticPr fontId="1" type="noConversion"/>
  </si>
  <si>
    <t>4*1</t>
    <phoneticPr fontId="1" type="noConversion"/>
  </si>
  <si>
    <t>M2T40W15L47</t>
    <phoneticPr fontId="1" type="noConversion"/>
  </si>
  <si>
    <t>B-1120818001</t>
    <phoneticPr fontId="1" type="noConversion"/>
  </si>
  <si>
    <t>4*1</t>
    <phoneticPr fontId="1" type="noConversion"/>
  </si>
  <si>
    <t>寶嘉誠</t>
  </si>
  <si>
    <t>B-1120825001</t>
    <phoneticPr fontId="1" type="noConversion"/>
  </si>
  <si>
    <t>HSE8-HB50040-2060000</t>
    <phoneticPr fontId="1" type="noConversion"/>
  </si>
  <si>
    <t>漢鐘 同棧</t>
    <phoneticPr fontId="1" type="noConversion"/>
  </si>
  <si>
    <t>HSOK-HB50060-K090100</t>
    <phoneticPr fontId="1" type="noConversion"/>
  </si>
  <si>
    <t>B-1121110005</t>
    <phoneticPr fontId="1" type="noConversion"/>
  </si>
  <si>
    <t>B-1120713001</t>
    <phoneticPr fontId="1" type="noConversion"/>
  </si>
  <si>
    <t>惰輪齒輪</t>
  </si>
  <si>
    <t>B-1120804010</t>
    <phoneticPr fontId="1" type="noConversion"/>
  </si>
  <si>
    <t>3038002542A</t>
    <phoneticPr fontId="1" type="noConversion"/>
  </si>
  <si>
    <t>B-1120928011</t>
    <phoneticPr fontId="1" type="noConversion"/>
  </si>
  <si>
    <t>17*1</t>
    <phoneticPr fontId="1" type="noConversion"/>
  </si>
  <si>
    <t>20*1</t>
    <phoneticPr fontId="1" type="noConversion"/>
  </si>
  <si>
    <t>GT2048-00200</t>
    <phoneticPr fontId="1" type="noConversion"/>
  </si>
  <si>
    <t>M2T48W17L20</t>
  </si>
  <si>
    <t>M1.5T15W21L59</t>
  </si>
  <si>
    <t>B-1120920013</t>
    <phoneticPr fontId="1" type="noConversion"/>
  </si>
  <si>
    <t>7*1</t>
    <phoneticPr fontId="1" type="noConversion"/>
  </si>
  <si>
    <t>20*1</t>
    <phoneticPr fontId="1" type="noConversion"/>
  </si>
  <si>
    <t>B-1120804009</t>
    <phoneticPr fontId="1" type="noConversion"/>
  </si>
  <si>
    <t>優先出貨3</t>
    <phoneticPr fontId="1" type="noConversion"/>
  </si>
  <si>
    <t>油壓軸</t>
    <phoneticPr fontId="1" type="noConversion"/>
  </si>
  <si>
    <t>優先出貨</t>
    <phoneticPr fontId="1" type="noConversion"/>
  </si>
  <si>
    <t>JKGA1822R</t>
    <phoneticPr fontId="1" type="noConversion"/>
  </si>
  <si>
    <t xml:space="preserve">入力齒軸1P-5HP </t>
    <phoneticPr fontId="1" type="noConversion"/>
  </si>
  <si>
    <t>M1.25T22W21.2</t>
  </si>
  <si>
    <t>B-1120925009</t>
    <phoneticPr fontId="1" type="noConversion"/>
  </si>
  <si>
    <t>13006-0006-00</t>
    <phoneticPr fontId="1" type="noConversion"/>
  </si>
  <si>
    <t>M4T16W34L35</t>
  </si>
  <si>
    <t>B-1121101010</t>
    <phoneticPr fontId="1" type="noConversion"/>
  </si>
  <si>
    <t>1*1</t>
    <phoneticPr fontId="1" type="noConversion"/>
  </si>
  <si>
    <t>開發件-驅動齒輪</t>
    <phoneticPr fontId="1" type="noConversion"/>
  </si>
  <si>
    <t>12/1領出後，工件與料號不符</t>
    <phoneticPr fontId="1" type="noConversion"/>
  </si>
  <si>
    <t>E209026014****</t>
    <phoneticPr fontId="1" type="noConversion"/>
  </si>
  <si>
    <t>B3-3</t>
    <phoneticPr fontId="1" type="noConversion"/>
  </si>
  <si>
    <t>M3T76W29L57</t>
    <phoneticPr fontId="1" type="noConversion"/>
  </si>
  <si>
    <t>M3T43W20L85</t>
    <phoneticPr fontId="1" type="noConversion"/>
  </si>
  <si>
    <t>M2T48W10L90</t>
    <phoneticPr fontId="1" type="noConversion"/>
  </si>
  <si>
    <t>齒輪六巢心軸</t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</si>
  <si>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38*103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</si>
  <si>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ajor"/>
      </rPr>
      <t>32*253L</t>
    </r>
    <phoneticPr fontId="1" type="noConversion"/>
  </si>
  <si>
    <t>M2.5T15W35L145</t>
    <phoneticPr fontId="1" type="noConversion"/>
  </si>
  <si>
    <t>齒輪</t>
    <phoneticPr fontId="1" type="noConversion"/>
  </si>
  <si>
    <t>M2T50W10L23</t>
    <phoneticPr fontId="1" type="noConversion"/>
  </si>
  <si>
    <t>M2T50W10L44</t>
    <phoneticPr fontId="1" type="noConversion"/>
  </si>
  <si>
    <t>M2.5T34W30L54</t>
    <phoneticPr fontId="1" type="noConversion"/>
  </si>
  <si>
    <t>M2T80W15W22</t>
    <phoneticPr fontId="1" type="noConversion"/>
  </si>
  <si>
    <t>M2T30W15L28</t>
    <phoneticPr fontId="1" type="noConversion"/>
  </si>
  <si>
    <t>M2T73W10L17</t>
    <phoneticPr fontId="1" type="noConversion"/>
  </si>
  <si>
    <t>齒輪軸</t>
    <phoneticPr fontId="1" type="noConversion"/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</si>
  <si>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38*180</t>
    </r>
    <phoneticPr fontId="1" type="noConversion"/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</si>
  <si>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32*290</t>
    </r>
    <phoneticPr fontId="1" type="noConversion"/>
  </si>
  <si>
    <t>M2T31W10L32.5</t>
    <phoneticPr fontId="1" type="noConversion"/>
  </si>
  <si>
    <t>M2T40W10L33</t>
  </si>
  <si>
    <t>M2T35W10L10</t>
  </si>
  <si>
    <t>Z軸傳動齒輪</t>
  </si>
  <si>
    <t>M2T23W40L244</t>
    <phoneticPr fontId="1" type="noConversion"/>
  </si>
  <si>
    <t>M2T23W12L38</t>
  </si>
  <si>
    <t>47型2G齒輪</t>
    <phoneticPr fontId="1" type="noConversion"/>
  </si>
  <si>
    <t>1G齒輪</t>
    <phoneticPr fontId="1" type="noConversion"/>
  </si>
  <si>
    <t>77型1G齒輪</t>
    <phoneticPr fontId="1" type="noConversion"/>
  </si>
  <si>
    <t>2P齒軸</t>
    <phoneticPr fontId="1" type="noConversion"/>
  </si>
  <si>
    <t>M1.25*19T24.5W64L</t>
  </si>
  <si>
    <t>M1.25T15W14L24</t>
  </si>
  <si>
    <t>17型1P齒軸(R3)</t>
    <phoneticPr fontId="1" type="noConversion"/>
  </si>
  <si>
    <t>漏斗移動從動鏈輪</t>
  </si>
  <si>
    <t>漏斗移動張力</t>
  </si>
  <si>
    <t>第一漏斗脈衝齒輪</t>
  </si>
  <si>
    <t>漏斗移動操作側鏈輪</t>
  </si>
  <si>
    <t>輸送帶馬達鏈輪</t>
  </si>
  <si>
    <t>驅動皮帶輪</t>
  </si>
  <si>
    <t>壓紙減速機</t>
  </si>
  <si>
    <t>M3T53W30L60</t>
    <phoneticPr fontId="1" type="noConversion"/>
  </si>
  <si>
    <t>內M1.5T60L117</t>
    <phoneticPr fontId="1" type="noConversion"/>
  </si>
  <si>
    <t>Z軸帶動齒輪</t>
  </si>
  <si>
    <t>GT2036-00200</t>
    <phoneticPr fontId="1" type="noConversion"/>
  </si>
  <si>
    <t>馬達齒輪</t>
    <phoneticPr fontId="1" type="noConversion"/>
  </si>
  <si>
    <t>M2T36W15</t>
  </si>
  <si>
    <t>B-1121019014</t>
    <phoneticPr fontId="1" type="noConversion"/>
  </si>
  <si>
    <t>GT2060-00100</t>
    <phoneticPr fontId="1" type="noConversion"/>
  </si>
  <si>
    <t>GT2048-00100</t>
    <phoneticPr fontId="1" type="noConversion"/>
  </si>
  <si>
    <t>GT2044-00100</t>
    <phoneticPr fontId="1" type="noConversion"/>
  </si>
  <si>
    <t xml:space="preserve">傾斜惰輪 </t>
    <phoneticPr fontId="1" type="noConversion"/>
  </si>
  <si>
    <t>M2*55T*22L</t>
  </si>
  <si>
    <t>惰輪</t>
    <phoneticPr fontId="1" type="noConversion"/>
  </si>
  <si>
    <t>M2*60T*22L</t>
  </si>
  <si>
    <t>M2*48T*43L</t>
  </si>
  <si>
    <t>GT2055-00100</t>
    <phoneticPr fontId="1" type="noConversion"/>
  </si>
  <si>
    <t>M2*44T*43L</t>
  </si>
  <si>
    <t>傾斜惰輪-1</t>
  </si>
  <si>
    <t>B-1120816014</t>
    <phoneticPr fontId="1" type="noConversion"/>
  </si>
  <si>
    <t>大鐵架 2-1-2 後</t>
    <phoneticPr fontId="1" type="noConversion"/>
  </si>
  <si>
    <t>20230901
料號待確認</t>
    <phoneticPr fontId="1" type="noConversion"/>
  </si>
  <si>
    <t>1箱裝內
一只黑皮下修-0.01</t>
    <phoneticPr fontId="1" type="noConversion"/>
  </si>
  <si>
    <t>1只黑皮
下修19.08(特採)</t>
    <phoneticPr fontId="1" type="noConversion"/>
  </si>
  <si>
    <t>s1-s2一箱
s3一箱</t>
    <phoneticPr fontId="1" type="noConversion"/>
  </si>
  <si>
    <t>5*1</t>
    <phoneticPr fontId="1" type="noConversion"/>
  </si>
  <si>
    <t>組合件 5*1</t>
    <phoneticPr fontId="1" type="noConversion"/>
  </si>
  <si>
    <t>B-1120920017</t>
    <phoneticPr fontId="1" type="noConversion"/>
  </si>
  <si>
    <t>B-1121113022</t>
    <phoneticPr fontId="1" type="noConversion"/>
  </si>
  <si>
    <t>B-1121113021</t>
    <phoneticPr fontId="1" type="noConversion"/>
  </si>
  <si>
    <t>B-1120920016</t>
    <phoneticPr fontId="1" type="noConversion"/>
  </si>
  <si>
    <t>10*1</t>
    <phoneticPr fontId="1" type="noConversion"/>
  </si>
  <si>
    <t>12*1</t>
    <phoneticPr fontId="1" type="noConversion"/>
  </si>
  <si>
    <t>B-1120825002</t>
    <phoneticPr fontId="1" type="noConversion"/>
  </si>
  <si>
    <t>B-1120628003</t>
    <phoneticPr fontId="1" type="noConversion"/>
  </si>
  <si>
    <t>優先出貨 2</t>
    <phoneticPr fontId="1" type="noConversion"/>
  </si>
  <si>
    <t>M3T26W35L55</t>
    <phoneticPr fontId="1" type="noConversion"/>
  </si>
  <si>
    <t>Φ</t>
    <phoneticPr fontId="1" type="noConversion"/>
  </si>
  <si>
    <t>2*3+2</t>
    <phoneticPr fontId="1" type="noConversion"/>
  </si>
  <si>
    <t>大鐵架 1-1-1</t>
    <phoneticPr fontId="1" type="noConversion"/>
  </si>
  <si>
    <t>3004000001A</t>
    <phoneticPr fontId="1" type="noConversion"/>
  </si>
  <si>
    <t>平研面銑孔*2</t>
    <phoneticPr fontId="1" type="noConversion"/>
  </si>
  <si>
    <t>優先出貨</t>
    <phoneticPr fontId="1" type="noConversion"/>
  </si>
  <si>
    <t>M2T54W15L23</t>
  </si>
  <si>
    <t>10*1</t>
    <phoneticPr fontId="1" type="noConversion"/>
  </si>
  <si>
    <t>20*1</t>
    <phoneticPr fontId="1" type="noConversion"/>
  </si>
  <si>
    <t>B-1121122003</t>
    <phoneticPr fontId="1" type="noConversion"/>
  </si>
  <si>
    <t>B-1121122004</t>
    <phoneticPr fontId="1" type="noConversion"/>
  </si>
  <si>
    <t>18.25KG</t>
  </si>
  <si>
    <t>齒輪(60T)</t>
  </si>
  <si>
    <t>每箱一顆</t>
  </si>
  <si>
    <t>銑床檢具</t>
  </si>
  <si>
    <t>1220_M_JIG</t>
    <phoneticPr fontId="1" type="noConversion"/>
  </si>
  <si>
    <t>B-1121206036</t>
    <phoneticPr fontId="1" type="noConversion"/>
  </si>
  <si>
    <t>超正治具</t>
    <phoneticPr fontId="1" type="noConversion"/>
  </si>
  <si>
    <t>B-1121206037</t>
  </si>
  <si>
    <t>馬達皮帶輪(22T-Φ32)</t>
  </si>
  <si>
    <t>8YU*22T*W27</t>
  </si>
  <si>
    <t>馬達皮帶輪P18-8YU</t>
  </si>
  <si>
    <t>φ44.464T18W26L70</t>
  </si>
  <si>
    <t>B-1121201012</t>
    <phoneticPr fontId="1" type="noConversion"/>
  </si>
  <si>
    <t>9*1</t>
    <phoneticPr fontId="1" type="noConversion"/>
  </si>
  <si>
    <t>長方形箱*1</t>
    <phoneticPr fontId="1" type="noConversion"/>
  </si>
  <si>
    <t>30*1</t>
    <phoneticPr fontId="1" type="noConversion"/>
  </si>
  <si>
    <t>滾出尾</t>
    <phoneticPr fontId="1" type="noConversion"/>
  </si>
  <si>
    <t>未出尾</t>
    <phoneticPr fontId="1" type="noConversion"/>
  </si>
  <si>
    <t>2*1</t>
    <phoneticPr fontId="1" type="noConversion"/>
  </si>
  <si>
    <t>系統無金額</t>
    <phoneticPr fontId="1" type="noConversion"/>
  </si>
  <si>
    <t>料號不明</t>
    <phoneticPr fontId="1" type="noConversion"/>
  </si>
  <si>
    <t>組合件號：
GT-M2T4455</t>
    <phoneticPr fontId="1" type="noConversion"/>
  </si>
  <si>
    <t>組合件號：
GT-M2T4860</t>
    <phoneticPr fontId="1" type="noConversion"/>
  </si>
  <si>
    <t>需結合
GT3049-00100</t>
    <phoneticPr fontId="1" type="noConversion"/>
  </si>
  <si>
    <t>M1.5*21T*46L</t>
  </si>
  <si>
    <t>料號作廢待判</t>
    <phoneticPr fontId="1" type="noConversion"/>
  </si>
  <si>
    <t>雙齒輪試樣圖
=LKGB0892602</t>
    <phoneticPr fontId="1" type="noConversion"/>
  </si>
  <si>
    <t>治具無金額</t>
    <phoneticPr fontId="1" type="noConversion"/>
  </si>
  <si>
    <t>馬達齒輪</t>
    <phoneticPr fontId="1" type="noConversion"/>
  </si>
  <si>
    <t>M2.5T58W20L25</t>
    <phoneticPr fontId="1" type="noConversion"/>
  </si>
  <si>
    <t>M2.5*57T*25L</t>
    <phoneticPr fontId="1" type="noConversion"/>
  </si>
  <si>
    <t>庫存價
(售價*75%)</t>
    <phoneticPr fontId="1" type="noConversion"/>
  </si>
  <si>
    <t>M2.5T27W22L40</t>
    <phoneticPr fontId="1" type="noConversion"/>
  </si>
  <si>
    <t>系統無金額</t>
    <phoneticPr fontId="1" type="noConversion"/>
  </si>
  <si>
    <t>無圖</t>
    <phoneticPr fontId="1" type="noConversion"/>
  </si>
  <si>
    <t>66+31</t>
    <phoneticPr fontId="1" type="noConversion"/>
  </si>
  <si>
    <t>M1.25T19W23.5L23.5</t>
    <phoneticPr fontId="1" type="noConversion"/>
  </si>
  <si>
    <t>齒輪</t>
    <phoneticPr fontId="1" type="noConversion"/>
  </si>
  <si>
    <t>無圖</t>
    <phoneticPr fontId="1" type="noConversion"/>
  </si>
  <si>
    <t xml:space="preserve">MOTOR OUTPUT GEAR </t>
    <phoneticPr fontId="1" type="noConversion"/>
  </si>
  <si>
    <t>M1.252T21W23.5L23.5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</si>
  <si>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36</t>
    </r>
    <r>
      <rPr>
        <sz val="12"/>
        <rFont val="Calibri"/>
        <family val="1"/>
      </rPr>
      <t>L</t>
    </r>
    <r>
      <rPr>
        <sz val="12"/>
        <rFont val="新細明體"/>
        <family val="1"/>
        <charset val="136"/>
        <scheme val="minor"/>
      </rPr>
      <t>228.5</t>
    </r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</si>
  <si>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25</t>
    </r>
    <r>
      <rPr>
        <sz val="12"/>
        <rFont val="Calibri"/>
        <family val="1"/>
      </rPr>
      <t>L</t>
    </r>
    <r>
      <rPr>
        <sz val="12"/>
        <rFont val="新細明體"/>
        <family val="1"/>
        <charset val="136"/>
        <scheme val="minor"/>
      </rPr>
      <t>193.5</t>
    </r>
    <phoneticPr fontId="1" type="noConversion"/>
  </si>
  <si>
    <t>RB-27</t>
    <phoneticPr fontId="1" type="noConversion"/>
  </si>
  <si>
    <t>M2T40W12L24</t>
  </si>
  <si>
    <t>B-1120905013</t>
    <phoneticPr fontId="1" type="noConversion"/>
  </si>
  <si>
    <t>馬達齒輪</t>
    <phoneticPr fontId="1" type="noConversion"/>
  </si>
  <si>
    <t>M1.25T11W18L74</t>
  </si>
  <si>
    <t>B-1121211006</t>
    <phoneticPr fontId="1" type="noConversion"/>
  </si>
  <si>
    <t xml:space="preserve">M2T32W24L32  </t>
  </si>
  <si>
    <t>皮帶輪8YU</t>
    <phoneticPr fontId="1" type="noConversion"/>
  </si>
  <si>
    <t>T36L59</t>
    <phoneticPr fontId="1" type="noConversion"/>
  </si>
  <si>
    <t>B-1130110003</t>
    <phoneticPr fontId="1" type="noConversion"/>
  </si>
  <si>
    <t>1*1</t>
    <phoneticPr fontId="1" type="noConversion"/>
  </si>
  <si>
    <t>T48L59</t>
    <phoneticPr fontId="1" type="noConversion"/>
  </si>
  <si>
    <t>B-1130104018</t>
    <phoneticPr fontId="1" type="noConversion"/>
  </si>
  <si>
    <t>B-1121206001</t>
    <phoneticPr fontId="1" type="noConversion"/>
  </si>
  <si>
    <t>B-1121206004</t>
    <phoneticPr fontId="1" type="noConversion"/>
  </si>
  <si>
    <t>KBSH06250</t>
  </si>
  <si>
    <t>免鍵軸襯-2.5"</t>
  </si>
  <si>
    <t>1219_M_JIG</t>
    <phoneticPr fontId="1" type="noConversion"/>
  </si>
  <si>
    <t>2*1</t>
    <phoneticPr fontId="1" type="noConversion"/>
  </si>
  <si>
    <t>4*1</t>
    <phoneticPr fontId="1" type="noConversion"/>
  </si>
  <si>
    <t>1*1</t>
    <phoneticPr fontId="1" type="noConversion"/>
  </si>
  <si>
    <t>34*1</t>
    <phoneticPr fontId="1" type="noConversion"/>
  </si>
  <si>
    <t>同箱</t>
    <phoneticPr fontId="1" type="noConversion"/>
  </si>
  <si>
    <t>22150-3001-02</t>
    <phoneticPr fontId="1" type="noConversion"/>
  </si>
  <si>
    <t>22150-3002-00</t>
    <phoneticPr fontId="1" type="noConversion"/>
  </si>
  <si>
    <t>22150-3003-00</t>
    <phoneticPr fontId="1" type="noConversion"/>
  </si>
  <si>
    <t>齒輪</t>
    <phoneticPr fontId="1" type="noConversion"/>
  </si>
  <si>
    <t>B-1130109013</t>
    <phoneticPr fontId="1" type="noConversion"/>
  </si>
  <si>
    <t>B-1130109012</t>
    <phoneticPr fontId="1" type="noConversion"/>
  </si>
  <si>
    <t>22150-3004-00</t>
    <phoneticPr fontId="1" type="noConversion"/>
  </si>
  <si>
    <t>APC旋輪齒輪</t>
  </si>
  <si>
    <t>B-1130109015</t>
    <phoneticPr fontId="1" type="noConversion"/>
  </si>
  <si>
    <t>B-1130109014</t>
    <phoneticPr fontId="1" type="noConversion"/>
  </si>
  <si>
    <t>15*1</t>
    <phoneticPr fontId="1" type="noConversion"/>
  </si>
  <si>
    <t>5*3</t>
    <phoneticPr fontId="1" type="noConversion"/>
  </si>
  <si>
    <t>10*1
5*1</t>
    <phoneticPr fontId="1" type="noConversion"/>
  </si>
  <si>
    <t>3*5</t>
    <phoneticPr fontId="1" type="noConversion"/>
  </si>
  <si>
    <t>料號有錯-已更正</t>
    <phoneticPr fontId="1" type="noConversion"/>
  </si>
  <si>
    <t>優先出貨2</t>
    <phoneticPr fontId="1" type="noConversion"/>
  </si>
  <si>
    <t>優先出貨3</t>
    <phoneticPr fontId="1" type="noConversion"/>
  </si>
  <si>
    <t>優先出貨4</t>
    <phoneticPr fontId="1" type="noConversion"/>
  </si>
  <si>
    <t>KBSH03193</t>
    <phoneticPr fontId="1" type="noConversion"/>
  </si>
  <si>
    <t>B-1121206002</t>
    <phoneticPr fontId="1" type="noConversion"/>
  </si>
  <si>
    <t>免鍵軸襯</t>
    <phoneticPr fontId="1" type="noConversion"/>
  </si>
  <si>
    <t>KKYC58209501</t>
    <phoneticPr fontId="1" type="noConversion"/>
  </si>
  <si>
    <t>2G齒輪</t>
    <phoneticPr fontId="1" type="noConversion"/>
  </si>
  <si>
    <t>M7T95W66</t>
    <phoneticPr fontId="1" type="noConversion"/>
  </si>
  <si>
    <t>B-1121116006</t>
    <phoneticPr fontId="1" type="noConversion"/>
  </si>
  <si>
    <t>惰齒輪(弧形齒)</t>
    <phoneticPr fontId="1" type="noConversion"/>
  </si>
  <si>
    <t>13*1</t>
    <phoneticPr fontId="1" type="noConversion"/>
  </si>
  <si>
    <t>B-1121207017</t>
    <phoneticPr fontId="1" type="noConversion"/>
  </si>
  <si>
    <t>25*2</t>
    <phoneticPr fontId="1" type="noConversion"/>
  </si>
  <si>
    <t>大鐵架 1-4-2前</t>
    <phoneticPr fontId="1" type="noConversion"/>
  </si>
  <si>
    <t>B-1121122002</t>
    <phoneticPr fontId="1" type="noConversion"/>
  </si>
  <si>
    <t>蝸桿齒輪</t>
    <phoneticPr fontId="1" type="noConversion"/>
  </si>
  <si>
    <t>M3T36W30L30</t>
  </si>
  <si>
    <t>B-1121214006</t>
    <phoneticPr fontId="1" type="noConversion"/>
  </si>
  <si>
    <t>B-1121220013</t>
    <phoneticPr fontId="1" type="noConversion"/>
  </si>
  <si>
    <t>B-1121107010</t>
    <phoneticPr fontId="1" type="noConversion"/>
  </si>
  <si>
    <t>KBSH08343</t>
  </si>
  <si>
    <t>B-1121222006</t>
    <phoneticPr fontId="1" type="noConversion"/>
  </si>
  <si>
    <t>1*1</t>
    <phoneticPr fontId="1" type="noConversion"/>
  </si>
  <si>
    <t>免鍵軸襯-3.4375"</t>
  </si>
  <si>
    <t>M2T32W9L70</t>
  </si>
  <si>
    <t>B-1121206034</t>
    <phoneticPr fontId="1" type="noConversion"/>
  </si>
  <si>
    <t>B-1121206033</t>
    <phoneticPr fontId="1" type="noConversion"/>
  </si>
  <si>
    <t>B-1121206035</t>
    <phoneticPr fontId="1" type="noConversion"/>
  </si>
  <si>
    <t>KKYM58203601</t>
  </si>
  <si>
    <t>KKYC58210901</t>
    <phoneticPr fontId="1" type="noConversion"/>
  </si>
  <si>
    <t>B-1121116010</t>
  </si>
  <si>
    <t>入力軸</t>
    <phoneticPr fontId="1" type="noConversion"/>
  </si>
  <si>
    <t>M4.5T36W55L592</t>
  </si>
  <si>
    <t>M3.75T109W42</t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</si>
  <si>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147.7*592</t>
    </r>
    <phoneticPr fontId="1" type="noConversion"/>
  </si>
  <si>
    <t>3.25KG</t>
    <phoneticPr fontId="1" type="noConversion"/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</si>
  <si>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66.5*681.1</t>
    </r>
    <phoneticPr fontId="1" type="noConversion"/>
  </si>
  <si>
    <t>同棧</t>
    <phoneticPr fontId="1" type="noConversion"/>
  </si>
  <si>
    <t>10*1</t>
    <phoneticPr fontId="1" type="noConversion"/>
  </si>
  <si>
    <t>2*1</t>
    <phoneticPr fontId="1" type="noConversion"/>
  </si>
  <si>
    <t>4*1</t>
    <phoneticPr fontId="1" type="noConversion"/>
  </si>
  <si>
    <t>9*1</t>
    <phoneticPr fontId="1" type="noConversion"/>
  </si>
  <si>
    <t>1*1</t>
    <phoneticPr fontId="1" type="noConversion"/>
  </si>
  <si>
    <t>優先出貨 3</t>
    <phoneticPr fontId="1" type="noConversion"/>
  </si>
  <si>
    <t>6*4
4*1</t>
    <phoneticPr fontId="1" type="noConversion"/>
  </si>
  <si>
    <t>φ89.33T16</t>
  </si>
  <si>
    <t>B-1130216018</t>
    <phoneticPr fontId="1" type="noConversion"/>
  </si>
  <si>
    <t>B-1120125001</t>
    <phoneticPr fontId="1" type="noConversion"/>
  </si>
  <si>
    <t>內孔檢具</t>
    <phoneticPr fontId="1" type="noConversion"/>
  </si>
  <si>
    <t>B-1120301012</t>
    <phoneticPr fontId="1" type="noConversion"/>
  </si>
  <si>
    <t>蝸桿齒輪</t>
    <phoneticPr fontId="1" type="noConversion"/>
  </si>
  <si>
    <t>M1.25T72W18L30</t>
  </si>
  <si>
    <t>B-113012017</t>
    <phoneticPr fontId="1" type="noConversion"/>
  </si>
  <si>
    <t>LJG2-CNC-0329</t>
    <phoneticPr fontId="1" type="noConversion"/>
  </si>
  <si>
    <t>M1.25T34W20</t>
  </si>
  <si>
    <t>正齒輪</t>
    <phoneticPr fontId="1" type="noConversion"/>
  </si>
  <si>
    <t>B-1130216005</t>
    <phoneticPr fontId="1" type="noConversion"/>
  </si>
  <si>
    <t>2*1</t>
    <phoneticPr fontId="1" type="noConversion"/>
  </si>
  <si>
    <t>B-1130115002</t>
    <phoneticPr fontId="1" type="noConversion"/>
  </si>
  <si>
    <t>5*1</t>
    <phoneticPr fontId="1" type="noConversion"/>
  </si>
  <si>
    <t>I5025365</t>
  </si>
  <si>
    <t>B-1130223001</t>
    <phoneticPr fontId="1" type="noConversion"/>
  </si>
  <si>
    <t>3*1</t>
    <phoneticPr fontId="1" type="noConversion"/>
  </si>
  <si>
    <t>B-1121110001</t>
    <phoneticPr fontId="1" type="noConversion"/>
  </si>
  <si>
    <t>1*1</t>
    <phoneticPr fontId="1" type="noConversion"/>
  </si>
  <si>
    <t>B-1130125002</t>
    <phoneticPr fontId="1" type="noConversion"/>
  </si>
  <si>
    <t>VN12013-Q</t>
    <phoneticPr fontId="1" type="noConversion"/>
  </si>
  <si>
    <t>馬達軸齒輪</t>
    <phoneticPr fontId="1" type="noConversion"/>
  </si>
  <si>
    <t>M1.5T32W10L24</t>
  </si>
  <si>
    <t>B-1130308007</t>
    <phoneticPr fontId="1" type="noConversion"/>
  </si>
  <si>
    <t>10*1</t>
    <phoneticPr fontId="1" type="noConversion"/>
  </si>
  <si>
    <t>B-1121206030</t>
    <phoneticPr fontId="1" type="noConversion"/>
  </si>
  <si>
    <t>1*1</t>
    <phoneticPr fontId="1" type="noConversion"/>
  </si>
  <si>
    <t>B-1121206028</t>
    <phoneticPr fontId="1" type="noConversion"/>
  </si>
  <si>
    <t>2*1</t>
    <phoneticPr fontId="1" type="noConversion"/>
  </si>
  <si>
    <t>1211-3</t>
    <phoneticPr fontId="1" type="noConversion"/>
  </si>
  <si>
    <t>M1.75T31W13L13</t>
  </si>
  <si>
    <t>B-1121206031</t>
    <phoneticPr fontId="1" type="noConversion"/>
  </si>
  <si>
    <t>優先出貨</t>
    <phoneticPr fontId="1" type="noConversion"/>
  </si>
  <si>
    <t>B-1130314015</t>
    <phoneticPr fontId="1" type="noConversion"/>
  </si>
  <si>
    <t>10*1</t>
    <phoneticPr fontId="1" type="noConversion"/>
  </si>
  <si>
    <t>M2T53W18L20</t>
    <phoneticPr fontId="1" type="noConversion"/>
  </si>
  <si>
    <t>惰輪</t>
    <phoneticPr fontId="1" type="noConversion"/>
  </si>
  <si>
    <t>庫存 棧1</t>
    <phoneticPr fontId="1" type="noConversion"/>
  </si>
  <si>
    <t>齒輪</t>
    <phoneticPr fontId="1" type="noConversion"/>
  </si>
  <si>
    <t>B-1130306002</t>
    <phoneticPr fontId="1" type="noConversion"/>
  </si>
  <si>
    <t>10*1</t>
    <phoneticPr fontId="1" type="noConversion"/>
  </si>
  <si>
    <t>B-1130229008</t>
    <phoneticPr fontId="1" type="noConversion"/>
  </si>
  <si>
    <t>GT2060-00201</t>
    <phoneticPr fontId="1" type="noConversion"/>
  </si>
  <si>
    <t>蝴蝶籠*1</t>
    <phoneticPr fontId="1" type="noConversion"/>
  </si>
  <si>
    <t>6009002560檢具</t>
    <phoneticPr fontId="1" type="noConversion"/>
  </si>
  <si>
    <t>10*1</t>
    <phoneticPr fontId="1" type="noConversion"/>
  </si>
  <si>
    <t>GTA040-00101</t>
    <phoneticPr fontId="1" type="noConversion"/>
  </si>
  <si>
    <t>大鐵架 4-2-2 前</t>
    <phoneticPr fontId="1" type="noConversion"/>
  </si>
  <si>
    <t>大鐵架 4-2-2 後</t>
    <phoneticPr fontId="1" type="noConversion"/>
  </si>
  <si>
    <t>蝸桿齒輪</t>
    <phoneticPr fontId="1" type="noConversion"/>
  </si>
  <si>
    <t>M1.5T40W15</t>
    <phoneticPr fontId="1" type="noConversion"/>
  </si>
  <si>
    <t>B-1130312006</t>
    <phoneticPr fontId="1" type="noConversion"/>
  </si>
  <si>
    <t>B-1121215007</t>
    <phoneticPr fontId="1" type="noConversion"/>
  </si>
  <si>
    <t>5*4</t>
    <phoneticPr fontId="1" type="noConversion"/>
  </si>
  <si>
    <t>B-1130220001</t>
    <phoneticPr fontId="1" type="noConversion"/>
  </si>
  <si>
    <t>B-1130411004</t>
    <phoneticPr fontId="1" type="noConversion"/>
  </si>
  <si>
    <t>4*1</t>
    <phoneticPr fontId="1" type="noConversion"/>
  </si>
  <si>
    <t>B-1130419016</t>
    <phoneticPr fontId="1" type="noConversion"/>
  </si>
  <si>
    <t>5*1</t>
    <phoneticPr fontId="1" type="noConversion"/>
  </si>
  <si>
    <t>蝸桿皮帶輪8YU</t>
  </si>
  <si>
    <t>φ89.13T35W22L27</t>
  </si>
  <si>
    <t>大鐵架 2-1-2 前</t>
    <phoneticPr fontId="1" type="noConversion"/>
  </si>
  <si>
    <t>大鐵架 2-1-1 後</t>
    <phoneticPr fontId="1" type="noConversion"/>
  </si>
  <si>
    <t>大鐵架 2-1-1 前</t>
    <phoneticPr fontId="1" type="noConversion"/>
  </si>
  <si>
    <t>大鐵架 1-3-2 後</t>
    <phoneticPr fontId="1" type="noConversion"/>
  </si>
  <si>
    <t>大鐵架 1-3-2 前</t>
    <phoneticPr fontId="1" type="noConversion"/>
  </si>
  <si>
    <t>大鐵架 2-2-1 後</t>
    <phoneticPr fontId="1" type="noConversion"/>
  </si>
  <si>
    <t>大鐵架 2-2-2 前</t>
    <phoneticPr fontId="1" type="noConversion"/>
  </si>
  <si>
    <t>大鐵架 2-2-2 後</t>
    <phoneticPr fontId="1" type="noConversion"/>
  </si>
  <si>
    <t>大鐵架 5-1-2 前</t>
    <phoneticPr fontId="1" type="noConversion"/>
  </si>
  <si>
    <t>大鐵架 5-1-2 後</t>
    <phoneticPr fontId="1" type="noConversion"/>
  </si>
  <si>
    <t>大鐵架 5-1-2 後</t>
    <phoneticPr fontId="1" type="noConversion"/>
  </si>
  <si>
    <t>B-1130125015</t>
    <phoneticPr fontId="1" type="noConversion"/>
  </si>
  <si>
    <t>B-1130125016</t>
    <phoneticPr fontId="1" type="noConversion"/>
  </si>
  <si>
    <t>B-1130223010</t>
    <phoneticPr fontId="1" type="noConversion"/>
  </si>
  <si>
    <t>M2.5T24W20L22.5</t>
    <phoneticPr fontId="1" type="noConversion"/>
  </si>
  <si>
    <t>B-1130216015</t>
    <phoneticPr fontId="1" type="noConversion"/>
  </si>
  <si>
    <t>B-1100127005</t>
  </si>
  <si>
    <t>六栓兩節</t>
    <phoneticPr fontId="1" type="noConversion"/>
  </si>
  <si>
    <t>六栓一節</t>
    <phoneticPr fontId="1" type="noConversion"/>
  </si>
  <si>
    <t>LJG2-CNC-0329</t>
    <phoneticPr fontId="1" type="noConversion"/>
  </si>
  <si>
    <t>8*1</t>
    <phoneticPr fontId="1" type="noConversion"/>
  </si>
  <si>
    <t>5*2</t>
    <phoneticPr fontId="1" type="noConversion"/>
  </si>
  <si>
    <t>重修入庫</t>
    <phoneticPr fontId="1" type="noConversion"/>
  </si>
  <si>
    <t>15*2</t>
    <phoneticPr fontId="1" type="noConversion"/>
  </si>
  <si>
    <t>B-1130305016</t>
  </si>
  <si>
    <t>10*1</t>
    <phoneticPr fontId="1" type="noConversion"/>
  </si>
  <si>
    <t xml:space="preserve">齒輪 </t>
    <phoneticPr fontId="1" type="noConversion"/>
  </si>
  <si>
    <t>M1.5T60W20L50</t>
    <phoneticPr fontId="1" type="noConversion"/>
  </si>
  <si>
    <t>無圖</t>
  </si>
  <si>
    <t>系統無金額</t>
  </si>
  <si>
    <t>優先出貨</t>
    <phoneticPr fontId="1" type="noConversion"/>
  </si>
  <si>
    <t>優先出貨1</t>
    <phoneticPr fontId="1" type="noConversion"/>
  </si>
  <si>
    <t>優先出貨2</t>
    <phoneticPr fontId="1" type="noConversion"/>
  </si>
  <si>
    <t>2806002100-6</t>
    <phoneticPr fontId="1" type="noConversion"/>
  </si>
  <si>
    <t>回轉齒</t>
    <phoneticPr fontId="1" type="noConversion"/>
  </si>
  <si>
    <t>M4T48W7L45.5</t>
    <phoneticPr fontId="1" type="noConversion"/>
  </si>
  <si>
    <t>B-1130314010</t>
    <phoneticPr fontId="1" type="noConversion"/>
  </si>
  <si>
    <t>2806002100-5</t>
    <phoneticPr fontId="1" type="noConversion"/>
  </si>
  <si>
    <t>B-1130305019</t>
    <phoneticPr fontId="1" type="noConversion"/>
  </si>
  <si>
    <t>2*2</t>
    <phoneticPr fontId="1" type="noConversion"/>
  </si>
  <si>
    <t>M4T58W29.5L41.5</t>
    <phoneticPr fontId="1" type="noConversion"/>
  </si>
  <si>
    <t>蝸桿齒輪</t>
    <phoneticPr fontId="1" type="noConversion"/>
  </si>
  <si>
    <t>M2.5T32W20L21</t>
    <phoneticPr fontId="1" type="noConversion"/>
  </si>
  <si>
    <t>B-1130216016</t>
    <phoneticPr fontId="1" type="noConversion"/>
  </si>
  <si>
    <t>20*1長</t>
    <phoneticPr fontId="1" type="noConversion"/>
  </si>
  <si>
    <t>6P5A-LB10020-118H000</t>
    <phoneticPr fontId="1" type="noConversion"/>
  </si>
  <si>
    <t>齒型皮帶輪</t>
    <phoneticPr fontId="1" type="noConversion"/>
  </si>
  <si>
    <t>HTD-8MT54L49</t>
    <phoneticPr fontId="1" type="noConversion"/>
  </si>
  <si>
    <t>B-1130429001</t>
    <phoneticPr fontId="1" type="noConversion"/>
  </si>
  <si>
    <t>2*1</t>
    <phoneticPr fontId="1" type="noConversion"/>
  </si>
  <si>
    <t>5*1</t>
    <phoneticPr fontId="1" type="noConversion"/>
  </si>
  <si>
    <t>齒輪</t>
    <phoneticPr fontId="1" type="noConversion"/>
  </si>
  <si>
    <t>GTA020-00100</t>
    <phoneticPr fontId="1" type="noConversion"/>
  </si>
  <si>
    <t>M1.5T20W12L30</t>
  </si>
  <si>
    <t>TR255009</t>
    <phoneticPr fontId="1" type="noConversion"/>
  </si>
  <si>
    <t>8YU-21TW32L57</t>
    <phoneticPr fontId="1" type="noConversion"/>
  </si>
  <si>
    <t>B-1130411003</t>
    <phoneticPr fontId="1" type="noConversion"/>
  </si>
  <si>
    <t>B-1130418015</t>
    <phoneticPr fontId="1" type="noConversion"/>
  </si>
  <si>
    <t>馬達齒輪</t>
    <phoneticPr fontId="1" type="noConversion"/>
  </si>
  <si>
    <t>B-1130401004</t>
    <phoneticPr fontId="1" type="noConversion"/>
  </si>
  <si>
    <t>4*1</t>
    <phoneticPr fontId="1" type="noConversion"/>
  </si>
  <si>
    <t>優先出貨3</t>
    <phoneticPr fontId="1" type="noConversion"/>
  </si>
  <si>
    <t>3*1</t>
    <phoneticPr fontId="1" type="noConversion"/>
  </si>
  <si>
    <t>B-1130401003</t>
    <phoneticPr fontId="1" type="noConversion"/>
  </si>
  <si>
    <t>20557-5025-XO</t>
  </si>
  <si>
    <t>齒輪結合鍵</t>
    <phoneticPr fontId="1" type="noConversion"/>
  </si>
  <si>
    <t>20550-5067-00用</t>
    <phoneticPr fontId="1" type="noConversion"/>
  </si>
  <si>
    <t>B-1130321004</t>
    <phoneticPr fontId="1" type="noConversion"/>
  </si>
  <si>
    <t>φ</t>
  </si>
  <si>
    <t>φ</t>
    <phoneticPr fontId="1" type="noConversion"/>
  </si>
  <si>
    <t>鐵架標示</t>
  </si>
  <si>
    <t>A3-3</t>
    <phoneticPr fontId="1" type="noConversion"/>
  </si>
  <si>
    <t>惰齒輪</t>
    <phoneticPr fontId="1" type="noConversion"/>
  </si>
  <si>
    <t>M2T22W18L19</t>
  </si>
  <si>
    <t>B-1130319002</t>
    <phoneticPr fontId="1" type="noConversion"/>
  </si>
  <si>
    <t>B-1121227001</t>
    <phoneticPr fontId="1" type="noConversion"/>
  </si>
  <si>
    <t>10*1</t>
    <phoneticPr fontId="1" type="noConversion"/>
  </si>
  <si>
    <t>B-1121201013</t>
    <phoneticPr fontId="1" type="noConversion"/>
  </si>
  <si>
    <t>B-1130301014</t>
    <phoneticPr fontId="1" type="noConversion"/>
  </si>
  <si>
    <t>RB-87</t>
  </si>
  <si>
    <t>RC-120</t>
  </si>
  <si>
    <t>RC-134</t>
    <phoneticPr fontId="1" type="noConversion"/>
  </si>
  <si>
    <t>M2T443W14L26</t>
  </si>
  <si>
    <t>B2-箱</t>
  </si>
  <si>
    <t>Z軸帶動齒輪</t>
    <phoneticPr fontId="1" type="noConversion"/>
  </si>
  <si>
    <t xml:space="preserve"> M2T43W14L19</t>
    <phoneticPr fontId="1" type="noConversion"/>
  </si>
  <si>
    <t>B-1130111002</t>
    <phoneticPr fontId="1" type="noConversion"/>
  </si>
  <si>
    <t>蝸桿齒輪-弧型齒</t>
    <phoneticPr fontId="1" type="noConversion"/>
  </si>
  <si>
    <t>B-1121120003</t>
    <phoneticPr fontId="1" type="noConversion"/>
  </si>
  <si>
    <t>TR17020</t>
    <phoneticPr fontId="1" type="noConversion"/>
  </si>
  <si>
    <t>B-1130314014</t>
    <phoneticPr fontId="1" type="noConversion"/>
  </si>
  <si>
    <t>M1.5T50W20L20</t>
    <phoneticPr fontId="1" type="noConversion"/>
  </si>
  <si>
    <t>B-1130205007</t>
    <phoneticPr fontId="1" type="noConversion"/>
  </si>
  <si>
    <t>30*2
20*1</t>
    <phoneticPr fontId="1" type="noConversion"/>
  </si>
  <si>
    <t>10*3</t>
    <phoneticPr fontId="1" type="noConversion"/>
  </si>
  <si>
    <t>大鐵架 4-2-1 前</t>
    <phoneticPr fontId="1" type="noConversion"/>
  </si>
  <si>
    <t>6*5</t>
    <phoneticPr fontId="1" type="noConversion"/>
  </si>
  <si>
    <t>5*1</t>
    <phoneticPr fontId="1" type="noConversion"/>
  </si>
  <si>
    <t>B-1130411002</t>
  </si>
  <si>
    <t>優先出貨2</t>
    <phoneticPr fontId="1" type="noConversion"/>
  </si>
  <si>
    <t>A3-2</t>
    <phoneticPr fontId="1" type="noConversion"/>
  </si>
  <si>
    <t>28*1</t>
    <phoneticPr fontId="1" type="noConversion"/>
  </si>
  <si>
    <t xml:space="preserve"> </t>
    <phoneticPr fontId="1" type="noConversion"/>
  </si>
  <si>
    <t>組合件</t>
    <phoneticPr fontId="1" type="noConversion"/>
  </si>
  <si>
    <t>M1.25*34T*18W</t>
    <phoneticPr fontId="1" type="noConversion"/>
  </si>
  <si>
    <t>B-1130528007</t>
    <phoneticPr fontId="1" type="noConversion"/>
  </si>
  <si>
    <t>B-1130521004</t>
    <phoneticPr fontId="1" type="noConversion"/>
  </si>
  <si>
    <t>B-1130319011</t>
    <phoneticPr fontId="1" type="noConversion"/>
  </si>
  <si>
    <t>66*4
6*1</t>
    <phoneticPr fontId="1" type="noConversion"/>
  </si>
  <si>
    <t>外研有傷，要修才能出貨</t>
    <phoneticPr fontId="1" type="noConversion"/>
  </si>
  <si>
    <t>B-1130319009</t>
    <phoneticPr fontId="1" type="noConversion"/>
  </si>
  <si>
    <t>B-1130319010</t>
    <phoneticPr fontId="1" type="noConversion"/>
  </si>
  <si>
    <t>9*30
5*1</t>
    <phoneticPr fontId="1" type="noConversion"/>
  </si>
  <si>
    <t>M3.25*24T*50L</t>
    <phoneticPr fontId="1" type="noConversion"/>
  </si>
  <si>
    <t>B-1130528013</t>
    <phoneticPr fontId="1" type="noConversion"/>
  </si>
  <si>
    <t>5*1</t>
    <phoneticPr fontId="1" type="noConversion"/>
  </si>
  <si>
    <t>B-1130514007</t>
    <phoneticPr fontId="1" type="noConversion"/>
  </si>
  <si>
    <t>12*1</t>
    <phoneticPr fontId="1" type="noConversion"/>
  </si>
  <si>
    <t>大鐵架 2-4-1前</t>
    <phoneticPr fontId="1" type="noConversion"/>
  </si>
  <si>
    <t>馬達齒輪</t>
    <phoneticPr fontId="1" type="noConversion"/>
  </si>
  <si>
    <t>M2.5T28W22L49.5</t>
    <phoneticPr fontId="1" type="noConversion"/>
  </si>
  <si>
    <t>B-1130328006</t>
    <phoneticPr fontId="1" type="noConversion"/>
  </si>
  <si>
    <t>25*1</t>
    <phoneticPr fontId="1" type="noConversion"/>
  </si>
  <si>
    <t>40*1</t>
    <phoneticPr fontId="1" type="noConversion"/>
  </si>
  <si>
    <t>未雷刻</t>
    <phoneticPr fontId="1" type="noConversion"/>
  </si>
  <si>
    <t>1*1</t>
    <phoneticPr fontId="1" type="noConversion"/>
  </si>
  <si>
    <t>馬達齒輪</t>
    <phoneticPr fontId="1" type="noConversion"/>
  </si>
  <si>
    <t>M2.5T24W22.5L58</t>
    <phoneticPr fontId="1" type="noConversion"/>
  </si>
  <si>
    <t>KBSH02125</t>
    <phoneticPr fontId="1" type="noConversion"/>
  </si>
  <si>
    <t>5*1</t>
    <phoneticPr fontId="1" type="noConversion"/>
  </si>
  <si>
    <t>B-1130513005</t>
    <phoneticPr fontId="1" type="noConversion"/>
  </si>
  <si>
    <t>免鍵軸襯-1.25"</t>
    <phoneticPr fontId="1" type="noConversion"/>
  </si>
  <si>
    <t>免鍵軸襯-1.4375"</t>
    <phoneticPr fontId="1" type="noConversion"/>
  </si>
  <si>
    <t>KBSH02143</t>
    <phoneticPr fontId="1" type="noConversion"/>
  </si>
  <si>
    <t>B-1130509009</t>
    <phoneticPr fontId="1" type="noConversion"/>
  </si>
  <si>
    <t>3*1</t>
    <phoneticPr fontId="1" type="noConversion"/>
  </si>
  <si>
    <t>B-1130516018</t>
    <phoneticPr fontId="1" type="noConversion"/>
  </si>
  <si>
    <t>4*1</t>
    <phoneticPr fontId="1" type="noConversion"/>
  </si>
  <si>
    <t>B-1130322004</t>
    <phoneticPr fontId="1" type="noConversion"/>
  </si>
  <si>
    <t>旋轉齒輪</t>
    <phoneticPr fontId="1" type="noConversion"/>
  </si>
  <si>
    <t>舊版本-鍵槽尺寸</t>
    <phoneticPr fontId="1" type="noConversion"/>
  </si>
  <si>
    <t>被動鍊輪</t>
    <phoneticPr fontId="1" type="noConversion"/>
  </si>
  <si>
    <t>GTA035-00200</t>
    <phoneticPr fontId="1" type="noConversion"/>
  </si>
  <si>
    <t>惰輪</t>
    <phoneticPr fontId="1" type="noConversion"/>
  </si>
  <si>
    <t>M1.5T35W16L20</t>
  </si>
  <si>
    <t>B-1130521005</t>
    <phoneticPr fontId="1" type="noConversion"/>
  </si>
  <si>
    <t>10*1</t>
    <phoneticPr fontId="1" type="noConversion"/>
  </si>
  <si>
    <t>B-1130216016</t>
    <phoneticPr fontId="1" type="noConversion"/>
  </si>
  <si>
    <t>5*1</t>
    <phoneticPr fontId="1" type="noConversion"/>
  </si>
  <si>
    <t>蝸桿齒輪</t>
    <phoneticPr fontId="1" type="noConversion"/>
  </si>
  <si>
    <t>M1.25T55W2626</t>
    <phoneticPr fontId="1" type="noConversion"/>
  </si>
  <si>
    <t>B-1130521020</t>
    <phoneticPr fontId="1" type="noConversion"/>
  </si>
  <si>
    <t>15*1</t>
    <phoneticPr fontId="1" type="noConversion"/>
  </si>
  <si>
    <t>B-1130607001</t>
    <phoneticPr fontId="1" type="noConversion"/>
  </si>
  <si>
    <t>B-1130424008</t>
    <phoneticPr fontId="1" type="noConversion"/>
  </si>
  <si>
    <t>B-1130626019</t>
    <phoneticPr fontId="1" type="noConversion"/>
  </si>
  <si>
    <t>B-1130509021</t>
    <phoneticPr fontId="1" type="noConversion"/>
  </si>
  <si>
    <t xml:space="preserve">齒輪軸 </t>
    <phoneticPr fontId="1" type="noConversion"/>
  </si>
  <si>
    <t>M2T20W31L131</t>
    <phoneticPr fontId="1" type="noConversion"/>
  </si>
  <si>
    <t>B-1130509019</t>
    <phoneticPr fontId="1" type="noConversion"/>
  </si>
  <si>
    <t>B-1130509020</t>
    <phoneticPr fontId="1" type="noConversion"/>
  </si>
  <si>
    <t>4-1-2 後</t>
    <phoneticPr fontId="1" type="noConversion"/>
  </si>
  <si>
    <t>4-2-2 後</t>
    <phoneticPr fontId="1" type="noConversion"/>
  </si>
  <si>
    <t>整棧</t>
    <phoneticPr fontId="1" type="noConversion"/>
  </si>
  <si>
    <t>同棧</t>
    <phoneticPr fontId="1" type="noConversion"/>
  </si>
  <si>
    <t>4-1-2 前</t>
    <phoneticPr fontId="1" type="noConversion"/>
  </si>
  <si>
    <t>B3-3</t>
    <phoneticPr fontId="1" type="noConversion"/>
  </si>
  <si>
    <t xml:space="preserve"> 三廠 架 1-2-3</t>
    <phoneticPr fontId="1" type="noConversion"/>
  </si>
  <si>
    <t>2-2-1後</t>
    <phoneticPr fontId="1" type="noConversion"/>
  </si>
  <si>
    <t>5-1-2後</t>
    <phoneticPr fontId="1" type="noConversion"/>
  </si>
  <si>
    <t>B-1130523018</t>
    <phoneticPr fontId="1" type="noConversion"/>
  </si>
  <si>
    <t>B-1130527008</t>
    <phoneticPr fontId="1" type="noConversion"/>
  </si>
  <si>
    <t>M3T49W20L22</t>
    <phoneticPr fontId="1" type="noConversion"/>
  </si>
  <si>
    <t>2*1/7*1</t>
    <phoneticPr fontId="1" type="noConversion"/>
  </si>
  <si>
    <t>B-1130425026</t>
    <phoneticPr fontId="1" type="noConversion"/>
  </si>
  <si>
    <t>KBSH12600</t>
    <phoneticPr fontId="1" type="noConversion"/>
  </si>
  <si>
    <t>KBSH12593</t>
    <phoneticPr fontId="1" type="noConversion"/>
  </si>
  <si>
    <t>KBSH12643</t>
    <phoneticPr fontId="1" type="noConversion"/>
  </si>
  <si>
    <t>KBSH12650</t>
    <phoneticPr fontId="1" type="noConversion"/>
  </si>
  <si>
    <t>KBSH12543</t>
    <phoneticPr fontId="1" type="noConversion"/>
  </si>
  <si>
    <t>免鍵軸襯-6"</t>
    <phoneticPr fontId="1" type="noConversion"/>
  </si>
  <si>
    <t>B-1130515019</t>
    <phoneticPr fontId="1" type="noConversion"/>
  </si>
  <si>
    <t>B-1130515018</t>
    <phoneticPr fontId="1" type="noConversion"/>
  </si>
  <si>
    <t>B-1130515020</t>
    <phoneticPr fontId="1" type="noConversion"/>
  </si>
  <si>
    <t>B-1130515021</t>
    <phoneticPr fontId="1" type="noConversion"/>
  </si>
  <si>
    <t>B-1130515017</t>
    <phoneticPr fontId="1" type="noConversion"/>
  </si>
  <si>
    <t>免鍵軸襯-5.9375"</t>
    <phoneticPr fontId="1" type="noConversion"/>
  </si>
  <si>
    <t>免鍵軸襯-6.4375"</t>
    <phoneticPr fontId="1" type="noConversion"/>
  </si>
  <si>
    <t>免鍵軸襯-6.5"</t>
    <phoneticPr fontId="1" type="noConversion"/>
  </si>
  <si>
    <t>免鍵軸襯-5.4374"</t>
    <phoneticPr fontId="1" type="noConversion"/>
  </si>
  <si>
    <t>大鐵架 3-1-1</t>
    <phoneticPr fontId="1" type="noConversion"/>
  </si>
  <si>
    <t>大鐵架 2-4-2</t>
    <phoneticPr fontId="1" type="noConversion"/>
  </si>
  <si>
    <t>大鐵架 2-4-1</t>
    <phoneticPr fontId="1" type="noConversion"/>
  </si>
  <si>
    <t>三廠 泡殼旁</t>
    <phoneticPr fontId="1" type="noConversion"/>
  </si>
  <si>
    <t>大鐵架 3-4-1</t>
    <phoneticPr fontId="1" type="noConversion"/>
  </si>
  <si>
    <t>2-2-1後</t>
    <phoneticPr fontId="1" type="noConversion"/>
  </si>
  <si>
    <t>C1/C2-箱</t>
  </si>
  <si>
    <t>C1/C2-箱</t>
    <phoneticPr fontId="1" type="noConversion"/>
  </si>
  <si>
    <t>大鐵架 4-1-1</t>
    <phoneticPr fontId="1" type="noConversion"/>
  </si>
  <si>
    <t xml:space="preserve">大鐵架 3-2-2 </t>
    <phoneticPr fontId="1" type="noConversion"/>
  </si>
  <si>
    <t>半成品僅齒研</t>
    <phoneticPr fontId="1" type="noConversion"/>
  </si>
  <si>
    <t>大鐵架 4-1-2</t>
    <phoneticPr fontId="1" type="noConversion"/>
  </si>
  <si>
    <t>A2-箱</t>
    <phoneticPr fontId="1" type="noConversion"/>
  </si>
  <si>
    <t>原位置</t>
    <phoneticPr fontId="1" type="noConversion"/>
  </si>
  <si>
    <t>大鐵架 3-1-2</t>
    <phoneticPr fontId="1" type="noConversion"/>
  </si>
  <si>
    <t>超正檢具</t>
    <phoneticPr fontId="1" type="noConversion"/>
  </si>
  <si>
    <t>MH80010</t>
    <phoneticPr fontId="1" type="noConversion"/>
  </si>
  <si>
    <t>MSCPG5-20A-33757-B</t>
    <phoneticPr fontId="1" type="noConversion"/>
  </si>
  <si>
    <t xml:space="preserve">大鐵架 3-1-1 </t>
    <phoneticPr fontId="1" type="noConversion"/>
  </si>
  <si>
    <t xml:space="preserve">大鐵架 2-3-1 </t>
    <phoneticPr fontId="1" type="noConversion"/>
  </si>
  <si>
    <t xml:space="preserve">大鐵架 2-3-1 </t>
    <phoneticPr fontId="1" type="noConversion"/>
  </si>
  <si>
    <t>大鐵架 2-3-1</t>
    <phoneticPr fontId="1" type="noConversion"/>
  </si>
  <si>
    <t>大鐵架 2-3-1</t>
    <phoneticPr fontId="1" type="noConversion"/>
  </si>
  <si>
    <t>大鐵架 2-4-1</t>
    <phoneticPr fontId="1" type="noConversion"/>
  </si>
  <si>
    <t>原位置</t>
    <phoneticPr fontId="1" type="noConversion"/>
  </si>
  <si>
    <t>共3組(組合件)</t>
    <phoneticPr fontId="1" type="noConversion"/>
  </si>
  <si>
    <t xml:space="preserve">大鐵架 1-3-2 </t>
    <phoneticPr fontId="1" type="noConversion"/>
  </si>
  <si>
    <t>同棧</t>
  </si>
  <si>
    <t>原位置</t>
    <phoneticPr fontId="1" type="noConversion"/>
  </si>
  <si>
    <t>大鐵架 3-4-2</t>
    <phoneticPr fontId="1" type="noConversion"/>
  </si>
  <si>
    <t>大鐵架 3-2-1</t>
    <phoneticPr fontId="1" type="noConversion"/>
  </si>
  <si>
    <t>大鐵架 3-3-1</t>
    <phoneticPr fontId="1" type="noConversion"/>
  </si>
  <si>
    <t xml:space="preserve">大鐵架 2-2-2 </t>
    <phoneticPr fontId="1" type="noConversion"/>
  </si>
  <si>
    <t>B-1130812002</t>
    <phoneticPr fontId="1" type="noConversion"/>
  </si>
  <si>
    <t>A1-箱</t>
    <phoneticPr fontId="1" type="noConversion"/>
  </si>
  <si>
    <t>A1-箱</t>
    <phoneticPr fontId="1" type="noConversion"/>
  </si>
  <si>
    <t>B-1130503013</t>
    <phoneticPr fontId="1" type="noConversion"/>
  </si>
  <si>
    <t>大鐵架 3-3-2</t>
  </si>
  <si>
    <t>大鐵架 3-3-2</t>
    <phoneticPr fontId="1" type="noConversion"/>
  </si>
  <si>
    <t xml:space="preserve">大鐵架 4-1-1 </t>
    <phoneticPr fontId="1" type="noConversion"/>
  </si>
  <si>
    <t>MI80005</t>
    <phoneticPr fontId="1" type="noConversion"/>
  </si>
  <si>
    <t>大鐵架 3-2-1</t>
    <phoneticPr fontId="1" type="noConversion"/>
  </si>
  <si>
    <t>齒輪</t>
    <phoneticPr fontId="1" type="noConversion"/>
  </si>
  <si>
    <t>上華無資料</t>
    <phoneticPr fontId="1" type="noConversion"/>
  </si>
  <si>
    <t>C4-箱</t>
    <phoneticPr fontId="1" type="noConversion"/>
  </si>
  <si>
    <t>大鐵架 2-1-2</t>
    <phoneticPr fontId="1" type="noConversion"/>
  </si>
  <si>
    <t>B-1130815006</t>
    <phoneticPr fontId="1" type="noConversion"/>
  </si>
  <si>
    <t>2097180110001</t>
    <phoneticPr fontId="1" type="noConversion"/>
  </si>
  <si>
    <t>B-1130802014</t>
  </si>
  <si>
    <t>M1.25T99W16L16</t>
    <phoneticPr fontId="1" type="noConversion"/>
  </si>
  <si>
    <t>B-1130802013</t>
    <phoneticPr fontId="1" type="noConversion"/>
  </si>
  <si>
    <t>KBSH10493</t>
    <phoneticPr fontId="1" type="noConversion"/>
  </si>
  <si>
    <t>C3-箱</t>
    <phoneticPr fontId="1" type="noConversion"/>
  </si>
  <si>
    <t>免鍵軸承#10-4.9375"</t>
    <phoneticPr fontId="1" type="noConversion"/>
  </si>
  <si>
    <t>B-1130624008</t>
    <phoneticPr fontId="1" type="noConversion"/>
  </si>
  <si>
    <t>B-1130812003</t>
    <phoneticPr fontId="1" type="noConversion"/>
  </si>
  <si>
    <t>B-1130719001</t>
    <phoneticPr fontId="1" type="noConversion"/>
  </si>
  <si>
    <t>大鐵架 2-2-1</t>
    <phoneticPr fontId="1" type="noConversion"/>
  </si>
  <si>
    <t>小齒輪</t>
    <phoneticPr fontId="1" type="noConversion"/>
  </si>
  <si>
    <t>M5T20W39L68</t>
    <phoneticPr fontId="1" type="noConversion"/>
  </si>
  <si>
    <t>B-1130719004</t>
    <phoneticPr fontId="1" type="noConversion"/>
  </si>
  <si>
    <t>3-4-1</t>
    <phoneticPr fontId="1" type="noConversion"/>
  </si>
  <si>
    <t>A4-箱 1</t>
    <phoneticPr fontId="1" type="noConversion"/>
  </si>
  <si>
    <t xml:space="preserve">大鐵架 2-1-1 </t>
    <phoneticPr fontId="1" type="noConversion"/>
  </si>
  <si>
    <t xml:space="preserve">大鐵架 2-1-2 </t>
    <phoneticPr fontId="1" type="noConversion"/>
  </si>
  <si>
    <t>大鐵架 5-1-1</t>
    <phoneticPr fontId="1" type="noConversion"/>
  </si>
  <si>
    <t>大鐵架 5-2-1</t>
    <phoneticPr fontId="1" type="noConversion"/>
  </si>
  <si>
    <t>大鐵架 5-2-2</t>
    <phoneticPr fontId="1" type="noConversion"/>
  </si>
  <si>
    <t>大鐵架 5-2-2</t>
    <phoneticPr fontId="1" type="noConversion"/>
  </si>
  <si>
    <t xml:space="preserve">大鐵架 2-2-1 </t>
    <phoneticPr fontId="1" type="noConversion"/>
  </si>
  <si>
    <t>C4-箱</t>
    <phoneticPr fontId="1" type="noConversion"/>
  </si>
  <si>
    <t>泳建</t>
    <phoneticPr fontId="1" type="noConversion"/>
  </si>
  <si>
    <t>齒輪</t>
    <phoneticPr fontId="1" type="noConversion"/>
  </si>
  <si>
    <t>3-4-2</t>
    <phoneticPr fontId="1" type="noConversion"/>
  </si>
  <si>
    <t>1*1</t>
    <phoneticPr fontId="1" type="noConversion"/>
  </si>
  <si>
    <t>4*1
1*1</t>
    <phoneticPr fontId="1" type="noConversion"/>
  </si>
  <si>
    <t>大四方箱*3</t>
    <phoneticPr fontId="1" type="noConversion"/>
  </si>
  <si>
    <t>B-1130617005</t>
    <phoneticPr fontId="1" type="noConversion"/>
  </si>
  <si>
    <t>2-3-1</t>
    <phoneticPr fontId="1" type="noConversion"/>
  </si>
  <si>
    <t>M2*30T*20W*64外20長</t>
    <phoneticPr fontId="1" type="noConversion"/>
  </si>
  <si>
    <t>從動輪</t>
    <phoneticPr fontId="1" type="noConversion"/>
  </si>
  <si>
    <t>B-1130815001</t>
    <phoneticPr fontId="1" type="noConversion"/>
  </si>
  <si>
    <t>14*1</t>
    <phoneticPr fontId="1" type="noConversion"/>
  </si>
  <si>
    <t>B-1130729014</t>
    <phoneticPr fontId="1" type="noConversion"/>
  </si>
  <si>
    <t>9-2105A</t>
    <phoneticPr fontId="1" type="noConversion"/>
  </si>
  <si>
    <t>大鐵架 1-2-1</t>
    <phoneticPr fontId="1" type="noConversion"/>
  </si>
  <si>
    <t>9-2105</t>
    <phoneticPr fontId="1" type="noConversion"/>
  </si>
  <si>
    <t>18-2115A</t>
    <phoneticPr fontId="1" type="noConversion"/>
  </si>
  <si>
    <t>8-2104</t>
    <phoneticPr fontId="1" type="noConversion"/>
  </si>
  <si>
    <t>12-2117</t>
    <phoneticPr fontId="1" type="noConversion"/>
  </si>
  <si>
    <t>組</t>
    <phoneticPr fontId="1" type="noConversion"/>
  </si>
  <si>
    <t>21-2232</t>
    <phoneticPr fontId="1" type="noConversion"/>
  </si>
  <si>
    <t>23-2131</t>
    <phoneticPr fontId="1" type="noConversion"/>
  </si>
  <si>
    <t>18-2115</t>
    <phoneticPr fontId="1" type="noConversion"/>
  </si>
  <si>
    <t>17-2114</t>
    <phoneticPr fontId="1" type="noConversion"/>
  </si>
  <si>
    <t>M2T20W12L60</t>
  </si>
  <si>
    <t>M2T40W12L16</t>
  </si>
  <si>
    <t>M2T26W12L24</t>
    <phoneticPr fontId="1" type="noConversion"/>
  </si>
  <si>
    <t>M2T55W12</t>
    <phoneticPr fontId="1" type="noConversion"/>
  </si>
  <si>
    <t>M2T52W12</t>
    <phoneticPr fontId="1" type="noConversion"/>
  </si>
  <si>
    <t>M2T46W12</t>
    <phoneticPr fontId="1" type="noConversion"/>
  </si>
  <si>
    <t>M2T32W12L36</t>
    <phoneticPr fontId="1" type="noConversion"/>
  </si>
  <si>
    <t>M2T42W22</t>
    <phoneticPr fontId="1" type="noConversion"/>
  </si>
  <si>
    <t>M2T45W12L36</t>
    <phoneticPr fontId="1" type="noConversion"/>
  </si>
  <si>
    <t>M2T32L44</t>
    <phoneticPr fontId="1" type="noConversion"/>
  </si>
  <si>
    <t>齒輪心軸</t>
    <phoneticPr fontId="1" type="noConversion"/>
  </si>
  <si>
    <r>
      <rPr>
        <sz val="12"/>
        <rFont val="Calibri"/>
        <family val="2"/>
        <charset val="161"/>
      </rPr>
      <t>Φ</t>
    </r>
    <r>
      <rPr>
        <sz val="12"/>
        <rFont val="Calibri"/>
        <family val="2"/>
      </rPr>
      <t>30L245</t>
    </r>
    <phoneticPr fontId="1" type="noConversion"/>
  </si>
  <si>
    <t>M2T45W12L24</t>
    <phoneticPr fontId="1" type="noConversion"/>
  </si>
  <si>
    <t>M2T42W10L26</t>
    <phoneticPr fontId="1" type="noConversion"/>
  </si>
  <si>
    <t>上華無資料</t>
    <phoneticPr fontId="1" type="noConversion"/>
  </si>
  <si>
    <t>B-1130719002</t>
    <phoneticPr fontId="1" type="noConversion"/>
  </si>
  <si>
    <t>KBSH05218</t>
    <phoneticPr fontId="1" type="noConversion"/>
  </si>
  <si>
    <t>免鍵軸襯-2.1875"</t>
    <phoneticPr fontId="1" type="noConversion"/>
  </si>
  <si>
    <t>花鍵齒輪</t>
    <phoneticPr fontId="1" type="noConversion"/>
  </si>
  <si>
    <t>M4T20W41L54</t>
    <phoneticPr fontId="1" type="noConversion"/>
  </si>
  <si>
    <t>MHSGH040020</t>
    <phoneticPr fontId="1" type="noConversion"/>
  </si>
  <si>
    <t>B-1130712001</t>
    <phoneticPr fontId="1" type="noConversion"/>
  </si>
  <si>
    <t>B-1130626020</t>
    <phoneticPr fontId="1" type="noConversion"/>
  </si>
  <si>
    <t>優先出貨2</t>
    <phoneticPr fontId="1" type="noConversion"/>
  </si>
  <si>
    <t>優先出貨1</t>
    <phoneticPr fontId="1" type="noConversion"/>
  </si>
  <si>
    <t>4-2-2</t>
    <phoneticPr fontId="1" type="noConversion"/>
  </si>
  <si>
    <t xml:space="preserve">大鐵架 4-2-2 </t>
    <phoneticPr fontId="1" type="noConversion"/>
  </si>
  <si>
    <t>大鐵架 4-2-1</t>
    <phoneticPr fontId="1" type="noConversion"/>
  </si>
  <si>
    <t>4-2-1後</t>
    <phoneticPr fontId="1" type="noConversion"/>
  </si>
  <si>
    <t>RC-97</t>
    <phoneticPr fontId="1" type="noConversion"/>
  </si>
  <si>
    <t>X軸傳動齒輪</t>
    <phoneticPr fontId="1" type="noConversion"/>
  </si>
  <si>
    <t>2M*14T*14L</t>
    <phoneticPr fontId="1" type="noConversion"/>
  </si>
  <si>
    <t>大鐵架 1-3-2</t>
    <phoneticPr fontId="1" type="noConversion"/>
  </si>
  <si>
    <t>上華無料號</t>
    <phoneticPr fontId="1" type="noConversion"/>
  </si>
  <si>
    <t>M6T42W50L188</t>
    <phoneticPr fontId="1" type="noConversion"/>
  </si>
  <si>
    <t>B-1130611006</t>
    <phoneticPr fontId="1" type="noConversion"/>
  </si>
  <si>
    <t>方孔齒輪</t>
    <phoneticPr fontId="1" type="noConversion"/>
  </si>
  <si>
    <t>M1T20W10L20</t>
    <phoneticPr fontId="1" type="noConversion"/>
  </si>
  <si>
    <t>B-1130611005</t>
    <phoneticPr fontId="1" type="noConversion"/>
  </si>
  <si>
    <t>KBSH04193</t>
    <phoneticPr fontId="1" type="noConversion"/>
  </si>
  <si>
    <t>免鍵軸襯-1.9375"</t>
    <phoneticPr fontId="1" type="noConversion"/>
  </si>
  <si>
    <t>B-1130719017</t>
    <phoneticPr fontId="1" type="noConversion"/>
  </si>
  <si>
    <t xml:space="preserve">大鐵架 4-2-1 </t>
    <phoneticPr fontId="1" type="noConversion"/>
  </si>
  <si>
    <t>大鐵架 4-2-2</t>
    <phoneticPr fontId="1" type="noConversion"/>
  </si>
  <si>
    <t xml:space="preserve">大鐵架 4-1-1 後 </t>
    <phoneticPr fontId="1" type="noConversion"/>
  </si>
  <si>
    <t>B-1130520014</t>
    <phoneticPr fontId="1" type="noConversion"/>
  </si>
  <si>
    <t>20+14</t>
    <phoneticPr fontId="1" type="noConversion"/>
  </si>
  <si>
    <t>B-1130520013</t>
    <phoneticPr fontId="1" type="noConversion"/>
  </si>
  <si>
    <t>22*3+30</t>
    <phoneticPr fontId="1" type="noConversion"/>
  </si>
  <si>
    <t>B-1130620004</t>
    <phoneticPr fontId="1" type="noConversion"/>
  </si>
  <si>
    <t>5*9</t>
    <phoneticPr fontId="1" type="noConversion"/>
  </si>
  <si>
    <t>優先出貨1</t>
    <phoneticPr fontId="1" type="noConversion"/>
  </si>
  <si>
    <t>50+52</t>
    <phoneticPr fontId="1" type="noConversion"/>
  </si>
  <si>
    <t>結合件(組)</t>
    <phoneticPr fontId="1" type="noConversion"/>
  </si>
  <si>
    <t>B-1130807003</t>
    <phoneticPr fontId="1" type="noConversion"/>
  </si>
  <si>
    <t>B-1130807002</t>
    <phoneticPr fontId="1" type="noConversion"/>
  </si>
  <si>
    <t>6*6+5*5</t>
    <phoneticPr fontId="1" type="noConversion"/>
  </si>
  <si>
    <t>B-1130805011</t>
    <phoneticPr fontId="1" type="noConversion"/>
  </si>
  <si>
    <t>24*5+10</t>
    <phoneticPr fontId="1" type="noConversion"/>
  </si>
  <si>
    <t>組合件
料號：GT-M2T5430</t>
    <phoneticPr fontId="1" type="noConversion"/>
  </si>
  <si>
    <t>同棧</t>
    <phoneticPr fontId="1" type="noConversion"/>
  </si>
  <si>
    <t>大鐵架 4-4-1</t>
    <phoneticPr fontId="1" type="noConversion"/>
  </si>
  <si>
    <t>B-1130902001</t>
    <phoneticPr fontId="1" type="noConversion"/>
  </si>
  <si>
    <t>M1.25*15T23W56L</t>
    <phoneticPr fontId="1" type="noConversion"/>
  </si>
  <si>
    <t>B-1090806008</t>
    <phoneticPr fontId="1" type="noConversion"/>
  </si>
  <si>
    <t>油壓軸</t>
    <phoneticPr fontId="1" type="noConversion"/>
  </si>
  <si>
    <t>M3W49.5L251</t>
    <phoneticPr fontId="1" type="noConversion"/>
  </si>
  <si>
    <t>B-1130821004</t>
    <phoneticPr fontId="1" type="noConversion"/>
  </si>
  <si>
    <t>B-1130815017</t>
    <phoneticPr fontId="1" type="noConversion"/>
  </si>
  <si>
    <t>B-1130923004</t>
    <phoneticPr fontId="1" type="noConversion"/>
  </si>
  <si>
    <t>B-1130904016</t>
    <phoneticPr fontId="1" type="noConversion"/>
  </si>
  <si>
    <t>B-1130805012</t>
    <phoneticPr fontId="1" type="noConversion"/>
  </si>
  <si>
    <t>寶嘉誠料號有做調整
數量以實際為主</t>
    <phoneticPr fontId="1" type="noConversion"/>
  </si>
  <si>
    <t>A2-3</t>
    <phoneticPr fontId="1" type="noConversion"/>
  </si>
  <si>
    <t>B-1130910003</t>
    <phoneticPr fontId="1" type="noConversion"/>
  </si>
  <si>
    <t>25*1</t>
    <phoneticPr fontId="1" type="noConversion"/>
  </si>
  <si>
    <t>優先出貨1</t>
    <phoneticPr fontId="1" type="noConversion"/>
  </si>
  <si>
    <t>B-1130715005</t>
    <phoneticPr fontId="1" type="noConversion"/>
  </si>
  <si>
    <t>齒輪</t>
    <phoneticPr fontId="1" type="noConversion"/>
  </si>
  <si>
    <t>M1.25T54W20L35</t>
    <phoneticPr fontId="1" type="noConversion"/>
  </si>
  <si>
    <t>B-1131018004</t>
    <phoneticPr fontId="1" type="noConversion"/>
  </si>
  <si>
    <t>5*1</t>
    <phoneticPr fontId="1" type="noConversion"/>
  </si>
  <si>
    <t>優先出貨2</t>
    <phoneticPr fontId="1" type="noConversion"/>
  </si>
  <si>
    <t>外徑有傷-優先出</t>
    <phoneticPr fontId="1" type="noConversion"/>
  </si>
  <si>
    <t>優先出貨2</t>
    <phoneticPr fontId="1" type="noConversion"/>
  </si>
  <si>
    <t>B-1130805013</t>
    <phoneticPr fontId="1" type="noConversion"/>
  </si>
  <si>
    <t>以加工圖為主</t>
    <phoneticPr fontId="1" type="noConversion"/>
  </si>
  <si>
    <t>優先出貨2</t>
    <phoneticPr fontId="1" type="noConversion"/>
  </si>
  <si>
    <t>B-1130926010</t>
    <phoneticPr fontId="1" type="noConversion"/>
  </si>
  <si>
    <t>1*1</t>
    <phoneticPr fontId="1" type="noConversion"/>
  </si>
  <si>
    <t>KBSH05243</t>
    <phoneticPr fontId="1" type="noConversion"/>
  </si>
  <si>
    <t>免鍵軸襯-2.4375"</t>
    <phoneticPr fontId="1" type="noConversion"/>
  </si>
  <si>
    <t>B-1130925007</t>
    <phoneticPr fontId="1" type="noConversion"/>
  </si>
  <si>
    <t>M240T15WL23</t>
  </si>
  <si>
    <t>MI32012-A</t>
    <phoneticPr fontId="1" type="noConversion"/>
  </si>
  <si>
    <t>主動齒輪</t>
    <phoneticPr fontId="1" type="noConversion"/>
  </si>
  <si>
    <t>B-1131024012</t>
    <phoneticPr fontId="1" type="noConversion"/>
  </si>
  <si>
    <t>HIB0006-A</t>
    <phoneticPr fontId="1" type="noConversion"/>
  </si>
  <si>
    <t>大鐵架 4-2-1</t>
    <phoneticPr fontId="1" type="noConversion"/>
  </si>
  <si>
    <t>無資料</t>
    <phoneticPr fontId="1" type="noConversion"/>
  </si>
  <si>
    <t>B-1130314001</t>
    <phoneticPr fontId="1" type="noConversion"/>
  </si>
  <si>
    <t>5*1
3*1</t>
    <phoneticPr fontId="1" type="noConversion"/>
  </si>
  <si>
    <t>B-1131108014</t>
    <phoneticPr fontId="1" type="noConversion"/>
  </si>
  <si>
    <t>6*1</t>
    <phoneticPr fontId="1" type="noConversion"/>
  </si>
  <si>
    <t>B-1130904015</t>
    <phoneticPr fontId="1" type="noConversion"/>
  </si>
  <si>
    <t>大鐵架 3-1-1</t>
    <phoneticPr fontId="1" type="noConversion"/>
  </si>
  <si>
    <t>8YU-63齒時規皮帶輪</t>
    <phoneticPr fontId="1" type="noConversion"/>
  </si>
  <si>
    <t>OD159.06T63W26.7L33</t>
    <phoneticPr fontId="1" type="noConversion"/>
  </si>
  <si>
    <t>B-1131202001</t>
    <phoneticPr fontId="1" type="noConversion"/>
  </si>
  <si>
    <t>3*1</t>
    <phoneticPr fontId="1" type="noConversion"/>
  </si>
  <si>
    <t xml:space="preserve">8YU-48齒時規皮帶輪 </t>
    <phoneticPr fontId="1" type="noConversion"/>
  </si>
  <si>
    <t>OD120.8T48W26.7L33</t>
    <phoneticPr fontId="1" type="noConversion"/>
  </si>
  <si>
    <t>4*1</t>
    <phoneticPr fontId="1" type="noConversion"/>
  </si>
  <si>
    <t>B-1131202003</t>
    <phoneticPr fontId="1" type="noConversion"/>
  </si>
  <si>
    <t>8YU-28T時規皮帶輪</t>
    <phoneticPr fontId="1" type="noConversion"/>
  </si>
  <si>
    <t>OD69.9T28W26.7L33</t>
    <phoneticPr fontId="1" type="noConversion"/>
  </si>
  <si>
    <t>B-1131202005</t>
    <phoneticPr fontId="1" type="noConversion"/>
  </si>
  <si>
    <t>5*1</t>
    <phoneticPr fontId="1" type="noConversion"/>
  </si>
  <si>
    <t>大鐵架 2-2-2 前</t>
  </si>
  <si>
    <t>2-2-2 前</t>
    <phoneticPr fontId="1" type="noConversion"/>
  </si>
  <si>
    <t>5-1-2</t>
    <phoneticPr fontId="1" type="noConversion"/>
  </si>
  <si>
    <t>44*3
18*1</t>
    <phoneticPr fontId="1" type="noConversion"/>
  </si>
  <si>
    <t>組合件</t>
    <phoneticPr fontId="1" type="noConversion"/>
  </si>
  <si>
    <t>B-1131015009</t>
    <phoneticPr fontId="1" type="noConversion"/>
  </si>
  <si>
    <t>B-1131023001</t>
    <phoneticPr fontId="1" type="noConversion"/>
  </si>
  <si>
    <t>B-1130923008</t>
    <phoneticPr fontId="1" type="noConversion"/>
  </si>
  <si>
    <t>B-1130905002*3
B-1131028007*1</t>
    <phoneticPr fontId="1" type="noConversion"/>
  </si>
  <si>
    <t>3*1
1*1</t>
    <phoneticPr fontId="1" type="noConversion"/>
  </si>
  <si>
    <t>馬達齒輪</t>
    <phoneticPr fontId="1" type="noConversion"/>
  </si>
  <si>
    <t>M1.25T36W22L56</t>
    <phoneticPr fontId="1" type="noConversion"/>
  </si>
  <si>
    <t>B-1131022006</t>
    <phoneticPr fontId="1" type="noConversion"/>
  </si>
  <si>
    <t>8*1</t>
    <phoneticPr fontId="1" type="noConversion"/>
  </si>
  <si>
    <t>B-1131018006</t>
    <phoneticPr fontId="1" type="noConversion"/>
  </si>
  <si>
    <t>10*1</t>
    <phoneticPr fontId="1" type="noConversion"/>
  </si>
  <si>
    <t>4*1
5*1</t>
    <phoneticPr fontId="1" type="noConversion"/>
  </si>
  <si>
    <t>大鐵架 3-2-1</t>
    <phoneticPr fontId="1" type="noConversion"/>
  </si>
  <si>
    <t>大鐵架3-1-2 前</t>
    <phoneticPr fontId="1" type="noConversion"/>
  </si>
  <si>
    <t>1*1</t>
    <phoneticPr fontId="1" type="noConversion"/>
  </si>
  <si>
    <t>B-1071002016</t>
    <phoneticPr fontId="1" type="noConversion"/>
  </si>
  <si>
    <t>11*1</t>
    <phoneticPr fontId="1" type="noConversion"/>
  </si>
  <si>
    <r>
      <rPr>
        <sz val="12"/>
        <rFont val="Calibri"/>
        <family val="1"/>
        <charset val="161"/>
      </rPr>
      <t>φ</t>
    </r>
    <r>
      <rPr>
        <sz val="12"/>
        <rFont val="新細明體"/>
        <family val="1"/>
        <charset val="136"/>
        <scheme val="minor"/>
      </rPr>
      <t>190</t>
    </r>
    <phoneticPr fontId="1" type="noConversion"/>
  </si>
  <si>
    <t>大鐵架 2-3-2</t>
    <phoneticPr fontId="1" type="noConversion"/>
  </si>
  <si>
    <t>優先出貨1</t>
    <phoneticPr fontId="1" type="noConversion"/>
  </si>
  <si>
    <t>優先出貨2</t>
    <phoneticPr fontId="1" type="noConversion"/>
  </si>
  <si>
    <t>8YU-35T時規皮帶輪</t>
    <phoneticPr fontId="1" type="noConversion"/>
  </si>
  <si>
    <t>OD89.63T35W26.7L33</t>
    <phoneticPr fontId="1" type="noConversion"/>
  </si>
  <si>
    <t>B-1131224016</t>
    <phoneticPr fontId="1" type="noConversion"/>
  </si>
  <si>
    <t>5*1</t>
    <phoneticPr fontId="1" type="noConversion"/>
  </si>
  <si>
    <t>B-1131111004</t>
    <phoneticPr fontId="1" type="noConversion"/>
  </si>
  <si>
    <t>16*1</t>
    <phoneticPr fontId="1" type="noConversion"/>
  </si>
  <si>
    <t>B-1130812018</t>
    <phoneticPr fontId="1" type="noConversion"/>
  </si>
  <si>
    <t>54*1
44*1</t>
    <phoneticPr fontId="1" type="noConversion"/>
  </si>
  <si>
    <t>B-1130923005</t>
    <phoneticPr fontId="1" type="noConversion"/>
  </si>
  <si>
    <t>10*1</t>
    <phoneticPr fontId="1" type="noConversion"/>
  </si>
  <si>
    <t>4-1-1</t>
    <phoneticPr fontId="1" type="noConversion"/>
  </si>
  <si>
    <t>4-2-2</t>
    <phoneticPr fontId="1" type="noConversion"/>
  </si>
  <si>
    <r>
      <rPr>
        <sz val="12"/>
        <color theme="1"/>
        <rFont val="Calibri"/>
        <family val="2"/>
        <charset val="161"/>
      </rPr>
      <t>φ</t>
    </r>
    <r>
      <rPr>
        <sz val="12"/>
        <color theme="1"/>
        <rFont val="新細明體"/>
        <family val="2"/>
        <charset val="136"/>
        <scheme val="minor"/>
      </rPr>
      <t>42.5*418.1</t>
    </r>
    <phoneticPr fontId="1" type="noConversion"/>
  </si>
  <si>
    <t>與霄特同棧</t>
    <phoneticPr fontId="1" type="noConversion"/>
  </si>
  <si>
    <t>B-1131215015</t>
    <phoneticPr fontId="1" type="noConversion"/>
  </si>
  <si>
    <t>2*1</t>
    <phoneticPr fontId="1" type="noConversion"/>
  </si>
  <si>
    <t>B-1130523015</t>
    <phoneticPr fontId="1" type="noConversion"/>
  </si>
  <si>
    <t>B-1130920010</t>
    <phoneticPr fontId="1" type="noConversion"/>
  </si>
  <si>
    <t>B-1130920012</t>
    <phoneticPr fontId="1" type="noConversion"/>
  </si>
  <si>
    <t>B-1131218020</t>
    <phoneticPr fontId="1" type="noConversion"/>
  </si>
  <si>
    <t>5*2
4*1</t>
    <phoneticPr fontId="1" type="noConversion"/>
  </si>
  <si>
    <t>馬達齒輪</t>
    <phoneticPr fontId="1" type="noConversion"/>
  </si>
  <si>
    <t>M4T20W30L50</t>
    <phoneticPr fontId="1" type="noConversion"/>
  </si>
  <si>
    <t>B-1131125011</t>
    <phoneticPr fontId="1" type="noConversion"/>
  </si>
  <si>
    <t>20*1
18*1</t>
    <phoneticPr fontId="1" type="noConversion"/>
  </si>
  <si>
    <t>4-1-1後</t>
    <phoneticPr fontId="1" type="noConversion"/>
  </si>
  <si>
    <t>優先出貨2</t>
    <phoneticPr fontId="1" type="noConversion"/>
  </si>
  <si>
    <t>280*2
135*1</t>
    <phoneticPr fontId="1" type="noConversion"/>
  </si>
  <si>
    <t>192*1</t>
    <phoneticPr fontId="1" type="noConversion"/>
  </si>
  <si>
    <t>187*1</t>
    <phoneticPr fontId="1" type="noConversion"/>
  </si>
  <si>
    <t>B-1131202009</t>
    <phoneticPr fontId="1" type="noConversion"/>
  </si>
  <si>
    <t>27*1</t>
    <phoneticPr fontId="1" type="noConversion"/>
  </si>
  <si>
    <t>B-1130611005</t>
  </si>
  <si>
    <t>B-1130611007</t>
    <phoneticPr fontId="1" type="noConversion"/>
  </si>
  <si>
    <t>一廠 架 5-1-2</t>
  </si>
  <si>
    <t>齒輪心軸</t>
    <phoneticPr fontId="1" type="noConversion"/>
  </si>
  <si>
    <r>
      <rPr>
        <sz val="12"/>
        <rFont val="Calibri"/>
        <family val="1"/>
      </rPr>
      <t>φ</t>
    </r>
    <r>
      <rPr>
        <sz val="12"/>
        <rFont val="新細明體"/>
        <family val="1"/>
        <charset val="161"/>
        <scheme val="minor"/>
      </rPr>
      <t>38*355</t>
    </r>
    <phoneticPr fontId="1" type="noConversion"/>
  </si>
  <si>
    <t>一廠 架4-3-2</t>
    <phoneticPr fontId="1" type="noConversion"/>
  </si>
  <si>
    <t>一廠 架5-1-1</t>
    <phoneticPr fontId="1" type="noConversion"/>
  </si>
  <si>
    <t>一廠 架3-1-2</t>
  </si>
  <si>
    <t>一廠 架3-1-2</t>
    <phoneticPr fontId="1" type="noConversion"/>
  </si>
  <si>
    <t>B-1130327019</t>
    <phoneticPr fontId="1" type="noConversion"/>
  </si>
  <si>
    <t>料號待判</t>
    <phoneticPr fontId="1" type="noConversion"/>
  </si>
  <si>
    <t>大鐵架 2-3-2前後</t>
    <phoneticPr fontId="1" type="noConversion"/>
  </si>
  <si>
    <t>位置有誤</t>
    <phoneticPr fontId="1" type="noConversion"/>
  </si>
  <si>
    <t>大鐵架 4-3-1 前</t>
    <phoneticPr fontId="1" type="noConversion"/>
  </si>
  <si>
    <t>一廠 架 4-2-2</t>
    <phoneticPr fontId="1" type="noConversion"/>
  </si>
  <si>
    <t>一廠 架  2-3-1</t>
    <phoneticPr fontId="1" type="noConversion"/>
  </si>
  <si>
    <t>同棧</t>
    <phoneticPr fontId="1" type="noConversion"/>
  </si>
  <si>
    <t>一廠 架 5-4-3</t>
  </si>
  <si>
    <t>一廠 架 5-4-3</t>
    <phoneticPr fontId="1" type="noConversion"/>
  </si>
  <si>
    <t>一廠 架4-2-1</t>
  </si>
  <si>
    <t>一廠 架4-2-1</t>
    <phoneticPr fontId="1" type="noConversion"/>
  </si>
  <si>
    <t>一廠 架 2-2-2</t>
    <phoneticPr fontId="1" type="noConversion"/>
  </si>
  <si>
    <t>一廠 架 3-2-2</t>
    <phoneticPr fontId="1" type="noConversion"/>
  </si>
  <si>
    <t>位置有變</t>
    <phoneticPr fontId="1" type="noConversion"/>
  </si>
  <si>
    <t>M4T40W30L53</t>
    <phoneticPr fontId="1" type="noConversion"/>
  </si>
  <si>
    <t>B-1131213011</t>
    <phoneticPr fontId="1" type="noConversion"/>
  </si>
  <si>
    <t>馬達齒輪</t>
    <phoneticPr fontId="1" type="noConversion"/>
  </si>
  <si>
    <t>M2.5T26W27L28</t>
    <phoneticPr fontId="1" type="noConversion"/>
  </si>
  <si>
    <t>B-1131217009</t>
    <phoneticPr fontId="1" type="noConversion"/>
  </si>
  <si>
    <t>M4T20W29L53</t>
    <phoneticPr fontId="1" type="noConversion"/>
  </si>
  <si>
    <t>B-1131213013</t>
    <phoneticPr fontId="1" type="noConversion"/>
  </si>
  <si>
    <t>B-1131223009</t>
    <phoneticPr fontId="1" type="noConversion"/>
  </si>
  <si>
    <t>M4*28T*31L</t>
    <phoneticPr fontId="1" type="noConversion"/>
  </si>
  <si>
    <t>惰齒輪</t>
    <phoneticPr fontId="1" type="noConversion"/>
  </si>
  <si>
    <t>A3-5</t>
    <phoneticPr fontId="1" type="noConversion"/>
  </si>
  <si>
    <t>2-2-2前</t>
    <phoneticPr fontId="1" type="noConversion"/>
  </si>
  <si>
    <t>M2T30W18L25</t>
    <phoneticPr fontId="1" type="noConversion"/>
  </si>
  <si>
    <t>B-1140213001</t>
    <phoneticPr fontId="1" type="noConversion"/>
  </si>
  <si>
    <t>29*1</t>
    <phoneticPr fontId="1" type="noConversion"/>
  </si>
  <si>
    <t>M4T22W29.5L30</t>
    <phoneticPr fontId="1" type="noConversion"/>
  </si>
  <si>
    <t>7*1</t>
    <phoneticPr fontId="1" type="noConversion"/>
  </si>
  <si>
    <t>B-1131213012</t>
    <phoneticPr fontId="1" type="noConversion"/>
  </si>
  <si>
    <t>鍊輪</t>
    <phoneticPr fontId="1" type="noConversion"/>
  </si>
  <si>
    <t>OD109.76T20</t>
    <phoneticPr fontId="1" type="noConversion"/>
  </si>
  <si>
    <t>B-1140205013</t>
    <phoneticPr fontId="1" type="noConversion"/>
  </si>
  <si>
    <t>實際 6006002591</t>
    <phoneticPr fontId="1" type="noConversion"/>
  </si>
  <si>
    <t>M2.5T52W20L26</t>
    <phoneticPr fontId="1" type="noConversion"/>
  </si>
  <si>
    <t>B-1131213010</t>
    <phoneticPr fontId="1" type="noConversion"/>
  </si>
  <si>
    <t>2-2-1前</t>
    <phoneticPr fontId="1" type="noConversion"/>
  </si>
  <si>
    <t>B-1131202010</t>
    <phoneticPr fontId="1" type="noConversion"/>
  </si>
  <si>
    <t>22*1</t>
    <phoneticPr fontId="1" type="noConversion"/>
  </si>
  <si>
    <t>優先出貨2</t>
    <phoneticPr fontId="1" type="noConversion"/>
  </si>
  <si>
    <t>優先出貨1</t>
    <phoneticPr fontId="1" type="noConversion"/>
  </si>
  <si>
    <t>B-1131128006</t>
    <phoneticPr fontId="1" type="noConversion"/>
  </si>
  <si>
    <t>M4T18W34L48</t>
    <phoneticPr fontId="1" type="noConversion"/>
  </si>
  <si>
    <t>2*1</t>
    <phoneticPr fontId="1" type="noConversion"/>
  </si>
  <si>
    <t>B-1131218020</t>
    <phoneticPr fontId="1" type="noConversion"/>
  </si>
  <si>
    <t>正齒輪</t>
    <phoneticPr fontId="1" type="noConversion"/>
  </si>
  <si>
    <t>M1.5T32W32</t>
    <phoneticPr fontId="1" type="noConversion"/>
  </si>
  <si>
    <t>B-1131127004</t>
    <phoneticPr fontId="1" type="noConversion"/>
  </si>
  <si>
    <t>9*1</t>
    <phoneticPr fontId="1" type="noConversion"/>
  </si>
  <si>
    <t>大鐵架 1-2-2 前</t>
    <phoneticPr fontId="1" type="noConversion"/>
  </si>
  <si>
    <t>TR54017</t>
    <phoneticPr fontId="1" type="noConversion"/>
  </si>
  <si>
    <t>T45W32L32</t>
  </si>
  <si>
    <t>B-1131022002</t>
    <phoneticPr fontId="1" type="noConversion"/>
  </si>
  <si>
    <t>12+8</t>
    <phoneticPr fontId="1" type="noConversion"/>
  </si>
  <si>
    <t>B-1131120003</t>
    <phoneticPr fontId="1" type="noConversion"/>
  </si>
  <si>
    <t>5*6</t>
    <phoneticPr fontId="1" type="noConversion"/>
  </si>
  <si>
    <t>1*1</t>
    <phoneticPr fontId="1" type="noConversion"/>
  </si>
  <si>
    <t>107-2</t>
    <phoneticPr fontId="1" type="noConversion"/>
  </si>
  <si>
    <t>B齒輪軸</t>
    <phoneticPr fontId="1" type="noConversion"/>
  </si>
  <si>
    <t>M2.5T12W18L184</t>
    <phoneticPr fontId="1" type="noConversion"/>
  </si>
  <si>
    <t>B軸變速齒輪</t>
    <phoneticPr fontId="1" type="noConversion"/>
  </si>
  <si>
    <t>M2.5T22W18L46</t>
    <phoneticPr fontId="1" type="noConversion"/>
  </si>
  <si>
    <t>B軸變速齒輪2</t>
    <phoneticPr fontId="1" type="noConversion"/>
  </si>
  <si>
    <t>M2.5T39W13L13</t>
    <phoneticPr fontId="1" type="noConversion"/>
  </si>
  <si>
    <t>B軸變速齒輪3</t>
    <phoneticPr fontId="1" type="noConversion"/>
  </si>
  <si>
    <t>M2.5T31W11.5L15</t>
    <phoneticPr fontId="1" type="noConversion"/>
  </si>
  <si>
    <t>1*1
3*1</t>
    <phoneticPr fontId="1" type="noConversion"/>
  </si>
  <si>
    <t xml:space="preserve"> </t>
    <phoneticPr fontId="1" type="noConversion"/>
  </si>
  <si>
    <t>數量有誤</t>
    <phoneticPr fontId="1" type="noConversion"/>
  </si>
  <si>
    <t>大鐵架 1-3-2後</t>
    <phoneticPr fontId="1" type="noConversion"/>
  </si>
  <si>
    <t>220-無品號</t>
    <phoneticPr fontId="1" type="noConversion"/>
  </si>
  <si>
    <t>大鐵架1-1-1</t>
    <phoneticPr fontId="1" type="noConversion"/>
  </si>
  <si>
    <t>優先出貨</t>
    <phoneticPr fontId="1" type="noConversion"/>
  </si>
  <si>
    <t>2-1-2前</t>
    <phoneticPr fontId="1" type="noConversion"/>
  </si>
  <si>
    <t>1-3-1</t>
    <phoneticPr fontId="1" type="noConversion"/>
  </si>
  <si>
    <t>大鐵架 1-4-1</t>
    <phoneticPr fontId="1" type="noConversion"/>
  </si>
  <si>
    <t>與業務參展文具-同棧</t>
    <phoneticPr fontId="1" type="noConversion"/>
  </si>
  <si>
    <t>1 棧板</t>
    <phoneticPr fontId="1" type="noConversion"/>
  </si>
  <si>
    <t>尚未尋獲工件</t>
    <phoneticPr fontId="1" type="noConversion"/>
  </si>
  <si>
    <t>一廠 架1-3-1</t>
    <phoneticPr fontId="1" type="noConversion"/>
  </si>
  <si>
    <t>馬達齒輪</t>
    <phoneticPr fontId="1" type="noConversion"/>
  </si>
  <si>
    <t>M1.25T36W22L30</t>
    <phoneticPr fontId="1" type="noConversion"/>
  </si>
  <si>
    <t>1*1</t>
    <phoneticPr fontId="1" type="noConversion"/>
  </si>
  <si>
    <t>MN25016</t>
    <phoneticPr fontId="1" type="noConversion"/>
  </si>
  <si>
    <t>大鐵架 4-1-1 前</t>
    <phoneticPr fontId="1" type="noConversion"/>
  </si>
  <si>
    <t>齒輪</t>
    <phoneticPr fontId="1" type="noConversion"/>
  </si>
  <si>
    <t>M2T37W18L20</t>
    <phoneticPr fontId="1" type="noConversion"/>
  </si>
  <si>
    <t>B-1140204016</t>
    <phoneticPr fontId="1" type="noConversion"/>
  </si>
  <si>
    <t>33*1</t>
    <phoneticPr fontId="1" type="noConversion"/>
  </si>
  <si>
    <t>HH02-HB50060-306000D</t>
    <phoneticPr fontId="1" type="noConversion"/>
  </si>
  <si>
    <t>10*1
6*1</t>
    <phoneticPr fontId="1" type="noConversion"/>
  </si>
  <si>
    <t>M5T16W30L50</t>
    <phoneticPr fontId="1" type="noConversion"/>
  </si>
  <si>
    <t>DB-2</t>
    <phoneticPr fontId="1" type="noConversion"/>
  </si>
  <si>
    <t>2M*70T</t>
    <phoneticPr fontId="1" type="noConversion"/>
  </si>
  <si>
    <t>GT2036-00100</t>
    <phoneticPr fontId="1" type="noConversion"/>
  </si>
  <si>
    <t>大鐵架 4-1-1 後</t>
    <phoneticPr fontId="1" type="noConversion"/>
  </si>
  <si>
    <t>M2T36W15L40</t>
    <phoneticPr fontId="1" type="noConversion"/>
  </si>
  <si>
    <t>B-1131226007</t>
    <phoneticPr fontId="1" type="noConversion"/>
  </si>
  <si>
    <t>JKGA01715R</t>
    <phoneticPr fontId="1" type="noConversion"/>
  </si>
  <si>
    <t>一廠 架 2-2-2</t>
    <phoneticPr fontId="1" type="noConversion"/>
  </si>
  <si>
    <t>大鐵架 5-2-2後</t>
    <phoneticPr fontId="1" type="noConversion"/>
  </si>
  <si>
    <t>72*1</t>
    <phoneticPr fontId="1" type="noConversion"/>
  </si>
  <si>
    <t>JKGASS17R2</t>
    <phoneticPr fontId="1" type="noConversion"/>
  </si>
  <si>
    <t>M0.8*17T*310L</t>
    <phoneticPr fontId="1" type="noConversion"/>
  </si>
  <si>
    <t>1P齒軸</t>
    <phoneticPr fontId="1" type="noConversion"/>
  </si>
  <si>
    <t>45*1</t>
    <phoneticPr fontId="1" type="noConversion"/>
  </si>
  <si>
    <t>DD-3</t>
    <phoneticPr fontId="1" type="noConversion"/>
  </si>
  <si>
    <t>2M*45T</t>
    <phoneticPr fontId="1" type="noConversion"/>
  </si>
  <si>
    <t>大鐵架 3-1-2 前</t>
    <phoneticPr fontId="1" type="noConversion"/>
  </si>
  <si>
    <t>M1.25T36W21L56</t>
    <phoneticPr fontId="1" type="noConversion"/>
  </si>
  <si>
    <t>B-1140227020</t>
    <phoneticPr fontId="1" type="noConversion"/>
  </si>
  <si>
    <t>28*1</t>
    <phoneticPr fontId="1" type="noConversion"/>
  </si>
  <si>
    <t>3*1
2*1</t>
    <phoneticPr fontId="1" type="noConversion"/>
  </si>
  <si>
    <t>45*3
15*1
9*1</t>
    <phoneticPr fontId="1" type="noConversion"/>
  </si>
  <si>
    <t>MN25019</t>
    <phoneticPr fontId="1" type="noConversion"/>
  </si>
  <si>
    <t>B-1140225006</t>
    <phoneticPr fontId="1" type="noConversion"/>
  </si>
  <si>
    <t>40*1
12*1</t>
    <phoneticPr fontId="1" type="noConversion"/>
  </si>
  <si>
    <t>M2T45W15L23</t>
    <phoneticPr fontId="1" type="noConversion"/>
  </si>
  <si>
    <t>主動鍊輪</t>
    <phoneticPr fontId="1" type="noConversion"/>
  </si>
  <si>
    <t>φ229.57T21</t>
    <phoneticPr fontId="1" type="noConversion"/>
  </si>
  <si>
    <t>B-1140217004</t>
    <phoneticPr fontId="1" type="noConversion"/>
  </si>
  <si>
    <t>B-1140109025</t>
    <phoneticPr fontId="1" type="noConversion"/>
  </si>
  <si>
    <t>M1.25*36T22W30L</t>
    <phoneticPr fontId="1" type="noConversion"/>
  </si>
  <si>
    <t>200*2</t>
    <phoneticPr fontId="1" type="noConversion"/>
  </si>
  <si>
    <t>MN32017-A</t>
    <phoneticPr fontId="1" type="noConversion"/>
  </si>
  <si>
    <t>12*1</t>
    <phoneticPr fontId="1" type="noConversion"/>
  </si>
  <si>
    <t>M2T54W15</t>
    <phoneticPr fontId="1" type="noConversion"/>
  </si>
  <si>
    <t>優先出貨1</t>
    <phoneticPr fontId="1" type="noConversion"/>
  </si>
  <si>
    <t>優先1</t>
    <phoneticPr fontId="1" type="noConversion"/>
  </si>
  <si>
    <t>優先2</t>
    <phoneticPr fontId="1" type="noConversion"/>
  </si>
  <si>
    <t>優先出貨4</t>
    <phoneticPr fontId="1" type="noConversion"/>
  </si>
  <si>
    <t>優先出貨5</t>
    <phoneticPr fontId="1" type="noConversion"/>
  </si>
  <si>
    <t>4*1</t>
    <phoneticPr fontId="1" type="noConversion"/>
  </si>
  <si>
    <t>1*1</t>
    <phoneticPr fontId="1" type="noConversion"/>
  </si>
  <si>
    <t>大鐵架 1-3-2前後</t>
    <phoneticPr fontId="1" type="noConversion"/>
  </si>
  <si>
    <t>優先出貨1</t>
    <phoneticPr fontId="1" type="noConversion"/>
  </si>
  <si>
    <t>優先出貨2</t>
    <phoneticPr fontId="1" type="noConversion"/>
  </si>
  <si>
    <t>10*10</t>
    <phoneticPr fontId="1" type="noConversion"/>
  </si>
  <si>
    <t>B-1131213014</t>
    <phoneticPr fontId="1" type="noConversion"/>
  </si>
  <si>
    <t>B-1131226008</t>
    <phoneticPr fontId="1" type="noConversion"/>
  </si>
  <si>
    <t>30*2+10</t>
    <phoneticPr fontId="1" type="noConversion"/>
  </si>
  <si>
    <t>M1.25T45W25</t>
    <phoneticPr fontId="1" type="noConversion"/>
  </si>
  <si>
    <t>B-1140103019</t>
    <phoneticPr fontId="1" type="noConversion"/>
  </si>
  <si>
    <t>50*2</t>
    <phoneticPr fontId="1" type="noConversion"/>
  </si>
  <si>
    <t>KBSH05293</t>
    <phoneticPr fontId="1" type="noConversion"/>
  </si>
  <si>
    <t>大鐵架 1-3-1後</t>
    <phoneticPr fontId="1" type="noConversion"/>
  </si>
  <si>
    <t>成大</t>
    <phoneticPr fontId="1" type="noConversion"/>
  </si>
  <si>
    <t>免鍵軸襯</t>
    <phoneticPr fontId="1" type="noConversion"/>
  </si>
  <si>
    <t>-"2.9375"</t>
    <phoneticPr fontId="1" type="noConversion"/>
  </si>
  <si>
    <t>10*3</t>
    <phoneticPr fontId="1" type="noConversion"/>
  </si>
  <si>
    <t>吉輔</t>
    <phoneticPr fontId="1" type="noConversion"/>
  </si>
  <si>
    <t>鐵架 3-4中間</t>
    <phoneticPr fontId="1" type="noConversion"/>
  </si>
  <si>
    <t xml:space="preserve">一廠 架 2-1-2 </t>
    <phoneticPr fontId="1" type="noConversion"/>
  </si>
  <si>
    <t>一廠 架  3-3-1</t>
    <phoneticPr fontId="1" type="noConversion"/>
  </si>
  <si>
    <t>一廠 架  2-3-2</t>
    <phoneticPr fontId="1" type="noConversion"/>
  </si>
  <si>
    <t>37*1</t>
    <phoneticPr fontId="1" type="noConversion"/>
  </si>
  <si>
    <t>流水號：45-88</t>
    <phoneticPr fontId="1" type="noConversion"/>
  </si>
  <si>
    <t>41*1</t>
    <phoneticPr fontId="1" type="noConversion"/>
  </si>
  <si>
    <t>TR54018-C</t>
    <phoneticPr fontId="1" type="noConversion"/>
  </si>
  <si>
    <t>OD68.75T27W26.7L70</t>
    <phoneticPr fontId="1" type="noConversion"/>
  </si>
  <si>
    <t>8*1</t>
    <phoneticPr fontId="1" type="noConversion"/>
  </si>
  <si>
    <t>100*2
99*1</t>
    <phoneticPr fontId="1" type="noConversion"/>
  </si>
  <si>
    <t>30*1</t>
    <phoneticPr fontId="1" type="noConversion"/>
  </si>
  <si>
    <t>大鐵架 2-3-2 後</t>
    <phoneticPr fontId="1" type="noConversion"/>
  </si>
  <si>
    <t>B-1140303026</t>
    <phoneticPr fontId="1" type="noConversion"/>
  </si>
  <si>
    <t>9*3
4*1</t>
    <phoneticPr fontId="1" type="noConversion"/>
  </si>
  <si>
    <t>蝸感齒輪</t>
    <phoneticPr fontId="1" type="noConversion"/>
  </si>
  <si>
    <t>M2T35W20L24</t>
    <phoneticPr fontId="1" type="noConversion"/>
  </si>
  <si>
    <t>B-1140317026</t>
    <phoneticPr fontId="1" type="noConversion"/>
  </si>
  <si>
    <t>3*1</t>
    <phoneticPr fontId="1" type="noConversion"/>
  </si>
  <si>
    <t>M4T28W30L35</t>
    <phoneticPr fontId="1" type="noConversion"/>
  </si>
  <si>
    <t>B-1140305019</t>
    <phoneticPr fontId="1" type="noConversion"/>
  </si>
  <si>
    <t>10*1</t>
    <phoneticPr fontId="1" type="noConversion"/>
  </si>
  <si>
    <t>M1.25T60W24L26</t>
    <phoneticPr fontId="1" type="noConversion"/>
  </si>
  <si>
    <t>45*1</t>
    <phoneticPr fontId="1" type="noConversion"/>
  </si>
  <si>
    <t xml:space="preserve">3-2-1前 </t>
    <phoneticPr fontId="1" type="noConversion"/>
  </si>
  <si>
    <t>3-1-2後</t>
    <phoneticPr fontId="1" type="noConversion"/>
  </si>
  <si>
    <t>15*1</t>
    <phoneticPr fontId="1" type="noConversion"/>
  </si>
  <si>
    <t>大鐵架3-1-2 後</t>
    <phoneticPr fontId="1" type="noConversion"/>
  </si>
  <si>
    <t>齒輪</t>
    <phoneticPr fontId="1" type="noConversion"/>
  </si>
  <si>
    <t>M1.25T56W30L41</t>
    <phoneticPr fontId="1" type="noConversion"/>
  </si>
  <si>
    <t>大鐵架 3-1-2 後</t>
    <phoneticPr fontId="1" type="noConversion"/>
  </si>
  <si>
    <t>大鐵架 3-2-1 前</t>
    <phoneticPr fontId="1" type="noConversion"/>
  </si>
  <si>
    <t>大鐵架 3-2-1 後</t>
    <phoneticPr fontId="1" type="noConversion"/>
  </si>
  <si>
    <t>KBSH02162</t>
    <phoneticPr fontId="1" type="noConversion"/>
  </si>
  <si>
    <t>免鍵軸襯-1.625"</t>
  </si>
  <si>
    <t>B-1140411002</t>
    <phoneticPr fontId="1" type="noConversion"/>
  </si>
  <si>
    <t>1*1</t>
    <phoneticPr fontId="1" type="noConversion"/>
  </si>
  <si>
    <t>惰齒輪</t>
    <phoneticPr fontId="1" type="noConversion"/>
  </si>
  <si>
    <t>M2.5T38W20L32</t>
    <phoneticPr fontId="1" type="noConversion"/>
  </si>
  <si>
    <t>B-1140402003</t>
    <phoneticPr fontId="1" type="noConversion"/>
  </si>
  <si>
    <t>2103340240900</t>
    <phoneticPr fontId="1" type="noConversion"/>
  </si>
  <si>
    <t>B-1131230011</t>
  </si>
  <si>
    <t>HH02-HB50060-308000D</t>
    <phoneticPr fontId="1" type="noConversion"/>
  </si>
  <si>
    <t>一廠 出貨區旁棧板</t>
    <phoneticPr fontId="1" type="noConversion"/>
  </si>
  <si>
    <t>0.6KG</t>
    <phoneticPr fontId="1" type="noConversion"/>
  </si>
  <si>
    <t>齒輪(三)</t>
    <phoneticPr fontId="1" type="noConversion"/>
  </si>
  <si>
    <t>M5T12W45L50</t>
    <phoneticPr fontId="1" type="noConversion"/>
  </si>
  <si>
    <t>蝸桿齒輪</t>
    <phoneticPr fontId="1" type="noConversion"/>
  </si>
  <si>
    <t>5*1</t>
    <phoneticPr fontId="1" type="noConversion"/>
  </si>
  <si>
    <t>JKGC03715L1</t>
    <phoneticPr fontId="1" type="noConversion"/>
  </si>
  <si>
    <t>大鐵架 3-2-1 前</t>
    <phoneticPr fontId="1" type="noConversion"/>
  </si>
  <si>
    <t>正齒輪</t>
    <phoneticPr fontId="1" type="noConversion"/>
  </si>
  <si>
    <t>M1.25*36T*20W</t>
    <phoneticPr fontId="1" type="noConversion"/>
  </si>
  <si>
    <t>B-1140326014</t>
    <phoneticPr fontId="1" type="noConversion"/>
  </si>
  <si>
    <t>M4T22W29.5L30</t>
    <phoneticPr fontId="1" type="noConversion"/>
  </si>
  <si>
    <t>14*1</t>
    <phoneticPr fontId="1" type="noConversion"/>
  </si>
  <si>
    <t>中間齒輪</t>
    <phoneticPr fontId="1" type="noConversion"/>
  </si>
  <si>
    <t>M1.25T52W38L38</t>
    <phoneticPr fontId="1" type="noConversion"/>
  </si>
  <si>
    <t>流水號：27-44</t>
    <phoneticPr fontId="1" type="noConversion"/>
  </si>
  <si>
    <t>同棧</t>
    <phoneticPr fontId="1" type="noConversion"/>
  </si>
  <si>
    <t>10*2
6*1</t>
    <phoneticPr fontId="1" type="noConversion"/>
  </si>
  <si>
    <t>6-M8*P1.25位置不同
(與10210000孔位不同)</t>
    <phoneticPr fontId="1" type="noConversion"/>
  </si>
  <si>
    <t>HSE8-HB50040-2060000</t>
    <phoneticPr fontId="1" type="noConversion"/>
  </si>
  <si>
    <t>減速大齒輪</t>
    <phoneticPr fontId="1" type="noConversion"/>
  </si>
  <si>
    <t>3.5M*50T*30W</t>
    <phoneticPr fontId="1" type="noConversion"/>
  </si>
  <si>
    <t>1*1</t>
    <phoneticPr fontId="1" type="noConversion"/>
  </si>
  <si>
    <t>B-1140401018</t>
    <phoneticPr fontId="1" type="noConversion"/>
  </si>
  <si>
    <t>數量待確認</t>
    <phoneticPr fontId="1" type="noConversion"/>
  </si>
  <si>
    <t>寶嘉誠</t>
    <phoneticPr fontId="1" type="noConversion"/>
  </si>
  <si>
    <t>寶嘉誠</t>
    <phoneticPr fontId="1" type="noConversion"/>
  </si>
  <si>
    <t xml:space="preserve">大鐵架 2-3-1 </t>
    <phoneticPr fontId="1" type="noConversion"/>
  </si>
  <si>
    <t>2804002101-5</t>
    <phoneticPr fontId="1" type="noConversion"/>
  </si>
  <si>
    <t xml:space="preserve"> </t>
    <phoneticPr fontId="1" type="noConversion"/>
  </si>
  <si>
    <t>2804002101-4</t>
    <phoneticPr fontId="1" type="noConversion"/>
  </si>
  <si>
    <t>大鐵架 5-1-2 前</t>
    <phoneticPr fontId="1" type="noConversion"/>
  </si>
  <si>
    <t>VB21002-H</t>
    <phoneticPr fontId="1" type="noConversion"/>
  </si>
  <si>
    <t>20251121遺失</t>
    <phoneticPr fontId="1" type="noConversion"/>
  </si>
  <si>
    <t>大鐵架 A3-1</t>
    <phoneticPr fontId="1" type="noConversion"/>
  </si>
  <si>
    <r>
      <t xml:space="preserve">超正齒輪科技有限公司
</t>
    </r>
    <r>
      <rPr>
        <sz val="18"/>
        <rFont val="Times New Roman"/>
        <family val="1"/>
      </rPr>
      <t xml:space="preserve">EXCELLENT GEAR TECHNOLOGY CO., LTD
</t>
    </r>
    <phoneticPr fontId="25" type="noConversion"/>
  </si>
  <si>
    <t>8/</t>
    <phoneticPr fontId="1" type="noConversion"/>
  </si>
  <si>
    <t>DD-24</t>
    <phoneticPr fontId="1" type="noConversion"/>
  </si>
  <si>
    <t>大鐵架 5-4-2後</t>
    <phoneticPr fontId="1" type="noConversion"/>
  </si>
  <si>
    <t>DD-26</t>
    <phoneticPr fontId="1" type="noConversion"/>
  </si>
  <si>
    <t>大鐵架 5-4-2前</t>
    <phoneticPr fontId="1" type="noConversion"/>
  </si>
  <si>
    <t>DD-27</t>
    <phoneticPr fontId="1" type="noConversion"/>
  </si>
  <si>
    <t>大鐵架 5-4-2後</t>
    <phoneticPr fontId="1" type="noConversion"/>
  </si>
  <si>
    <t>DD-32</t>
    <phoneticPr fontId="1" type="noConversion"/>
  </si>
  <si>
    <t>DD-28</t>
    <phoneticPr fontId="1" type="noConversion"/>
  </si>
  <si>
    <t>DD-29</t>
    <phoneticPr fontId="1" type="noConversion"/>
  </si>
  <si>
    <t>RB-93-2</t>
    <phoneticPr fontId="1" type="noConversion"/>
  </si>
  <si>
    <t>大鐵架 4-3-1 前</t>
    <phoneticPr fontId="1" type="noConversion"/>
  </si>
  <si>
    <t>RB-99</t>
    <phoneticPr fontId="1" type="noConversion"/>
  </si>
  <si>
    <t>RB-100</t>
    <phoneticPr fontId="1" type="noConversion"/>
  </si>
  <si>
    <t>RB-103-1</t>
    <phoneticPr fontId="1" type="noConversion"/>
  </si>
  <si>
    <t>RB-103-2</t>
    <phoneticPr fontId="1" type="noConversion"/>
  </si>
  <si>
    <t>RB-1</t>
    <phoneticPr fontId="1" type="noConversion"/>
  </si>
  <si>
    <t>大鐵架 4-3-1後</t>
    <phoneticPr fontId="1" type="noConversion"/>
  </si>
  <si>
    <t>RB-15</t>
    <phoneticPr fontId="1" type="noConversion"/>
  </si>
  <si>
    <t>大鐵架 5-3-2後</t>
    <phoneticPr fontId="1" type="noConversion"/>
  </si>
  <si>
    <t>RB-93-1</t>
    <phoneticPr fontId="1" type="noConversion"/>
  </si>
  <si>
    <t>114/12/23已無庫存了</t>
    <phoneticPr fontId="1" type="noConversion"/>
  </si>
  <si>
    <t>107-3</t>
    <phoneticPr fontId="1" type="noConversion"/>
  </si>
  <si>
    <t>大鐵架 1-2-1前</t>
    <phoneticPr fontId="1" type="noConversion"/>
  </si>
  <si>
    <t>B軸變速齒輪3</t>
    <phoneticPr fontId="1" type="noConversion"/>
  </si>
  <si>
    <t>M2.5T31W11.5L15</t>
    <phoneticPr fontId="1" type="noConversion"/>
  </si>
  <si>
    <t>B-111222020</t>
    <phoneticPr fontId="1" type="noConversion"/>
  </si>
  <si>
    <t>1*1</t>
    <phoneticPr fontId="1" type="noConversion"/>
  </si>
  <si>
    <t>B齒輪軸</t>
    <phoneticPr fontId="1" type="noConversion"/>
  </si>
  <si>
    <t>M2.5T12W18L184</t>
    <phoneticPr fontId="1" type="noConversion"/>
  </si>
  <si>
    <t>6*1</t>
    <phoneticPr fontId="1" type="noConversion"/>
  </si>
  <si>
    <t>3-2-1前</t>
    <phoneticPr fontId="1" type="noConversion"/>
  </si>
  <si>
    <t>A2-3</t>
    <phoneticPr fontId="1" type="noConversion"/>
  </si>
  <si>
    <t>M1.5T60W25L50</t>
    <phoneticPr fontId="1" type="noConversion"/>
  </si>
  <si>
    <t>B-1140416004</t>
    <phoneticPr fontId="1" type="noConversion"/>
  </si>
  <si>
    <t>B-1140331009</t>
    <phoneticPr fontId="1" type="noConversion"/>
  </si>
  <si>
    <t>B-1140303003</t>
    <phoneticPr fontId="1" type="noConversion"/>
  </si>
  <si>
    <t>10*1</t>
    <phoneticPr fontId="1" type="noConversion"/>
  </si>
  <si>
    <t>馬達齒輪</t>
    <phoneticPr fontId="1" type="noConversion"/>
  </si>
  <si>
    <t>M4T20W29L53</t>
    <phoneticPr fontId="1" type="noConversion"/>
  </si>
  <si>
    <t>精滾製程</t>
    <phoneticPr fontId="1" type="noConversion"/>
  </si>
  <si>
    <t>M4T28W30L35</t>
    <phoneticPr fontId="1" type="noConversion"/>
  </si>
  <si>
    <t>B-1140211007</t>
    <phoneticPr fontId="1" type="noConversion"/>
  </si>
  <si>
    <t>惰齒輪</t>
    <phoneticPr fontId="1" type="noConversion"/>
  </si>
  <si>
    <t>M1.5T36W16L23</t>
    <phoneticPr fontId="1" type="noConversion"/>
  </si>
  <si>
    <t>B-1140114015</t>
    <phoneticPr fontId="1" type="noConversion"/>
  </si>
  <si>
    <t>優先出貨1</t>
    <phoneticPr fontId="1" type="noConversion"/>
  </si>
  <si>
    <t>B-1140429008</t>
    <phoneticPr fontId="1" type="noConversion"/>
  </si>
  <si>
    <t>50*1</t>
    <phoneticPr fontId="1" type="noConversion"/>
  </si>
  <si>
    <t>VN17015</t>
    <phoneticPr fontId="1" type="noConversion"/>
  </si>
  <si>
    <t>M1.5T35W20L20</t>
    <phoneticPr fontId="1" type="noConversion"/>
  </si>
  <si>
    <t>齒輪</t>
    <phoneticPr fontId="1" type="noConversion"/>
  </si>
  <si>
    <t>B-1140305038</t>
    <phoneticPr fontId="1" type="noConversion"/>
  </si>
  <si>
    <t>50*1</t>
    <phoneticPr fontId="1" type="noConversion"/>
  </si>
  <si>
    <t>20*1
27*1</t>
    <phoneticPr fontId="1" type="noConversion"/>
  </si>
  <si>
    <t>33*1</t>
    <phoneticPr fontId="1" type="noConversion"/>
  </si>
  <si>
    <t>C4-箱</t>
    <phoneticPr fontId="1" type="noConversion"/>
  </si>
  <si>
    <t>膨脹心軸套筒</t>
    <phoneticPr fontId="1" type="noConversion"/>
  </si>
  <si>
    <t>B-1140422005</t>
    <phoneticPr fontId="1" type="noConversion"/>
  </si>
  <si>
    <t>Φ82&gt;Φ90</t>
    <phoneticPr fontId="1" type="noConversion"/>
  </si>
  <si>
    <t>正齒輪</t>
    <phoneticPr fontId="1" type="noConversion"/>
  </si>
  <si>
    <t>M1.25T24TW20</t>
    <phoneticPr fontId="1" type="noConversion"/>
  </si>
  <si>
    <t>B-1140425017</t>
    <phoneticPr fontId="1" type="noConversion"/>
  </si>
  <si>
    <t>9*1</t>
    <phoneticPr fontId="1" type="noConversion"/>
  </si>
  <si>
    <t>無訂單</t>
    <phoneticPr fontId="1" type="noConversion"/>
  </si>
  <si>
    <t>3-1-1前</t>
    <phoneticPr fontId="1" type="noConversion"/>
  </si>
  <si>
    <t>大鐵架 3-1-1 前</t>
    <phoneticPr fontId="1" type="noConversion"/>
  </si>
  <si>
    <t>B-1140502006</t>
    <phoneticPr fontId="1" type="noConversion"/>
  </si>
  <si>
    <t>4-1-2</t>
    <phoneticPr fontId="1" type="noConversion"/>
  </si>
  <si>
    <t>85*1</t>
    <phoneticPr fontId="1" type="noConversion"/>
  </si>
  <si>
    <t>15*1</t>
    <phoneticPr fontId="1" type="noConversion"/>
  </si>
  <si>
    <t>B-1140421008</t>
    <phoneticPr fontId="1" type="noConversion"/>
  </si>
  <si>
    <t>旋轉座</t>
    <phoneticPr fontId="1" type="noConversion"/>
  </si>
  <si>
    <t>Φ277L235</t>
    <phoneticPr fontId="1" type="noConversion"/>
  </si>
  <si>
    <t>B-1140321024</t>
    <phoneticPr fontId="1" type="noConversion"/>
  </si>
  <si>
    <t>M5T36W40</t>
    <phoneticPr fontId="1" type="noConversion"/>
  </si>
  <si>
    <t>B-1140407016</t>
    <phoneticPr fontId="1" type="noConversion"/>
  </si>
  <si>
    <t>3*2+4</t>
    <phoneticPr fontId="1" type="noConversion"/>
  </si>
  <si>
    <t>2-2-2前</t>
    <phoneticPr fontId="1" type="noConversion"/>
  </si>
  <si>
    <t>2-1-2後</t>
    <phoneticPr fontId="1" type="noConversion"/>
  </si>
  <si>
    <t>B-1140421009</t>
    <phoneticPr fontId="1" type="noConversion"/>
  </si>
  <si>
    <t>2-2-1前</t>
    <phoneticPr fontId="1" type="noConversion"/>
  </si>
  <si>
    <t>A2-3</t>
    <phoneticPr fontId="1" type="noConversion"/>
  </si>
  <si>
    <t>優先出貨2</t>
    <phoneticPr fontId="1" type="noConversion"/>
  </si>
  <si>
    <t>B-1140512009</t>
    <phoneticPr fontId="1" type="noConversion"/>
  </si>
  <si>
    <t>12*1</t>
    <phoneticPr fontId="1" type="noConversion"/>
  </si>
  <si>
    <t>優先出貨1</t>
    <phoneticPr fontId="1" type="noConversion"/>
  </si>
  <si>
    <t>鐵架 1 前-棧板</t>
    <phoneticPr fontId="1" type="noConversion"/>
  </si>
  <si>
    <t>B-1140521013</t>
    <phoneticPr fontId="1" type="noConversion"/>
  </si>
  <si>
    <t>50*5+45</t>
    <phoneticPr fontId="1" type="noConversion"/>
  </si>
  <si>
    <t>鐵架 1 前-棧板</t>
    <phoneticPr fontId="1" type="noConversion"/>
  </si>
  <si>
    <t>大鐵架3-1-2 前</t>
    <phoneticPr fontId="1" type="noConversion"/>
  </si>
  <si>
    <t>B-1140904015</t>
    <phoneticPr fontId="1" type="noConversion"/>
  </si>
  <si>
    <t>馬達齒輪</t>
    <phoneticPr fontId="1" type="noConversion"/>
  </si>
  <si>
    <t>M3T25W30</t>
    <phoneticPr fontId="1" type="noConversion"/>
  </si>
  <si>
    <t>B-1140624007</t>
    <phoneticPr fontId="1" type="noConversion"/>
  </si>
  <si>
    <t>B-1140704011</t>
    <phoneticPr fontId="1" type="noConversion"/>
  </si>
  <si>
    <t>9*1</t>
    <phoneticPr fontId="1" type="noConversion"/>
  </si>
  <si>
    <t>1*1</t>
    <phoneticPr fontId="1" type="noConversion"/>
  </si>
  <si>
    <t>.</t>
    <phoneticPr fontId="1" type="noConversion"/>
  </si>
  <si>
    <t>B-1140709009</t>
    <phoneticPr fontId="1" type="noConversion"/>
  </si>
  <si>
    <t>B-1140903019</t>
    <phoneticPr fontId="1" type="noConversion"/>
  </si>
  <si>
    <t>5*1</t>
    <phoneticPr fontId="1" type="noConversion"/>
  </si>
  <si>
    <t>大鐵架 4-1-1 前</t>
    <phoneticPr fontId="1" type="noConversion"/>
  </si>
  <si>
    <t>B-1140429009</t>
    <phoneticPr fontId="1" type="noConversion"/>
  </si>
  <si>
    <t>4-2-2前</t>
    <phoneticPr fontId="1" type="noConversion"/>
  </si>
  <si>
    <t>3-2-1前</t>
    <phoneticPr fontId="1" type="noConversion"/>
  </si>
  <si>
    <t>大鐵架 3-1-2</t>
  </si>
  <si>
    <t>惰齒輪</t>
    <phoneticPr fontId="1" type="noConversion"/>
  </si>
  <si>
    <t>M1.5T36W16L23</t>
  </si>
  <si>
    <t>B-1141121019</t>
    <phoneticPr fontId="1" type="noConversion"/>
  </si>
  <si>
    <t>6*1</t>
    <phoneticPr fontId="1" type="noConversion"/>
  </si>
  <si>
    <t>主軸齒輪</t>
    <phoneticPr fontId="1" type="noConversion"/>
  </si>
  <si>
    <t>M0.75T120</t>
  </si>
  <si>
    <t>B-1140421001</t>
    <phoneticPr fontId="1" type="noConversion"/>
  </si>
  <si>
    <t>1*1</t>
    <phoneticPr fontId="1" type="noConversion"/>
  </si>
  <si>
    <t>B-1140331008</t>
    <phoneticPr fontId="1" type="noConversion"/>
  </si>
  <si>
    <t>依照優先順序出</t>
    <phoneticPr fontId="1" type="noConversion"/>
  </si>
  <si>
    <t>JKYM11001711</t>
  </si>
  <si>
    <t>入力軸</t>
    <phoneticPr fontId="1" type="noConversion"/>
  </si>
  <si>
    <t>M1.75T17W32L202</t>
    <phoneticPr fontId="1" type="noConversion"/>
  </si>
  <si>
    <t>B-1140923009</t>
    <phoneticPr fontId="1" type="noConversion"/>
  </si>
  <si>
    <t>KX500前-棧板</t>
    <phoneticPr fontId="1" type="noConversion"/>
  </si>
  <si>
    <t>與6009002505同棧</t>
    <phoneticPr fontId="1" type="noConversion"/>
  </si>
  <si>
    <t>優先出貨1</t>
    <phoneticPr fontId="1" type="noConversion"/>
  </si>
  <si>
    <t>優先出貨2</t>
    <phoneticPr fontId="1" type="noConversion"/>
  </si>
  <si>
    <t>牙口有異，功能無關，優先出貨*1</t>
    <phoneticPr fontId="1" type="noConversion"/>
  </si>
  <si>
    <t>1*2</t>
    <phoneticPr fontId="1" type="noConversion"/>
  </si>
  <si>
    <t>1*3</t>
    <phoneticPr fontId="1" type="noConversion"/>
  </si>
  <si>
    <t>B-1140709008</t>
    <phoneticPr fontId="1" type="noConversion"/>
  </si>
  <si>
    <t>5*1</t>
    <phoneticPr fontId="1" type="noConversion"/>
  </si>
  <si>
    <t>107-1</t>
    <phoneticPr fontId="1" type="noConversion"/>
  </si>
  <si>
    <t>107-2</t>
  </si>
  <si>
    <t>107-3</t>
  </si>
  <si>
    <t>B軸變速齒輪</t>
    <phoneticPr fontId="1" type="noConversion"/>
  </si>
  <si>
    <t>B軸變速齒輪3</t>
    <phoneticPr fontId="1" type="noConversion"/>
  </si>
  <si>
    <t>B軸變速齒輪2</t>
    <phoneticPr fontId="1" type="noConversion"/>
  </si>
  <si>
    <t>M2.5T39W13L13</t>
    <phoneticPr fontId="1" type="noConversion"/>
  </si>
  <si>
    <t>同一組</t>
    <phoneticPr fontId="1" type="noConversion"/>
  </si>
  <si>
    <t>1*1</t>
    <phoneticPr fontId="1" type="noConversion"/>
  </si>
  <si>
    <t>B-1140425014</t>
    <phoneticPr fontId="1" type="noConversion"/>
  </si>
  <si>
    <t>馬達齒輪</t>
    <phoneticPr fontId="1" type="noConversion"/>
  </si>
  <si>
    <t>M2.5T27W22L40</t>
  </si>
  <si>
    <t>B-1140923007</t>
    <phoneticPr fontId="1" type="noConversion"/>
  </si>
  <si>
    <t>8*1</t>
    <phoneticPr fontId="1" type="noConversion"/>
  </si>
  <si>
    <t>LKNA03502002</t>
    <phoneticPr fontId="1" type="noConversion"/>
  </si>
  <si>
    <t>磨板機Z軸正齒輪(大)MN=2/20T</t>
  </si>
  <si>
    <t>B-1141203011</t>
    <phoneticPr fontId="1" type="noConversion"/>
  </si>
  <si>
    <t>MN=2/20T</t>
  </si>
  <si>
    <t>大鐵架4-1-1 後</t>
    <phoneticPr fontId="1" type="noConversion"/>
  </si>
  <si>
    <t>B-1141013014</t>
    <phoneticPr fontId="1" type="noConversion"/>
  </si>
  <si>
    <t>20*1/19*1</t>
    <phoneticPr fontId="1" type="noConversion"/>
  </si>
  <si>
    <t>優先出貨3</t>
    <phoneticPr fontId="1" type="noConversion"/>
  </si>
  <si>
    <t>鐵架 1 前-棧板</t>
  </si>
  <si>
    <t>B-1140710010</t>
    <phoneticPr fontId="1" type="noConversion"/>
  </si>
  <si>
    <t>30*1/10*1</t>
    <phoneticPr fontId="1" type="noConversion"/>
  </si>
  <si>
    <t>與6003002513同棧</t>
    <phoneticPr fontId="1" type="noConversion"/>
  </si>
  <si>
    <t>旋轉齒輪</t>
    <phoneticPr fontId="1" type="noConversion"/>
  </si>
  <si>
    <t>B-1140609004</t>
    <phoneticPr fontId="1" type="noConversion"/>
  </si>
  <si>
    <t>1G0T-LBS0012-1040000</t>
    <phoneticPr fontId="1" type="noConversion"/>
  </si>
  <si>
    <t>大鐵架 2-1-2前</t>
    <phoneticPr fontId="1" type="noConversion"/>
  </si>
  <si>
    <t>GTA028-00300</t>
    <phoneticPr fontId="1" type="noConversion"/>
  </si>
  <si>
    <t>A3-5</t>
    <phoneticPr fontId="1" type="noConversion"/>
  </si>
  <si>
    <t>大鐵架 1-3-2 後</t>
  </si>
  <si>
    <t>箱寫GT2060-00200</t>
    <phoneticPr fontId="1" type="noConversion"/>
  </si>
  <si>
    <t>箱數寫成17，正確要27(02.24)</t>
    <phoneticPr fontId="1" type="noConversion"/>
  </si>
  <si>
    <t>已完工待出貨</t>
    <phoneticPr fontId="1" type="noConversion"/>
  </si>
  <si>
    <t>IS1150206002*2+IS1150206002*2+IS1150206002*1+IS1150225007*3+IS1150310005*1</t>
    <phoneticPr fontId="1" type="noConversion"/>
  </si>
  <si>
    <t>舊料號：T28M15D19-02</t>
    <phoneticPr fontId="1" type="noConversion"/>
  </si>
  <si>
    <t>出貨料號：GTA050-001-00</t>
    <phoneticPr fontId="1" type="noConversion"/>
  </si>
  <si>
    <t>BN32A006</t>
    <phoneticPr fontId="1" type="noConversion"/>
  </si>
  <si>
    <t>出貨料號GT2060-00300</t>
    <phoneticPr fontId="1" type="noConversion"/>
  </si>
  <si>
    <t>包裝寫MN2515-G/出貨料號GT2018-00400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</si>
</sst>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76" formatCode="0_);[Red]\(0\)"/>
    <numFmt numFmtId="177" formatCode="m&quot;月&quot;d&quot;日&quot;"/>
    <numFmt numFmtId="178" formatCode="_-* #,##0_-;\-* #,##0_-;_-* &quot;-&quot;??_-;_-@_-"/>
    <numFmt numFmtId="179" formatCode="_-* #,##0.0_-;\-* #,##0.0_-;_-* &quot;-&quot;??_-;_-@_-"/>
    <numFmt numFmtId="180" formatCode="0_ "/>
    <numFmt numFmtId="192" formatCode="##&quot;年&quot;"/>
    <numFmt numFmtId="202" formatCode="0.00_ "/>
  </numFmts>
  <fonts count="5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Tahoma"/>
      <family val="2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trike/>
      <sz val="12"/>
      <color theme="1"/>
      <name val="新細明體"/>
      <family val="1"/>
      <charset val="136"/>
      <scheme val="minor"/>
    </font>
    <font>
      <strike/>
      <sz val="12"/>
      <color theme="1"/>
      <name val="新細明體"/>
      <family val="2"/>
      <charset val="136"/>
      <scheme val="minor"/>
    </font>
    <font>
      <sz val="12"/>
      <color rgb="FFFF00FF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b/>
      <sz val="9"/>
      <color indexed="81"/>
      <name val="新細明體"/>
      <family val="2"/>
      <charset val="136"/>
    </font>
    <font>
      <sz val="12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新細明體"/>
      <family val="1"/>
      <charset val="136"/>
      <scheme val="minor"/>
    </font>
    <font>
      <sz val="12"/>
      <color theme="9" tint="-0.249977111117893"/>
      <name val="新細明體"/>
      <family val="2"/>
      <charset val="136"/>
      <scheme val="minor"/>
    </font>
    <font>
      <sz val="12"/>
      <color theme="9" tint="-0.249977111117893"/>
      <name val="新細明體"/>
      <family val="1"/>
      <charset val="136"/>
      <scheme val="minor"/>
    </font>
    <font>
      <sz val="10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6"/>
      <color theme="1"/>
      <name val="新細明體"/>
      <family val="1"/>
      <charset val="136"/>
      <scheme val="minor"/>
    </font>
    <font>
      <sz val="18"/>
      <name val="標楷體"/>
      <family val="4"/>
      <charset val="136"/>
    </font>
    <font>
      <sz val="18"/>
      <name val="Times New Roman"/>
      <family val="1"/>
    </font>
    <font>
      <sz val="9"/>
      <name val="新細明體"/>
      <family val="1"/>
      <charset val="136"/>
    </font>
    <font>
      <strike/>
      <sz val="12"/>
      <name val="新細明體"/>
      <family val="1"/>
      <charset val="136"/>
      <scheme val="minor"/>
    </font>
    <font>
      <sz val="12"/>
      <name val="Calibri"/>
      <family val="1"/>
      <charset val="161"/>
    </font>
    <font>
      <sz val="12"/>
      <name val="新細明體"/>
      <family val="1"/>
      <charset val="161"/>
      <scheme val="minor"/>
    </font>
    <font>
      <b/>
      <sz val="16"/>
      <color theme="1"/>
      <name val="Calibri"/>
      <family val="1"/>
      <charset val="161"/>
    </font>
    <font>
      <sz val="12"/>
      <name val="新細明體"/>
      <family val="1"/>
      <charset val="136"/>
      <scheme val="major"/>
    </font>
    <font>
      <sz val="12"/>
      <name val="新細明體"/>
      <family val="1"/>
      <charset val="161"/>
      <scheme val="major"/>
    </font>
    <font>
      <sz val="12"/>
      <color theme="1"/>
      <name val="Calibri"/>
      <family val="1"/>
      <charset val="161"/>
    </font>
    <font>
      <sz val="12"/>
      <color theme="1"/>
      <name val="Calibri"/>
      <family val="2"/>
      <charset val="161"/>
    </font>
    <font>
      <sz val="12"/>
      <color theme="1"/>
      <name val="新細明體"/>
      <family val="1"/>
      <charset val="161"/>
      <scheme val="minor"/>
    </font>
    <font>
      <sz val="12"/>
      <color theme="1"/>
      <name val="新細明體"/>
      <family val="2"/>
      <charset val="161"/>
      <scheme val="minor"/>
    </font>
    <font>
      <sz val="12"/>
      <name val="Calibri"/>
      <family val="2"/>
      <charset val="161"/>
    </font>
    <font>
      <sz val="12"/>
      <name val="新細明體"/>
      <family val="2"/>
      <charset val="161"/>
      <scheme val="minor"/>
    </font>
    <font>
      <sz val="11"/>
      <color theme="1"/>
      <name val="新細明體"/>
      <family val="2"/>
      <charset val="136"/>
      <scheme val="minor"/>
    </font>
    <font>
      <sz val="12"/>
      <name val="Calibri"/>
      <family val="1"/>
    </font>
    <font>
      <sz val="10"/>
      <color rgb="FFFF0000"/>
      <name val="新細明體"/>
      <family val="2"/>
      <charset val="136"/>
      <scheme val="minor"/>
    </font>
    <font>
      <sz val="11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b/>
      <sz val="10"/>
      <color indexed="81"/>
      <name val="Tahoma"/>
      <family val="2"/>
    </font>
    <font>
      <b/>
      <sz val="10"/>
      <color indexed="81"/>
      <name val="細明體"/>
      <family val="3"/>
      <charset val="136"/>
    </font>
    <font>
      <sz val="10"/>
      <color indexed="81"/>
      <name val="Tahoma"/>
      <family val="2"/>
    </font>
    <font>
      <sz val="12"/>
      <name val="Calibri"/>
      <family val="2"/>
    </font>
    <font>
      <sz val="11"/>
      <color theme="1"/>
      <name val="新細明體"/>
      <family val="2"/>
      <charset val="134"/>
      <scheme val="minor"/>
    </font>
    <font>
      <b/>
      <sz val="9"/>
      <color indexed="81"/>
      <name val="Arial Unicode MS"/>
      <family val="2"/>
      <charset val="136"/>
    </font>
    <font>
      <sz val="18"/>
      <color rgb="FFFF0000"/>
      <name val="標楷體"/>
      <family val="4"/>
      <charset val="136"/>
    </font>
    <font>
      <b/>
      <sz val="10"/>
      <color indexed="81"/>
      <name val="新細明體"/>
      <family val="2"/>
      <charset val="136"/>
    </font>
    <font>
      <strike/>
      <sz val="12"/>
      <color rgb="FFFF0000"/>
      <name val="新細明體"/>
      <family val="1"/>
      <charset val="136"/>
      <scheme val="minor"/>
    </font>
    <font>
      <strike/>
      <sz val="12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trike/>
      <sz val="11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3" fontId="15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49" fillId="0" borderId="0">
      <alignment vertical="center"/>
    </xf>
    <xf numFmtId="43" fontId="49" fillId="0" borderId="0" applyFont="0" applyFill="0" applyBorder="0" applyAlignment="0" applyProtection="0">
      <alignment vertical="center"/>
    </xf>
  </cellStyleXfs>
  <cellXfs count="4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5" xfId="0" applyBorder="1">
      <alignment vertical="center"/>
    </xf>
    <xf numFmtId="176" fontId="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178" fontId="3" fillId="0" borderId="0" xfId="1" applyNumberFormat="1" applyFont="1" applyAlignment="1">
      <alignment horizontal="center" vertical="center"/>
    </xf>
    <xf numFmtId="178" fontId="2" fillId="0" borderId="0" xfId="1" applyNumberFormat="1" applyFont="1" applyAlignment="1">
      <alignment horizontal="center" vertical="center" wrapText="1"/>
    </xf>
    <xf numFmtId="178" fontId="0" fillId="0" borderId="0" xfId="1" applyNumberFormat="1" applyFont="1">
      <alignment vertical="center"/>
    </xf>
    <xf numFmtId="178" fontId="0" fillId="0" borderId="0" xfId="0" applyNumberFormat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/>
    </xf>
    <xf numFmtId="178" fontId="4" fillId="0" borderId="0" xfId="1" applyNumberFormat="1" applyFont="1" applyAlignment="1">
      <alignment vertical="center"/>
    </xf>
    <xf numFmtId="179" fontId="0" fillId="0" borderId="0" xfId="1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0" borderId="5" xfId="0" quotePrefix="1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3" borderId="0" xfId="1" applyNumberFormat="1" applyFont="1" applyFill="1" applyAlignment="1">
      <alignment horizontal="center" vertical="center"/>
    </xf>
    <xf numFmtId="178" fontId="9" fillId="3" borderId="0" xfId="1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178" fontId="0" fillId="3" borderId="0" xfId="1" applyNumberFormat="1" applyFont="1" applyFill="1">
      <alignment vertical="center"/>
    </xf>
    <xf numFmtId="179" fontId="0" fillId="3" borderId="0" xfId="1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4" fillId="3" borderId="0" xfId="1" applyNumberFormat="1" applyFon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/>
    </xf>
    <xf numFmtId="178" fontId="3" fillId="3" borderId="0" xfId="1" applyNumberFormat="1" applyFont="1" applyFill="1" applyAlignment="1">
      <alignment horizontal="center" vertical="center"/>
    </xf>
    <xf numFmtId="176" fontId="4" fillId="0" borderId="0" xfId="0" quotePrefix="1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7" fillId="0" borderId="0" xfId="1" applyNumberFormat="1" applyFont="1" applyAlignment="1">
      <alignment horizontal="center" vertical="center"/>
    </xf>
    <xf numFmtId="178" fontId="3" fillId="3" borderId="0" xfId="1" applyNumberFormat="1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18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178" fontId="19" fillId="3" borderId="0" xfId="1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176" fontId="3" fillId="0" borderId="0" xfId="0" quotePrefix="1" applyNumberFormat="1" applyFont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79" fontId="0" fillId="0" borderId="0" xfId="1" applyNumberFormat="1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14" fontId="2" fillId="0" borderId="0" xfId="0" quotePrefix="1" applyNumberFormat="1" applyFont="1" applyAlignment="1">
      <alignment horizontal="center" vertical="center"/>
    </xf>
    <xf numFmtId="178" fontId="3" fillId="0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3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3" fillId="0" borderId="7" xfId="0" applyNumberFormat="1" applyFon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4" fontId="4" fillId="0" borderId="0" xfId="0" quotePrefix="1" applyNumberFormat="1" applyFont="1" applyAlignment="1">
      <alignment horizontal="center" vertical="center"/>
    </xf>
    <xf numFmtId="14" fontId="0" fillId="0" borderId="2" xfId="0" quotePrefix="1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4" fontId="4" fillId="0" borderId="5" xfId="0" quotePrefix="1" applyNumberFormat="1" applyFont="1" applyBorder="1" applyAlignment="1">
      <alignment horizontal="center" vertical="center"/>
    </xf>
    <xf numFmtId="14" fontId="4" fillId="0" borderId="2" xfId="0" quotePrefix="1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78" fontId="17" fillId="0" borderId="0" xfId="1" applyNumberFormat="1" applyFont="1" applyFill="1" applyAlignment="1">
      <alignment horizontal="center" vertical="center"/>
    </xf>
    <xf numFmtId="178" fontId="2" fillId="0" borderId="0" xfId="1" applyNumberFormat="1" applyFont="1" applyFill="1" applyAlignment="1">
      <alignment horizontal="center" vertical="center" wrapText="1"/>
    </xf>
    <xf numFmtId="43" fontId="3" fillId="0" borderId="0" xfId="1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8" fillId="0" borderId="0" xfId="0" applyFont="1">
      <alignment vertical="center"/>
    </xf>
    <xf numFmtId="0" fontId="23" fillId="0" borderId="0" xfId="0" applyFont="1" applyAlignment="1">
      <alignment horizontal="center" vertical="top" wrapText="1"/>
    </xf>
    <xf numFmtId="0" fontId="0" fillId="0" borderId="8" xfId="0" applyBorder="1" applyAlignment="1">
      <alignment horizontal="center" vertical="center" wrapText="1"/>
    </xf>
    <xf numFmtId="14" fontId="3" fillId="0" borderId="0" xfId="0" quotePrefix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8" fontId="17" fillId="0" borderId="0" xfId="1" applyNumberFormat="1" applyFont="1" applyBorder="1" applyAlignment="1">
      <alignment horizontal="center" vertical="center"/>
    </xf>
    <xf numFmtId="178" fontId="2" fillId="0" borderId="0" xfId="1" applyNumberFormat="1" applyFont="1" applyBorder="1" applyAlignment="1">
      <alignment horizontal="center" vertical="center" wrapText="1"/>
    </xf>
    <xf numFmtId="176" fontId="9" fillId="0" borderId="0" xfId="0" applyNumberFormat="1" applyFont="1" applyAlignment="1">
      <alignment horizontal="center" vertical="center"/>
    </xf>
    <xf numFmtId="14" fontId="0" fillId="0" borderId="0" xfId="0" quotePrefix="1" applyNumberFormat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3" fillId="0" borderId="0" xfId="1" applyNumberFormat="1" applyFont="1" applyBorder="1" applyAlignment="1">
      <alignment horizontal="right" vertical="center"/>
    </xf>
    <xf numFmtId="176" fontId="3" fillId="0" borderId="9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78" fontId="3" fillId="0" borderId="0" xfId="1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76" fontId="4" fillId="0" borderId="12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3" fillId="0" borderId="0" xfId="0" applyNumberFormat="1" applyFont="1" applyAlignment="1">
      <alignment horizontal="center" vertical="center"/>
    </xf>
    <xf numFmtId="192" fontId="3" fillId="0" borderId="2" xfId="0" applyNumberFormat="1" applyFont="1" applyBorder="1" applyAlignment="1">
      <alignment horizontal="center" vertical="center"/>
    </xf>
    <xf numFmtId="192" fontId="3" fillId="0" borderId="5" xfId="0" applyNumberFormat="1" applyFont="1" applyBorder="1" applyAlignment="1">
      <alignment horizontal="center" vertical="center"/>
    </xf>
    <xf numFmtId="192" fontId="3" fillId="0" borderId="7" xfId="0" applyNumberFormat="1" applyFont="1" applyBorder="1" applyAlignment="1">
      <alignment horizontal="center" vertical="center"/>
    </xf>
    <xf numFmtId="192" fontId="0" fillId="0" borderId="0" xfId="0" applyNumberFormat="1" applyAlignment="1">
      <alignment horizontal="center" vertical="center"/>
    </xf>
    <xf numFmtId="192" fontId="0" fillId="3" borderId="0" xfId="0" applyNumberFormat="1" applyFill="1" applyAlignment="1">
      <alignment horizontal="center" vertical="center"/>
    </xf>
    <xf numFmtId="192" fontId="4" fillId="3" borderId="0" xfId="0" applyNumberFormat="1" applyFont="1" applyFill="1" applyAlignment="1">
      <alignment horizontal="center" vertical="center"/>
    </xf>
    <xf numFmtId="192" fontId="19" fillId="3" borderId="0" xfId="0" applyNumberFormat="1" applyFont="1" applyFill="1" applyAlignment="1">
      <alignment horizontal="center" vertical="center"/>
    </xf>
    <xf numFmtId="192" fontId="0" fillId="0" borderId="0" xfId="0" applyNumberFormat="1">
      <alignment vertical="center"/>
    </xf>
    <xf numFmtId="192" fontId="0" fillId="3" borderId="0" xfId="0" applyNumberFormat="1" applyFill="1">
      <alignment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176" fontId="4" fillId="0" borderId="14" xfId="0" applyNumberFormat="1" applyFont="1" applyBorder="1" applyAlignment="1">
      <alignment horizontal="center" vertical="center"/>
    </xf>
    <xf numFmtId="176" fontId="9" fillId="0" borderId="0" xfId="0" applyNumberFormat="1" applyFont="1" applyAlignment="1">
      <alignment horizontal="center" vertical="center" wrapText="1"/>
    </xf>
    <xf numFmtId="0" fontId="9" fillId="0" borderId="0" xfId="0" quotePrefix="1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192" fontId="3" fillId="0" borderId="17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17" fillId="0" borderId="20" xfId="0" quotePrefix="1" applyNumberFormat="1" applyFont="1" applyBorder="1" applyAlignment="1">
      <alignment horizontal="right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192" fontId="3" fillId="0" borderId="2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8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4" fillId="3" borderId="0" xfId="0" applyFont="1" applyFill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0" fillId="4" borderId="0" xfId="0" applyFill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19" fillId="3" borderId="0" xfId="0" applyFont="1" applyFill="1" applyAlignment="1">
      <alignment horizontal="center" vertical="center" shrinkToFit="1"/>
    </xf>
    <xf numFmtId="0" fontId="0" fillId="8" borderId="0" xfId="0" applyFill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 shrinkToFit="1"/>
    </xf>
    <xf numFmtId="0" fontId="8" fillId="0" borderId="0" xfId="0" applyFont="1" applyAlignment="1">
      <alignment horizontal="center" vertical="center" wrapText="1" shrinkToFit="1"/>
    </xf>
    <xf numFmtId="178" fontId="3" fillId="8" borderId="0" xfId="1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78" fontId="3" fillId="2" borderId="0" xfId="1" applyNumberFormat="1" applyFont="1" applyFill="1" applyAlignment="1">
      <alignment horizontal="center" vertical="center"/>
    </xf>
    <xf numFmtId="178" fontId="3" fillId="8" borderId="0" xfId="1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8" fontId="0" fillId="0" borderId="0" xfId="0" applyNumberFormat="1">
      <alignment vertical="center"/>
    </xf>
    <xf numFmtId="178" fontId="2" fillId="8" borderId="0" xfId="1" applyNumberFormat="1" applyFont="1" applyFill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 shrinkToFit="1"/>
    </xf>
    <xf numFmtId="0" fontId="8" fillId="0" borderId="1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178" fontId="3" fillId="8" borderId="0" xfId="1" applyNumberFormat="1" applyFont="1" applyFill="1" applyBorder="1" applyAlignment="1">
      <alignment horizontal="center" vertical="center" shrinkToFit="1"/>
    </xf>
    <xf numFmtId="0" fontId="4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 wrapText="1" shrinkToFit="1"/>
    </xf>
    <xf numFmtId="178" fontId="3" fillId="0" borderId="0" xfId="1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 shrinkToFit="1"/>
    </xf>
    <xf numFmtId="179" fontId="4" fillId="0" borderId="0" xfId="1" applyNumberFormat="1" applyFont="1" applyAlignment="1">
      <alignment horizontal="center" vertical="center"/>
    </xf>
    <xf numFmtId="178" fontId="0" fillId="0" borderId="0" xfId="1" applyNumberFormat="1" applyFont="1" applyBorder="1">
      <alignment vertical="center"/>
    </xf>
    <xf numFmtId="176" fontId="4" fillId="0" borderId="16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2" fillId="0" borderId="18" xfId="0" applyFont="1" applyBorder="1">
      <alignment vertical="center"/>
    </xf>
    <xf numFmtId="176" fontId="4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3" fillId="0" borderId="23" xfId="0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0" fontId="2" fillId="0" borderId="9" xfId="0" applyFont="1" applyBorder="1">
      <alignment vertical="center"/>
    </xf>
    <xf numFmtId="178" fontId="4" fillId="0" borderId="0" xfId="1" applyNumberFormat="1" applyFont="1">
      <alignment vertical="center"/>
    </xf>
    <xf numFmtId="176" fontId="3" fillId="0" borderId="12" xfId="0" applyNumberFormat="1" applyFont="1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177" fontId="17" fillId="0" borderId="18" xfId="0" quotePrefix="1" applyNumberFormat="1" applyFont="1" applyBorder="1" applyAlignment="1">
      <alignment horizontal="right"/>
    </xf>
    <xf numFmtId="0" fontId="22" fillId="8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/>
    </xf>
    <xf numFmtId="0" fontId="8" fillId="0" borderId="6" xfId="0" applyFont="1" applyBorder="1" applyAlignment="1">
      <alignment horizontal="center" vertical="center" shrinkToFit="1"/>
    </xf>
    <xf numFmtId="178" fontId="3" fillId="0" borderId="0" xfId="1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49" fillId="0" borderId="0" xfId="3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8" fillId="0" borderId="5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8" fillId="0" borderId="7" xfId="3" applyFont="1" applyBorder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0" fontId="9" fillId="0" borderId="7" xfId="3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3" fillId="2" borderId="0" xfId="3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178" fontId="3" fillId="0" borderId="0" xfId="1" applyNumberFormat="1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92" fontId="9" fillId="0" borderId="0" xfId="0" applyNumberFormat="1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53" fillId="0" borderId="0" xfId="0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26" fillId="0" borderId="0" xfId="0" applyNumberFormat="1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9" fillId="0" borderId="2" xfId="3" applyFont="1" applyBorder="1" applyAlignment="1">
      <alignment horizontal="center" vertical="center"/>
    </xf>
    <xf numFmtId="0" fontId="9" fillId="0" borderId="5" xfId="3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53" fillId="0" borderId="6" xfId="0" applyFont="1" applyBorder="1" applyAlignment="1">
      <alignment horizontal="center" vertical="center"/>
    </xf>
    <xf numFmtId="0" fontId="9" fillId="0" borderId="3" xfId="0" applyFont="1" applyBorder="1" applyAlignment="1">
      <alignment vertical="center" shrinkToFit="1"/>
    </xf>
    <xf numFmtId="0" fontId="9" fillId="0" borderId="6" xfId="0" applyFont="1" applyBorder="1" applyAlignment="1">
      <alignment vertical="center" shrinkToFit="1"/>
    </xf>
    <xf numFmtId="0" fontId="54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 shrinkToFit="1"/>
    </xf>
    <xf numFmtId="0" fontId="10" fillId="0" borderId="9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26" fillId="0" borderId="2" xfId="0" quotePrefix="1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80" fontId="10" fillId="0" borderId="0" xfId="0" applyNumberFormat="1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2" xfId="0" applyFont="1" applyBorder="1">
      <alignment vertical="center"/>
    </xf>
    <xf numFmtId="0" fontId="10" fillId="0" borderId="6" xfId="0" applyFont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79" fontId="4" fillId="0" borderId="0" xfId="1" applyNumberFormat="1" applyFont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14" fontId="10" fillId="0" borderId="2" xfId="0" quotePrefix="1" applyNumberFormat="1" applyFont="1" applyBorder="1" applyAlignment="1">
      <alignment horizontal="center" vertical="center"/>
    </xf>
    <xf numFmtId="14" fontId="10" fillId="0" borderId="0" xfId="0" quotePrefix="1" applyNumberFormat="1" applyFont="1" applyAlignment="1">
      <alignment horizontal="center" vertical="center"/>
    </xf>
    <xf numFmtId="14" fontId="10" fillId="0" borderId="5" xfId="0" quotePrefix="1" applyNumberFormat="1" applyFont="1" applyBorder="1" applyAlignment="1">
      <alignment horizontal="center" vertical="center"/>
    </xf>
    <xf numFmtId="0" fontId="53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4" fontId="26" fillId="0" borderId="0" xfId="0" quotePrefix="1" applyNumberFormat="1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76" fontId="10" fillId="0" borderId="1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9" fillId="0" borderId="0" xfId="0" applyFont="1" applyAlignment="1">
      <alignment vertical="center" shrinkToFit="1"/>
    </xf>
    <xf numFmtId="0" fontId="9" fillId="2" borderId="0" xfId="3" applyFont="1" applyFill="1" applyAlignment="1">
      <alignment horizontal="center" vertical="center"/>
    </xf>
    <xf numFmtId="0" fontId="54" fillId="0" borderId="1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77" fontId="3" fillId="0" borderId="23" xfId="0" quotePrefix="1" applyNumberFormat="1" applyFont="1" applyBorder="1" applyAlignment="1">
      <alignment horizontal="center"/>
    </xf>
    <xf numFmtId="0" fontId="0" fillId="0" borderId="5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4" fontId="11" fillId="0" borderId="5" xfId="0" applyNumberFormat="1" applyFont="1" applyBorder="1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176" fontId="10" fillId="0" borderId="0" xfId="0" quotePrefix="1" applyNumberFormat="1" applyFont="1" applyAlignment="1">
      <alignment horizontal="center" vertical="center"/>
    </xf>
    <xf numFmtId="176" fontId="54" fillId="0" borderId="0" xfId="0" applyNumberFormat="1" applyFont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202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top" wrapText="1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 shrinkToFit="1"/>
    </xf>
    <xf numFmtId="0" fontId="0" fillId="0" borderId="5" xfId="0" applyBorder="1" applyAlignment="1">
      <alignment horizontal="center" vertical="center" shrinkToFit="1"/>
    </xf>
    <xf numFmtId="0" fontId="51" fillId="0" borderId="15" xfId="0" applyFont="1" applyBorder="1" applyAlignment="1">
      <alignment horizontal="center" vertical="top" wrapText="1"/>
    </xf>
    <xf numFmtId="0" fontId="51" fillId="0" borderId="8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0" fontId="8" fillId="0" borderId="5" xfId="3" applyFont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3" fillId="0" borderId="2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77" fontId="42" fillId="0" borderId="18" xfId="0" quotePrefix="1" applyNumberFormat="1" applyFont="1" applyBorder="1" applyAlignment="1">
      <alignment horizontal="right" vertical="center"/>
    </xf>
    <xf numFmtId="177" fontId="42" fillId="0" borderId="23" xfId="0" quotePrefix="1" applyNumberFormat="1" applyFont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</cellXfs>
  <cellStyles count="5">
    <cellStyle name="一般" xfId="0" builtinId="0"/>
    <cellStyle name="一般 10" xfId="2" xr:uid="{00000000-0005-0000-0000-000001000000}"/>
    <cellStyle name="一般 2" xfId="3" xr:uid="{00000000-0005-0000-0000-000002000000}"/>
    <cellStyle name="千分位" xfId="1" builtinId="3"/>
    <cellStyle name="千分位 2" xfId="4" xr:uid="{00000000-0005-0000-0000-000004000000}"/>
  </cellStyles>
  <dxfs count="2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mruColors>
      <color rgb="FFFF9966"/>
      <color rgb="FFFFFF99"/>
      <color rgb="FF3366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39997558519241921"/>
  </sheetPr>
  <dimension ref="A1:XFB272"/>
  <sheetViews>
    <sheetView workbookViewId="0">
      <pane xSplit="1" ySplit="3" topLeftCell="B255" activePane="bottomRight" state="frozen"/>
      <selection activeCell="B33" sqref="B33"/>
      <selection pane="topRight" activeCell="B33" sqref="B33"/>
      <selection pane="bottomLeft" activeCell="B33" sqref="B33"/>
      <selection pane="bottomRight" activeCell="C273" sqref="C273"/>
    </sheetView>
  </sheetViews>
  <sheetFormatPr defaultColWidth="9" defaultRowHeight="16.2"/>
  <cols>
    <col min="1" max="1" width="11.6640625" style="1" bestFit="1" customWidth="1"/>
    <col min="2" max="2" width="15.77734375" style="1" customWidth="1"/>
    <col min="3" max="3" width="19.6640625" style="1" customWidth="1"/>
    <col min="4" max="4" width="9.44140625" style="1" bestFit="1" customWidth="1"/>
    <col min="5" max="5" width="15.21875" style="21" bestFit="1" customWidth="1"/>
    <col min="6" max="7" width="13.33203125" style="1" bestFit="1" customWidth="1"/>
    <col min="8" max="8" width="13.44140625" style="163" bestFit="1" customWidth="1"/>
    <col min="9" max="9" width="18.44140625" style="189" bestFit="1" customWidth="1"/>
    <col min="10" max="10" width="19.21875" style="4" customWidth="1"/>
    <col min="11" max="11" width="20" style="4" bestFit="1" customWidth="1"/>
    <col min="12" max="12" width="21.77734375" style="12" bestFit="1" customWidth="1"/>
    <col min="13" max="13" width="18.109375" style="1" bestFit="1" customWidth="1"/>
    <col min="14" max="14" width="11.6640625" style="12" bestFit="1" customWidth="1"/>
    <col min="15" max="15" width="8.21875" style="28" bestFit="1" customWidth="1"/>
    <col min="16" max="17" width="10.88671875" style="28" bestFit="1" customWidth="1"/>
    <col min="18" max="18" width="13" style="28" bestFit="1" customWidth="1"/>
    <col min="19" max="19" width="13.6640625" style="1" bestFit="1" customWidth="1"/>
    <col min="20" max="16384" width="9" style="1"/>
  </cols>
  <sheetData>
    <row r="1" spans="1:19" s="52" customFormat="1" ht="54" customHeight="1">
      <c r="A1" s="356" t="s">
        <v>3083</v>
      </c>
      <c r="B1" s="356"/>
      <c r="C1" s="356"/>
      <c r="D1" s="356"/>
      <c r="E1" s="356"/>
      <c r="F1" s="356"/>
      <c r="G1" s="356"/>
      <c r="H1" s="356"/>
      <c r="I1" s="356"/>
      <c r="J1" s="356"/>
      <c r="K1" s="364" t="s">
        <v>2738</v>
      </c>
      <c r="L1" s="365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243" t="s">
        <v>2595</v>
      </c>
      <c r="L2" s="146" t="s">
        <v>1224</v>
      </c>
      <c r="M2" s="143" t="s">
        <v>1000</v>
      </c>
    </row>
    <row r="3" spans="1:19" ht="36" customHeight="1">
      <c r="A3" s="1" t="s">
        <v>29</v>
      </c>
      <c r="B3" s="1" t="s">
        <v>30</v>
      </c>
      <c r="C3" s="3" t="s">
        <v>296</v>
      </c>
      <c r="D3" s="1" t="s">
        <v>56</v>
      </c>
      <c r="E3" s="12" t="s">
        <v>62</v>
      </c>
      <c r="F3" s="6" t="s">
        <v>330</v>
      </c>
      <c r="G3" s="6" t="s">
        <v>331</v>
      </c>
      <c r="H3" s="158" t="s">
        <v>561</v>
      </c>
      <c r="I3" s="189" t="s">
        <v>484</v>
      </c>
      <c r="J3" s="22" t="s">
        <v>1019</v>
      </c>
      <c r="K3" s="4" t="s">
        <v>1095</v>
      </c>
      <c r="L3" s="12" t="s">
        <v>1021</v>
      </c>
      <c r="M3" s="6" t="s">
        <v>683</v>
      </c>
      <c r="N3" s="22" t="s">
        <v>523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 s="4" customFormat="1">
      <c r="A4" s="4" t="s">
        <v>38</v>
      </c>
      <c r="B4" s="7" t="s">
        <v>2364</v>
      </c>
      <c r="C4" s="12" t="s">
        <v>1792</v>
      </c>
      <c r="D4" s="12">
        <v>4</v>
      </c>
      <c r="E4" s="258"/>
      <c r="F4" s="12">
        <v>20230301</v>
      </c>
      <c r="G4" s="12">
        <v>20240401</v>
      </c>
      <c r="H4" s="159">
        <v>10</v>
      </c>
      <c r="I4" s="197" t="s">
        <v>2586</v>
      </c>
      <c r="J4" s="12"/>
      <c r="K4" s="12" t="s">
        <v>2322</v>
      </c>
      <c r="L4" s="12"/>
      <c r="M4" s="1" t="s">
        <v>2323</v>
      </c>
      <c r="N4" s="12"/>
      <c r="O4" s="28">
        <v>0</v>
      </c>
      <c r="P4" s="28">
        <f t="shared" ref="P4:P14" si="0">O4*0.75</f>
        <v>0</v>
      </c>
      <c r="Q4" s="28">
        <f t="shared" ref="Q4:Q11" si="1">D4*P4</f>
        <v>0</v>
      </c>
      <c r="R4" s="28"/>
      <c r="S4" s="12"/>
    </row>
    <row r="5" spans="1:19" s="6" customFormat="1">
      <c r="A5" s="6" t="s">
        <v>38</v>
      </c>
      <c r="B5" s="6">
        <v>6013002550</v>
      </c>
      <c r="C5" s="12" t="s">
        <v>1792</v>
      </c>
      <c r="D5" s="6">
        <v>7</v>
      </c>
      <c r="E5" s="258"/>
      <c r="F5" s="6">
        <v>20240902</v>
      </c>
      <c r="G5" s="6">
        <v>20241029</v>
      </c>
      <c r="H5" s="159" t="s">
        <v>699</v>
      </c>
      <c r="I5" s="195"/>
      <c r="J5" s="12"/>
      <c r="K5" s="12" t="s">
        <v>1115</v>
      </c>
      <c r="L5" s="12" t="s">
        <v>1255</v>
      </c>
      <c r="M5" s="6" t="s">
        <v>2728</v>
      </c>
      <c r="N5" s="12"/>
      <c r="O5" s="28">
        <v>1800</v>
      </c>
      <c r="P5" s="28">
        <f t="shared" si="0"/>
        <v>1350</v>
      </c>
      <c r="Q5" s="28">
        <f t="shared" si="1"/>
        <v>9450</v>
      </c>
      <c r="R5" s="28"/>
    </row>
    <row r="6" spans="1:19" s="6" customFormat="1">
      <c r="A6" s="6" t="s">
        <v>38</v>
      </c>
      <c r="B6" s="187">
        <v>6013002501</v>
      </c>
      <c r="C6" s="13" t="s">
        <v>2903</v>
      </c>
      <c r="D6" s="232">
        <v>3</v>
      </c>
      <c r="E6" s="258" t="s">
        <v>3208</v>
      </c>
      <c r="F6" s="6">
        <v>20250217</v>
      </c>
      <c r="G6" s="6">
        <v>20250428</v>
      </c>
      <c r="H6" s="159">
        <v>10</v>
      </c>
      <c r="I6" s="197"/>
      <c r="J6" s="7"/>
      <c r="K6" s="12" t="s">
        <v>2972</v>
      </c>
      <c r="L6" s="12" t="s">
        <v>2973</v>
      </c>
      <c r="M6" s="6" t="s">
        <v>2974</v>
      </c>
      <c r="N6" s="12" t="s">
        <v>3212</v>
      </c>
      <c r="O6" s="28">
        <v>5470</v>
      </c>
      <c r="P6" s="28">
        <f t="shared" si="0"/>
        <v>4102.5</v>
      </c>
      <c r="Q6" s="28">
        <f t="shared" si="1"/>
        <v>12307.5</v>
      </c>
      <c r="R6" s="28"/>
    </row>
    <row r="7" spans="1:19" s="6" customFormat="1">
      <c r="A7" s="6" t="s">
        <v>38</v>
      </c>
      <c r="B7" s="139">
        <v>6013002501</v>
      </c>
      <c r="C7" s="14" t="s">
        <v>2903</v>
      </c>
      <c r="D7" s="233">
        <v>2</v>
      </c>
      <c r="E7" s="258" t="s">
        <v>3209</v>
      </c>
      <c r="G7" s="6">
        <v>20260115</v>
      </c>
      <c r="H7" s="159">
        <v>10</v>
      </c>
      <c r="I7" s="197" t="s">
        <v>3210</v>
      </c>
      <c r="J7" s="7"/>
      <c r="K7" s="12" t="s">
        <v>1863</v>
      </c>
      <c r="L7" s="12" t="s">
        <v>2973</v>
      </c>
      <c r="N7" s="12" t="s">
        <v>3211</v>
      </c>
      <c r="O7" s="28">
        <v>5470</v>
      </c>
      <c r="P7" s="28">
        <f t="shared" ref="P7" si="2">O7*0.75</f>
        <v>4102.5</v>
      </c>
      <c r="Q7" s="28">
        <f t="shared" ref="Q7" si="3">D7*P7</f>
        <v>8205</v>
      </c>
      <c r="R7" s="28"/>
    </row>
    <row r="8" spans="1:19" s="6" customFormat="1">
      <c r="A8" s="6" t="s">
        <v>38</v>
      </c>
      <c r="B8" s="187">
        <v>6013002541</v>
      </c>
      <c r="C8" s="13" t="s">
        <v>1792</v>
      </c>
      <c r="D8" s="232">
        <v>1</v>
      </c>
      <c r="E8" s="258" t="s">
        <v>2989</v>
      </c>
      <c r="G8" s="6">
        <v>20250106</v>
      </c>
      <c r="H8" s="159">
        <v>10</v>
      </c>
      <c r="I8" s="197"/>
      <c r="J8" s="7"/>
      <c r="K8" s="12" t="s">
        <v>2522</v>
      </c>
      <c r="L8" s="12" t="s">
        <v>1141</v>
      </c>
      <c r="N8" s="12" t="s">
        <v>2063</v>
      </c>
      <c r="O8" s="28">
        <v>5170</v>
      </c>
      <c r="P8" s="28">
        <f>O8*0.75</f>
        <v>3877.5</v>
      </c>
      <c r="Q8" s="28">
        <f t="shared" si="1"/>
        <v>3877.5</v>
      </c>
      <c r="R8" s="28"/>
    </row>
    <row r="9" spans="1:19" s="6" customFormat="1">
      <c r="A9" s="6" t="s">
        <v>38</v>
      </c>
      <c r="B9" s="139">
        <v>6013002541</v>
      </c>
      <c r="C9" s="14" t="s">
        <v>2988</v>
      </c>
      <c r="D9" s="233">
        <v>10</v>
      </c>
      <c r="E9" s="258" t="s">
        <v>2990</v>
      </c>
      <c r="F9" s="6">
        <v>20241213</v>
      </c>
      <c r="G9" s="6">
        <v>20250514</v>
      </c>
      <c r="H9" s="159">
        <v>10</v>
      </c>
      <c r="I9" s="197"/>
      <c r="J9" s="7"/>
      <c r="K9" s="12" t="s">
        <v>2522</v>
      </c>
      <c r="L9" s="12" t="s">
        <v>1141</v>
      </c>
      <c r="M9" s="6" t="s">
        <v>2992</v>
      </c>
      <c r="N9" s="12" t="s">
        <v>2991</v>
      </c>
      <c r="O9" s="28">
        <v>5170</v>
      </c>
      <c r="P9" s="28">
        <f>O9*0.75</f>
        <v>3877.5</v>
      </c>
      <c r="Q9" s="28">
        <f t="shared" si="1"/>
        <v>38775</v>
      </c>
      <c r="R9" s="28"/>
    </row>
    <row r="10" spans="1:19">
      <c r="A10" s="1" t="s">
        <v>38</v>
      </c>
      <c r="B10" s="15">
        <v>6006002530</v>
      </c>
      <c r="C10" s="115" t="s">
        <v>2385</v>
      </c>
      <c r="D10" s="56">
        <v>12</v>
      </c>
      <c r="E10" s="257" t="s">
        <v>2984</v>
      </c>
      <c r="F10" s="1">
        <v>20221105</v>
      </c>
      <c r="G10" s="1">
        <v>20230105</v>
      </c>
      <c r="H10" s="159" t="s">
        <v>699</v>
      </c>
      <c r="I10" s="189" t="s">
        <v>2726</v>
      </c>
      <c r="J10" s="4" t="s">
        <v>2927</v>
      </c>
      <c r="K10" s="12" t="s">
        <v>1138</v>
      </c>
      <c r="L10" s="12" t="s">
        <v>1144</v>
      </c>
      <c r="M10" s="1" t="s">
        <v>819</v>
      </c>
      <c r="N10" s="12" t="s">
        <v>823</v>
      </c>
      <c r="O10" s="28">
        <v>6248</v>
      </c>
      <c r="P10" s="28">
        <f>O10*0.75</f>
        <v>4686</v>
      </c>
      <c r="Q10" s="28">
        <f t="shared" si="1"/>
        <v>56232</v>
      </c>
    </row>
    <row r="11" spans="1:19">
      <c r="A11" s="1" t="s">
        <v>38</v>
      </c>
      <c r="B11" s="17">
        <v>6006002530</v>
      </c>
      <c r="C11" s="88" t="s">
        <v>2385</v>
      </c>
      <c r="D11" s="40">
        <v>4</v>
      </c>
      <c r="E11" s="257" t="s">
        <v>2985</v>
      </c>
      <c r="G11" s="1">
        <v>20250514</v>
      </c>
      <c r="H11" s="159" t="s">
        <v>699</v>
      </c>
      <c r="I11" s="189" t="s">
        <v>2311</v>
      </c>
      <c r="J11" s="4" t="s">
        <v>2927</v>
      </c>
      <c r="K11" s="12" t="s">
        <v>1138</v>
      </c>
      <c r="L11" s="12" t="s">
        <v>1144</v>
      </c>
      <c r="N11" s="12" t="s">
        <v>962</v>
      </c>
      <c r="O11" s="28">
        <v>6248</v>
      </c>
      <c r="P11" s="28">
        <f>O11*0.75</f>
        <v>4686</v>
      </c>
      <c r="Q11" s="28">
        <f t="shared" si="1"/>
        <v>18744</v>
      </c>
    </row>
    <row r="12" spans="1:19">
      <c r="A12" s="1" t="s">
        <v>38</v>
      </c>
      <c r="B12" s="15" t="s">
        <v>858</v>
      </c>
      <c r="C12" s="96" t="s">
        <v>2597</v>
      </c>
      <c r="D12" s="13">
        <v>1</v>
      </c>
      <c r="E12" s="370"/>
      <c r="F12" s="13">
        <v>20230108</v>
      </c>
      <c r="G12" s="13">
        <v>20230308</v>
      </c>
      <c r="H12" s="160" t="s">
        <v>699</v>
      </c>
      <c r="I12" s="362" t="s">
        <v>2168</v>
      </c>
      <c r="J12" s="376" t="s">
        <v>2596</v>
      </c>
      <c r="K12" s="12" t="s">
        <v>1148</v>
      </c>
      <c r="L12" s="12" t="s">
        <v>1165</v>
      </c>
      <c r="M12" s="1" t="s">
        <v>862</v>
      </c>
      <c r="N12" s="361" t="s">
        <v>864</v>
      </c>
      <c r="O12" s="28">
        <v>4620</v>
      </c>
      <c r="P12" s="28">
        <f t="shared" si="0"/>
        <v>3465</v>
      </c>
      <c r="Q12" s="28">
        <f t="shared" ref="Q12:Q33" si="4">D12*P12</f>
        <v>3465</v>
      </c>
    </row>
    <row r="13" spans="1:19">
      <c r="A13" s="1" t="s">
        <v>38</v>
      </c>
      <c r="B13" s="17" t="s">
        <v>859</v>
      </c>
      <c r="C13" s="64" t="s">
        <v>2597</v>
      </c>
      <c r="D13" s="14">
        <v>1</v>
      </c>
      <c r="E13" s="371"/>
      <c r="F13" s="14">
        <v>20230108</v>
      </c>
      <c r="G13" s="14">
        <v>20230308</v>
      </c>
      <c r="H13" s="161" t="s">
        <v>699</v>
      </c>
      <c r="I13" s="363"/>
      <c r="J13" s="377"/>
      <c r="K13" s="12" t="s">
        <v>1166</v>
      </c>
      <c r="L13" s="12" t="s">
        <v>1167</v>
      </c>
      <c r="M13" s="1" t="s">
        <v>863</v>
      </c>
      <c r="N13" s="361"/>
      <c r="O13" s="28">
        <v>3501</v>
      </c>
      <c r="P13" s="28">
        <f t="shared" si="0"/>
        <v>2625.75</v>
      </c>
      <c r="Q13" s="28">
        <f t="shared" si="4"/>
        <v>2625.75</v>
      </c>
    </row>
    <row r="14" spans="1:19">
      <c r="A14" s="1" t="s">
        <v>38</v>
      </c>
      <c r="B14" s="150">
        <v>6006002503</v>
      </c>
      <c r="C14" s="235" t="s">
        <v>2698</v>
      </c>
      <c r="D14" s="11">
        <v>16</v>
      </c>
      <c r="E14" s="259"/>
      <c r="F14" s="11"/>
      <c r="G14" s="11">
        <v>20240930</v>
      </c>
      <c r="H14" s="162">
        <v>10</v>
      </c>
      <c r="I14" s="253"/>
      <c r="J14" s="236" t="s">
        <v>2699</v>
      </c>
      <c r="K14" s="12"/>
      <c r="O14" s="28">
        <v>0</v>
      </c>
      <c r="P14" s="28">
        <f t="shared" si="0"/>
        <v>0</v>
      </c>
      <c r="Q14" s="28">
        <f t="shared" si="4"/>
        <v>0</v>
      </c>
    </row>
    <row r="15" spans="1:19">
      <c r="A15" s="1" t="s">
        <v>38</v>
      </c>
      <c r="B15" s="4" t="s">
        <v>318</v>
      </c>
      <c r="C15" s="1" t="s">
        <v>2385</v>
      </c>
      <c r="D15" s="1">
        <v>4</v>
      </c>
      <c r="E15" s="257"/>
      <c r="F15" s="1">
        <v>20190927</v>
      </c>
      <c r="G15" s="1">
        <v>20191127</v>
      </c>
      <c r="H15" s="159" t="s">
        <v>699</v>
      </c>
      <c r="J15" s="12"/>
      <c r="K15" s="12" t="s">
        <v>1117</v>
      </c>
      <c r="L15" s="145" t="s">
        <v>1227</v>
      </c>
      <c r="O15" s="28">
        <v>2860</v>
      </c>
      <c r="P15" s="28">
        <f t="shared" ref="P15:P37" si="5">O15*0.75</f>
        <v>2145</v>
      </c>
      <c r="Q15" s="28">
        <f t="shared" si="4"/>
        <v>8580</v>
      </c>
      <c r="S15" s="12"/>
    </row>
    <row r="16" spans="1:19">
      <c r="A16" s="1" t="s">
        <v>38</v>
      </c>
      <c r="B16" s="1">
        <v>5008042501</v>
      </c>
      <c r="C16" s="12" t="s">
        <v>2384</v>
      </c>
      <c r="D16" s="21">
        <v>27</v>
      </c>
      <c r="E16" s="257"/>
      <c r="F16" s="1">
        <v>20240301</v>
      </c>
      <c r="G16" s="1">
        <v>20240604</v>
      </c>
      <c r="H16" s="159">
        <v>10</v>
      </c>
      <c r="I16" s="298" t="s">
        <v>3249</v>
      </c>
      <c r="J16" s="4" t="s">
        <v>3246</v>
      </c>
      <c r="K16" s="12" t="s">
        <v>1047</v>
      </c>
      <c r="L16" s="12" t="s">
        <v>1230</v>
      </c>
      <c r="M16" s="1" t="s">
        <v>2459</v>
      </c>
      <c r="O16" s="28">
        <v>825</v>
      </c>
      <c r="P16" s="28">
        <f t="shared" si="5"/>
        <v>618.75</v>
      </c>
      <c r="Q16" s="28">
        <f t="shared" si="4"/>
        <v>16706.25</v>
      </c>
    </row>
    <row r="17" spans="1:18">
      <c r="A17" s="1" t="s">
        <v>38</v>
      </c>
      <c r="B17" s="1">
        <v>6018002530</v>
      </c>
      <c r="C17" s="12" t="s">
        <v>2929</v>
      </c>
      <c r="D17" s="1">
        <v>2</v>
      </c>
      <c r="E17" s="257"/>
      <c r="F17" s="1">
        <v>20230510</v>
      </c>
      <c r="G17" s="1">
        <v>20230710</v>
      </c>
      <c r="H17" s="159" t="s">
        <v>699</v>
      </c>
      <c r="I17" s="298" t="s">
        <v>2930</v>
      </c>
      <c r="K17" s="12" t="s">
        <v>1139</v>
      </c>
      <c r="L17" s="12" t="s">
        <v>1140</v>
      </c>
      <c r="M17" s="1" t="s">
        <v>963</v>
      </c>
      <c r="N17" s="12" t="s">
        <v>962</v>
      </c>
      <c r="O17" s="28">
        <v>9800</v>
      </c>
      <c r="P17" s="28">
        <f t="shared" ref="P17" si="6">O17*0.75</f>
        <v>7350</v>
      </c>
      <c r="Q17" s="28">
        <f t="shared" ref="Q17" si="7">D17*P17</f>
        <v>14700</v>
      </c>
    </row>
    <row r="18" spans="1:18">
      <c r="A18" s="1" t="s">
        <v>38</v>
      </c>
      <c r="B18" s="1">
        <v>5003002502</v>
      </c>
      <c r="C18" s="113" t="s">
        <v>2634</v>
      </c>
      <c r="D18" s="1">
        <v>8</v>
      </c>
      <c r="E18" s="257"/>
      <c r="F18" s="1">
        <v>20221009</v>
      </c>
      <c r="G18" s="1">
        <v>20221209</v>
      </c>
      <c r="H18" s="159" t="s">
        <v>699</v>
      </c>
      <c r="K18" s="12" t="s">
        <v>1152</v>
      </c>
      <c r="L18" s="12" t="s">
        <v>1153</v>
      </c>
      <c r="M18" s="1" t="s">
        <v>910</v>
      </c>
      <c r="O18" s="28">
        <v>3465</v>
      </c>
      <c r="P18" s="28">
        <f>O18*0.75</f>
        <v>2598.75</v>
      </c>
      <c r="Q18" s="28">
        <f t="shared" si="4"/>
        <v>20790</v>
      </c>
    </row>
    <row r="19" spans="1:18">
      <c r="A19" s="1" t="s">
        <v>38</v>
      </c>
      <c r="B19" s="1">
        <v>6013002560</v>
      </c>
      <c r="C19" s="113" t="s">
        <v>2634</v>
      </c>
      <c r="D19" s="1">
        <v>1</v>
      </c>
      <c r="E19" s="257"/>
      <c r="F19" s="1">
        <v>20230310</v>
      </c>
      <c r="G19" s="1">
        <v>20230510</v>
      </c>
      <c r="H19" s="159" t="s">
        <v>699</v>
      </c>
      <c r="K19" s="12" t="s">
        <v>1157</v>
      </c>
      <c r="L19" s="12" t="s">
        <v>1216</v>
      </c>
      <c r="M19" s="1" t="s">
        <v>911</v>
      </c>
      <c r="O19" s="28">
        <v>9800</v>
      </c>
      <c r="P19" s="28">
        <f>O19*0.75</f>
        <v>7350</v>
      </c>
      <c r="Q19" s="28">
        <f t="shared" si="4"/>
        <v>7350</v>
      </c>
    </row>
    <row r="20" spans="1:18">
      <c r="A20" s="1" t="s">
        <v>38</v>
      </c>
      <c r="B20" s="1">
        <v>1011002510</v>
      </c>
      <c r="C20" s="113" t="s">
        <v>2383</v>
      </c>
      <c r="D20" s="1">
        <v>9</v>
      </c>
      <c r="E20" s="257"/>
      <c r="F20" s="1">
        <v>20221008</v>
      </c>
      <c r="G20" s="1">
        <v>20221208</v>
      </c>
      <c r="H20" s="159" t="s">
        <v>699</v>
      </c>
      <c r="I20" s="193" t="s">
        <v>798</v>
      </c>
      <c r="K20" s="12" t="s">
        <v>1146</v>
      </c>
      <c r="L20" s="12" t="s">
        <v>1147</v>
      </c>
      <c r="M20" s="1" t="s">
        <v>799</v>
      </c>
      <c r="N20" s="12" t="s">
        <v>797</v>
      </c>
      <c r="O20" s="28">
        <v>3250</v>
      </c>
      <c r="P20" s="28">
        <f t="shared" si="5"/>
        <v>2437.5</v>
      </c>
      <c r="Q20" s="28">
        <f t="shared" si="4"/>
        <v>21937.5</v>
      </c>
    </row>
    <row r="21" spans="1:18">
      <c r="A21" s="4" t="s">
        <v>38</v>
      </c>
      <c r="B21" s="1" t="s">
        <v>729</v>
      </c>
      <c r="C21" s="113" t="s">
        <v>2383</v>
      </c>
      <c r="D21" s="1">
        <v>31</v>
      </c>
      <c r="E21" s="257"/>
      <c r="F21" s="1">
        <v>20220605</v>
      </c>
      <c r="G21" s="1">
        <v>20220805</v>
      </c>
      <c r="H21" s="159" t="s">
        <v>699</v>
      </c>
      <c r="J21" s="4" t="s">
        <v>2576</v>
      </c>
      <c r="K21" s="12" t="s">
        <v>1148</v>
      </c>
      <c r="L21" s="12" t="s">
        <v>1149</v>
      </c>
      <c r="M21" s="1" t="s">
        <v>730</v>
      </c>
      <c r="N21" s="12" t="s">
        <v>735</v>
      </c>
      <c r="O21" s="28">
        <v>1900</v>
      </c>
      <c r="P21" s="28">
        <f t="shared" si="5"/>
        <v>1425</v>
      </c>
      <c r="Q21" s="28">
        <f t="shared" si="4"/>
        <v>44175</v>
      </c>
    </row>
    <row r="22" spans="1:18">
      <c r="A22" s="1" t="s">
        <v>38</v>
      </c>
      <c r="B22" s="1">
        <v>3015002544</v>
      </c>
      <c r="C22" s="113" t="s">
        <v>2383</v>
      </c>
      <c r="D22" s="1">
        <v>17</v>
      </c>
      <c r="E22" s="257"/>
      <c r="F22" s="1">
        <v>20221221</v>
      </c>
      <c r="G22" s="1">
        <v>20230221</v>
      </c>
      <c r="H22" s="159" t="s">
        <v>699</v>
      </c>
      <c r="I22" s="189" t="s">
        <v>2483</v>
      </c>
      <c r="J22" s="4" t="s">
        <v>856</v>
      </c>
      <c r="K22" s="12" t="s">
        <v>1143</v>
      </c>
      <c r="L22" s="12" t="s">
        <v>1151</v>
      </c>
      <c r="O22" s="28">
        <v>1595</v>
      </c>
      <c r="P22" s="28">
        <f t="shared" si="5"/>
        <v>1196.25</v>
      </c>
      <c r="Q22" s="28">
        <f t="shared" si="4"/>
        <v>20336.25</v>
      </c>
    </row>
    <row r="23" spans="1:18">
      <c r="A23" s="1" t="s">
        <v>2073</v>
      </c>
      <c r="B23" s="1">
        <v>5033002531</v>
      </c>
      <c r="C23" s="113" t="s">
        <v>2383</v>
      </c>
      <c r="D23" s="1">
        <v>14</v>
      </c>
      <c r="E23" s="257" t="s">
        <v>2093</v>
      </c>
      <c r="F23" s="1">
        <v>20230804</v>
      </c>
      <c r="G23" s="1">
        <v>20231120</v>
      </c>
      <c r="H23" s="159" t="s">
        <v>790</v>
      </c>
      <c r="K23" s="12" t="s">
        <v>2080</v>
      </c>
      <c r="L23" s="12" t="s">
        <v>1155</v>
      </c>
      <c r="M23" s="1" t="s">
        <v>2081</v>
      </c>
      <c r="N23" s="12" t="s">
        <v>2085</v>
      </c>
      <c r="O23" s="28">
        <v>2090</v>
      </c>
      <c r="P23" s="28">
        <f t="shared" si="5"/>
        <v>1567.5</v>
      </c>
      <c r="Q23" s="28">
        <f t="shared" si="4"/>
        <v>21945</v>
      </c>
    </row>
    <row r="24" spans="1:18" ht="32.4">
      <c r="A24" s="1" t="s">
        <v>38</v>
      </c>
      <c r="B24" s="1">
        <v>6007002500</v>
      </c>
      <c r="C24" s="113" t="s">
        <v>2383</v>
      </c>
      <c r="D24" s="1">
        <v>19</v>
      </c>
      <c r="E24" s="257"/>
      <c r="F24" s="1">
        <v>20221221</v>
      </c>
      <c r="G24" s="1">
        <v>20230221</v>
      </c>
      <c r="H24" s="159" t="s">
        <v>699</v>
      </c>
      <c r="I24" s="204" t="s">
        <v>2167</v>
      </c>
      <c r="K24" s="12" t="s">
        <v>1143</v>
      </c>
      <c r="L24" s="12" t="s">
        <v>1156</v>
      </c>
      <c r="M24" s="1" t="s">
        <v>853</v>
      </c>
      <c r="O24" s="28">
        <v>2871</v>
      </c>
      <c r="P24" s="28">
        <f t="shared" si="5"/>
        <v>2153.25</v>
      </c>
      <c r="Q24" s="28">
        <f t="shared" si="4"/>
        <v>40911.75</v>
      </c>
    </row>
    <row r="25" spans="1:18">
      <c r="A25" s="1" t="s">
        <v>38</v>
      </c>
      <c r="B25" s="1">
        <v>1004012500</v>
      </c>
      <c r="C25" s="113" t="s">
        <v>2383</v>
      </c>
      <c r="D25" s="1">
        <v>12</v>
      </c>
      <c r="E25" s="257"/>
      <c r="F25" s="1">
        <v>20220103</v>
      </c>
      <c r="G25" s="1">
        <v>20220303</v>
      </c>
      <c r="H25" s="159" t="s">
        <v>699</v>
      </c>
      <c r="J25" s="12"/>
      <c r="K25" s="12" t="s">
        <v>1146</v>
      </c>
      <c r="L25" s="12" t="s">
        <v>1158</v>
      </c>
      <c r="O25" s="28">
        <v>1265</v>
      </c>
      <c r="P25" s="28">
        <f t="shared" si="5"/>
        <v>948.75</v>
      </c>
      <c r="Q25" s="28">
        <f t="shared" si="4"/>
        <v>11385</v>
      </c>
    </row>
    <row r="26" spans="1:18" s="6" customFormat="1">
      <c r="A26" s="6" t="s">
        <v>38</v>
      </c>
      <c r="B26" s="6">
        <v>7003002522</v>
      </c>
      <c r="C26" s="6" t="s">
        <v>2383</v>
      </c>
      <c r="D26" s="6">
        <v>7</v>
      </c>
      <c r="E26" s="258"/>
      <c r="F26" s="6">
        <v>20250331</v>
      </c>
      <c r="G26" s="6">
        <v>20260114</v>
      </c>
      <c r="H26" s="159">
        <v>10</v>
      </c>
      <c r="I26" s="195"/>
      <c r="J26" s="12"/>
      <c r="K26" s="12" t="s">
        <v>1083</v>
      </c>
      <c r="L26" s="12" t="s">
        <v>1217</v>
      </c>
      <c r="M26" s="6" t="s">
        <v>3119</v>
      </c>
      <c r="N26" s="12"/>
      <c r="O26" s="28">
        <v>3465</v>
      </c>
      <c r="P26" s="28">
        <f t="shared" si="5"/>
        <v>2598.75</v>
      </c>
      <c r="Q26" s="28">
        <f t="shared" si="4"/>
        <v>18191.25</v>
      </c>
      <c r="R26" s="28"/>
    </row>
    <row r="27" spans="1:18">
      <c r="A27" s="1" t="s">
        <v>38</v>
      </c>
      <c r="B27" s="1">
        <v>5007042501</v>
      </c>
      <c r="C27" s="1" t="s">
        <v>2382</v>
      </c>
      <c r="D27" s="1">
        <v>24</v>
      </c>
      <c r="E27" s="257" t="s">
        <v>2926</v>
      </c>
      <c r="F27" s="1">
        <v>20221012</v>
      </c>
      <c r="G27" s="1">
        <v>20221212</v>
      </c>
      <c r="H27" s="159" t="s">
        <v>699</v>
      </c>
      <c r="K27" s="12" t="s">
        <v>1143</v>
      </c>
      <c r="L27" s="12" t="s">
        <v>1160</v>
      </c>
      <c r="M27" s="1" t="s">
        <v>805</v>
      </c>
      <c r="N27" s="12" t="s">
        <v>808</v>
      </c>
      <c r="O27" s="28">
        <v>1530</v>
      </c>
      <c r="P27" s="28">
        <f t="shared" si="5"/>
        <v>1147.5</v>
      </c>
      <c r="Q27" s="28">
        <f t="shared" si="4"/>
        <v>27540</v>
      </c>
    </row>
    <row r="28" spans="1:18">
      <c r="A28" s="1" t="s">
        <v>38</v>
      </c>
      <c r="B28" s="15">
        <v>5012002523</v>
      </c>
      <c r="C28" s="13" t="s">
        <v>2382</v>
      </c>
      <c r="D28" s="56">
        <v>11</v>
      </c>
      <c r="E28" s="257" t="s">
        <v>717</v>
      </c>
      <c r="F28" s="1">
        <v>20220605</v>
      </c>
      <c r="G28" s="1">
        <v>20220805</v>
      </c>
      <c r="H28" s="159" t="s">
        <v>699</v>
      </c>
      <c r="K28" s="12" t="s">
        <v>1143</v>
      </c>
      <c r="L28" s="12" t="s">
        <v>1162</v>
      </c>
      <c r="M28" s="1" t="s">
        <v>732</v>
      </c>
      <c r="O28" s="28">
        <v>1107</v>
      </c>
      <c r="P28" s="28">
        <f t="shared" si="5"/>
        <v>830.25</v>
      </c>
      <c r="Q28" s="28">
        <f t="shared" si="4"/>
        <v>9132.75</v>
      </c>
    </row>
    <row r="29" spans="1:18" ht="17.25" customHeight="1">
      <c r="A29" s="1" t="s">
        <v>38</v>
      </c>
      <c r="B29" s="17">
        <v>5012002523</v>
      </c>
      <c r="C29" s="14" t="s">
        <v>2382</v>
      </c>
      <c r="D29" s="40">
        <v>19</v>
      </c>
      <c r="E29" s="257"/>
      <c r="F29" s="1">
        <v>20230225</v>
      </c>
      <c r="G29" s="1">
        <v>20230425</v>
      </c>
      <c r="H29" s="159" t="s">
        <v>699</v>
      </c>
      <c r="K29" s="12" t="s">
        <v>1143</v>
      </c>
      <c r="L29" s="12" t="s">
        <v>1162</v>
      </c>
      <c r="M29" s="1" t="s">
        <v>893</v>
      </c>
      <c r="O29" s="28">
        <v>1107</v>
      </c>
      <c r="P29" s="28">
        <f t="shared" si="5"/>
        <v>830.25</v>
      </c>
      <c r="Q29" s="28">
        <f t="shared" si="4"/>
        <v>15774.75</v>
      </c>
    </row>
    <row r="30" spans="1:18" ht="17.25" customHeight="1">
      <c r="A30" s="1" t="s">
        <v>38</v>
      </c>
      <c r="B30" s="1">
        <v>1007002551</v>
      </c>
      <c r="C30" s="1" t="s">
        <v>2382</v>
      </c>
      <c r="D30" s="1">
        <v>7</v>
      </c>
      <c r="E30" s="257"/>
      <c r="F30" s="1">
        <v>20231201</v>
      </c>
      <c r="G30" s="1">
        <v>20240123</v>
      </c>
      <c r="H30" s="159">
        <v>10</v>
      </c>
      <c r="J30" s="4" t="s">
        <v>3084</v>
      </c>
      <c r="K30" s="12" t="s">
        <v>1047</v>
      </c>
      <c r="L30" s="12" t="s">
        <v>1159</v>
      </c>
      <c r="M30" s="1" t="s">
        <v>2204</v>
      </c>
      <c r="N30" s="12" t="s">
        <v>2205</v>
      </c>
      <c r="O30" s="28">
        <v>1683</v>
      </c>
      <c r="P30" s="28">
        <f t="shared" si="5"/>
        <v>1262.25</v>
      </c>
      <c r="Q30" s="28">
        <f t="shared" si="4"/>
        <v>8835.75</v>
      </c>
    </row>
    <row r="31" spans="1:18" s="6" customFormat="1">
      <c r="A31" s="6" t="s">
        <v>38</v>
      </c>
      <c r="B31" s="187">
        <v>3006022501</v>
      </c>
      <c r="C31" s="13" t="s">
        <v>2382</v>
      </c>
      <c r="D31" s="96">
        <v>6</v>
      </c>
      <c r="E31" s="287" t="s">
        <v>1007</v>
      </c>
      <c r="F31" s="96">
        <v>20240216</v>
      </c>
      <c r="G31" s="96">
        <v>20240604</v>
      </c>
      <c r="H31" s="160">
        <v>10</v>
      </c>
      <c r="I31" s="293"/>
      <c r="J31" s="12"/>
      <c r="K31" s="12" t="s">
        <v>2422</v>
      </c>
      <c r="L31" s="12" t="s">
        <v>2423</v>
      </c>
      <c r="M31" s="6" t="s">
        <v>2424</v>
      </c>
      <c r="N31" s="12" t="s">
        <v>2425</v>
      </c>
      <c r="O31" s="28">
        <v>2000</v>
      </c>
      <c r="P31" s="28">
        <f t="shared" si="5"/>
        <v>1500</v>
      </c>
      <c r="Q31" s="28">
        <f t="shared" si="4"/>
        <v>9000</v>
      </c>
      <c r="R31" s="28"/>
    </row>
    <row r="32" spans="1:18" s="6" customFormat="1">
      <c r="A32" s="6" t="s">
        <v>38</v>
      </c>
      <c r="B32" s="6">
        <v>6007002523</v>
      </c>
      <c r="C32" s="1" t="s">
        <v>2382</v>
      </c>
      <c r="D32" s="6">
        <v>10</v>
      </c>
      <c r="E32" s="258"/>
      <c r="F32" s="6">
        <v>20250407</v>
      </c>
      <c r="G32" s="6">
        <v>20260114</v>
      </c>
      <c r="H32" s="159">
        <v>10</v>
      </c>
      <c r="I32" s="340"/>
      <c r="J32" s="12"/>
      <c r="K32" s="12" t="s">
        <v>1138</v>
      </c>
      <c r="L32" s="12" t="s">
        <v>3159</v>
      </c>
      <c r="M32" s="6" t="s">
        <v>3160</v>
      </c>
      <c r="N32" s="12" t="s">
        <v>3161</v>
      </c>
      <c r="O32" s="28">
        <v>4300</v>
      </c>
      <c r="P32" s="28">
        <f t="shared" si="5"/>
        <v>3225</v>
      </c>
      <c r="Q32" s="28">
        <f t="shared" si="4"/>
        <v>32250</v>
      </c>
      <c r="R32" s="28"/>
    </row>
    <row r="33" spans="1:19">
      <c r="A33" s="1" t="s">
        <v>38</v>
      </c>
      <c r="B33" s="1">
        <v>6023002511</v>
      </c>
      <c r="C33" s="1" t="s">
        <v>2635</v>
      </c>
      <c r="D33" s="1">
        <v>1</v>
      </c>
      <c r="E33" s="257"/>
      <c r="F33" s="1">
        <v>20230409</v>
      </c>
      <c r="G33" s="1">
        <v>20230609</v>
      </c>
      <c r="H33" s="159" t="s">
        <v>699</v>
      </c>
      <c r="I33" s="189" t="s">
        <v>2921</v>
      </c>
      <c r="K33" s="12" t="s">
        <v>1175</v>
      </c>
      <c r="L33" s="12" t="s">
        <v>1176</v>
      </c>
      <c r="M33" s="1" t="s">
        <v>931</v>
      </c>
      <c r="O33" s="28">
        <v>7820</v>
      </c>
      <c r="P33" s="28">
        <f>O33*0.75</f>
        <v>5865</v>
      </c>
      <c r="Q33" s="28">
        <f t="shared" si="4"/>
        <v>5865</v>
      </c>
    </row>
    <row r="34" spans="1:19">
      <c r="A34" s="1" t="s">
        <v>38</v>
      </c>
      <c r="B34" s="1">
        <v>5008002533</v>
      </c>
      <c r="C34" s="6" t="s">
        <v>2635</v>
      </c>
      <c r="D34" s="1">
        <v>26</v>
      </c>
      <c r="E34" s="254"/>
      <c r="F34" s="1">
        <v>20240617</v>
      </c>
      <c r="G34" s="1">
        <v>20240930</v>
      </c>
      <c r="H34" s="159" t="s">
        <v>699</v>
      </c>
      <c r="I34" s="189" t="s">
        <v>2647</v>
      </c>
      <c r="J34" s="91" t="s">
        <v>2649</v>
      </c>
      <c r="K34" s="12" t="s">
        <v>1047</v>
      </c>
      <c r="L34" s="12" t="s">
        <v>1181</v>
      </c>
      <c r="M34" s="1" t="s">
        <v>2648</v>
      </c>
      <c r="O34" s="28">
        <v>2437</v>
      </c>
      <c r="P34" s="28">
        <f t="shared" ref="P34" si="8">O34*0.75</f>
        <v>1827.75</v>
      </c>
      <c r="Q34" s="28">
        <f t="shared" ref="Q34:Q60" si="9">D34*P34</f>
        <v>47521.5</v>
      </c>
    </row>
    <row r="35" spans="1:19">
      <c r="A35" s="1" t="s">
        <v>38</v>
      </c>
      <c r="B35" s="15">
        <v>5010012523</v>
      </c>
      <c r="C35" s="13" t="s">
        <v>2635</v>
      </c>
      <c r="D35" s="56">
        <v>2</v>
      </c>
      <c r="E35" s="257" t="s">
        <v>1007</v>
      </c>
      <c r="F35" s="1">
        <v>20221224</v>
      </c>
      <c r="G35" s="1">
        <v>20230224</v>
      </c>
      <c r="H35" s="159" t="s">
        <v>699</v>
      </c>
      <c r="K35" s="12" t="s">
        <v>1172</v>
      </c>
      <c r="L35" s="12" t="s">
        <v>1173</v>
      </c>
      <c r="M35" s="1" t="s">
        <v>854</v>
      </c>
      <c r="O35" s="28">
        <v>3950</v>
      </c>
      <c r="P35" s="28">
        <f>O35*0.75</f>
        <v>2962.5</v>
      </c>
      <c r="Q35" s="28">
        <f>D35*P35</f>
        <v>5925</v>
      </c>
    </row>
    <row r="36" spans="1:19">
      <c r="A36" s="1" t="s">
        <v>38</v>
      </c>
      <c r="B36" s="17">
        <v>5010012523</v>
      </c>
      <c r="C36" s="14" t="s">
        <v>2381</v>
      </c>
      <c r="D36" s="40">
        <v>10</v>
      </c>
      <c r="E36" s="257" t="s">
        <v>2753</v>
      </c>
      <c r="F36" s="1">
        <v>20230628</v>
      </c>
      <c r="G36" s="1">
        <v>20230901</v>
      </c>
      <c r="H36" s="159" t="s">
        <v>1263</v>
      </c>
      <c r="K36" s="12" t="s">
        <v>1172</v>
      </c>
      <c r="L36" s="12" t="s">
        <v>1173</v>
      </c>
      <c r="M36" s="1" t="s">
        <v>1269</v>
      </c>
      <c r="N36" s="12" t="s">
        <v>1272</v>
      </c>
      <c r="O36" s="28">
        <v>3950</v>
      </c>
      <c r="P36" s="28">
        <f>O36*0.75</f>
        <v>2962.5</v>
      </c>
      <c r="Q36" s="28">
        <f>D36*P36</f>
        <v>29625</v>
      </c>
    </row>
    <row r="37" spans="1:19" ht="32.4">
      <c r="A37" s="1" t="s">
        <v>38</v>
      </c>
      <c r="B37" s="1">
        <v>5010012511</v>
      </c>
      <c r="C37" s="1" t="s">
        <v>2381</v>
      </c>
      <c r="D37" s="6">
        <v>8</v>
      </c>
      <c r="E37" s="257"/>
      <c r="F37" s="1">
        <v>20230107</v>
      </c>
      <c r="G37" s="1">
        <v>20230314</v>
      </c>
      <c r="H37" s="159" t="s">
        <v>699</v>
      </c>
      <c r="I37" s="203" t="s">
        <v>2166</v>
      </c>
      <c r="K37" s="12" t="s">
        <v>1170</v>
      </c>
      <c r="L37" s="12" t="s">
        <v>1171</v>
      </c>
      <c r="M37" s="1" t="s">
        <v>860</v>
      </c>
      <c r="N37" s="12" t="s">
        <v>965</v>
      </c>
      <c r="O37" s="28">
        <v>2745</v>
      </c>
      <c r="P37" s="28">
        <f t="shared" si="5"/>
        <v>2058.75</v>
      </c>
      <c r="Q37" s="28">
        <f t="shared" si="9"/>
        <v>16470</v>
      </c>
    </row>
    <row r="38" spans="1:19" s="4" customFormat="1">
      <c r="A38" s="4" t="s">
        <v>38</v>
      </c>
      <c r="B38" s="134">
        <v>6006002530</v>
      </c>
      <c r="C38" s="1" t="s">
        <v>2381</v>
      </c>
      <c r="D38" s="12">
        <v>1</v>
      </c>
      <c r="E38" s="257" t="s">
        <v>1007</v>
      </c>
      <c r="F38" s="4">
        <v>20211002</v>
      </c>
      <c r="G38" s="4">
        <v>20211202</v>
      </c>
      <c r="H38" s="159" t="s">
        <v>699</v>
      </c>
      <c r="I38" s="194"/>
      <c r="J38" s="113" t="s">
        <v>2928</v>
      </c>
      <c r="K38" s="12" t="s">
        <v>1138</v>
      </c>
      <c r="L38" s="12" t="s">
        <v>1144</v>
      </c>
      <c r="M38" s="12"/>
      <c r="N38" s="12"/>
      <c r="O38" s="28">
        <v>6248</v>
      </c>
      <c r="P38" s="28">
        <f t="shared" ref="P38:P66" si="10">O38*0.75</f>
        <v>4686</v>
      </c>
      <c r="Q38" s="28">
        <f t="shared" si="9"/>
        <v>4686</v>
      </c>
      <c r="R38" s="28"/>
      <c r="S38" s="12"/>
    </row>
    <row r="39" spans="1:19">
      <c r="A39" s="1" t="s">
        <v>38</v>
      </c>
      <c r="B39" s="138">
        <v>6006002530</v>
      </c>
      <c r="C39" s="1" t="s">
        <v>2381</v>
      </c>
      <c r="D39" s="1">
        <v>10</v>
      </c>
      <c r="E39" s="257" t="s">
        <v>1008</v>
      </c>
      <c r="F39" s="1">
        <v>20220901</v>
      </c>
      <c r="G39" s="1">
        <v>20221101</v>
      </c>
      <c r="H39" s="159" t="s">
        <v>699</v>
      </c>
      <c r="I39" s="189" t="s">
        <v>774</v>
      </c>
      <c r="J39" s="113" t="s">
        <v>2928</v>
      </c>
      <c r="K39" s="12" t="s">
        <v>1138</v>
      </c>
      <c r="L39" s="12" t="s">
        <v>1144</v>
      </c>
      <c r="M39" s="1" t="s">
        <v>771</v>
      </c>
      <c r="N39" s="12" t="s">
        <v>775</v>
      </c>
      <c r="O39" s="28">
        <v>6248</v>
      </c>
      <c r="P39" s="28">
        <f t="shared" si="10"/>
        <v>4686</v>
      </c>
      <c r="Q39" s="28">
        <f t="shared" si="9"/>
        <v>46860</v>
      </c>
    </row>
    <row r="40" spans="1:19">
      <c r="A40" s="1" t="s">
        <v>38</v>
      </c>
      <c r="B40" s="133">
        <v>6006002530</v>
      </c>
      <c r="C40" s="1" t="s">
        <v>2381</v>
      </c>
      <c r="D40" s="1">
        <v>5</v>
      </c>
      <c r="E40" s="257" t="s">
        <v>2093</v>
      </c>
      <c r="F40" s="1">
        <v>20221009</v>
      </c>
      <c r="G40" s="1">
        <v>20221209</v>
      </c>
      <c r="H40" s="159" t="s">
        <v>699</v>
      </c>
      <c r="J40" s="113" t="s">
        <v>2928</v>
      </c>
      <c r="K40" s="12" t="s">
        <v>1138</v>
      </c>
      <c r="L40" s="12" t="s">
        <v>1174</v>
      </c>
      <c r="M40" s="1" t="s">
        <v>803</v>
      </c>
      <c r="N40" s="12" t="s">
        <v>807</v>
      </c>
      <c r="O40" s="28">
        <v>6248</v>
      </c>
      <c r="P40" s="28">
        <f t="shared" si="10"/>
        <v>4686</v>
      </c>
      <c r="Q40" s="28">
        <f t="shared" si="9"/>
        <v>23430</v>
      </c>
    </row>
    <row r="41" spans="1:19">
      <c r="A41" s="1" t="s">
        <v>38</v>
      </c>
      <c r="B41" s="1">
        <v>6028002500</v>
      </c>
      <c r="C41" s="1" t="s">
        <v>2381</v>
      </c>
      <c r="D41" s="1">
        <v>5</v>
      </c>
      <c r="E41" s="257"/>
      <c r="F41" s="1">
        <v>20230405</v>
      </c>
      <c r="G41" s="1">
        <v>20230609</v>
      </c>
      <c r="H41" s="159" t="s">
        <v>699</v>
      </c>
      <c r="K41" s="12" t="s">
        <v>1143</v>
      </c>
      <c r="L41" s="12" t="s">
        <v>1177</v>
      </c>
      <c r="M41" s="1" t="s">
        <v>930</v>
      </c>
      <c r="O41" s="28">
        <v>3750</v>
      </c>
      <c r="P41" s="28">
        <f t="shared" si="10"/>
        <v>2812.5</v>
      </c>
      <c r="Q41" s="28">
        <f t="shared" si="9"/>
        <v>14062.5</v>
      </c>
    </row>
    <row r="42" spans="1:19">
      <c r="A42" s="1" t="s">
        <v>38</v>
      </c>
      <c r="B42" s="1">
        <v>5002002521</v>
      </c>
      <c r="C42" s="1" t="s">
        <v>2381</v>
      </c>
      <c r="D42" s="1">
        <v>6</v>
      </c>
      <c r="E42" s="257"/>
      <c r="F42" s="1">
        <v>20251213</v>
      </c>
      <c r="G42" s="1">
        <v>20250326</v>
      </c>
      <c r="H42" s="159">
        <v>10</v>
      </c>
      <c r="K42" s="12" t="s">
        <v>1154</v>
      </c>
      <c r="L42" s="12" t="s">
        <v>2888</v>
      </c>
      <c r="M42" s="1" t="s">
        <v>2889</v>
      </c>
      <c r="O42" s="28">
        <v>2340</v>
      </c>
      <c r="P42" s="28">
        <f t="shared" si="10"/>
        <v>1755</v>
      </c>
      <c r="Q42" s="28">
        <f t="shared" si="9"/>
        <v>10530</v>
      </c>
    </row>
    <row r="43" spans="1:19">
      <c r="A43" s="1" t="s">
        <v>38</v>
      </c>
      <c r="B43" s="4">
        <v>6013002512</v>
      </c>
      <c r="C43" s="6" t="s">
        <v>2381</v>
      </c>
      <c r="D43" s="1">
        <v>4</v>
      </c>
      <c r="E43" s="257"/>
      <c r="F43" s="1">
        <v>20241213</v>
      </c>
      <c r="G43" s="1">
        <v>20250326</v>
      </c>
      <c r="H43" s="159">
        <v>10</v>
      </c>
      <c r="J43" s="12"/>
      <c r="K43" s="12" t="s">
        <v>1050</v>
      </c>
      <c r="L43" s="12" t="s">
        <v>2866</v>
      </c>
      <c r="M43" s="1" t="s">
        <v>2867</v>
      </c>
      <c r="O43" s="28">
        <v>4850</v>
      </c>
      <c r="P43" s="28">
        <f>O43*0.75</f>
        <v>3637.5</v>
      </c>
      <c r="Q43" s="28">
        <f>D43*P43</f>
        <v>14550</v>
      </c>
      <c r="R43" s="74"/>
      <c r="S43" s="12"/>
    </row>
    <row r="44" spans="1:19">
      <c r="A44" s="1" t="s">
        <v>38</v>
      </c>
      <c r="B44" s="4">
        <v>6013002530</v>
      </c>
      <c r="C44" s="6" t="s">
        <v>2381</v>
      </c>
      <c r="D44" s="1">
        <v>4</v>
      </c>
      <c r="E44" s="257"/>
      <c r="F44" s="1">
        <v>20241213</v>
      </c>
      <c r="G44" s="1">
        <v>20250326</v>
      </c>
      <c r="H44" s="159">
        <v>10</v>
      </c>
      <c r="J44" s="12"/>
      <c r="K44" s="12" t="s">
        <v>2868</v>
      </c>
      <c r="L44" s="12" t="s">
        <v>2871</v>
      </c>
      <c r="M44" s="1" t="s">
        <v>2872</v>
      </c>
      <c r="O44" s="28">
        <v>2145</v>
      </c>
      <c r="P44" s="28">
        <f>O44*0.75</f>
        <v>1608.75</v>
      </c>
      <c r="Q44" s="28">
        <f>D44*P44</f>
        <v>6435</v>
      </c>
      <c r="R44" s="74"/>
      <c r="S44" s="12"/>
    </row>
    <row r="45" spans="1:19">
      <c r="A45" s="1" t="s">
        <v>38</v>
      </c>
      <c r="B45" s="4">
        <v>5005002504</v>
      </c>
      <c r="C45" s="6" t="s">
        <v>2381</v>
      </c>
      <c r="D45" s="1">
        <v>4</v>
      </c>
      <c r="E45" s="257"/>
      <c r="F45" s="1">
        <v>20250305</v>
      </c>
      <c r="G45" s="1">
        <v>20250609</v>
      </c>
      <c r="H45" s="159">
        <v>10</v>
      </c>
      <c r="J45" s="12"/>
      <c r="K45" s="12" t="s">
        <v>1047</v>
      </c>
      <c r="L45" s="12" t="s">
        <v>3024</v>
      </c>
      <c r="M45" s="1" t="s">
        <v>3025</v>
      </c>
      <c r="N45" s="12" t="s">
        <v>3026</v>
      </c>
      <c r="O45" s="28">
        <v>1520</v>
      </c>
      <c r="P45" s="28">
        <f>O45*0.75</f>
        <v>1140</v>
      </c>
      <c r="Q45" s="28">
        <f>D45*P45</f>
        <v>4560</v>
      </c>
      <c r="R45" s="74"/>
      <c r="S45" s="12"/>
    </row>
    <row r="46" spans="1:19">
      <c r="A46" s="1" t="s">
        <v>38</v>
      </c>
      <c r="B46" s="4">
        <v>6013002531</v>
      </c>
      <c r="C46" s="6" t="s">
        <v>2381</v>
      </c>
      <c r="D46" s="1">
        <v>10</v>
      </c>
      <c r="E46" s="257"/>
      <c r="F46" s="1">
        <v>20260303</v>
      </c>
      <c r="G46" s="1">
        <v>20260114</v>
      </c>
      <c r="H46" s="159">
        <v>10</v>
      </c>
      <c r="I46" s="193" t="s">
        <v>3124</v>
      </c>
      <c r="J46" s="12"/>
      <c r="K46" s="12" t="s">
        <v>3122</v>
      </c>
      <c r="L46" s="12" t="s">
        <v>3123</v>
      </c>
      <c r="M46" s="1" t="s">
        <v>3120</v>
      </c>
      <c r="N46" s="12" t="s">
        <v>3121</v>
      </c>
      <c r="O46" s="28">
        <v>1580</v>
      </c>
      <c r="P46" s="28">
        <f>O46*0.75</f>
        <v>1185</v>
      </c>
      <c r="Q46" s="28">
        <f>D46*P46</f>
        <v>11850</v>
      </c>
      <c r="R46" s="74"/>
      <c r="S46" s="12"/>
    </row>
    <row r="47" spans="1:19">
      <c r="A47" s="1" t="s">
        <v>38</v>
      </c>
      <c r="B47" s="1">
        <v>1005012510</v>
      </c>
      <c r="C47" s="1" t="s">
        <v>2164</v>
      </c>
      <c r="D47" s="1">
        <v>20</v>
      </c>
      <c r="E47" s="257"/>
      <c r="G47" s="1">
        <v>20240109</v>
      </c>
      <c r="H47" s="159" t="s">
        <v>699</v>
      </c>
      <c r="J47" s="12"/>
      <c r="K47" s="12" t="s">
        <v>1030</v>
      </c>
      <c r="L47" s="12" t="s">
        <v>1597</v>
      </c>
      <c r="N47" s="12" t="s">
        <v>2189</v>
      </c>
      <c r="O47" s="28">
        <v>2100</v>
      </c>
      <c r="P47" s="28">
        <f t="shared" si="10"/>
        <v>1575</v>
      </c>
      <c r="Q47" s="28">
        <f t="shared" si="9"/>
        <v>31500</v>
      </c>
    </row>
    <row r="48" spans="1:19">
      <c r="A48" s="1" t="s">
        <v>3074</v>
      </c>
      <c r="B48" s="12">
        <v>1003012513</v>
      </c>
      <c r="C48" s="1" t="s">
        <v>2164</v>
      </c>
      <c r="D48" s="6">
        <v>19</v>
      </c>
      <c r="E48" s="258" t="s">
        <v>1007</v>
      </c>
      <c r="F48" s="6">
        <v>20211001</v>
      </c>
      <c r="G48" s="6">
        <v>20211201</v>
      </c>
      <c r="H48" s="159" t="s">
        <v>699</v>
      </c>
      <c r="I48" s="195"/>
      <c r="J48" s="12" t="s">
        <v>3162</v>
      </c>
      <c r="K48" s="12" t="s">
        <v>1143</v>
      </c>
      <c r="L48" s="12" t="s">
        <v>1178</v>
      </c>
      <c r="N48" s="12" t="s">
        <v>2227</v>
      </c>
      <c r="O48" s="28">
        <v>836</v>
      </c>
      <c r="P48" s="28">
        <f t="shared" si="10"/>
        <v>627</v>
      </c>
      <c r="Q48" s="28">
        <f t="shared" si="9"/>
        <v>11913</v>
      </c>
      <c r="S48" s="12"/>
    </row>
    <row r="49" spans="1:19">
      <c r="A49" s="1" t="s">
        <v>38</v>
      </c>
      <c r="B49" s="209">
        <v>3015002570</v>
      </c>
      <c r="C49" s="1" t="s">
        <v>2164</v>
      </c>
      <c r="D49" s="12">
        <v>7</v>
      </c>
      <c r="E49" s="258" t="s">
        <v>717</v>
      </c>
      <c r="F49" s="6">
        <v>20210701</v>
      </c>
      <c r="G49" s="6">
        <v>20210901</v>
      </c>
      <c r="H49" s="159" t="s">
        <v>699</v>
      </c>
      <c r="I49" s="195"/>
      <c r="J49" s="12" t="s">
        <v>780</v>
      </c>
      <c r="K49" s="12" t="s">
        <v>1039</v>
      </c>
      <c r="L49" s="12" t="s">
        <v>1100</v>
      </c>
      <c r="O49" s="28">
        <v>1530</v>
      </c>
      <c r="P49" s="28">
        <f t="shared" si="10"/>
        <v>1147.5</v>
      </c>
      <c r="Q49" s="28">
        <f t="shared" si="9"/>
        <v>8032.5</v>
      </c>
      <c r="S49" s="12"/>
    </row>
    <row r="50" spans="1:19">
      <c r="A50" s="1" t="s">
        <v>38</v>
      </c>
      <c r="B50" s="135">
        <v>6028002530</v>
      </c>
      <c r="C50" s="1" t="s">
        <v>2164</v>
      </c>
      <c r="D50" s="1">
        <v>3</v>
      </c>
      <c r="E50" s="257" t="s">
        <v>717</v>
      </c>
      <c r="F50" s="1">
        <v>20230402</v>
      </c>
      <c r="G50" s="1">
        <v>20230602</v>
      </c>
      <c r="H50" s="159" t="s">
        <v>699</v>
      </c>
      <c r="K50" s="12" t="s">
        <v>1101</v>
      </c>
      <c r="L50" s="12" t="s">
        <v>1607</v>
      </c>
      <c r="M50" s="1" t="s">
        <v>937</v>
      </c>
      <c r="N50" s="12" t="s">
        <v>936</v>
      </c>
      <c r="O50" s="28">
        <v>5650</v>
      </c>
      <c r="P50" s="28">
        <f t="shared" si="10"/>
        <v>4237.5</v>
      </c>
      <c r="Q50" s="28">
        <f t="shared" si="9"/>
        <v>12712.5</v>
      </c>
    </row>
    <row r="51" spans="1:19">
      <c r="A51" s="1" t="s">
        <v>38</v>
      </c>
      <c r="B51" s="133">
        <v>6028002530</v>
      </c>
      <c r="C51" s="1" t="s">
        <v>2164</v>
      </c>
      <c r="D51" s="1">
        <v>1</v>
      </c>
      <c r="E51" s="254"/>
      <c r="F51" s="1">
        <v>20230430</v>
      </c>
      <c r="G51" s="1">
        <v>20230630</v>
      </c>
      <c r="H51" s="159" t="s">
        <v>699</v>
      </c>
      <c r="K51" s="12" t="s">
        <v>1101</v>
      </c>
      <c r="L51" s="12" t="s">
        <v>1607</v>
      </c>
      <c r="M51" s="1" t="s">
        <v>954</v>
      </c>
      <c r="O51" s="28">
        <v>5650</v>
      </c>
      <c r="P51" s="28">
        <f t="shared" si="10"/>
        <v>4237.5</v>
      </c>
      <c r="Q51" s="28">
        <f t="shared" si="9"/>
        <v>4237.5</v>
      </c>
    </row>
    <row r="52" spans="1:19" s="6" customFormat="1">
      <c r="A52" s="6" t="s">
        <v>38</v>
      </c>
      <c r="B52" s="6">
        <v>1000002571</v>
      </c>
      <c r="C52" s="6" t="s">
        <v>2164</v>
      </c>
      <c r="D52" s="6">
        <v>4</v>
      </c>
      <c r="E52" s="7"/>
      <c r="G52" s="6">
        <v>20250106</v>
      </c>
      <c r="H52" s="159" t="s">
        <v>699</v>
      </c>
      <c r="I52" s="195"/>
      <c r="J52" s="12"/>
      <c r="K52" s="12" t="s">
        <v>1034</v>
      </c>
      <c r="L52" s="12" t="s">
        <v>1596</v>
      </c>
      <c r="N52" s="12"/>
      <c r="O52" s="28">
        <v>1300</v>
      </c>
      <c r="P52" s="28">
        <f t="shared" si="10"/>
        <v>975</v>
      </c>
      <c r="Q52" s="28">
        <f t="shared" si="9"/>
        <v>3900</v>
      </c>
      <c r="R52" s="28"/>
    </row>
    <row r="53" spans="1:19" s="6" customFormat="1" ht="32.4">
      <c r="A53" s="6" t="s">
        <v>38</v>
      </c>
      <c r="B53" s="12">
        <v>5023002503</v>
      </c>
      <c r="C53" s="6" t="s">
        <v>2164</v>
      </c>
      <c r="D53" s="6">
        <v>38</v>
      </c>
      <c r="E53" s="7"/>
      <c r="F53" s="6">
        <v>20251125</v>
      </c>
      <c r="G53" s="6">
        <v>20250210</v>
      </c>
      <c r="H53" s="159">
        <v>10</v>
      </c>
      <c r="I53" s="195"/>
      <c r="J53" s="12"/>
      <c r="K53" s="12" t="s">
        <v>2831</v>
      </c>
      <c r="L53" s="12" t="s">
        <v>2832</v>
      </c>
      <c r="M53" s="6" t="s">
        <v>2833</v>
      </c>
      <c r="N53" s="66" t="s">
        <v>2834</v>
      </c>
      <c r="O53" s="28">
        <v>1750</v>
      </c>
      <c r="P53" s="28">
        <f t="shared" si="10"/>
        <v>1312.5</v>
      </c>
      <c r="Q53" s="28">
        <f t="shared" si="9"/>
        <v>49875</v>
      </c>
      <c r="R53" s="28"/>
      <c r="S53" s="12"/>
    </row>
    <row r="54" spans="1:19" s="6" customFormat="1">
      <c r="A54" s="6" t="s">
        <v>38</v>
      </c>
      <c r="B54" s="6">
        <v>6043002520</v>
      </c>
      <c r="C54" s="1" t="s">
        <v>2628</v>
      </c>
      <c r="D54" s="6">
        <v>1</v>
      </c>
      <c r="E54" s="258"/>
      <c r="F54" s="6">
        <v>20240719</v>
      </c>
      <c r="G54" s="6">
        <v>20240927</v>
      </c>
      <c r="H54" s="159">
        <v>10</v>
      </c>
      <c r="I54" s="218"/>
      <c r="J54" s="12"/>
      <c r="K54" s="12" t="s">
        <v>2629</v>
      </c>
      <c r="L54" s="12" t="s">
        <v>2630</v>
      </c>
      <c r="M54" s="6" t="s">
        <v>2631</v>
      </c>
      <c r="N54" s="12"/>
      <c r="O54" s="28">
        <v>4235</v>
      </c>
      <c r="P54" s="28">
        <f t="shared" si="10"/>
        <v>3176.25</v>
      </c>
      <c r="Q54" s="28">
        <f t="shared" si="9"/>
        <v>3176.25</v>
      </c>
      <c r="R54" s="28"/>
    </row>
    <row r="55" spans="1:19">
      <c r="A55" s="1" t="s">
        <v>38</v>
      </c>
      <c r="B55" s="1">
        <v>5022002521</v>
      </c>
      <c r="C55" s="1" t="s">
        <v>2640</v>
      </c>
      <c r="D55" s="1">
        <v>8</v>
      </c>
      <c r="E55" s="257"/>
      <c r="F55" s="1">
        <v>20221009</v>
      </c>
      <c r="G55" s="1">
        <v>20221209</v>
      </c>
      <c r="H55" s="159" t="s">
        <v>699</v>
      </c>
      <c r="K55" s="12" t="s">
        <v>1143</v>
      </c>
      <c r="L55" s="12" t="s">
        <v>1615</v>
      </c>
      <c r="M55" s="1" t="s">
        <v>804</v>
      </c>
      <c r="O55" s="28">
        <v>2200</v>
      </c>
      <c r="P55" s="28">
        <f>O55*0.75</f>
        <v>1650</v>
      </c>
      <c r="Q55" s="28">
        <f t="shared" si="9"/>
        <v>13200</v>
      </c>
    </row>
    <row r="56" spans="1:19" ht="15.75" customHeight="1">
      <c r="A56" s="1" t="s">
        <v>38</v>
      </c>
      <c r="B56" s="1">
        <v>5003002550</v>
      </c>
      <c r="C56" s="1" t="s">
        <v>2640</v>
      </c>
      <c r="D56" s="1">
        <v>9</v>
      </c>
      <c r="E56" s="257"/>
      <c r="F56" s="1">
        <v>20230210</v>
      </c>
      <c r="G56" s="1">
        <v>20230410</v>
      </c>
      <c r="H56" s="159" t="s">
        <v>699</v>
      </c>
      <c r="K56" s="12" t="s">
        <v>1039</v>
      </c>
      <c r="L56" s="12" t="s">
        <v>1104</v>
      </c>
      <c r="M56" s="1" t="s">
        <v>885</v>
      </c>
      <c r="N56" s="1"/>
      <c r="O56" s="28">
        <v>1980</v>
      </c>
      <c r="P56" s="28">
        <f>O56*0.75</f>
        <v>1485</v>
      </c>
      <c r="Q56" s="28">
        <f t="shared" si="9"/>
        <v>13365</v>
      </c>
    </row>
    <row r="57" spans="1:19">
      <c r="A57" s="1" t="s">
        <v>38</v>
      </c>
      <c r="B57" s="1">
        <v>6006002580</v>
      </c>
      <c r="C57" s="1" t="s">
        <v>2640</v>
      </c>
      <c r="D57" s="6">
        <v>7</v>
      </c>
      <c r="E57" s="257"/>
      <c r="F57" s="1">
        <v>20240719</v>
      </c>
      <c r="G57" s="1">
        <v>20240930</v>
      </c>
      <c r="H57" s="159" t="s">
        <v>699</v>
      </c>
      <c r="J57" s="12"/>
      <c r="K57" s="12" t="s">
        <v>1105</v>
      </c>
      <c r="L57" s="145" t="s">
        <v>1635</v>
      </c>
      <c r="M57" s="1" t="s">
        <v>2681</v>
      </c>
      <c r="O57" s="28">
        <v>1550</v>
      </c>
      <c r="P57" s="28">
        <f t="shared" ref="P57" si="11">O57*0.75</f>
        <v>1162.5</v>
      </c>
      <c r="Q57" s="28">
        <f t="shared" si="9"/>
        <v>8137.5</v>
      </c>
    </row>
    <row r="58" spans="1:19" s="6" customFormat="1">
      <c r="A58" s="12" t="s">
        <v>38</v>
      </c>
      <c r="B58" s="6">
        <v>3006002532</v>
      </c>
      <c r="C58" s="6" t="s">
        <v>998</v>
      </c>
      <c r="D58" s="6">
        <v>10</v>
      </c>
      <c r="E58" s="258"/>
      <c r="F58" s="6">
        <v>20230608</v>
      </c>
      <c r="G58" s="6">
        <v>20230821</v>
      </c>
      <c r="H58" s="159" t="s">
        <v>699</v>
      </c>
      <c r="I58" s="195"/>
      <c r="J58" s="12"/>
      <c r="K58" s="12" t="s">
        <v>1030</v>
      </c>
      <c r="L58" s="12" t="s">
        <v>1103</v>
      </c>
      <c r="M58" s="6" t="s">
        <v>1005</v>
      </c>
      <c r="N58" s="12"/>
      <c r="O58" s="28">
        <v>1900</v>
      </c>
      <c r="P58" s="28">
        <f>O58*0.75</f>
        <v>1425</v>
      </c>
      <c r="Q58" s="28">
        <f>D58*P58</f>
        <v>14250</v>
      </c>
      <c r="R58" s="28"/>
    </row>
    <row r="59" spans="1:19">
      <c r="A59" s="1" t="s">
        <v>38</v>
      </c>
      <c r="B59" s="1">
        <v>2005012512</v>
      </c>
      <c r="C59" s="1" t="s">
        <v>998</v>
      </c>
      <c r="D59" s="6">
        <v>3</v>
      </c>
      <c r="E59" s="257"/>
      <c r="F59" s="1">
        <v>20220609</v>
      </c>
      <c r="G59" s="1">
        <v>20220809</v>
      </c>
      <c r="H59" s="159" t="s">
        <v>699</v>
      </c>
      <c r="J59" s="12"/>
      <c r="K59" s="12" t="s">
        <v>1143</v>
      </c>
      <c r="L59" s="12" t="s">
        <v>1608</v>
      </c>
      <c r="M59" s="1" t="s">
        <v>747</v>
      </c>
      <c r="O59" s="28">
        <v>1720</v>
      </c>
      <c r="P59" s="28">
        <f t="shared" si="10"/>
        <v>1290</v>
      </c>
      <c r="Q59" s="28">
        <f t="shared" si="9"/>
        <v>3870</v>
      </c>
    </row>
    <row r="60" spans="1:19">
      <c r="A60" s="1" t="s">
        <v>38</v>
      </c>
      <c r="B60" s="135">
        <v>3004002550</v>
      </c>
      <c r="C60" s="1" t="s">
        <v>998</v>
      </c>
      <c r="D60" s="1">
        <v>3</v>
      </c>
      <c r="E60" s="257" t="s">
        <v>1007</v>
      </c>
      <c r="F60" s="1">
        <v>20221008</v>
      </c>
      <c r="G60" s="1">
        <v>20221208</v>
      </c>
      <c r="H60" s="159" t="s">
        <v>699</v>
      </c>
      <c r="K60" s="12" t="s">
        <v>1182</v>
      </c>
      <c r="L60" s="12" t="s">
        <v>1609</v>
      </c>
      <c r="M60" s="1" t="s">
        <v>801</v>
      </c>
      <c r="O60" s="28">
        <v>1534</v>
      </c>
      <c r="P60" s="28">
        <f t="shared" si="10"/>
        <v>1150.5</v>
      </c>
      <c r="Q60" s="28">
        <f t="shared" si="9"/>
        <v>3451.5</v>
      </c>
    </row>
    <row r="61" spans="1:19">
      <c r="A61" s="1" t="s">
        <v>38</v>
      </c>
      <c r="B61" s="133">
        <v>3004002550</v>
      </c>
      <c r="C61" s="1" t="s">
        <v>998</v>
      </c>
      <c r="D61" s="1">
        <v>20</v>
      </c>
      <c r="E61" s="257" t="s">
        <v>2750</v>
      </c>
      <c r="F61" s="1">
        <v>20240223</v>
      </c>
      <c r="G61" s="1">
        <v>20240514</v>
      </c>
      <c r="H61" s="159">
        <v>10</v>
      </c>
      <c r="K61" s="12" t="s">
        <v>1182</v>
      </c>
      <c r="L61" s="12" t="s">
        <v>1609</v>
      </c>
      <c r="M61" s="1" t="s">
        <v>2394</v>
      </c>
      <c r="O61" s="28">
        <v>1534</v>
      </c>
      <c r="P61" s="28">
        <f t="shared" si="10"/>
        <v>1150.5</v>
      </c>
      <c r="Q61" s="28">
        <f t="shared" ref="Q61:Q85" si="12">D61*P61</f>
        <v>23010</v>
      </c>
    </row>
    <row r="62" spans="1:19">
      <c r="A62" s="1" t="s">
        <v>38</v>
      </c>
      <c r="B62" s="1">
        <v>3015002570</v>
      </c>
      <c r="C62" s="1" t="s">
        <v>998</v>
      </c>
      <c r="D62" s="1">
        <v>10</v>
      </c>
      <c r="E62" s="257"/>
      <c r="F62" s="1">
        <v>20220914</v>
      </c>
      <c r="G62" s="1">
        <v>20221114</v>
      </c>
      <c r="H62" s="159" t="s">
        <v>699</v>
      </c>
      <c r="J62" s="4" t="s">
        <v>781</v>
      </c>
      <c r="K62" s="12" t="s">
        <v>1039</v>
      </c>
      <c r="L62" s="12" t="s">
        <v>1610</v>
      </c>
      <c r="M62" s="1" t="s">
        <v>778</v>
      </c>
      <c r="O62" s="28">
        <v>1530</v>
      </c>
      <c r="P62" s="28">
        <f t="shared" si="10"/>
        <v>1147.5</v>
      </c>
      <c r="Q62" s="28">
        <f t="shared" si="12"/>
        <v>11475</v>
      </c>
    </row>
    <row r="63" spans="1:19">
      <c r="A63" s="1" t="s">
        <v>38</v>
      </c>
      <c r="B63" s="1">
        <v>3018002590</v>
      </c>
      <c r="C63" s="1" t="s">
        <v>998</v>
      </c>
      <c r="D63" s="1">
        <v>3</v>
      </c>
      <c r="E63" s="254"/>
      <c r="F63" s="1">
        <v>20221112</v>
      </c>
      <c r="G63" s="1">
        <v>20230112</v>
      </c>
      <c r="H63" s="159" t="s">
        <v>699</v>
      </c>
      <c r="I63" s="193" t="s">
        <v>833</v>
      </c>
      <c r="K63" s="12" t="s">
        <v>1143</v>
      </c>
      <c r="L63" s="12" t="s">
        <v>1611</v>
      </c>
      <c r="M63" s="1" t="s">
        <v>828</v>
      </c>
      <c r="O63" s="28">
        <v>2880</v>
      </c>
      <c r="P63" s="28">
        <f t="shared" si="10"/>
        <v>2160</v>
      </c>
      <c r="Q63" s="28">
        <f t="shared" si="12"/>
        <v>6480</v>
      </c>
    </row>
    <row r="64" spans="1:19">
      <c r="A64" s="1" t="s">
        <v>38</v>
      </c>
      <c r="B64" s="1">
        <v>3053002510</v>
      </c>
      <c r="C64" s="1" t="s">
        <v>998</v>
      </c>
      <c r="D64" s="6">
        <v>3</v>
      </c>
      <c r="E64" s="257"/>
      <c r="F64" s="1">
        <v>20220914</v>
      </c>
      <c r="G64" s="1">
        <v>20221114</v>
      </c>
      <c r="H64" s="159" t="s">
        <v>699</v>
      </c>
      <c r="K64" s="12" t="s">
        <v>1152</v>
      </c>
      <c r="L64" s="12" t="s">
        <v>1613</v>
      </c>
      <c r="M64" s="1" t="s">
        <v>779</v>
      </c>
      <c r="O64" s="28">
        <v>3450</v>
      </c>
      <c r="P64" s="28">
        <f t="shared" si="10"/>
        <v>2587.5</v>
      </c>
      <c r="Q64" s="28">
        <f t="shared" si="12"/>
        <v>7762.5</v>
      </c>
    </row>
    <row r="65" spans="1:20">
      <c r="A65" s="1" t="s">
        <v>38</v>
      </c>
      <c r="B65" s="6">
        <v>5007002501</v>
      </c>
      <c r="C65" s="1" t="s">
        <v>998</v>
      </c>
      <c r="D65" s="6">
        <v>5</v>
      </c>
      <c r="E65" s="258"/>
      <c r="F65" s="1">
        <v>20221026</v>
      </c>
      <c r="G65" s="6">
        <v>20221226</v>
      </c>
      <c r="H65" s="159" t="s">
        <v>699</v>
      </c>
      <c r="J65" s="6" t="s">
        <v>74</v>
      </c>
      <c r="K65" s="12" t="s">
        <v>1034</v>
      </c>
      <c r="L65" s="12" t="s">
        <v>1183</v>
      </c>
      <c r="O65" s="28">
        <v>1400</v>
      </c>
      <c r="P65" s="28">
        <f t="shared" si="10"/>
        <v>1050</v>
      </c>
      <c r="Q65" s="28">
        <f t="shared" si="12"/>
        <v>5250</v>
      </c>
      <c r="S65" s="12"/>
      <c r="T65" s="6"/>
    </row>
    <row r="66" spans="1:20">
      <c r="A66" s="1" t="s">
        <v>38</v>
      </c>
      <c r="B66" s="4">
        <v>5008002532</v>
      </c>
      <c r="C66" s="1" t="s">
        <v>998</v>
      </c>
      <c r="D66" s="6">
        <v>10</v>
      </c>
      <c r="E66" s="257"/>
      <c r="F66" s="1">
        <v>20200710</v>
      </c>
      <c r="G66" s="1">
        <v>20200831</v>
      </c>
      <c r="H66" s="159" t="s">
        <v>699</v>
      </c>
      <c r="J66" s="12"/>
      <c r="K66" s="12" t="s">
        <v>1034</v>
      </c>
      <c r="L66" s="12" t="s">
        <v>1614</v>
      </c>
      <c r="N66" s="12" t="s">
        <v>526</v>
      </c>
      <c r="O66" s="28">
        <v>2437</v>
      </c>
      <c r="P66" s="28">
        <f t="shared" si="10"/>
        <v>1827.75</v>
      </c>
      <c r="Q66" s="28">
        <f t="shared" si="12"/>
        <v>18277.5</v>
      </c>
      <c r="S66" s="12"/>
    </row>
    <row r="67" spans="1:20">
      <c r="A67" s="1" t="s">
        <v>38</v>
      </c>
      <c r="B67" s="4">
        <v>5010012533</v>
      </c>
      <c r="C67" s="1" t="s">
        <v>998</v>
      </c>
      <c r="D67" s="6">
        <v>5</v>
      </c>
      <c r="E67" s="257"/>
      <c r="F67" s="1">
        <v>20230628</v>
      </c>
      <c r="G67" s="1">
        <v>20230821</v>
      </c>
      <c r="H67" s="159" t="s">
        <v>699</v>
      </c>
      <c r="J67" s="12"/>
      <c r="K67" s="12" t="s">
        <v>1143</v>
      </c>
      <c r="L67" s="12" t="s">
        <v>1184</v>
      </c>
      <c r="M67" s="1" t="s">
        <v>1010</v>
      </c>
      <c r="O67" s="28">
        <v>2380</v>
      </c>
      <c r="P67" s="28">
        <f t="shared" ref="P67:P85" si="13">O67*0.75</f>
        <v>1785</v>
      </c>
      <c r="Q67" s="28">
        <f t="shared" si="12"/>
        <v>8925</v>
      </c>
      <c r="S67" s="12"/>
    </row>
    <row r="68" spans="1:20">
      <c r="A68" s="1" t="s">
        <v>38</v>
      </c>
      <c r="B68" s="1">
        <v>5024002502</v>
      </c>
      <c r="C68" s="1" t="s">
        <v>998</v>
      </c>
      <c r="D68" s="1">
        <v>2</v>
      </c>
      <c r="E68" s="257"/>
      <c r="F68" s="1">
        <v>20220603</v>
      </c>
      <c r="G68" s="1">
        <v>20220803</v>
      </c>
      <c r="H68" s="159" t="s">
        <v>699</v>
      </c>
      <c r="K68" s="12" t="s">
        <v>1143</v>
      </c>
      <c r="L68" s="12" t="s">
        <v>1616</v>
      </c>
      <c r="M68" s="1" t="s">
        <v>733</v>
      </c>
      <c r="O68" s="28">
        <v>3420</v>
      </c>
      <c r="P68" s="28">
        <f t="shared" si="13"/>
        <v>2565</v>
      </c>
      <c r="Q68" s="28">
        <f t="shared" si="12"/>
        <v>5130</v>
      </c>
    </row>
    <row r="69" spans="1:20">
      <c r="A69" s="1" t="s">
        <v>38</v>
      </c>
      <c r="B69" s="1">
        <v>6007002513</v>
      </c>
      <c r="C69" s="1" t="s">
        <v>998</v>
      </c>
      <c r="D69" s="1">
        <v>6</v>
      </c>
      <c r="E69" s="257"/>
      <c r="F69" s="1">
        <v>20231201</v>
      </c>
      <c r="G69" s="1">
        <v>20240604</v>
      </c>
      <c r="H69" s="159">
        <v>10</v>
      </c>
      <c r="K69" s="12" t="s">
        <v>1047</v>
      </c>
      <c r="L69" s="12" t="s">
        <v>1617</v>
      </c>
      <c r="M69" s="1" t="s">
        <v>2458</v>
      </c>
      <c r="O69" s="28">
        <v>1890</v>
      </c>
      <c r="P69" s="28">
        <f t="shared" si="13"/>
        <v>1417.5</v>
      </c>
      <c r="Q69" s="28">
        <f t="shared" si="12"/>
        <v>8505</v>
      </c>
    </row>
    <row r="70" spans="1:20">
      <c r="A70" s="1" t="s">
        <v>38</v>
      </c>
      <c r="B70" s="1">
        <v>6018002520</v>
      </c>
      <c r="C70" s="1" t="s">
        <v>998</v>
      </c>
      <c r="D70" s="1">
        <v>25</v>
      </c>
      <c r="E70" s="254"/>
      <c r="F70" s="1">
        <v>20221112</v>
      </c>
      <c r="G70" s="1">
        <v>20230112</v>
      </c>
      <c r="H70" s="159" t="s">
        <v>699</v>
      </c>
      <c r="K70" s="12" t="s">
        <v>1146</v>
      </c>
      <c r="L70" s="12" t="s">
        <v>1187</v>
      </c>
      <c r="M70" s="1" t="s">
        <v>829</v>
      </c>
      <c r="O70" s="28">
        <v>1595</v>
      </c>
      <c r="P70" s="28">
        <f t="shared" si="13"/>
        <v>1196.25</v>
      </c>
      <c r="Q70" s="28">
        <f t="shared" si="12"/>
        <v>29906.25</v>
      </c>
    </row>
    <row r="71" spans="1:20">
      <c r="A71" s="1" t="s">
        <v>38</v>
      </c>
      <c r="B71" s="1">
        <v>6023002501</v>
      </c>
      <c r="C71" s="1" t="s">
        <v>998</v>
      </c>
      <c r="D71" s="1">
        <v>1</v>
      </c>
      <c r="E71" s="257"/>
      <c r="F71" s="1">
        <v>20230227</v>
      </c>
      <c r="G71" s="1">
        <v>20230427</v>
      </c>
      <c r="H71" s="159" t="s">
        <v>699</v>
      </c>
      <c r="I71" s="193"/>
      <c r="K71" s="12" t="s">
        <v>1175</v>
      </c>
      <c r="L71" s="12" t="s">
        <v>1618</v>
      </c>
      <c r="M71" s="1" t="s">
        <v>900</v>
      </c>
      <c r="O71" s="28">
        <v>7250</v>
      </c>
      <c r="P71" s="28">
        <f t="shared" si="13"/>
        <v>5437.5</v>
      </c>
      <c r="Q71" s="28">
        <f t="shared" si="12"/>
        <v>5437.5</v>
      </c>
    </row>
    <row r="72" spans="1:20">
      <c r="A72" s="1" t="s">
        <v>38</v>
      </c>
      <c r="B72" s="1">
        <v>7017002500</v>
      </c>
      <c r="C72" s="1" t="s">
        <v>998</v>
      </c>
      <c r="D72" s="6">
        <v>5</v>
      </c>
      <c r="E72" s="257"/>
      <c r="F72" s="1">
        <v>20201107</v>
      </c>
      <c r="G72" s="1">
        <v>20210107</v>
      </c>
      <c r="H72" s="159" t="s">
        <v>699</v>
      </c>
      <c r="J72" s="12"/>
      <c r="K72" s="12" t="s">
        <v>1030</v>
      </c>
      <c r="L72" s="12" t="s">
        <v>1106</v>
      </c>
      <c r="O72" s="28">
        <v>1950</v>
      </c>
      <c r="P72" s="28">
        <f t="shared" si="13"/>
        <v>1462.5</v>
      </c>
      <c r="Q72" s="28">
        <f t="shared" si="12"/>
        <v>7312.5</v>
      </c>
    </row>
    <row r="73" spans="1:20" s="6" customFormat="1">
      <c r="A73" s="6" t="s">
        <v>38</v>
      </c>
      <c r="B73" s="6">
        <v>1007002514</v>
      </c>
      <c r="C73" s="1" t="s">
        <v>998</v>
      </c>
      <c r="D73" s="6">
        <v>10</v>
      </c>
      <c r="E73" s="258"/>
      <c r="G73" s="6">
        <v>20260114</v>
      </c>
      <c r="H73" s="159" t="s">
        <v>699</v>
      </c>
      <c r="I73" s="195"/>
      <c r="J73" s="12"/>
      <c r="K73" s="12" t="s">
        <v>1047</v>
      </c>
      <c r="L73" s="12" t="s">
        <v>1159</v>
      </c>
      <c r="N73" s="12" t="s">
        <v>1270</v>
      </c>
      <c r="O73" s="28">
        <v>1252</v>
      </c>
      <c r="P73" s="28">
        <f t="shared" si="13"/>
        <v>939</v>
      </c>
      <c r="Q73" s="28">
        <f t="shared" si="12"/>
        <v>9390</v>
      </c>
      <c r="R73" s="28"/>
    </row>
    <row r="74" spans="1:20">
      <c r="A74" s="1" t="s">
        <v>38</v>
      </c>
      <c r="B74" s="1">
        <v>1006002592</v>
      </c>
      <c r="C74" s="1" t="s">
        <v>998</v>
      </c>
      <c r="D74" s="1">
        <v>12</v>
      </c>
      <c r="E74" s="257" t="s">
        <v>3167</v>
      </c>
      <c r="F74" s="1">
        <v>20250512</v>
      </c>
      <c r="G74" s="1">
        <v>20260115</v>
      </c>
      <c r="H74" s="159" t="s">
        <v>699</v>
      </c>
      <c r="J74" s="4" t="s">
        <v>3166</v>
      </c>
      <c r="K74" s="12" t="s">
        <v>1047</v>
      </c>
      <c r="L74" s="12" t="s">
        <v>1201</v>
      </c>
      <c r="M74" s="1" t="s">
        <v>3168</v>
      </c>
      <c r="N74" s="12" t="s">
        <v>3169</v>
      </c>
      <c r="O74" s="28">
        <v>1265</v>
      </c>
      <c r="P74" s="28">
        <f t="shared" si="13"/>
        <v>948.75</v>
      </c>
      <c r="Q74" s="28">
        <f t="shared" si="12"/>
        <v>11385</v>
      </c>
    </row>
    <row r="75" spans="1:20" s="169" customFormat="1">
      <c r="A75" s="209" t="s">
        <v>38</v>
      </c>
      <c r="B75" s="209">
        <v>3007002513</v>
      </c>
      <c r="C75" s="169" t="s">
        <v>998</v>
      </c>
      <c r="D75" s="169">
        <v>7</v>
      </c>
      <c r="E75" s="341"/>
      <c r="F75" s="169">
        <v>20250709</v>
      </c>
      <c r="G75" s="169">
        <v>20260115</v>
      </c>
      <c r="H75" s="237" t="s">
        <v>699</v>
      </c>
      <c r="I75" s="220"/>
      <c r="J75" s="209"/>
      <c r="K75" s="209" t="s">
        <v>1047</v>
      </c>
      <c r="L75" s="209" t="s">
        <v>1180</v>
      </c>
      <c r="M75" s="169" t="s">
        <v>3184</v>
      </c>
      <c r="N75" s="209" t="s">
        <v>2653</v>
      </c>
      <c r="O75" s="207">
        <v>858</v>
      </c>
      <c r="P75" s="207">
        <f t="shared" si="13"/>
        <v>643.5</v>
      </c>
      <c r="Q75" s="207">
        <f t="shared" si="12"/>
        <v>4504.5</v>
      </c>
      <c r="R75" s="207"/>
    </row>
    <row r="76" spans="1:20">
      <c r="A76" s="1" t="s">
        <v>38</v>
      </c>
      <c r="B76" s="1">
        <v>3003022500</v>
      </c>
      <c r="C76" s="1" t="s">
        <v>2386</v>
      </c>
      <c r="D76" s="1">
        <v>1</v>
      </c>
      <c r="E76" s="257"/>
      <c r="F76" s="1">
        <v>20230616</v>
      </c>
      <c r="G76" s="1">
        <v>20231019</v>
      </c>
      <c r="H76" s="159">
        <v>10</v>
      </c>
      <c r="K76" s="12" t="s">
        <v>2035</v>
      </c>
      <c r="L76" s="12" t="s">
        <v>2036</v>
      </c>
      <c r="M76" s="1" t="s">
        <v>2037</v>
      </c>
      <c r="N76" s="12" t="s">
        <v>2038</v>
      </c>
      <c r="O76" s="28">
        <v>3460</v>
      </c>
      <c r="P76" s="28">
        <f t="shared" si="13"/>
        <v>2595</v>
      </c>
      <c r="Q76" s="28">
        <f t="shared" si="12"/>
        <v>2595</v>
      </c>
    </row>
    <row r="77" spans="1:20">
      <c r="A77" s="1" t="s">
        <v>38</v>
      </c>
      <c r="B77" s="1">
        <v>1002002571</v>
      </c>
      <c r="C77" s="1" t="s">
        <v>2386</v>
      </c>
      <c r="D77" s="1">
        <v>8</v>
      </c>
      <c r="E77" s="257"/>
      <c r="F77" s="1">
        <v>20220125</v>
      </c>
      <c r="G77" s="1">
        <v>20220325</v>
      </c>
      <c r="H77" s="159" t="s">
        <v>699</v>
      </c>
      <c r="J77" s="12"/>
      <c r="K77" s="12" t="s">
        <v>1143</v>
      </c>
      <c r="L77" s="12" t="s">
        <v>1619</v>
      </c>
      <c r="O77" s="74">
        <v>1530</v>
      </c>
      <c r="P77" s="28">
        <f t="shared" si="13"/>
        <v>1147.5</v>
      </c>
      <c r="Q77" s="28">
        <f t="shared" si="12"/>
        <v>9180</v>
      </c>
      <c r="R77" s="74"/>
      <c r="S77" s="12"/>
    </row>
    <row r="78" spans="1:20">
      <c r="A78" s="1" t="s">
        <v>38</v>
      </c>
      <c r="B78" s="1">
        <v>1020002510</v>
      </c>
      <c r="C78" s="1" t="s">
        <v>2386</v>
      </c>
      <c r="D78" s="6">
        <v>17</v>
      </c>
      <c r="E78" s="257"/>
      <c r="F78" s="1">
        <v>20210228</v>
      </c>
      <c r="G78" s="1">
        <v>20210428</v>
      </c>
      <c r="H78" s="159" t="s">
        <v>699</v>
      </c>
      <c r="J78" s="12"/>
      <c r="K78" s="12" t="s">
        <v>1143</v>
      </c>
      <c r="L78" s="12" t="s">
        <v>1620</v>
      </c>
      <c r="O78" s="28">
        <v>1250</v>
      </c>
      <c r="P78" s="28">
        <f t="shared" si="13"/>
        <v>937.5</v>
      </c>
      <c r="Q78" s="28">
        <f t="shared" si="12"/>
        <v>15937.5</v>
      </c>
    </row>
    <row r="79" spans="1:20">
      <c r="A79" s="1" t="s">
        <v>38</v>
      </c>
      <c r="B79" s="1">
        <v>3042012500</v>
      </c>
      <c r="C79" s="1" t="s">
        <v>2386</v>
      </c>
      <c r="D79" s="1">
        <v>19</v>
      </c>
      <c r="E79" s="254"/>
      <c r="F79" s="1">
        <v>20230504</v>
      </c>
      <c r="G79" s="1">
        <v>20230706</v>
      </c>
      <c r="H79" s="159" t="s">
        <v>699</v>
      </c>
      <c r="K79" s="12" t="s">
        <v>1030</v>
      </c>
      <c r="L79" s="12" t="s">
        <v>1604</v>
      </c>
      <c r="M79" s="1" t="s">
        <v>953</v>
      </c>
      <c r="O79" s="28">
        <v>1480</v>
      </c>
      <c r="P79" s="28">
        <f t="shared" si="13"/>
        <v>1110</v>
      </c>
      <c r="Q79" s="28">
        <f t="shared" si="12"/>
        <v>21090</v>
      </c>
    </row>
    <row r="80" spans="1:20">
      <c r="A80" s="1" t="s">
        <v>38</v>
      </c>
      <c r="B80" s="1">
        <v>3052002501</v>
      </c>
      <c r="C80" s="1" t="s">
        <v>2386</v>
      </c>
      <c r="D80" s="1">
        <v>8</v>
      </c>
      <c r="E80" s="257"/>
      <c r="F80" s="1">
        <v>20220125</v>
      </c>
      <c r="G80" s="1">
        <v>20220325</v>
      </c>
      <c r="H80" s="159" t="s">
        <v>699</v>
      </c>
      <c r="J80" s="12"/>
      <c r="K80" s="12" t="s">
        <v>1152</v>
      </c>
      <c r="L80" s="12" t="s">
        <v>1623</v>
      </c>
      <c r="O80" s="74">
        <v>2780</v>
      </c>
      <c r="P80" s="28">
        <f t="shared" si="13"/>
        <v>2085</v>
      </c>
      <c r="Q80" s="28">
        <f t="shared" si="12"/>
        <v>16680</v>
      </c>
      <c r="R80" s="74"/>
      <c r="S80" s="12"/>
    </row>
    <row r="81" spans="1:19">
      <c r="A81" s="1" t="s">
        <v>38</v>
      </c>
      <c r="B81" s="1">
        <v>6018002511</v>
      </c>
      <c r="C81" s="1" t="s">
        <v>2386</v>
      </c>
      <c r="D81" s="6">
        <v>6</v>
      </c>
      <c r="E81" s="257"/>
      <c r="F81" s="1">
        <v>20210728</v>
      </c>
      <c r="G81" s="1">
        <v>20210928</v>
      </c>
      <c r="H81" s="159" t="s">
        <v>699</v>
      </c>
      <c r="J81" s="12"/>
      <c r="K81" s="12" t="s">
        <v>1192</v>
      </c>
      <c r="L81" s="12" t="s">
        <v>1191</v>
      </c>
      <c r="O81" s="28">
        <v>1640</v>
      </c>
      <c r="P81" s="28">
        <f t="shared" si="13"/>
        <v>1230</v>
      </c>
      <c r="Q81" s="28">
        <f t="shared" si="12"/>
        <v>7380</v>
      </c>
    </row>
    <row r="82" spans="1:19">
      <c r="A82" s="1" t="s">
        <v>38</v>
      </c>
      <c r="B82" s="1">
        <v>6027002580</v>
      </c>
      <c r="C82" s="1" t="s">
        <v>2386</v>
      </c>
      <c r="D82" s="6">
        <v>3</v>
      </c>
      <c r="E82" s="257"/>
      <c r="F82" s="1">
        <v>20210120</v>
      </c>
      <c r="G82" s="1">
        <v>20220120</v>
      </c>
      <c r="H82" s="159" t="s">
        <v>699</v>
      </c>
      <c r="J82" s="12"/>
      <c r="K82" s="1" t="s">
        <v>1163</v>
      </c>
      <c r="L82" s="12" t="s">
        <v>1188</v>
      </c>
      <c r="O82" s="28">
        <v>1950</v>
      </c>
      <c r="P82" s="28">
        <f t="shared" si="13"/>
        <v>1462.5</v>
      </c>
      <c r="Q82" s="28">
        <f t="shared" si="12"/>
        <v>4387.5</v>
      </c>
    </row>
    <row r="83" spans="1:19">
      <c r="A83" s="1" t="s">
        <v>38</v>
      </c>
      <c r="B83" s="1">
        <v>5033002512</v>
      </c>
      <c r="C83" s="6" t="s">
        <v>2386</v>
      </c>
      <c r="D83" s="1">
        <v>2</v>
      </c>
      <c r="E83" s="257" t="s">
        <v>2093</v>
      </c>
      <c r="F83" s="1">
        <v>20230804</v>
      </c>
      <c r="G83" s="1">
        <v>20231129</v>
      </c>
      <c r="H83" s="159">
        <v>10</v>
      </c>
      <c r="J83" s="4" t="s">
        <v>2550</v>
      </c>
      <c r="K83" s="12" t="s">
        <v>1083</v>
      </c>
      <c r="L83" s="12" t="s">
        <v>1238</v>
      </c>
      <c r="M83" s="1" t="s">
        <v>2092</v>
      </c>
      <c r="N83" s="12" t="s">
        <v>2085</v>
      </c>
      <c r="O83" s="28">
        <v>2250</v>
      </c>
      <c r="P83" s="28">
        <f t="shared" si="13"/>
        <v>1687.5</v>
      </c>
      <c r="Q83" s="28">
        <f t="shared" si="12"/>
        <v>3375</v>
      </c>
    </row>
    <row r="84" spans="1:19">
      <c r="A84" s="1" t="s">
        <v>38</v>
      </c>
      <c r="B84" s="1">
        <v>1003012520</v>
      </c>
      <c r="C84" s="6" t="s">
        <v>2387</v>
      </c>
      <c r="D84" s="1">
        <v>6</v>
      </c>
      <c r="E84" s="257"/>
      <c r="F84" s="1">
        <v>20211207</v>
      </c>
      <c r="G84" s="1">
        <v>20220207</v>
      </c>
      <c r="H84" s="159" t="s">
        <v>699</v>
      </c>
      <c r="J84" s="1"/>
      <c r="K84" s="12" t="s">
        <v>1152</v>
      </c>
      <c r="L84" s="12" t="s">
        <v>1190</v>
      </c>
      <c r="N84" s="1"/>
      <c r="O84" s="28">
        <v>1360</v>
      </c>
      <c r="P84" s="28">
        <f t="shared" si="13"/>
        <v>1020</v>
      </c>
      <c r="Q84" s="28">
        <f t="shared" si="12"/>
        <v>6120</v>
      </c>
      <c r="R84" s="1"/>
    </row>
    <row r="85" spans="1:19">
      <c r="A85" s="1" t="s">
        <v>38</v>
      </c>
      <c r="B85" s="1">
        <v>1004002502</v>
      </c>
      <c r="C85" s="6" t="s">
        <v>2387</v>
      </c>
      <c r="D85" s="1">
        <v>20</v>
      </c>
      <c r="E85" s="257"/>
      <c r="F85" s="1">
        <v>20220603</v>
      </c>
      <c r="G85" s="1">
        <v>20220803</v>
      </c>
      <c r="H85" s="159" t="s">
        <v>699</v>
      </c>
      <c r="K85" s="12" t="s">
        <v>1152</v>
      </c>
      <c r="L85" s="12" t="s">
        <v>1202</v>
      </c>
      <c r="M85" s="1" t="s">
        <v>734</v>
      </c>
      <c r="O85" s="28">
        <v>1045</v>
      </c>
      <c r="P85" s="28">
        <f t="shared" si="13"/>
        <v>783.75</v>
      </c>
      <c r="Q85" s="28">
        <f t="shared" si="12"/>
        <v>15675</v>
      </c>
    </row>
    <row r="86" spans="1:19">
      <c r="A86" s="1" t="s">
        <v>38</v>
      </c>
      <c r="B86" s="1">
        <v>1048002510</v>
      </c>
      <c r="C86" s="6" t="s">
        <v>2387</v>
      </c>
      <c r="D86" s="6">
        <v>4</v>
      </c>
      <c r="E86" s="257"/>
      <c r="F86" s="1">
        <v>20211016</v>
      </c>
      <c r="G86" s="1">
        <v>20211216</v>
      </c>
      <c r="H86" s="159" t="s">
        <v>699</v>
      </c>
      <c r="J86" s="12"/>
      <c r="K86" s="12" t="s">
        <v>1182</v>
      </c>
      <c r="L86" s="12" t="s">
        <v>1194</v>
      </c>
      <c r="O86" s="28">
        <v>1320</v>
      </c>
      <c r="P86" s="28">
        <f t="shared" ref="P86:P94" si="14">O86*0.75</f>
        <v>990</v>
      </c>
      <c r="Q86" s="28">
        <f t="shared" ref="Q86:Q94" si="15">D86*P86</f>
        <v>3960</v>
      </c>
    </row>
    <row r="87" spans="1:19">
      <c r="A87" s="1" t="s">
        <v>38</v>
      </c>
      <c r="B87" s="1">
        <v>1048002520</v>
      </c>
      <c r="C87" s="6" t="s">
        <v>2387</v>
      </c>
      <c r="D87" s="1">
        <v>4</v>
      </c>
      <c r="E87" s="257"/>
      <c r="F87" s="1">
        <v>20220206</v>
      </c>
      <c r="G87" s="1">
        <v>20220406</v>
      </c>
      <c r="H87" s="159" t="s">
        <v>699</v>
      </c>
      <c r="J87" s="1"/>
      <c r="K87" s="12" t="s">
        <v>1182</v>
      </c>
      <c r="L87" s="12" t="s">
        <v>1195</v>
      </c>
      <c r="N87" s="1"/>
      <c r="O87" s="28">
        <v>1230</v>
      </c>
      <c r="P87" s="28">
        <f t="shared" si="14"/>
        <v>922.5</v>
      </c>
      <c r="Q87" s="28">
        <f t="shared" si="15"/>
        <v>3690</v>
      </c>
      <c r="R87" s="1"/>
    </row>
    <row r="88" spans="1:19">
      <c r="A88" s="1" t="s">
        <v>38</v>
      </c>
      <c r="B88" s="1" t="s">
        <v>2184</v>
      </c>
      <c r="C88" s="6" t="s">
        <v>2387</v>
      </c>
      <c r="D88" s="1">
        <v>17</v>
      </c>
      <c r="E88" s="257" t="s">
        <v>728</v>
      </c>
      <c r="F88" s="1">
        <v>20220603</v>
      </c>
      <c r="G88" s="1">
        <v>20220803</v>
      </c>
      <c r="H88" s="159" t="s">
        <v>699</v>
      </c>
      <c r="K88" s="12" t="s">
        <v>1030</v>
      </c>
      <c r="L88" s="12" t="s">
        <v>1108</v>
      </c>
      <c r="M88" s="1" t="s">
        <v>731</v>
      </c>
      <c r="O88" s="28">
        <v>1650</v>
      </c>
      <c r="P88" s="28">
        <f t="shared" si="14"/>
        <v>1237.5</v>
      </c>
      <c r="Q88" s="28">
        <f t="shared" si="15"/>
        <v>21037.5</v>
      </c>
    </row>
    <row r="89" spans="1:19">
      <c r="A89" s="1" t="s">
        <v>38</v>
      </c>
      <c r="B89" s="17">
        <v>3006012560</v>
      </c>
      <c r="C89" s="64" t="s">
        <v>2387</v>
      </c>
      <c r="D89" s="40">
        <v>8</v>
      </c>
      <c r="E89" s="257" t="s">
        <v>3167</v>
      </c>
      <c r="F89" s="1">
        <v>20250704</v>
      </c>
      <c r="G89" s="1">
        <v>20260115</v>
      </c>
      <c r="H89" s="159" t="s">
        <v>699</v>
      </c>
      <c r="J89" s="12"/>
      <c r="K89" s="12" t="s">
        <v>1047</v>
      </c>
      <c r="L89" s="12" t="s">
        <v>1205</v>
      </c>
      <c r="M89" s="1" t="s">
        <v>3180</v>
      </c>
      <c r="N89" s="12" t="s">
        <v>3181</v>
      </c>
      <c r="O89" s="28">
        <v>1550</v>
      </c>
      <c r="P89" s="28">
        <f t="shared" ref="P89" si="16">O89*0.75</f>
        <v>1162.5</v>
      </c>
      <c r="Q89" s="28">
        <f t="shared" ref="Q89" si="17">D89*P89</f>
        <v>9300</v>
      </c>
    </row>
    <row r="90" spans="1:19">
      <c r="A90" s="1" t="s">
        <v>38</v>
      </c>
      <c r="B90" s="1">
        <v>3017002521</v>
      </c>
      <c r="C90" s="6" t="s">
        <v>2387</v>
      </c>
      <c r="D90" s="1">
        <v>4</v>
      </c>
      <c r="E90" s="257"/>
      <c r="F90" s="1">
        <v>20220828</v>
      </c>
      <c r="G90" s="1">
        <v>20221028</v>
      </c>
      <c r="H90" s="159" t="s">
        <v>699</v>
      </c>
      <c r="I90" s="189" t="s">
        <v>774</v>
      </c>
      <c r="K90" s="12" t="s">
        <v>1146</v>
      </c>
      <c r="L90" s="12" t="s">
        <v>1208</v>
      </c>
      <c r="M90" s="1" t="s">
        <v>770</v>
      </c>
      <c r="O90" s="28">
        <v>1850</v>
      </c>
      <c r="P90" s="28">
        <f t="shared" si="14"/>
        <v>1387.5</v>
      </c>
      <c r="Q90" s="28">
        <f t="shared" si="15"/>
        <v>5550</v>
      </c>
    </row>
    <row r="91" spans="1:19">
      <c r="A91" s="1" t="s">
        <v>38</v>
      </c>
      <c r="B91" s="1">
        <v>3017002593</v>
      </c>
      <c r="C91" s="6" t="s">
        <v>2387</v>
      </c>
      <c r="D91" s="1">
        <v>4</v>
      </c>
      <c r="E91" s="257"/>
      <c r="F91" s="1">
        <v>20210215</v>
      </c>
      <c r="G91" s="1">
        <v>20210415</v>
      </c>
      <c r="H91" s="159" t="s">
        <v>699</v>
      </c>
      <c r="J91" s="12"/>
      <c r="K91" s="12" t="s">
        <v>1143</v>
      </c>
      <c r="L91" s="12" t="s">
        <v>1209</v>
      </c>
      <c r="O91" s="28">
        <v>1373</v>
      </c>
      <c r="P91" s="28">
        <f t="shared" si="14"/>
        <v>1029.75</v>
      </c>
      <c r="Q91" s="28">
        <f t="shared" si="15"/>
        <v>4119</v>
      </c>
      <c r="R91" s="74"/>
      <c r="S91" s="12"/>
    </row>
    <row r="92" spans="1:19">
      <c r="A92" s="1" t="s">
        <v>79</v>
      </c>
      <c r="B92" s="1">
        <v>3018012500</v>
      </c>
      <c r="C92" s="6" t="s">
        <v>2387</v>
      </c>
      <c r="D92" s="1">
        <v>7</v>
      </c>
      <c r="E92" s="257"/>
      <c r="F92" s="1">
        <v>20220901</v>
      </c>
      <c r="G92" s="1">
        <v>20221101</v>
      </c>
      <c r="H92" s="159" t="s">
        <v>699</v>
      </c>
      <c r="I92" s="189" t="s">
        <v>774</v>
      </c>
      <c r="K92" s="12" t="s">
        <v>1143</v>
      </c>
      <c r="L92" s="12" t="s">
        <v>1210</v>
      </c>
      <c r="M92" s="1" t="s">
        <v>772</v>
      </c>
      <c r="O92" s="28">
        <v>2708</v>
      </c>
      <c r="P92" s="28">
        <f t="shared" si="14"/>
        <v>2031</v>
      </c>
      <c r="Q92" s="28">
        <f t="shared" si="15"/>
        <v>14217</v>
      </c>
    </row>
    <row r="93" spans="1:19">
      <c r="A93" s="1" t="s">
        <v>38</v>
      </c>
      <c r="B93" s="4">
        <v>3038002550</v>
      </c>
      <c r="C93" s="6" t="s">
        <v>2387</v>
      </c>
      <c r="D93" s="21">
        <v>31</v>
      </c>
      <c r="E93" s="257"/>
      <c r="F93" s="1">
        <v>20210723</v>
      </c>
      <c r="G93" s="1">
        <v>20210923</v>
      </c>
      <c r="H93" s="159" t="s">
        <v>699</v>
      </c>
      <c r="J93" s="12"/>
      <c r="K93" s="12" t="s">
        <v>1030</v>
      </c>
      <c r="L93" s="12" t="s">
        <v>1213</v>
      </c>
      <c r="N93" s="12" t="s">
        <v>991</v>
      </c>
      <c r="O93" s="28">
        <v>1320</v>
      </c>
      <c r="P93" s="28">
        <f t="shared" si="14"/>
        <v>990</v>
      </c>
      <c r="Q93" s="28">
        <f t="shared" si="15"/>
        <v>30690</v>
      </c>
    </row>
    <row r="94" spans="1:19">
      <c r="A94" s="1" t="s">
        <v>38</v>
      </c>
      <c r="B94" s="1">
        <v>3052002510</v>
      </c>
      <c r="C94" s="6" t="s">
        <v>2387</v>
      </c>
      <c r="D94" s="6">
        <v>12</v>
      </c>
      <c r="E94" s="257" t="s">
        <v>3183</v>
      </c>
      <c r="F94" s="1">
        <v>20220201</v>
      </c>
      <c r="G94" s="1">
        <v>20220401</v>
      </c>
      <c r="H94" s="159" t="s">
        <v>699</v>
      </c>
      <c r="J94" s="12"/>
      <c r="K94" s="12" t="s">
        <v>1143</v>
      </c>
      <c r="L94" s="12" t="s">
        <v>1214</v>
      </c>
      <c r="N94" s="12" t="s">
        <v>753</v>
      </c>
      <c r="O94" s="28">
        <v>1925</v>
      </c>
      <c r="P94" s="28">
        <f t="shared" si="14"/>
        <v>1443.75</v>
      </c>
      <c r="Q94" s="28">
        <f t="shared" si="15"/>
        <v>17325</v>
      </c>
    </row>
    <row r="95" spans="1:19">
      <c r="A95" s="1" t="s">
        <v>79</v>
      </c>
      <c r="B95" s="1">
        <v>6036002510</v>
      </c>
      <c r="C95" s="6" t="s">
        <v>2387</v>
      </c>
      <c r="D95" s="1">
        <v>2</v>
      </c>
      <c r="E95" s="254"/>
      <c r="F95" s="1">
        <v>20221216</v>
      </c>
      <c r="G95" s="1">
        <v>20230216</v>
      </c>
      <c r="H95" s="159" t="s">
        <v>699</v>
      </c>
      <c r="K95" s="12" t="s">
        <v>1157</v>
      </c>
      <c r="L95" s="145" t="s">
        <v>1186</v>
      </c>
      <c r="M95" s="1" t="s">
        <v>842</v>
      </c>
      <c r="O95" s="28">
        <v>2430</v>
      </c>
      <c r="P95" s="28">
        <f t="shared" ref="P95:P96" si="18">O95*0.75</f>
        <v>1822.5</v>
      </c>
      <c r="Q95" s="28">
        <f>D95*P95</f>
        <v>3645</v>
      </c>
    </row>
    <row r="96" spans="1:19">
      <c r="A96" s="6" t="s">
        <v>38</v>
      </c>
      <c r="B96" s="6">
        <v>3006002510</v>
      </c>
      <c r="C96" s="6" t="s">
        <v>2387</v>
      </c>
      <c r="D96" s="6">
        <v>2</v>
      </c>
      <c r="E96" s="257" t="s">
        <v>717</v>
      </c>
      <c r="F96" s="1">
        <v>20230825</v>
      </c>
      <c r="G96" s="1">
        <v>20231113</v>
      </c>
      <c r="H96" s="159" t="s">
        <v>699</v>
      </c>
      <c r="K96" s="12" t="s">
        <v>1047</v>
      </c>
      <c r="L96" s="12" t="s">
        <v>1204</v>
      </c>
      <c r="M96" s="1" t="s">
        <v>2074</v>
      </c>
      <c r="N96" s="12" t="s">
        <v>2313</v>
      </c>
      <c r="O96" s="28">
        <v>1587</v>
      </c>
      <c r="P96" s="28">
        <f t="shared" si="18"/>
        <v>1190.25</v>
      </c>
      <c r="Q96" s="28">
        <f>D96*P96</f>
        <v>2380.5</v>
      </c>
    </row>
    <row r="97" spans="1:19">
      <c r="A97" s="6" t="s">
        <v>2073</v>
      </c>
      <c r="B97" s="6">
        <v>3006002510</v>
      </c>
      <c r="C97" s="6" t="s">
        <v>2387</v>
      </c>
      <c r="D97" s="6">
        <v>10</v>
      </c>
      <c r="E97" s="257"/>
      <c r="F97" s="1">
        <v>20231122</v>
      </c>
      <c r="G97" s="1">
        <v>20240321</v>
      </c>
      <c r="H97" s="159" t="s">
        <v>790</v>
      </c>
      <c r="K97" s="12" t="s">
        <v>1030</v>
      </c>
      <c r="L97" s="12" t="s">
        <v>1204</v>
      </c>
      <c r="M97" s="1" t="s">
        <v>2288</v>
      </c>
      <c r="N97" s="12" t="s">
        <v>2312</v>
      </c>
      <c r="O97" s="28">
        <v>1587</v>
      </c>
      <c r="P97" s="28">
        <v>1190.25</v>
      </c>
      <c r="Q97" s="28">
        <v>2380.5</v>
      </c>
    </row>
    <row r="98" spans="1:19">
      <c r="A98" s="1" t="s">
        <v>38</v>
      </c>
      <c r="B98" s="6" t="s">
        <v>2082</v>
      </c>
      <c r="C98" s="6" t="s">
        <v>2387</v>
      </c>
      <c r="D98" s="6">
        <v>2</v>
      </c>
      <c r="E98" s="257"/>
      <c r="F98" s="1">
        <v>20230928</v>
      </c>
      <c r="G98" s="1">
        <v>20231120</v>
      </c>
      <c r="H98" s="159" t="s">
        <v>699</v>
      </c>
      <c r="I98" s="193"/>
      <c r="J98" s="12"/>
      <c r="K98" s="12" t="s">
        <v>1083</v>
      </c>
      <c r="L98" s="12" t="s">
        <v>1268</v>
      </c>
      <c r="M98" s="1" t="s">
        <v>2083</v>
      </c>
      <c r="N98" s="12" t="s">
        <v>2084</v>
      </c>
      <c r="O98" s="28">
        <v>1595</v>
      </c>
      <c r="P98" s="28">
        <f t="shared" ref="P98:P125" si="19">O98*0.75</f>
        <v>1196.25</v>
      </c>
      <c r="Q98" s="28">
        <f t="shared" ref="Q98:Q130" si="20">D98*P98</f>
        <v>2392.5</v>
      </c>
    </row>
    <row r="99" spans="1:19" s="12" customFormat="1">
      <c r="A99" s="12" t="s">
        <v>38</v>
      </c>
      <c r="B99" s="12">
        <v>1051002510</v>
      </c>
      <c r="C99" s="6" t="s">
        <v>2387</v>
      </c>
      <c r="D99" s="12">
        <v>1</v>
      </c>
      <c r="E99" s="255"/>
      <c r="F99" s="12">
        <v>20231107</v>
      </c>
      <c r="G99" s="12">
        <v>20240321</v>
      </c>
      <c r="H99" s="159" t="s">
        <v>699</v>
      </c>
      <c r="I99" s="197"/>
      <c r="K99" s="12" t="s">
        <v>1197</v>
      </c>
      <c r="L99" s="12" t="s">
        <v>1198</v>
      </c>
      <c r="M99" s="12" t="s">
        <v>2293</v>
      </c>
      <c r="N99" s="12" t="s">
        <v>2313</v>
      </c>
      <c r="O99" s="28">
        <v>2530</v>
      </c>
      <c r="P99" s="28">
        <f t="shared" ref="P99:P116" si="21">O99*0.75</f>
        <v>1897.5</v>
      </c>
      <c r="Q99" s="28">
        <f t="shared" si="20"/>
        <v>1897.5</v>
      </c>
      <c r="R99" s="28"/>
    </row>
    <row r="100" spans="1:19">
      <c r="A100" s="1" t="s">
        <v>38</v>
      </c>
      <c r="B100" s="4">
        <v>3007002550</v>
      </c>
      <c r="C100" s="6" t="s">
        <v>2387</v>
      </c>
      <c r="D100" s="1">
        <v>4</v>
      </c>
      <c r="E100" s="257"/>
      <c r="F100" s="1">
        <v>20210409</v>
      </c>
      <c r="G100" s="1">
        <v>20210609</v>
      </c>
      <c r="H100" s="159" t="s">
        <v>699</v>
      </c>
      <c r="J100" s="12"/>
      <c r="K100" s="12" t="s">
        <v>1034</v>
      </c>
      <c r="L100" s="12" t="s">
        <v>1109</v>
      </c>
      <c r="O100" s="28">
        <v>1156</v>
      </c>
      <c r="P100" s="28">
        <f t="shared" si="21"/>
        <v>867</v>
      </c>
      <c r="Q100" s="28">
        <f t="shared" ref="Q100:Q107" si="22">D100*P100</f>
        <v>3468</v>
      </c>
      <c r="R100" s="74"/>
      <c r="S100" s="12"/>
    </row>
    <row r="101" spans="1:19">
      <c r="A101" s="1" t="s">
        <v>38</v>
      </c>
      <c r="B101" s="4">
        <v>6010002534</v>
      </c>
      <c r="C101" s="6" t="s">
        <v>2387</v>
      </c>
      <c r="D101" s="1">
        <v>5</v>
      </c>
      <c r="E101" s="257"/>
      <c r="F101" s="1">
        <v>20241217</v>
      </c>
      <c r="G101" s="1">
        <v>20250326</v>
      </c>
      <c r="H101" s="159">
        <v>10</v>
      </c>
      <c r="J101" s="12"/>
      <c r="K101" s="12" t="s">
        <v>2868</v>
      </c>
      <c r="L101" s="12" t="s">
        <v>2869</v>
      </c>
      <c r="M101" s="1" t="s">
        <v>2870</v>
      </c>
      <c r="O101" s="28">
        <v>1951</v>
      </c>
      <c r="P101" s="28">
        <f t="shared" si="21"/>
        <v>1463.25</v>
      </c>
      <c r="Q101" s="28">
        <f t="shared" si="22"/>
        <v>7316.25</v>
      </c>
      <c r="R101" s="74"/>
      <c r="S101" s="12"/>
    </row>
    <row r="102" spans="1:19">
      <c r="A102" s="1" t="s">
        <v>38</v>
      </c>
      <c r="B102" s="4">
        <v>5004002512</v>
      </c>
      <c r="C102" s="6" t="s">
        <v>2387</v>
      </c>
      <c r="D102" s="1">
        <v>16</v>
      </c>
      <c r="E102" s="257"/>
      <c r="F102" s="1">
        <v>20241223</v>
      </c>
      <c r="G102" s="1">
        <v>20250326</v>
      </c>
      <c r="H102" s="159">
        <v>10</v>
      </c>
      <c r="J102" s="12"/>
      <c r="K102" s="12" t="s">
        <v>2875</v>
      </c>
      <c r="L102" s="12" t="s">
        <v>2874</v>
      </c>
      <c r="M102" s="1" t="s">
        <v>2873</v>
      </c>
      <c r="O102" s="28">
        <v>1906</v>
      </c>
      <c r="P102" s="28">
        <f t="shared" si="21"/>
        <v>1429.5</v>
      </c>
      <c r="Q102" s="28">
        <f t="shared" si="22"/>
        <v>22872</v>
      </c>
      <c r="R102" s="74"/>
      <c r="S102" s="12"/>
    </row>
    <row r="103" spans="1:19" s="6" customFormat="1">
      <c r="A103" s="6" t="s">
        <v>38</v>
      </c>
      <c r="B103" s="12">
        <v>3004002500</v>
      </c>
      <c r="C103" s="6" t="s">
        <v>2387</v>
      </c>
      <c r="D103" s="6">
        <v>6</v>
      </c>
      <c r="E103" s="7"/>
      <c r="G103" s="6">
        <v>20250326</v>
      </c>
      <c r="H103" s="159" t="s">
        <v>699</v>
      </c>
      <c r="I103" s="195"/>
      <c r="J103" s="12" t="s">
        <v>2876</v>
      </c>
      <c r="K103" s="12" t="s">
        <v>1146</v>
      </c>
      <c r="L103" s="12" t="s">
        <v>1203</v>
      </c>
      <c r="N103" s="12" t="s">
        <v>2769</v>
      </c>
      <c r="O103" s="28">
        <v>1142</v>
      </c>
      <c r="P103" s="28">
        <f t="shared" si="21"/>
        <v>856.5</v>
      </c>
      <c r="Q103" s="28">
        <f t="shared" si="22"/>
        <v>5139</v>
      </c>
      <c r="R103" s="28"/>
      <c r="S103" s="12"/>
    </row>
    <row r="104" spans="1:19" s="6" customFormat="1">
      <c r="A104" s="6" t="s">
        <v>38</v>
      </c>
      <c r="B104" s="12">
        <v>6013002520</v>
      </c>
      <c r="C104" s="6" t="s">
        <v>2387</v>
      </c>
      <c r="D104" s="6">
        <v>3</v>
      </c>
      <c r="E104" s="7"/>
      <c r="F104" s="6">
        <v>20241213</v>
      </c>
      <c r="G104" s="6">
        <v>20250326</v>
      </c>
      <c r="H104" s="159">
        <v>10</v>
      </c>
      <c r="I104" s="195"/>
      <c r="J104" s="12"/>
      <c r="K104" s="12" t="s">
        <v>1146</v>
      </c>
      <c r="L104" s="12" t="s">
        <v>2881</v>
      </c>
      <c r="M104" s="6" t="s">
        <v>2883</v>
      </c>
      <c r="N104" s="12" t="s">
        <v>2882</v>
      </c>
      <c r="O104" s="28">
        <v>2310</v>
      </c>
      <c r="P104" s="28">
        <f t="shared" si="21"/>
        <v>1732.5</v>
      </c>
      <c r="Q104" s="28">
        <f t="shared" si="22"/>
        <v>5197.5</v>
      </c>
      <c r="R104" s="28"/>
      <c r="S104" s="12"/>
    </row>
    <row r="105" spans="1:19" s="6" customFormat="1">
      <c r="A105" s="6" t="s">
        <v>38</v>
      </c>
      <c r="B105" s="12">
        <v>1011002501</v>
      </c>
      <c r="C105" s="6" t="s">
        <v>2387</v>
      </c>
      <c r="D105" s="6">
        <v>2</v>
      </c>
      <c r="E105" s="7"/>
      <c r="G105" s="6">
        <v>20250326</v>
      </c>
      <c r="H105" s="159">
        <v>10</v>
      </c>
      <c r="I105" s="195"/>
      <c r="J105" s="12"/>
      <c r="K105" s="12" t="s">
        <v>2868</v>
      </c>
      <c r="L105" s="12" t="s">
        <v>2896</v>
      </c>
      <c r="N105" s="12" t="s">
        <v>2897</v>
      </c>
      <c r="O105" s="28">
        <v>0</v>
      </c>
      <c r="P105" s="28">
        <f t="shared" si="21"/>
        <v>0</v>
      </c>
      <c r="Q105" s="28">
        <f t="shared" si="22"/>
        <v>0</v>
      </c>
      <c r="R105" s="205" t="s">
        <v>2211</v>
      </c>
      <c r="S105" s="12"/>
    </row>
    <row r="106" spans="1:19" s="6" customFormat="1">
      <c r="A106" s="6" t="s">
        <v>38</v>
      </c>
      <c r="B106" s="12">
        <v>1019002511</v>
      </c>
      <c r="C106" s="6" t="s">
        <v>2387</v>
      </c>
      <c r="D106" s="6">
        <v>2</v>
      </c>
      <c r="E106" s="7"/>
      <c r="F106" s="6">
        <v>20250317</v>
      </c>
      <c r="G106" s="6">
        <v>20250609</v>
      </c>
      <c r="H106" s="159">
        <v>10</v>
      </c>
      <c r="I106" s="195"/>
      <c r="J106" s="12"/>
      <c r="K106" s="12" t="s">
        <v>3020</v>
      </c>
      <c r="L106" s="12" t="s">
        <v>3021</v>
      </c>
      <c r="M106" s="6" t="s">
        <v>3022</v>
      </c>
      <c r="N106" s="12" t="s">
        <v>3023</v>
      </c>
      <c r="O106" s="28">
        <v>2500</v>
      </c>
      <c r="P106" s="28">
        <f t="shared" si="21"/>
        <v>1875</v>
      </c>
      <c r="Q106" s="28">
        <f t="shared" si="22"/>
        <v>3750</v>
      </c>
      <c r="R106" s="205"/>
      <c r="S106" s="12"/>
    </row>
    <row r="107" spans="1:19" s="6" customFormat="1">
      <c r="A107" s="6" t="s">
        <v>38</v>
      </c>
      <c r="B107" s="12">
        <v>5007002512</v>
      </c>
      <c r="C107" s="6" t="s">
        <v>2387</v>
      </c>
      <c r="D107" s="6">
        <v>5</v>
      </c>
      <c r="E107" s="7">
        <v>7</v>
      </c>
      <c r="F107" s="6">
        <v>20250402</v>
      </c>
      <c r="G107" s="6">
        <v>20250609</v>
      </c>
      <c r="H107" s="159">
        <v>10</v>
      </c>
      <c r="I107" s="195"/>
      <c r="J107" s="12"/>
      <c r="K107" s="12" t="s">
        <v>3042</v>
      </c>
      <c r="L107" s="12" t="s">
        <v>3043</v>
      </c>
      <c r="M107" s="6" t="s">
        <v>3044</v>
      </c>
      <c r="N107" s="12" t="s">
        <v>3014</v>
      </c>
      <c r="O107" s="28">
        <v>1590</v>
      </c>
      <c r="P107" s="28">
        <f t="shared" si="21"/>
        <v>1192.5</v>
      </c>
      <c r="Q107" s="28">
        <f t="shared" si="22"/>
        <v>5962.5</v>
      </c>
      <c r="R107" s="205"/>
      <c r="S107" s="12"/>
    </row>
    <row r="108" spans="1:19">
      <c r="A108" s="1" t="s">
        <v>38</v>
      </c>
      <c r="B108" s="6">
        <v>6007002530</v>
      </c>
      <c r="C108" s="6" t="s">
        <v>2387</v>
      </c>
      <c r="D108" s="6">
        <v>12</v>
      </c>
      <c r="E108" s="257"/>
      <c r="G108" s="1">
        <v>20250609</v>
      </c>
      <c r="H108" s="159" t="s">
        <v>699</v>
      </c>
      <c r="J108" s="12"/>
      <c r="K108" s="12" t="s">
        <v>1215</v>
      </c>
      <c r="L108" s="145" t="s">
        <v>1219</v>
      </c>
      <c r="N108" s="12" t="s">
        <v>3060</v>
      </c>
      <c r="O108" s="28">
        <v>1465</v>
      </c>
      <c r="P108" s="28">
        <f t="shared" si="21"/>
        <v>1098.75</v>
      </c>
      <c r="Q108" s="28">
        <f>D108*P108</f>
        <v>13185</v>
      </c>
    </row>
    <row r="109" spans="1:19">
      <c r="A109" s="1" t="s">
        <v>38</v>
      </c>
      <c r="B109" s="6">
        <v>6013002521</v>
      </c>
      <c r="C109" s="6" t="s">
        <v>2387</v>
      </c>
      <c r="D109" s="6">
        <v>10</v>
      </c>
      <c r="E109" s="257"/>
      <c r="G109" s="1">
        <v>20250609</v>
      </c>
      <c r="H109" s="159">
        <v>10</v>
      </c>
      <c r="J109" s="12"/>
      <c r="K109" s="12" t="s">
        <v>3042</v>
      </c>
      <c r="L109" s="145" t="s">
        <v>3059</v>
      </c>
      <c r="N109" s="12" t="s">
        <v>3026</v>
      </c>
      <c r="O109" s="28">
        <v>1680</v>
      </c>
      <c r="P109" s="28">
        <f t="shared" si="21"/>
        <v>1260</v>
      </c>
      <c r="Q109" s="28">
        <f>D109*P109</f>
        <v>12600</v>
      </c>
    </row>
    <row r="110" spans="1:19">
      <c r="A110" s="1" t="s">
        <v>38</v>
      </c>
      <c r="B110" s="6">
        <v>3003012570</v>
      </c>
      <c r="C110" s="6" t="s">
        <v>2387</v>
      </c>
      <c r="D110" s="6">
        <v>5</v>
      </c>
      <c r="E110" s="257"/>
      <c r="F110" s="1">
        <v>20250114</v>
      </c>
      <c r="G110" s="1">
        <v>20260114</v>
      </c>
      <c r="H110" s="159">
        <v>10</v>
      </c>
      <c r="J110" s="12"/>
      <c r="K110" s="12" t="s">
        <v>3127</v>
      </c>
      <c r="L110" s="145" t="s">
        <v>3128</v>
      </c>
      <c r="M110" s="1" t="s">
        <v>3129</v>
      </c>
      <c r="O110" s="28">
        <v>1218</v>
      </c>
      <c r="P110" s="28">
        <f t="shared" si="21"/>
        <v>913.5</v>
      </c>
      <c r="Q110" s="28">
        <f>D110*P110</f>
        <v>4567.5</v>
      </c>
    </row>
    <row r="111" spans="1:19">
      <c r="A111" s="1" t="s">
        <v>38</v>
      </c>
      <c r="B111" s="12">
        <v>1003012513</v>
      </c>
      <c r="C111" s="6" t="s">
        <v>2387</v>
      </c>
      <c r="D111" s="6">
        <v>16</v>
      </c>
      <c r="E111" s="258" t="s">
        <v>1008</v>
      </c>
      <c r="F111" s="6">
        <v>20250421</v>
      </c>
      <c r="G111" s="6">
        <v>20260115</v>
      </c>
      <c r="H111" s="159" t="s">
        <v>699</v>
      </c>
      <c r="I111" s="195"/>
      <c r="J111" s="12" t="s">
        <v>3163</v>
      </c>
      <c r="K111" s="12" t="s">
        <v>1047</v>
      </c>
      <c r="L111" s="12" t="s">
        <v>1178</v>
      </c>
      <c r="M111" s="1" t="s">
        <v>3164</v>
      </c>
      <c r="N111" s="12" t="s">
        <v>2815</v>
      </c>
      <c r="O111" s="28">
        <v>836</v>
      </c>
      <c r="P111" s="28">
        <f t="shared" si="21"/>
        <v>627</v>
      </c>
      <c r="Q111" s="28">
        <f t="shared" ref="Q111:Q116" si="23">D111*P111</f>
        <v>10032</v>
      </c>
      <c r="S111" s="12"/>
    </row>
    <row r="112" spans="1:19" s="6" customFormat="1">
      <c r="A112" s="6" t="s">
        <v>38</v>
      </c>
      <c r="B112" s="6">
        <v>6010002513</v>
      </c>
      <c r="C112" s="6" t="s">
        <v>2387</v>
      </c>
      <c r="D112" s="6">
        <v>7</v>
      </c>
      <c r="E112" s="7"/>
      <c r="F112" s="6">
        <v>20250904</v>
      </c>
      <c r="G112" s="6">
        <v>20260115</v>
      </c>
      <c r="H112" s="159" t="s">
        <v>699</v>
      </c>
      <c r="I112" s="195"/>
      <c r="J112" s="12"/>
      <c r="K112" s="12" t="s">
        <v>1047</v>
      </c>
      <c r="L112" s="12" t="s">
        <v>1221</v>
      </c>
      <c r="M112" s="6" t="s">
        <v>3176</v>
      </c>
      <c r="N112" s="12" t="s">
        <v>2284</v>
      </c>
      <c r="O112" s="28">
        <v>1133</v>
      </c>
      <c r="P112" s="28">
        <f t="shared" si="21"/>
        <v>849.75</v>
      </c>
      <c r="Q112" s="28">
        <f t="shared" si="23"/>
        <v>5948.25</v>
      </c>
      <c r="R112" s="28"/>
    </row>
    <row r="113" spans="1:1024 1026:2048 2050:3072 3074:4096 4098:5120 5122:6144 6146:7168 7170:8192 8194:9216 9218:10240 10242:11264 11266:12288 12290:13312 13314:14336 14338:15360 15362:16382" s="6" customFormat="1">
      <c r="A113" s="6" t="s">
        <v>38</v>
      </c>
      <c r="B113" s="6">
        <v>5033002523</v>
      </c>
      <c r="C113" s="6" t="s">
        <v>2387</v>
      </c>
      <c r="D113" s="6">
        <v>3</v>
      </c>
      <c r="E113" s="7"/>
      <c r="F113" s="6">
        <v>20250624</v>
      </c>
      <c r="G113" s="6">
        <v>20260115</v>
      </c>
      <c r="H113" s="159">
        <v>10</v>
      </c>
      <c r="I113" s="195"/>
      <c r="J113" s="12"/>
      <c r="K113" s="12" t="s">
        <v>3177</v>
      </c>
      <c r="L113" s="12" t="s">
        <v>3178</v>
      </c>
      <c r="M113" s="6" t="s">
        <v>3179</v>
      </c>
      <c r="N113" s="12"/>
      <c r="O113" s="28">
        <v>1782</v>
      </c>
      <c r="P113" s="28">
        <f t="shared" si="21"/>
        <v>1336.5</v>
      </c>
      <c r="Q113" s="28">
        <f t="shared" si="23"/>
        <v>4009.5</v>
      </c>
      <c r="R113" s="28"/>
    </row>
    <row r="114" spans="1:1024 1026:2048 2050:3072 3074:4096 4098:5120 5122:6144 6146:7168 7170:8192 8194:9216 9218:10240 10242:11264 11266:12288 12290:13312 13314:14336 14338:15360 15362:16382" s="6" customFormat="1">
      <c r="A114" s="12" t="s">
        <v>38</v>
      </c>
      <c r="B114" s="12">
        <v>3003012590</v>
      </c>
      <c r="C114" s="6" t="s">
        <v>2387</v>
      </c>
      <c r="D114" s="12">
        <v>5</v>
      </c>
      <c r="E114" s="258"/>
      <c r="F114" s="6">
        <v>20250903</v>
      </c>
      <c r="G114" s="6">
        <v>210260115</v>
      </c>
      <c r="H114" s="159" t="s">
        <v>699</v>
      </c>
      <c r="I114" s="195"/>
      <c r="J114" s="12"/>
      <c r="K114" s="12" t="s">
        <v>1146</v>
      </c>
      <c r="L114" s="12" t="s">
        <v>1150</v>
      </c>
      <c r="M114" s="6" t="s">
        <v>3185</v>
      </c>
      <c r="N114" s="12" t="s">
        <v>3186</v>
      </c>
      <c r="O114" s="28">
        <v>2110</v>
      </c>
      <c r="P114" s="28">
        <f t="shared" si="21"/>
        <v>1582.5</v>
      </c>
      <c r="Q114" s="28">
        <f t="shared" si="23"/>
        <v>7912.5</v>
      </c>
      <c r="R114" s="28"/>
      <c r="S114" s="12"/>
    </row>
    <row r="115" spans="1:1024 1026:2048 2050:3072 3074:4096 4098:5120 5122:6144 6146:7168 7170:8192 8194:9216 9218:10240 10242:11264 11266:12288 12290:13312 13314:14336 14338:15360 15362:16382" s="6" customFormat="1">
      <c r="A115" s="12" t="s">
        <v>38</v>
      </c>
      <c r="B115" s="12">
        <v>3038002520</v>
      </c>
      <c r="C115" s="6" t="s">
        <v>2387</v>
      </c>
      <c r="D115" s="12">
        <v>6</v>
      </c>
      <c r="E115" s="258"/>
      <c r="F115" s="6">
        <v>20251121</v>
      </c>
      <c r="G115" s="6">
        <v>20260115</v>
      </c>
      <c r="H115" s="159">
        <v>10</v>
      </c>
      <c r="I115" s="195"/>
      <c r="J115" s="12"/>
      <c r="K115" s="12" t="s">
        <v>3192</v>
      </c>
      <c r="L115" s="12" t="s">
        <v>3193</v>
      </c>
      <c r="M115" s="6" t="s">
        <v>3194</v>
      </c>
      <c r="N115" s="12" t="s">
        <v>3195</v>
      </c>
      <c r="O115" s="28">
        <v>1218</v>
      </c>
      <c r="P115" s="28">
        <f t="shared" si="21"/>
        <v>913.5</v>
      </c>
      <c r="Q115" s="28">
        <f t="shared" si="23"/>
        <v>5481</v>
      </c>
      <c r="R115" s="28"/>
      <c r="S115" s="12"/>
    </row>
    <row r="116" spans="1:1024 1026:2048 2050:3072 3074:4096 4098:5120 5122:6144 6146:7168 7170:8192 8194:9216 9218:10240 10242:11264 11266:12288 12290:13312 13314:14336 14338:15360 15362:16382" s="6" customFormat="1">
      <c r="A116" s="12" t="s">
        <v>38</v>
      </c>
      <c r="B116" s="12">
        <v>1003032530</v>
      </c>
      <c r="C116" s="6" t="s">
        <v>2387</v>
      </c>
      <c r="D116" s="12">
        <v>1</v>
      </c>
      <c r="E116" s="258"/>
      <c r="F116" s="6">
        <v>20250421</v>
      </c>
      <c r="G116" s="6">
        <v>20260115</v>
      </c>
      <c r="H116" s="159">
        <v>10</v>
      </c>
      <c r="I116" s="195"/>
      <c r="J116" s="12"/>
      <c r="K116" s="12" t="s">
        <v>3196</v>
      </c>
      <c r="L116" s="12" t="s">
        <v>3197</v>
      </c>
      <c r="M116" s="6" t="s">
        <v>3198</v>
      </c>
      <c r="N116" s="12" t="s">
        <v>3199</v>
      </c>
      <c r="O116" s="28">
        <v>11000</v>
      </c>
      <c r="P116" s="28">
        <f t="shared" si="21"/>
        <v>8250</v>
      </c>
      <c r="Q116" s="28">
        <f t="shared" si="23"/>
        <v>8250</v>
      </c>
      <c r="R116" s="28"/>
      <c r="S116" s="12"/>
    </row>
    <row r="117" spans="1:1024 1026:2048 2050:3072 3074:4096 4098:5120 5122:6144 6146:7168 7170:8192 8194:9216 9218:10240 10242:11264 11266:12288 12290:13312 13314:14336 14338:15360 15362:16382">
      <c r="A117" s="1" t="s">
        <v>38</v>
      </c>
      <c r="B117" s="1">
        <v>1004002501</v>
      </c>
      <c r="C117" s="1" t="s">
        <v>2388</v>
      </c>
      <c r="D117" s="1">
        <v>8</v>
      </c>
      <c r="E117" s="257" t="s">
        <v>1007</v>
      </c>
      <c r="F117" s="1">
        <v>20221009</v>
      </c>
      <c r="G117" s="1">
        <v>20221209</v>
      </c>
      <c r="H117" s="159" t="s">
        <v>699</v>
      </c>
      <c r="K117" s="12" t="s">
        <v>1152</v>
      </c>
      <c r="L117" s="12" t="s">
        <v>1179</v>
      </c>
      <c r="O117" s="28">
        <v>950</v>
      </c>
      <c r="P117" s="28">
        <f t="shared" si="19"/>
        <v>712.5</v>
      </c>
      <c r="Q117" s="28">
        <f t="shared" si="20"/>
        <v>5700</v>
      </c>
    </row>
    <row r="118" spans="1:1024 1026:2048 2050:3072 3074:4096 4098:5120 5122:6144 6146:7168 7170:8192 8194:9216 9218:10240 10242:11264 11266:12288 12290:13312 13314:14336 14338:15360 15362:16382">
      <c r="A118" s="1" t="s">
        <v>38</v>
      </c>
      <c r="B118" s="4">
        <v>1009002510</v>
      </c>
      <c r="C118" s="1" t="s">
        <v>2388</v>
      </c>
      <c r="D118" s="1">
        <v>9</v>
      </c>
      <c r="E118" s="257"/>
      <c r="F118" s="1">
        <v>20210905</v>
      </c>
      <c r="G118" s="1">
        <v>20211105</v>
      </c>
      <c r="H118" s="159" t="s">
        <v>699</v>
      </c>
      <c r="J118" s="12"/>
      <c r="K118" s="12" t="s">
        <v>1143</v>
      </c>
      <c r="L118" s="12" t="s">
        <v>1218</v>
      </c>
      <c r="O118" s="28">
        <v>2150</v>
      </c>
      <c r="P118" s="28">
        <f t="shared" si="19"/>
        <v>1612.5</v>
      </c>
      <c r="Q118" s="28">
        <f t="shared" si="20"/>
        <v>14512.5</v>
      </c>
      <c r="S118" s="12"/>
    </row>
    <row r="119" spans="1:1024 1026:2048 2050:3072 3074:4096 4098:5120 5122:6144 6146:7168 7170:8192 8194:9216 9218:10240 10242:11264 11266:12288 12290:13312 13314:14336 14338:15360 15362:16382">
      <c r="A119" s="1" t="s">
        <v>38</v>
      </c>
      <c r="B119" s="4">
        <v>6027002560</v>
      </c>
      <c r="C119" s="1" t="s">
        <v>2388</v>
      </c>
      <c r="D119" s="1">
        <v>9</v>
      </c>
      <c r="E119" s="257"/>
      <c r="F119" s="1">
        <v>20210806</v>
      </c>
      <c r="G119" s="1">
        <v>20211016</v>
      </c>
      <c r="H119" s="159" t="s">
        <v>699</v>
      </c>
      <c r="J119" s="12"/>
      <c r="K119" s="12" t="s">
        <v>1115</v>
      </c>
      <c r="L119" s="145" t="s">
        <v>1226</v>
      </c>
      <c r="O119" s="28">
        <v>970</v>
      </c>
      <c r="P119" s="28">
        <f t="shared" si="19"/>
        <v>727.5</v>
      </c>
      <c r="Q119" s="28">
        <f t="shared" si="20"/>
        <v>6547.5</v>
      </c>
      <c r="S119" s="12"/>
    </row>
    <row r="120" spans="1:1024 1026:2048 2050:3072 3074:4096 4098:5120 5122:6144 6146:7168 7170:8192 8194:9216 9218:10240 10242:11264 11266:12288 12290:13312 13314:14336 14338:15360 15362:16382">
      <c r="A120" s="1" t="s">
        <v>38</v>
      </c>
      <c r="B120" s="135">
        <v>6027002570</v>
      </c>
      <c r="C120" s="1" t="s">
        <v>2388</v>
      </c>
      <c r="D120" s="1">
        <v>4</v>
      </c>
      <c r="E120" s="257"/>
      <c r="F120" s="1">
        <v>20211120</v>
      </c>
      <c r="G120" s="1">
        <v>20220120</v>
      </c>
      <c r="H120" s="159" t="s">
        <v>699</v>
      </c>
      <c r="J120" s="12" t="s">
        <v>616</v>
      </c>
      <c r="K120" s="12" t="s">
        <v>1223</v>
      </c>
      <c r="L120" s="12" t="s">
        <v>1222</v>
      </c>
      <c r="O120" s="28">
        <v>2233</v>
      </c>
      <c r="P120" s="28">
        <f t="shared" si="19"/>
        <v>1674.75</v>
      </c>
      <c r="Q120" s="28">
        <f t="shared" si="20"/>
        <v>6699</v>
      </c>
      <c r="S120" s="12"/>
    </row>
    <row r="121" spans="1:1024 1026:2048 2050:3072 3074:4096 4098:5120 5122:6144 6146:7168 7170:8192 8194:9216 9218:10240 10242:11264 11266:12288 12290:13312 13314:14336 14338:15360 15362:16382">
      <c r="A121" s="1" t="s">
        <v>38</v>
      </c>
      <c r="B121" s="133">
        <v>6027002570</v>
      </c>
      <c r="C121" s="1" t="s">
        <v>2388</v>
      </c>
      <c r="D121" s="1">
        <v>1</v>
      </c>
      <c r="E121" s="257" t="s">
        <v>717</v>
      </c>
      <c r="F121" s="1">
        <v>20210519</v>
      </c>
      <c r="G121" s="1">
        <v>20210719</v>
      </c>
      <c r="H121" s="159" t="s">
        <v>699</v>
      </c>
      <c r="J121" s="12" t="s">
        <v>615</v>
      </c>
      <c r="K121" s="1" t="s">
        <v>1163</v>
      </c>
      <c r="L121" s="12" t="s">
        <v>1188</v>
      </c>
      <c r="O121" s="74">
        <v>2233</v>
      </c>
      <c r="P121" s="28">
        <f t="shared" si="19"/>
        <v>1674.75</v>
      </c>
      <c r="Q121" s="28">
        <f t="shared" si="20"/>
        <v>1674.75</v>
      </c>
      <c r="R121" s="74"/>
      <c r="S121" s="12"/>
    </row>
    <row r="122" spans="1:1024 1026:2048 2050:3072 3074:4096 4098:5120 5122:6144 6146:7168 7170:8192 8194:9216 9218:10240 10242:11264 11266:12288 12290:13312 13314:14336 14338:15360 15362:16382">
      <c r="A122" s="1" t="s">
        <v>38</v>
      </c>
      <c r="B122" s="209">
        <v>3019012510</v>
      </c>
      <c r="C122" s="1" t="s">
        <v>2388</v>
      </c>
      <c r="D122" s="6">
        <v>19</v>
      </c>
      <c r="E122" s="257"/>
      <c r="F122" s="1">
        <v>20230504</v>
      </c>
      <c r="G122" s="1">
        <v>20230928</v>
      </c>
      <c r="H122" s="159" t="s">
        <v>699</v>
      </c>
      <c r="K122" s="12" t="s">
        <v>2283</v>
      </c>
      <c r="L122" s="12" t="s">
        <v>1895</v>
      </c>
      <c r="M122" s="1" t="s">
        <v>1896</v>
      </c>
      <c r="O122" s="28">
        <v>2035</v>
      </c>
      <c r="P122" s="28">
        <f t="shared" si="19"/>
        <v>1526.25</v>
      </c>
      <c r="Q122" s="28">
        <f t="shared" si="20"/>
        <v>28998.75</v>
      </c>
    </row>
    <row r="123" spans="1:1024 1026:2048 2050:3072 3074:4096 4098:5120 5122:6144 6146:7168 7170:8192 8194:9216 9218:10240 10242:11264 11266:12288 12290:13312 13314:14336 14338:15360 15362:16382" s="6" customFormat="1">
      <c r="A123" s="6" t="s">
        <v>38</v>
      </c>
      <c r="B123" s="83">
        <v>5010012503</v>
      </c>
      <c r="C123" s="1" t="s">
        <v>2388</v>
      </c>
      <c r="D123" s="6">
        <v>7</v>
      </c>
      <c r="E123" s="258"/>
      <c r="F123" s="6">
        <v>20231212</v>
      </c>
      <c r="G123" s="6">
        <v>20240321</v>
      </c>
      <c r="H123" s="159">
        <v>10</v>
      </c>
      <c r="I123" s="195"/>
      <c r="J123" s="12"/>
      <c r="K123" s="12" t="s">
        <v>2289</v>
      </c>
      <c r="L123" s="12" t="s">
        <v>2290</v>
      </c>
      <c r="M123" s="6" t="s">
        <v>2291</v>
      </c>
      <c r="N123" s="12" t="s">
        <v>2315</v>
      </c>
      <c r="O123" s="28">
        <v>2860</v>
      </c>
      <c r="P123" s="28">
        <f t="shared" si="19"/>
        <v>2145</v>
      </c>
      <c r="Q123" s="28">
        <f t="shared" si="20"/>
        <v>15015</v>
      </c>
      <c r="R123" s="28"/>
    </row>
    <row r="124" spans="1:1024 1026:2048 2050:3072 3074:4096 4098:5120 5122:6144 6146:7168 7170:8192 8194:9216 9218:10240 10242:11264 11266:12288 12290:13312 13314:14336 14338:15360 15362:16382" s="6" customFormat="1">
      <c r="A124" s="6" t="s">
        <v>38</v>
      </c>
      <c r="B124" s="83">
        <v>6018002540</v>
      </c>
      <c r="C124" s="1" t="s">
        <v>2388</v>
      </c>
      <c r="D124" s="6">
        <v>2</v>
      </c>
      <c r="E124" s="258"/>
      <c r="F124" s="6">
        <v>20240418</v>
      </c>
      <c r="G124" s="6">
        <v>20240604</v>
      </c>
      <c r="H124" s="159">
        <v>10</v>
      </c>
      <c r="I124" s="195"/>
      <c r="J124" s="12"/>
      <c r="K124" s="12" t="s">
        <v>2439</v>
      </c>
      <c r="L124" s="12" t="s">
        <v>1620</v>
      </c>
      <c r="M124" s="6" t="s">
        <v>2438</v>
      </c>
      <c r="N124" s="12" t="s">
        <v>2430</v>
      </c>
      <c r="O124" s="28">
        <v>2450</v>
      </c>
      <c r="P124" s="28">
        <f t="shared" si="19"/>
        <v>1837.5</v>
      </c>
      <c r="Q124" s="28">
        <f t="shared" si="20"/>
        <v>3675</v>
      </c>
      <c r="R124" s="28"/>
    </row>
    <row r="125" spans="1:1024 1026:2048 2050:3072 3074:4096 4098:5120 5122:6144 6146:7168 7170:8192 8194:9216 9218:10240 10242:11264 11266:12288 12290:13312 13314:14336 14338:15360 15362:16382" s="6" customFormat="1">
      <c r="A125" s="6" t="s">
        <v>38</v>
      </c>
      <c r="B125" s="83">
        <v>3038002543</v>
      </c>
      <c r="C125" s="1" t="s">
        <v>2388</v>
      </c>
      <c r="D125" s="6">
        <v>1</v>
      </c>
      <c r="E125" s="258"/>
      <c r="F125" s="6">
        <v>20231120</v>
      </c>
      <c r="G125" s="6">
        <v>20240604</v>
      </c>
      <c r="H125" s="159">
        <v>10</v>
      </c>
      <c r="I125" s="195"/>
      <c r="J125" s="12"/>
      <c r="K125" s="12" t="s">
        <v>2468</v>
      </c>
      <c r="L125" s="12" t="s">
        <v>1268</v>
      </c>
      <c r="M125" s="6" t="s">
        <v>2469</v>
      </c>
      <c r="N125" s="12"/>
      <c r="O125" s="28">
        <v>1395</v>
      </c>
      <c r="P125" s="28">
        <f t="shared" si="19"/>
        <v>1046.25</v>
      </c>
      <c r="Q125" s="28">
        <f t="shared" si="20"/>
        <v>1046.25</v>
      </c>
      <c r="R125" s="28"/>
    </row>
    <row r="126" spans="1:1024 1026:2048 2050:3072 3074:4096 4098:5120 5122:6144 6146:7168 7170:8192 8194:9216 9218:10240 10242:11264 11266:12288 12290:13312 13314:14336 14338:15360 15362:16382">
      <c r="A126" s="1" t="s">
        <v>79</v>
      </c>
      <c r="B126" s="1">
        <v>3012002510</v>
      </c>
      <c r="C126" s="1" t="s">
        <v>2590</v>
      </c>
      <c r="D126" s="1">
        <v>8</v>
      </c>
      <c r="E126" s="257" t="s">
        <v>1008</v>
      </c>
      <c r="F126" s="1">
        <v>20221016</v>
      </c>
      <c r="G126" s="1">
        <v>20221216</v>
      </c>
      <c r="H126" s="159" t="s">
        <v>699</v>
      </c>
      <c r="J126" s="2"/>
      <c r="K126" s="12" t="s">
        <v>1242</v>
      </c>
      <c r="L126" s="12" t="s">
        <v>1243</v>
      </c>
      <c r="N126" s="2" t="s">
        <v>997</v>
      </c>
      <c r="O126" s="28">
        <v>1780</v>
      </c>
      <c r="P126" s="28">
        <f t="shared" ref="P126:P131" si="24">O126*0.75</f>
        <v>1335</v>
      </c>
      <c r="Q126" s="28">
        <f t="shared" si="20"/>
        <v>10680</v>
      </c>
      <c r="R126" s="2"/>
      <c r="T126" s="2"/>
      <c r="V126" s="2"/>
      <c r="X126" s="2"/>
      <c r="Z126" s="2"/>
      <c r="AB126" s="2"/>
      <c r="AD126" s="2"/>
      <c r="AF126" s="2"/>
      <c r="AH126" s="2"/>
      <c r="AJ126" s="2"/>
      <c r="AL126" s="2"/>
      <c r="AN126" s="2"/>
      <c r="AP126" s="2"/>
      <c r="AR126" s="2"/>
      <c r="AT126" s="2"/>
      <c r="AV126" s="2"/>
      <c r="AX126" s="2"/>
      <c r="AZ126" s="2"/>
      <c r="BB126" s="2"/>
      <c r="BD126" s="2"/>
      <c r="BF126" s="2"/>
      <c r="BH126" s="2"/>
      <c r="BJ126" s="2"/>
      <c r="BL126" s="2"/>
      <c r="BN126" s="2"/>
      <c r="BP126" s="2"/>
      <c r="BR126" s="2"/>
      <c r="BT126" s="2"/>
      <c r="BV126" s="2"/>
      <c r="BX126" s="2"/>
      <c r="BZ126" s="2"/>
      <c r="CB126" s="2"/>
      <c r="CD126" s="2"/>
      <c r="CF126" s="2"/>
      <c r="CH126" s="2"/>
      <c r="CJ126" s="2"/>
      <c r="CL126" s="2"/>
      <c r="CN126" s="2"/>
      <c r="CP126" s="2"/>
      <c r="CR126" s="2"/>
      <c r="CT126" s="2"/>
      <c r="CV126" s="2"/>
      <c r="CX126" s="2"/>
      <c r="CZ126" s="2"/>
      <c r="DB126" s="2"/>
      <c r="DD126" s="2"/>
      <c r="DF126" s="2"/>
      <c r="DH126" s="2"/>
      <c r="DJ126" s="2"/>
      <c r="DL126" s="2"/>
      <c r="DN126" s="2"/>
      <c r="DP126" s="2"/>
      <c r="DR126" s="2"/>
      <c r="DT126" s="2"/>
      <c r="DV126" s="2"/>
      <c r="DX126" s="2"/>
      <c r="DZ126" s="2"/>
      <c r="EB126" s="2"/>
      <c r="ED126" s="2"/>
      <c r="EF126" s="2"/>
      <c r="EH126" s="2"/>
      <c r="EJ126" s="2"/>
      <c r="EL126" s="2"/>
      <c r="EN126" s="2"/>
      <c r="EP126" s="2"/>
      <c r="ER126" s="2"/>
      <c r="ET126" s="2"/>
      <c r="EV126" s="2"/>
      <c r="EX126" s="2"/>
      <c r="EZ126" s="2"/>
      <c r="FB126" s="2"/>
      <c r="FD126" s="2"/>
      <c r="FF126" s="2"/>
      <c r="FH126" s="2"/>
      <c r="FJ126" s="2"/>
      <c r="FL126" s="2"/>
      <c r="FN126" s="2"/>
      <c r="FP126" s="2"/>
      <c r="FR126" s="2"/>
      <c r="FT126" s="2"/>
      <c r="FV126" s="2"/>
      <c r="FX126" s="2"/>
      <c r="FZ126" s="2"/>
      <c r="GB126" s="2"/>
      <c r="GD126" s="2"/>
      <c r="GF126" s="2"/>
      <c r="GH126" s="2"/>
      <c r="GJ126" s="2"/>
      <c r="GL126" s="2"/>
      <c r="GN126" s="2"/>
      <c r="GP126" s="2"/>
      <c r="GR126" s="2"/>
      <c r="GT126" s="2"/>
      <c r="GV126" s="2"/>
      <c r="GX126" s="2"/>
      <c r="GZ126" s="2"/>
      <c r="HB126" s="2"/>
      <c r="HD126" s="2"/>
      <c r="HF126" s="2"/>
      <c r="HH126" s="2"/>
      <c r="HJ126" s="2"/>
      <c r="HL126" s="2"/>
      <c r="HN126" s="2"/>
      <c r="HP126" s="2"/>
      <c r="HR126" s="2"/>
      <c r="HT126" s="2"/>
      <c r="HV126" s="2"/>
      <c r="HX126" s="2"/>
      <c r="HZ126" s="2"/>
      <c r="IB126" s="2"/>
      <c r="ID126" s="2"/>
      <c r="IF126" s="2"/>
      <c r="IH126" s="2"/>
      <c r="IJ126" s="2"/>
      <c r="IL126" s="2"/>
      <c r="IN126" s="2"/>
      <c r="IP126" s="2"/>
      <c r="IR126" s="2"/>
      <c r="IT126" s="2"/>
      <c r="IV126" s="2"/>
      <c r="IX126" s="2"/>
      <c r="IZ126" s="2"/>
      <c r="JB126" s="2"/>
      <c r="JD126" s="2"/>
      <c r="JF126" s="2"/>
      <c r="JH126" s="2"/>
      <c r="JJ126" s="2"/>
      <c r="JL126" s="2"/>
      <c r="JN126" s="2"/>
      <c r="JP126" s="2"/>
      <c r="JR126" s="2"/>
      <c r="JT126" s="2"/>
      <c r="JV126" s="2"/>
      <c r="JX126" s="2"/>
      <c r="JZ126" s="2"/>
      <c r="KB126" s="2"/>
      <c r="KD126" s="2"/>
      <c r="KF126" s="2"/>
      <c r="KH126" s="2"/>
      <c r="KJ126" s="2"/>
      <c r="KL126" s="2"/>
      <c r="KN126" s="2"/>
      <c r="KP126" s="2"/>
      <c r="KR126" s="2"/>
      <c r="KT126" s="2"/>
      <c r="KV126" s="2"/>
      <c r="KX126" s="2"/>
      <c r="KZ126" s="2"/>
      <c r="LB126" s="2"/>
      <c r="LD126" s="2"/>
      <c r="LF126" s="2"/>
      <c r="LH126" s="2"/>
      <c r="LJ126" s="2"/>
      <c r="LL126" s="2"/>
      <c r="LN126" s="2"/>
      <c r="LP126" s="2"/>
      <c r="LR126" s="2"/>
      <c r="LT126" s="2"/>
      <c r="LV126" s="2"/>
      <c r="LX126" s="2"/>
      <c r="LZ126" s="2"/>
      <c r="MB126" s="2"/>
      <c r="MD126" s="2"/>
      <c r="MF126" s="2"/>
      <c r="MH126" s="2"/>
      <c r="MJ126" s="2"/>
      <c r="ML126" s="2"/>
      <c r="MN126" s="2"/>
      <c r="MP126" s="2"/>
      <c r="MR126" s="2"/>
      <c r="MT126" s="2"/>
      <c r="MV126" s="2"/>
      <c r="MX126" s="2"/>
      <c r="MZ126" s="2"/>
      <c r="NB126" s="2"/>
      <c r="ND126" s="2"/>
      <c r="NF126" s="2"/>
      <c r="NH126" s="2"/>
      <c r="NJ126" s="2"/>
      <c r="NL126" s="2"/>
      <c r="NN126" s="2"/>
      <c r="NP126" s="2"/>
      <c r="NR126" s="2"/>
      <c r="NT126" s="2"/>
      <c r="NV126" s="2"/>
      <c r="NX126" s="2"/>
      <c r="NZ126" s="2"/>
      <c r="OB126" s="2"/>
      <c r="OD126" s="2"/>
      <c r="OF126" s="2"/>
      <c r="OH126" s="2"/>
      <c r="OJ126" s="2"/>
      <c r="OL126" s="2"/>
      <c r="ON126" s="2"/>
      <c r="OP126" s="2"/>
      <c r="OR126" s="2"/>
      <c r="OT126" s="2"/>
      <c r="OV126" s="2"/>
      <c r="OX126" s="2"/>
      <c r="OZ126" s="2"/>
      <c r="PB126" s="2"/>
      <c r="PD126" s="2"/>
      <c r="PF126" s="2"/>
      <c r="PH126" s="2"/>
      <c r="PJ126" s="2"/>
      <c r="PL126" s="2"/>
      <c r="PN126" s="2"/>
      <c r="PP126" s="2"/>
      <c r="PR126" s="2"/>
      <c r="PT126" s="2"/>
      <c r="PV126" s="2"/>
      <c r="PX126" s="2"/>
      <c r="PZ126" s="2"/>
      <c r="QB126" s="2"/>
      <c r="QD126" s="2"/>
      <c r="QF126" s="2"/>
      <c r="QH126" s="2"/>
      <c r="QJ126" s="2"/>
      <c r="QL126" s="2"/>
      <c r="QN126" s="2"/>
      <c r="QP126" s="2"/>
      <c r="QR126" s="2"/>
      <c r="QT126" s="2"/>
      <c r="QV126" s="2"/>
      <c r="QX126" s="2"/>
      <c r="QZ126" s="2"/>
      <c r="RB126" s="2"/>
      <c r="RD126" s="2"/>
      <c r="RF126" s="2"/>
      <c r="RH126" s="2"/>
      <c r="RJ126" s="2"/>
      <c r="RL126" s="2"/>
      <c r="RN126" s="2"/>
      <c r="RP126" s="2"/>
      <c r="RR126" s="2"/>
      <c r="RT126" s="2"/>
      <c r="RV126" s="2"/>
      <c r="RX126" s="2"/>
      <c r="RZ126" s="2"/>
      <c r="SB126" s="2"/>
      <c r="SD126" s="2"/>
      <c r="SF126" s="2"/>
      <c r="SH126" s="2"/>
      <c r="SJ126" s="2"/>
      <c r="SL126" s="2"/>
      <c r="SN126" s="2"/>
      <c r="SP126" s="2"/>
      <c r="SR126" s="2"/>
      <c r="ST126" s="2"/>
      <c r="SV126" s="2"/>
      <c r="SX126" s="2"/>
      <c r="SZ126" s="2"/>
      <c r="TB126" s="2"/>
      <c r="TD126" s="2"/>
      <c r="TF126" s="2"/>
      <c r="TH126" s="2"/>
      <c r="TJ126" s="2"/>
      <c r="TL126" s="2"/>
      <c r="TN126" s="2"/>
      <c r="TP126" s="2"/>
      <c r="TR126" s="2"/>
      <c r="TT126" s="2"/>
      <c r="TV126" s="2"/>
      <c r="TX126" s="2"/>
      <c r="TZ126" s="2"/>
      <c r="UB126" s="2"/>
      <c r="UD126" s="2"/>
      <c r="UF126" s="2"/>
      <c r="UH126" s="2"/>
      <c r="UJ126" s="2"/>
      <c r="UL126" s="2"/>
      <c r="UN126" s="2"/>
      <c r="UP126" s="2"/>
      <c r="UR126" s="2"/>
      <c r="UT126" s="2"/>
      <c r="UV126" s="2"/>
      <c r="UX126" s="2"/>
      <c r="UZ126" s="2"/>
      <c r="VB126" s="2"/>
      <c r="VD126" s="2"/>
      <c r="VF126" s="2"/>
      <c r="VH126" s="2"/>
      <c r="VJ126" s="2"/>
      <c r="VL126" s="2"/>
      <c r="VN126" s="2"/>
      <c r="VP126" s="2"/>
      <c r="VR126" s="2"/>
      <c r="VT126" s="2"/>
      <c r="VV126" s="2"/>
      <c r="VX126" s="2"/>
      <c r="VZ126" s="2"/>
      <c r="WB126" s="2"/>
      <c r="WD126" s="2"/>
      <c r="WF126" s="2"/>
      <c r="WH126" s="2"/>
      <c r="WJ126" s="2"/>
      <c r="WL126" s="2"/>
      <c r="WN126" s="2"/>
      <c r="WP126" s="2"/>
      <c r="WR126" s="2"/>
      <c r="WT126" s="2"/>
      <c r="WV126" s="2"/>
      <c r="WX126" s="2"/>
      <c r="WZ126" s="2"/>
      <c r="XB126" s="2"/>
      <c r="XD126" s="2"/>
      <c r="XF126" s="2"/>
      <c r="XH126" s="2"/>
      <c r="XJ126" s="2"/>
      <c r="XL126" s="2"/>
      <c r="XN126" s="2"/>
      <c r="XP126" s="2"/>
      <c r="XR126" s="2"/>
      <c r="XT126" s="2"/>
      <c r="XV126" s="2"/>
      <c r="XX126" s="2"/>
      <c r="XZ126" s="2"/>
      <c r="YB126" s="2"/>
      <c r="YD126" s="2"/>
      <c r="YF126" s="2"/>
      <c r="YH126" s="2"/>
      <c r="YJ126" s="2"/>
      <c r="YL126" s="2"/>
      <c r="YN126" s="2"/>
      <c r="YP126" s="2"/>
      <c r="YR126" s="2"/>
      <c r="YT126" s="2"/>
      <c r="YV126" s="2"/>
      <c r="YX126" s="2"/>
      <c r="YZ126" s="2"/>
      <c r="ZB126" s="2"/>
      <c r="ZD126" s="2"/>
      <c r="ZF126" s="2"/>
      <c r="ZH126" s="2"/>
      <c r="ZJ126" s="2"/>
      <c r="ZL126" s="2"/>
      <c r="ZN126" s="2"/>
      <c r="ZP126" s="2"/>
      <c r="ZR126" s="2"/>
      <c r="ZT126" s="2"/>
      <c r="ZV126" s="2"/>
      <c r="ZX126" s="2"/>
      <c r="ZZ126" s="2"/>
      <c r="AAB126" s="2"/>
      <c r="AAD126" s="2"/>
      <c r="AAF126" s="2"/>
      <c r="AAH126" s="2"/>
      <c r="AAJ126" s="2"/>
      <c r="AAL126" s="2"/>
      <c r="AAN126" s="2"/>
      <c r="AAP126" s="2"/>
      <c r="AAR126" s="2"/>
      <c r="AAT126" s="2"/>
      <c r="AAV126" s="2"/>
      <c r="AAX126" s="2"/>
      <c r="AAZ126" s="2"/>
      <c r="ABB126" s="2"/>
      <c r="ABD126" s="2"/>
      <c r="ABF126" s="2"/>
      <c r="ABH126" s="2"/>
      <c r="ABJ126" s="2"/>
      <c r="ABL126" s="2"/>
      <c r="ABN126" s="2"/>
      <c r="ABP126" s="2"/>
      <c r="ABR126" s="2"/>
      <c r="ABT126" s="2"/>
      <c r="ABV126" s="2"/>
      <c r="ABX126" s="2"/>
      <c r="ABZ126" s="2"/>
      <c r="ACB126" s="2"/>
      <c r="ACD126" s="2"/>
      <c r="ACF126" s="2"/>
      <c r="ACH126" s="2"/>
      <c r="ACJ126" s="2"/>
      <c r="ACL126" s="2"/>
      <c r="ACN126" s="2"/>
      <c r="ACP126" s="2"/>
      <c r="ACR126" s="2"/>
      <c r="ACT126" s="2"/>
      <c r="ACV126" s="2"/>
      <c r="ACX126" s="2"/>
      <c r="ACZ126" s="2"/>
      <c r="ADB126" s="2"/>
      <c r="ADD126" s="2"/>
      <c r="ADF126" s="2"/>
      <c r="ADH126" s="2"/>
      <c r="ADJ126" s="2"/>
      <c r="ADL126" s="2"/>
      <c r="ADN126" s="2"/>
      <c r="ADP126" s="2"/>
      <c r="ADR126" s="2"/>
      <c r="ADT126" s="2"/>
      <c r="ADV126" s="2"/>
      <c r="ADX126" s="2"/>
      <c r="ADZ126" s="2"/>
      <c r="AEB126" s="2"/>
      <c r="AED126" s="2"/>
      <c r="AEF126" s="2"/>
      <c r="AEH126" s="2"/>
      <c r="AEJ126" s="2"/>
      <c r="AEL126" s="2"/>
      <c r="AEN126" s="2"/>
      <c r="AEP126" s="2"/>
      <c r="AER126" s="2"/>
      <c r="AET126" s="2"/>
      <c r="AEV126" s="2"/>
      <c r="AEX126" s="2"/>
      <c r="AEZ126" s="2"/>
      <c r="AFB126" s="2"/>
      <c r="AFD126" s="2"/>
      <c r="AFF126" s="2"/>
      <c r="AFH126" s="2"/>
      <c r="AFJ126" s="2"/>
      <c r="AFL126" s="2"/>
      <c r="AFN126" s="2"/>
      <c r="AFP126" s="2"/>
      <c r="AFR126" s="2"/>
      <c r="AFT126" s="2"/>
      <c r="AFV126" s="2"/>
      <c r="AFX126" s="2"/>
      <c r="AFZ126" s="2"/>
      <c r="AGB126" s="2"/>
      <c r="AGD126" s="2"/>
      <c r="AGF126" s="2"/>
      <c r="AGH126" s="2"/>
      <c r="AGJ126" s="2"/>
      <c r="AGL126" s="2"/>
      <c r="AGN126" s="2"/>
      <c r="AGP126" s="2"/>
      <c r="AGR126" s="2"/>
      <c r="AGT126" s="2"/>
      <c r="AGV126" s="2"/>
      <c r="AGX126" s="2"/>
      <c r="AGZ126" s="2"/>
      <c r="AHB126" s="2"/>
      <c r="AHD126" s="2"/>
      <c r="AHF126" s="2"/>
      <c r="AHH126" s="2"/>
      <c r="AHJ126" s="2"/>
      <c r="AHL126" s="2"/>
      <c r="AHN126" s="2"/>
      <c r="AHP126" s="2"/>
      <c r="AHR126" s="2"/>
      <c r="AHT126" s="2"/>
      <c r="AHV126" s="2"/>
      <c r="AHX126" s="2"/>
      <c r="AHZ126" s="2"/>
      <c r="AIB126" s="2"/>
      <c r="AID126" s="2"/>
      <c r="AIF126" s="2"/>
      <c r="AIH126" s="2"/>
      <c r="AIJ126" s="2"/>
      <c r="AIL126" s="2"/>
      <c r="AIN126" s="2"/>
      <c r="AIP126" s="2"/>
      <c r="AIR126" s="2"/>
      <c r="AIT126" s="2"/>
      <c r="AIV126" s="2"/>
      <c r="AIX126" s="2"/>
      <c r="AIZ126" s="2"/>
      <c r="AJB126" s="2"/>
      <c r="AJD126" s="2"/>
      <c r="AJF126" s="2"/>
      <c r="AJH126" s="2"/>
      <c r="AJJ126" s="2"/>
      <c r="AJL126" s="2"/>
      <c r="AJN126" s="2"/>
      <c r="AJP126" s="2"/>
      <c r="AJR126" s="2"/>
      <c r="AJT126" s="2"/>
      <c r="AJV126" s="2"/>
      <c r="AJX126" s="2"/>
      <c r="AJZ126" s="2"/>
      <c r="AKB126" s="2"/>
      <c r="AKD126" s="2"/>
      <c r="AKF126" s="2"/>
      <c r="AKH126" s="2"/>
      <c r="AKJ126" s="2"/>
      <c r="AKL126" s="2"/>
      <c r="AKN126" s="2"/>
      <c r="AKP126" s="2"/>
      <c r="AKR126" s="2"/>
      <c r="AKT126" s="2"/>
      <c r="AKV126" s="2"/>
      <c r="AKX126" s="2"/>
      <c r="AKZ126" s="2"/>
      <c r="ALB126" s="2"/>
      <c r="ALD126" s="2"/>
      <c r="ALF126" s="2"/>
      <c r="ALH126" s="2"/>
      <c r="ALJ126" s="2"/>
      <c r="ALL126" s="2"/>
      <c r="ALN126" s="2"/>
      <c r="ALP126" s="2"/>
      <c r="ALR126" s="2"/>
      <c r="ALT126" s="2"/>
      <c r="ALV126" s="2"/>
      <c r="ALX126" s="2"/>
      <c r="ALZ126" s="2"/>
      <c r="AMB126" s="2"/>
      <c r="AMD126" s="2"/>
      <c r="AMF126" s="2"/>
      <c r="AMH126" s="2"/>
      <c r="AMJ126" s="2"/>
      <c r="AML126" s="2"/>
      <c r="AMN126" s="2"/>
      <c r="AMP126" s="2"/>
      <c r="AMR126" s="2"/>
      <c r="AMT126" s="2"/>
      <c r="AMV126" s="2"/>
      <c r="AMX126" s="2"/>
      <c r="AMZ126" s="2"/>
      <c r="ANB126" s="2"/>
      <c r="AND126" s="2"/>
      <c r="ANF126" s="2"/>
      <c r="ANH126" s="2"/>
      <c r="ANJ126" s="2"/>
      <c r="ANL126" s="2"/>
      <c r="ANN126" s="2"/>
      <c r="ANP126" s="2"/>
      <c r="ANR126" s="2"/>
      <c r="ANT126" s="2"/>
      <c r="ANV126" s="2"/>
      <c r="ANX126" s="2"/>
      <c r="ANZ126" s="2"/>
      <c r="AOB126" s="2"/>
      <c r="AOD126" s="2"/>
      <c r="AOF126" s="2"/>
      <c r="AOH126" s="2"/>
      <c r="AOJ126" s="2"/>
      <c r="AOL126" s="2"/>
      <c r="AON126" s="2"/>
      <c r="AOP126" s="2"/>
      <c r="AOR126" s="2"/>
      <c r="AOT126" s="2"/>
      <c r="AOV126" s="2"/>
      <c r="AOX126" s="2"/>
      <c r="AOZ126" s="2"/>
      <c r="APB126" s="2"/>
      <c r="APD126" s="2"/>
      <c r="APF126" s="2"/>
      <c r="APH126" s="2"/>
      <c r="APJ126" s="2"/>
      <c r="APL126" s="2"/>
      <c r="APN126" s="2"/>
      <c r="APP126" s="2"/>
      <c r="APR126" s="2"/>
      <c r="APT126" s="2"/>
      <c r="APV126" s="2"/>
      <c r="APX126" s="2"/>
      <c r="APZ126" s="2"/>
      <c r="AQB126" s="2"/>
      <c r="AQD126" s="2"/>
      <c r="AQF126" s="2"/>
      <c r="AQH126" s="2"/>
      <c r="AQJ126" s="2"/>
      <c r="AQL126" s="2"/>
      <c r="AQN126" s="2"/>
      <c r="AQP126" s="2"/>
      <c r="AQR126" s="2"/>
      <c r="AQT126" s="2"/>
      <c r="AQV126" s="2"/>
      <c r="AQX126" s="2"/>
      <c r="AQZ126" s="2"/>
      <c r="ARB126" s="2"/>
      <c r="ARD126" s="2"/>
      <c r="ARF126" s="2"/>
      <c r="ARH126" s="2"/>
      <c r="ARJ126" s="2"/>
      <c r="ARL126" s="2"/>
      <c r="ARN126" s="2"/>
      <c r="ARP126" s="2"/>
      <c r="ARR126" s="2"/>
      <c r="ART126" s="2"/>
      <c r="ARV126" s="2"/>
      <c r="ARX126" s="2"/>
      <c r="ARZ126" s="2"/>
      <c r="ASB126" s="2"/>
      <c r="ASD126" s="2"/>
      <c r="ASF126" s="2"/>
      <c r="ASH126" s="2"/>
      <c r="ASJ126" s="2"/>
      <c r="ASL126" s="2"/>
      <c r="ASN126" s="2"/>
      <c r="ASP126" s="2"/>
      <c r="ASR126" s="2"/>
      <c r="AST126" s="2"/>
      <c r="ASV126" s="2"/>
      <c r="ASX126" s="2"/>
      <c r="ASZ126" s="2"/>
      <c r="ATB126" s="2"/>
      <c r="ATD126" s="2"/>
      <c r="ATF126" s="2"/>
      <c r="ATH126" s="2"/>
      <c r="ATJ126" s="2"/>
      <c r="ATL126" s="2"/>
      <c r="ATN126" s="2"/>
      <c r="ATP126" s="2"/>
      <c r="ATR126" s="2"/>
      <c r="ATT126" s="2"/>
      <c r="ATV126" s="2"/>
      <c r="ATX126" s="2"/>
      <c r="ATZ126" s="2"/>
      <c r="AUB126" s="2"/>
      <c r="AUD126" s="2"/>
      <c r="AUF126" s="2"/>
      <c r="AUH126" s="2"/>
      <c r="AUJ126" s="2"/>
      <c r="AUL126" s="2"/>
      <c r="AUN126" s="2"/>
      <c r="AUP126" s="2"/>
      <c r="AUR126" s="2"/>
      <c r="AUT126" s="2"/>
      <c r="AUV126" s="2"/>
      <c r="AUX126" s="2"/>
      <c r="AUZ126" s="2"/>
      <c r="AVB126" s="2"/>
      <c r="AVD126" s="2"/>
      <c r="AVF126" s="2"/>
      <c r="AVH126" s="2"/>
      <c r="AVJ126" s="2"/>
      <c r="AVL126" s="2"/>
      <c r="AVN126" s="2"/>
      <c r="AVP126" s="2"/>
      <c r="AVR126" s="2"/>
      <c r="AVT126" s="2"/>
      <c r="AVV126" s="2"/>
      <c r="AVX126" s="2"/>
      <c r="AVZ126" s="2"/>
      <c r="AWB126" s="2"/>
      <c r="AWD126" s="2"/>
      <c r="AWF126" s="2"/>
      <c r="AWH126" s="2"/>
      <c r="AWJ126" s="2"/>
      <c r="AWL126" s="2"/>
      <c r="AWN126" s="2"/>
      <c r="AWP126" s="2"/>
      <c r="AWR126" s="2"/>
      <c r="AWT126" s="2"/>
      <c r="AWV126" s="2"/>
      <c r="AWX126" s="2"/>
      <c r="AWZ126" s="2"/>
      <c r="AXB126" s="2"/>
      <c r="AXD126" s="2"/>
      <c r="AXF126" s="2"/>
      <c r="AXH126" s="2"/>
      <c r="AXJ126" s="2"/>
      <c r="AXL126" s="2"/>
      <c r="AXN126" s="2"/>
      <c r="AXP126" s="2"/>
      <c r="AXR126" s="2"/>
      <c r="AXT126" s="2"/>
      <c r="AXV126" s="2"/>
      <c r="AXX126" s="2"/>
      <c r="AXZ126" s="2"/>
      <c r="AYB126" s="2"/>
      <c r="AYD126" s="2"/>
      <c r="AYF126" s="2"/>
      <c r="AYH126" s="2"/>
      <c r="AYJ126" s="2"/>
      <c r="AYL126" s="2"/>
      <c r="AYN126" s="2"/>
      <c r="AYP126" s="2"/>
      <c r="AYR126" s="2"/>
      <c r="AYT126" s="2"/>
      <c r="AYV126" s="2"/>
      <c r="AYX126" s="2"/>
      <c r="AYZ126" s="2"/>
      <c r="AZB126" s="2"/>
      <c r="AZD126" s="2"/>
      <c r="AZF126" s="2"/>
      <c r="AZH126" s="2"/>
      <c r="AZJ126" s="2"/>
      <c r="AZL126" s="2"/>
      <c r="AZN126" s="2"/>
      <c r="AZP126" s="2"/>
      <c r="AZR126" s="2"/>
      <c r="AZT126" s="2"/>
      <c r="AZV126" s="2"/>
      <c r="AZX126" s="2"/>
      <c r="AZZ126" s="2"/>
      <c r="BAB126" s="2"/>
      <c r="BAD126" s="2"/>
      <c r="BAF126" s="2"/>
      <c r="BAH126" s="2"/>
      <c r="BAJ126" s="2"/>
      <c r="BAL126" s="2"/>
      <c r="BAN126" s="2"/>
      <c r="BAP126" s="2"/>
      <c r="BAR126" s="2"/>
      <c r="BAT126" s="2"/>
      <c r="BAV126" s="2"/>
      <c r="BAX126" s="2"/>
      <c r="BAZ126" s="2"/>
      <c r="BBB126" s="2"/>
      <c r="BBD126" s="2"/>
      <c r="BBF126" s="2"/>
      <c r="BBH126" s="2"/>
      <c r="BBJ126" s="2"/>
      <c r="BBL126" s="2"/>
      <c r="BBN126" s="2"/>
      <c r="BBP126" s="2"/>
      <c r="BBR126" s="2"/>
      <c r="BBT126" s="2"/>
      <c r="BBV126" s="2"/>
      <c r="BBX126" s="2"/>
      <c r="BBZ126" s="2"/>
      <c r="BCB126" s="2"/>
      <c r="BCD126" s="2"/>
      <c r="BCF126" s="2"/>
      <c r="BCH126" s="2"/>
      <c r="BCJ126" s="2"/>
      <c r="BCL126" s="2"/>
      <c r="BCN126" s="2"/>
      <c r="BCP126" s="2"/>
      <c r="BCR126" s="2"/>
      <c r="BCT126" s="2"/>
      <c r="BCV126" s="2"/>
      <c r="BCX126" s="2"/>
      <c r="BCZ126" s="2"/>
      <c r="BDB126" s="2"/>
      <c r="BDD126" s="2"/>
      <c r="BDF126" s="2"/>
      <c r="BDH126" s="2"/>
      <c r="BDJ126" s="2"/>
      <c r="BDL126" s="2"/>
      <c r="BDN126" s="2"/>
      <c r="BDP126" s="2"/>
      <c r="BDR126" s="2"/>
      <c r="BDT126" s="2"/>
      <c r="BDV126" s="2"/>
      <c r="BDX126" s="2"/>
      <c r="BDZ126" s="2"/>
      <c r="BEB126" s="2"/>
      <c r="BED126" s="2"/>
      <c r="BEF126" s="2"/>
      <c r="BEH126" s="2"/>
      <c r="BEJ126" s="2"/>
      <c r="BEL126" s="2"/>
      <c r="BEN126" s="2"/>
      <c r="BEP126" s="2"/>
      <c r="BER126" s="2"/>
      <c r="BET126" s="2"/>
      <c r="BEV126" s="2"/>
      <c r="BEX126" s="2"/>
      <c r="BEZ126" s="2"/>
      <c r="BFB126" s="2"/>
      <c r="BFD126" s="2"/>
      <c r="BFF126" s="2"/>
      <c r="BFH126" s="2"/>
      <c r="BFJ126" s="2"/>
      <c r="BFL126" s="2"/>
      <c r="BFN126" s="2"/>
      <c r="BFP126" s="2"/>
      <c r="BFR126" s="2"/>
      <c r="BFT126" s="2"/>
      <c r="BFV126" s="2"/>
      <c r="BFX126" s="2"/>
      <c r="BFZ126" s="2"/>
      <c r="BGB126" s="2"/>
      <c r="BGD126" s="2"/>
      <c r="BGF126" s="2"/>
      <c r="BGH126" s="2"/>
      <c r="BGJ126" s="2"/>
      <c r="BGL126" s="2"/>
      <c r="BGN126" s="2"/>
      <c r="BGP126" s="2"/>
      <c r="BGR126" s="2"/>
      <c r="BGT126" s="2"/>
      <c r="BGV126" s="2"/>
      <c r="BGX126" s="2"/>
      <c r="BGZ126" s="2"/>
      <c r="BHB126" s="2"/>
      <c r="BHD126" s="2"/>
      <c r="BHF126" s="2"/>
      <c r="BHH126" s="2"/>
      <c r="BHJ126" s="2"/>
      <c r="BHL126" s="2"/>
      <c r="BHN126" s="2"/>
      <c r="BHP126" s="2"/>
      <c r="BHR126" s="2"/>
      <c r="BHT126" s="2"/>
      <c r="BHV126" s="2"/>
      <c r="BHX126" s="2"/>
      <c r="BHZ126" s="2"/>
      <c r="BIB126" s="2"/>
      <c r="BID126" s="2"/>
      <c r="BIF126" s="2"/>
      <c r="BIH126" s="2"/>
      <c r="BIJ126" s="2"/>
      <c r="BIL126" s="2"/>
      <c r="BIN126" s="2"/>
      <c r="BIP126" s="2"/>
      <c r="BIR126" s="2"/>
      <c r="BIT126" s="2"/>
      <c r="BIV126" s="2"/>
      <c r="BIX126" s="2"/>
      <c r="BIZ126" s="2"/>
      <c r="BJB126" s="2"/>
      <c r="BJD126" s="2"/>
      <c r="BJF126" s="2"/>
      <c r="BJH126" s="2"/>
      <c r="BJJ126" s="2"/>
      <c r="BJL126" s="2"/>
      <c r="BJN126" s="2"/>
      <c r="BJP126" s="2"/>
      <c r="BJR126" s="2"/>
      <c r="BJT126" s="2"/>
      <c r="BJV126" s="2"/>
      <c r="BJX126" s="2"/>
      <c r="BJZ126" s="2"/>
      <c r="BKB126" s="2"/>
      <c r="BKD126" s="2"/>
      <c r="BKF126" s="2"/>
      <c r="BKH126" s="2"/>
      <c r="BKJ126" s="2"/>
      <c r="BKL126" s="2"/>
      <c r="BKN126" s="2"/>
      <c r="BKP126" s="2"/>
      <c r="BKR126" s="2"/>
      <c r="BKT126" s="2"/>
      <c r="BKV126" s="2"/>
      <c r="BKX126" s="2"/>
      <c r="BKZ126" s="2"/>
      <c r="BLB126" s="2"/>
      <c r="BLD126" s="2"/>
      <c r="BLF126" s="2"/>
      <c r="BLH126" s="2"/>
      <c r="BLJ126" s="2"/>
      <c r="BLL126" s="2"/>
      <c r="BLN126" s="2"/>
      <c r="BLP126" s="2"/>
      <c r="BLR126" s="2"/>
      <c r="BLT126" s="2"/>
      <c r="BLV126" s="2"/>
      <c r="BLX126" s="2"/>
      <c r="BLZ126" s="2"/>
      <c r="BMB126" s="2"/>
      <c r="BMD126" s="2"/>
      <c r="BMF126" s="2"/>
      <c r="BMH126" s="2"/>
      <c r="BMJ126" s="2"/>
      <c r="BML126" s="2"/>
      <c r="BMN126" s="2"/>
      <c r="BMP126" s="2"/>
      <c r="BMR126" s="2"/>
      <c r="BMT126" s="2"/>
      <c r="BMV126" s="2"/>
      <c r="BMX126" s="2"/>
      <c r="BMZ126" s="2"/>
      <c r="BNB126" s="2"/>
      <c r="BND126" s="2"/>
      <c r="BNF126" s="2"/>
      <c r="BNH126" s="2"/>
      <c r="BNJ126" s="2"/>
      <c r="BNL126" s="2"/>
      <c r="BNN126" s="2"/>
      <c r="BNP126" s="2"/>
      <c r="BNR126" s="2"/>
      <c r="BNT126" s="2"/>
      <c r="BNV126" s="2"/>
      <c r="BNX126" s="2"/>
      <c r="BNZ126" s="2"/>
      <c r="BOB126" s="2"/>
      <c r="BOD126" s="2"/>
      <c r="BOF126" s="2"/>
      <c r="BOH126" s="2"/>
      <c r="BOJ126" s="2"/>
      <c r="BOL126" s="2"/>
      <c r="BON126" s="2"/>
      <c r="BOP126" s="2"/>
      <c r="BOR126" s="2"/>
      <c r="BOT126" s="2"/>
      <c r="BOV126" s="2"/>
      <c r="BOX126" s="2"/>
      <c r="BOZ126" s="2"/>
      <c r="BPB126" s="2"/>
      <c r="BPD126" s="2"/>
      <c r="BPF126" s="2"/>
      <c r="BPH126" s="2"/>
      <c r="BPJ126" s="2"/>
      <c r="BPL126" s="2"/>
      <c r="BPN126" s="2"/>
      <c r="BPP126" s="2"/>
      <c r="BPR126" s="2"/>
      <c r="BPT126" s="2"/>
      <c r="BPV126" s="2"/>
      <c r="BPX126" s="2"/>
      <c r="BPZ126" s="2"/>
      <c r="BQB126" s="2"/>
      <c r="BQD126" s="2"/>
      <c r="BQF126" s="2"/>
      <c r="BQH126" s="2"/>
      <c r="BQJ126" s="2"/>
      <c r="BQL126" s="2"/>
      <c r="BQN126" s="2"/>
      <c r="BQP126" s="2"/>
      <c r="BQR126" s="2"/>
      <c r="BQT126" s="2"/>
      <c r="BQV126" s="2"/>
      <c r="BQX126" s="2"/>
      <c r="BQZ126" s="2"/>
      <c r="BRB126" s="2"/>
      <c r="BRD126" s="2"/>
      <c r="BRF126" s="2"/>
      <c r="BRH126" s="2"/>
      <c r="BRJ126" s="2"/>
      <c r="BRL126" s="2"/>
      <c r="BRN126" s="2"/>
      <c r="BRP126" s="2"/>
      <c r="BRR126" s="2"/>
      <c r="BRT126" s="2"/>
      <c r="BRV126" s="2"/>
      <c r="BRX126" s="2"/>
      <c r="BRZ126" s="2"/>
      <c r="BSB126" s="2"/>
      <c r="BSD126" s="2"/>
      <c r="BSF126" s="2"/>
      <c r="BSH126" s="2"/>
      <c r="BSJ126" s="2"/>
      <c r="BSL126" s="2"/>
      <c r="BSN126" s="2"/>
      <c r="BSP126" s="2"/>
      <c r="BSR126" s="2"/>
      <c r="BST126" s="2"/>
      <c r="BSV126" s="2"/>
      <c r="BSX126" s="2"/>
      <c r="BSZ126" s="2"/>
      <c r="BTB126" s="2"/>
      <c r="BTD126" s="2"/>
      <c r="BTF126" s="2"/>
      <c r="BTH126" s="2"/>
      <c r="BTJ126" s="2"/>
      <c r="BTL126" s="2"/>
      <c r="BTN126" s="2"/>
      <c r="BTP126" s="2"/>
      <c r="BTR126" s="2"/>
      <c r="BTT126" s="2"/>
      <c r="BTV126" s="2"/>
      <c r="BTX126" s="2"/>
      <c r="BTZ126" s="2"/>
      <c r="BUB126" s="2"/>
      <c r="BUD126" s="2"/>
      <c r="BUF126" s="2"/>
      <c r="BUH126" s="2"/>
      <c r="BUJ126" s="2"/>
      <c r="BUL126" s="2"/>
      <c r="BUN126" s="2"/>
      <c r="BUP126" s="2"/>
      <c r="BUR126" s="2"/>
      <c r="BUT126" s="2"/>
      <c r="BUV126" s="2"/>
      <c r="BUX126" s="2"/>
      <c r="BUZ126" s="2"/>
      <c r="BVB126" s="2"/>
      <c r="BVD126" s="2"/>
      <c r="BVF126" s="2"/>
      <c r="BVH126" s="2"/>
      <c r="BVJ126" s="2"/>
      <c r="BVL126" s="2"/>
      <c r="BVN126" s="2"/>
      <c r="BVP126" s="2"/>
      <c r="BVR126" s="2"/>
      <c r="BVT126" s="2"/>
      <c r="BVV126" s="2"/>
      <c r="BVX126" s="2"/>
      <c r="BVZ126" s="2"/>
      <c r="BWB126" s="2"/>
      <c r="BWD126" s="2"/>
      <c r="BWF126" s="2"/>
      <c r="BWH126" s="2"/>
      <c r="BWJ126" s="2"/>
      <c r="BWL126" s="2"/>
      <c r="BWN126" s="2"/>
      <c r="BWP126" s="2"/>
      <c r="BWR126" s="2"/>
      <c r="BWT126" s="2"/>
      <c r="BWV126" s="2"/>
      <c r="BWX126" s="2"/>
      <c r="BWZ126" s="2"/>
      <c r="BXB126" s="2"/>
      <c r="BXD126" s="2"/>
      <c r="BXF126" s="2"/>
      <c r="BXH126" s="2"/>
      <c r="BXJ126" s="2"/>
      <c r="BXL126" s="2"/>
      <c r="BXN126" s="2"/>
      <c r="BXP126" s="2"/>
      <c r="BXR126" s="2"/>
      <c r="BXT126" s="2"/>
      <c r="BXV126" s="2"/>
      <c r="BXX126" s="2"/>
      <c r="BXZ126" s="2"/>
      <c r="BYB126" s="2"/>
      <c r="BYD126" s="2"/>
      <c r="BYF126" s="2"/>
      <c r="BYH126" s="2"/>
      <c r="BYJ126" s="2"/>
      <c r="BYL126" s="2"/>
      <c r="BYN126" s="2"/>
      <c r="BYP126" s="2"/>
      <c r="BYR126" s="2"/>
      <c r="BYT126" s="2"/>
      <c r="BYV126" s="2"/>
      <c r="BYX126" s="2"/>
      <c r="BYZ126" s="2"/>
      <c r="BZB126" s="2"/>
      <c r="BZD126" s="2"/>
      <c r="BZF126" s="2"/>
      <c r="BZH126" s="2"/>
      <c r="BZJ126" s="2"/>
      <c r="BZL126" s="2"/>
      <c r="BZN126" s="2"/>
      <c r="BZP126" s="2"/>
      <c r="BZR126" s="2"/>
      <c r="BZT126" s="2"/>
      <c r="BZV126" s="2"/>
      <c r="BZX126" s="2"/>
      <c r="BZZ126" s="2"/>
      <c r="CAB126" s="2"/>
      <c r="CAD126" s="2"/>
      <c r="CAF126" s="2"/>
      <c r="CAH126" s="2"/>
      <c r="CAJ126" s="2"/>
      <c r="CAL126" s="2"/>
      <c r="CAN126" s="2"/>
      <c r="CAP126" s="2"/>
      <c r="CAR126" s="2"/>
      <c r="CAT126" s="2"/>
      <c r="CAV126" s="2"/>
      <c r="CAX126" s="2"/>
      <c r="CAZ126" s="2"/>
      <c r="CBB126" s="2"/>
      <c r="CBD126" s="2"/>
      <c r="CBF126" s="2"/>
      <c r="CBH126" s="2"/>
      <c r="CBJ126" s="2"/>
      <c r="CBL126" s="2"/>
      <c r="CBN126" s="2"/>
      <c r="CBP126" s="2"/>
      <c r="CBR126" s="2"/>
      <c r="CBT126" s="2"/>
      <c r="CBV126" s="2"/>
      <c r="CBX126" s="2"/>
      <c r="CBZ126" s="2"/>
      <c r="CCB126" s="2"/>
      <c r="CCD126" s="2"/>
      <c r="CCF126" s="2"/>
      <c r="CCH126" s="2"/>
      <c r="CCJ126" s="2"/>
      <c r="CCL126" s="2"/>
      <c r="CCN126" s="2"/>
      <c r="CCP126" s="2"/>
      <c r="CCR126" s="2"/>
      <c r="CCT126" s="2"/>
      <c r="CCV126" s="2"/>
      <c r="CCX126" s="2"/>
      <c r="CCZ126" s="2"/>
      <c r="CDB126" s="2"/>
      <c r="CDD126" s="2"/>
      <c r="CDF126" s="2"/>
      <c r="CDH126" s="2"/>
      <c r="CDJ126" s="2"/>
      <c r="CDL126" s="2"/>
      <c r="CDN126" s="2"/>
      <c r="CDP126" s="2"/>
      <c r="CDR126" s="2"/>
      <c r="CDT126" s="2"/>
      <c r="CDV126" s="2"/>
      <c r="CDX126" s="2"/>
      <c r="CDZ126" s="2"/>
      <c r="CEB126" s="2"/>
      <c r="CED126" s="2"/>
      <c r="CEF126" s="2"/>
      <c r="CEH126" s="2"/>
      <c r="CEJ126" s="2"/>
      <c r="CEL126" s="2"/>
      <c r="CEN126" s="2"/>
      <c r="CEP126" s="2"/>
      <c r="CER126" s="2"/>
      <c r="CET126" s="2"/>
      <c r="CEV126" s="2"/>
      <c r="CEX126" s="2"/>
      <c r="CEZ126" s="2"/>
      <c r="CFB126" s="2"/>
      <c r="CFD126" s="2"/>
      <c r="CFF126" s="2"/>
      <c r="CFH126" s="2"/>
      <c r="CFJ126" s="2"/>
      <c r="CFL126" s="2"/>
      <c r="CFN126" s="2"/>
      <c r="CFP126" s="2"/>
      <c r="CFR126" s="2"/>
      <c r="CFT126" s="2"/>
      <c r="CFV126" s="2"/>
      <c r="CFX126" s="2"/>
      <c r="CFZ126" s="2"/>
      <c r="CGB126" s="2"/>
      <c r="CGD126" s="2"/>
      <c r="CGF126" s="2"/>
      <c r="CGH126" s="2"/>
      <c r="CGJ126" s="2"/>
      <c r="CGL126" s="2"/>
      <c r="CGN126" s="2"/>
      <c r="CGP126" s="2"/>
      <c r="CGR126" s="2"/>
      <c r="CGT126" s="2"/>
      <c r="CGV126" s="2"/>
      <c r="CGX126" s="2"/>
      <c r="CGZ126" s="2"/>
      <c r="CHB126" s="2"/>
      <c r="CHD126" s="2"/>
      <c r="CHF126" s="2"/>
      <c r="CHH126" s="2"/>
      <c r="CHJ126" s="2"/>
      <c r="CHL126" s="2"/>
      <c r="CHN126" s="2"/>
      <c r="CHP126" s="2"/>
      <c r="CHR126" s="2"/>
      <c r="CHT126" s="2"/>
      <c r="CHV126" s="2"/>
      <c r="CHX126" s="2"/>
      <c r="CHZ126" s="2"/>
      <c r="CIB126" s="2"/>
      <c r="CID126" s="2"/>
      <c r="CIF126" s="2"/>
      <c r="CIH126" s="2"/>
      <c r="CIJ126" s="2"/>
      <c r="CIL126" s="2"/>
      <c r="CIN126" s="2"/>
      <c r="CIP126" s="2"/>
      <c r="CIR126" s="2"/>
      <c r="CIT126" s="2"/>
      <c r="CIV126" s="2"/>
      <c r="CIX126" s="2"/>
      <c r="CIZ126" s="2"/>
      <c r="CJB126" s="2"/>
      <c r="CJD126" s="2"/>
      <c r="CJF126" s="2"/>
      <c r="CJH126" s="2"/>
      <c r="CJJ126" s="2"/>
      <c r="CJL126" s="2"/>
      <c r="CJN126" s="2"/>
      <c r="CJP126" s="2"/>
      <c r="CJR126" s="2"/>
      <c r="CJT126" s="2"/>
      <c r="CJV126" s="2"/>
      <c r="CJX126" s="2"/>
      <c r="CJZ126" s="2"/>
      <c r="CKB126" s="2"/>
      <c r="CKD126" s="2"/>
      <c r="CKF126" s="2"/>
      <c r="CKH126" s="2"/>
      <c r="CKJ126" s="2"/>
      <c r="CKL126" s="2"/>
      <c r="CKN126" s="2"/>
      <c r="CKP126" s="2"/>
      <c r="CKR126" s="2"/>
      <c r="CKT126" s="2"/>
      <c r="CKV126" s="2"/>
      <c r="CKX126" s="2"/>
      <c r="CKZ126" s="2"/>
      <c r="CLB126" s="2"/>
      <c r="CLD126" s="2"/>
      <c r="CLF126" s="2"/>
      <c r="CLH126" s="2"/>
      <c r="CLJ126" s="2"/>
      <c r="CLL126" s="2"/>
      <c r="CLN126" s="2"/>
      <c r="CLP126" s="2"/>
      <c r="CLR126" s="2"/>
      <c r="CLT126" s="2"/>
      <c r="CLV126" s="2"/>
      <c r="CLX126" s="2"/>
      <c r="CLZ126" s="2"/>
      <c r="CMB126" s="2"/>
      <c r="CMD126" s="2"/>
      <c r="CMF126" s="2"/>
      <c r="CMH126" s="2"/>
      <c r="CMJ126" s="2"/>
      <c r="CML126" s="2"/>
      <c r="CMN126" s="2"/>
      <c r="CMP126" s="2"/>
      <c r="CMR126" s="2"/>
      <c r="CMT126" s="2"/>
      <c r="CMV126" s="2"/>
      <c r="CMX126" s="2"/>
      <c r="CMZ126" s="2"/>
      <c r="CNB126" s="2"/>
      <c r="CND126" s="2"/>
      <c r="CNF126" s="2"/>
      <c r="CNH126" s="2"/>
      <c r="CNJ126" s="2"/>
      <c r="CNL126" s="2"/>
      <c r="CNN126" s="2"/>
      <c r="CNP126" s="2"/>
      <c r="CNR126" s="2"/>
      <c r="CNT126" s="2"/>
      <c r="CNV126" s="2"/>
      <c r="CNX126" s="2"/>
      <c r="CNZ126" s="2"/>
      <c r="COB126" s="2"/>
      <c r="COD126" s="2"/>
      <c r="COF126" s="2"/>
      <c r="COH126" s="2"/>
      <c r="COJ126" s="2"/>
      <c r="COL126" s="2"/>
      <c r="CON126" s="2"/>
      <c r="COP126" s="2"/>
      <c r="COR126" s="2"/>
      <c r="COT126" s="2"/>
      <c r="COV126" s="2"/>
      <c r="COX126" s="2"/>
      <c r="COZ126" s="2"/>
      <c r="CPB126" s="2"/>
      <c r="CPD126" s="2"/>
      <c r="CPF126" s="2"/>
      <c r="CPH126" s="2"/>
      <c r="CPJ126" s="2"/>
      <c r="CPL126" s="2"/>
      <c r="CPN126" s="2"/>
      <c r="CPP126" s="2"/>
      <c r="CPR126" s="2"/>
      <c r="CPT126" s="2"/>
      <c r="CPV126" s="2"/>
      <c r="CPX126" s="2"/>
      <c r="CPZ126" s="2"/>
      <c r="CQB126" s="2"/>
      <c r="CQD126" s="2"/>
      <c r="CQF126" s="2"/>
      <c r="CQH126" s="2"/>
      <c r="CQJ126" s="2"/>
      <c r="CQL126" s="2"/>
      <c r="CQN126" s="2"/>
      <c r="CQP126" s="2"/>
      <c r="CQR126" s="2"/>
      <c r="CQT126" s="2"/>
      <c r="CQV126" s="2"/>
      <c r="CQX126" s="2"/>
      <c r="CQZ126" s="2"/>
      <c r="CRB126" s="2"/>
      <c r="CRD126" s="2"/>
      <c r="CRF126" s="2"/>
      <c r="CRH126" s="2"/>
      <c r="CRJ126" s="2"/>
      <c r="CRL126" s="2"/>
      <c r="CRN126" s="2"/>
      <c r="CRP126" s="2"/>
      <c r="CRR126" s="2"/>
      <c r="CRT126" s="2"/>
      <c r="CRV126" s="2"/>
      <c r="CRX126" s="2"/>
      <c r="CRZ126" s="2"/>
      <c r="CSB126" s="2"/>
      <c r="CSD126" s="2"/>
      <c r="CSF126" s="2"/>
      <c r="CSH126" s="2"/>
      <c r="CSJ126" s="2"/>
      <c r="CSL126" s="2"/>
      <c r="CSN126" s="2"/>
      <c r="CSP126" s="2"/>
      <c r="CSR126" s="2"/>
      <c r="CST126" s="2"/>
      <c r="CSV126" s="2"/>
      <c r="CSX126" s="2"/>
      <c r="CSZ126" s="2"/>
      <c r="CTB126" s="2"/>
      <c r="CTD126" s="2"/>
      <c r="CTF126" s="2"/>
      <c r="CTH126" s="2"/>
      <c r="CTJ126" s="2"/>
      <c r="CTL126" s="2"/>
      <c r="CTN126" s="2"/>
      <c r="CTP126" s="2"/>
      <c r="CTR126" s="2"/>
      <c r="CTT126" s="2"/>
      <c r="CTV126" s="2"/>
      <c r="CTX126" s="2"/>
      <c r="CTZ126" s="2"/>
      <c r="CUB126" s="2"/>
      <c r="CUD126" s="2"/>
      <c r="CUF126" s="2"/>
      <c r="CUH126" s="2"/>
      <c r="CUJ126" s="2"/>
      <c r="CUL126" s="2"/>
      <c r="CUN126" s="2"/>
      <c r="CUP126" s="2"/>
      <c r="CUR126" s="2"/>
      <c r="CUT126" s="2"/>
      <c r="CUV126" s="2"/>
      <c r="CUX126" s="2"/>
      <c r="CUZ126" s="2"/>
      <c r="CVB126" s="2"/>
      <c r="CVD126" s="2"/>
      <c r="CVF126" s="2"/>
      <c r="CVH126" s="2"/>
      <c r="CVJ126" s="2"/>
      <c r="CVL126" s="2"/>
      <c r="CVN126" s="2"/>
      <c r="CVP126" s="2"/>
      <c r="CVR126" s="2"/>
      <c r="CVT126" s="2"/>
      <c r="CVV126" s="2"/>
      <c r="CVX126" s="2"/>
      <c r="CVZ126" s="2"/>
      <c r="CWB126" s="2"/>
      <c r="CWD126" s="2"/>
      <c r="CWF126" s="2"/>
      <c r="CWH126" s="2"/>
      <c r="CWJ126" s="2"/>
      <c r="CWL126" s="2"/>
      <c r="CWN126" s="2"/>
      <c r="CWP126" s="2"/>
      <c r="CWR126" s="2"/>
      <c r="CWT126" s="2"/>
      <c r="CWV126" s="2"/>
      <c r="CWX126" s="2"/>
      <c r="CWZ126" s="2"/>
      <c r="CXB126" s="2"/>
      <c r="CXD126" s="2"/>
      <c r="CXF126" s="2"/>
      <c r="CXH126" s="2"/>
      <c r="CXJ126" s="2"/>
      <c r="CXL126" s="2"/>
      <c r="CXN126" s="2"/>
      <c r="CXP126" s="2"/>
      <c r="CXR126" s="2"/>
      <c r="CXT126" s="2"/>
      <c r="CXV126" s="2"/>
      <c r="CXX126" s="2"/>
      <c r="CXZ126" s="2"/>
      <c r="CYB126" s="2"/>
      <c r="CYD126" s="2"/>
      <c r="CYF126" s="2"/>
      <c r="CYH126" s="2"/>
      <c r="CYJ126" s="2"/>
      <c r="CYL126" s="2"/>
      <c r="CYN126" s="2"/>
      <c r="CYP126" s="2"/>
      <c r="CYR126" s="2"/>
      <c r="CYT126" s="2"/>
      <c r="CYV126" s="2"/>
      <c r="CYX126" s="2"/>
      <c r="CYZ126" s="2"/>
      <c r="CZB126" s="2"/>
      <c r="CZD126" s="2"/>
      <c r="CZF126" s="2"/>
      <c r="CZH126" s="2"/>
      <c r="CZJ126" s="2"/>
      <c r="CZL126" s="2"/>
      <c r="CZN126" s="2"/>
      <c r="CZP126" s="2"/>
      <c r="CZR126" s="2"/>
      <c r="CZT126" s="2"/>
      <c r="CZV126" s="2"/>
      <c r="CZX126" s="2"/>
      <c r="CZZ126" s="2"/>
      <c r="DAB126" s="2"/>
      <c r="DAD126" s="2"/>
      <c r="DAF126" s="2"/>
      <c r="DAH126" s="2"/>
      <c r="DAJ126" s="2"/>
      <c r="DAL126" s="2"/>
      <c r="DAN126" s="2"/>
      <c r="DAP126" s="2"/>
      <c r="DAR126" s="2"/>
      <c r="DAT126" s="2"/>
      <c r="DAV126" s="2"/>
      <c r="DAX126" s="2"/>
      <c r="DAZ126" s="2"/>
      <c r="DBB126" s="2"/>
      <c r="DBD126" s="2"/>
      <c r="DBF126" s="2"/>
      <c r="DBH126" s="2"/>
      <c r="DBJ126" s="2"/>
      <c r="DBL126" s="2"/>
      <c r="DBN126" s="2"/>
      <c r="DBP126" s="2"/>
      <c r="DBR126" s="2"/>
      <c r="DBT126" s="2"/>
      <c r="DBV126" s="2"/>
      <c r="DBX126" s="2"/>
      <c r="DBZ126" s="2"/>
      <c r="DCB126" s="2"/>
      <c r="DCD126" s="2"/>
      <c r="DCF126" s="2"/>
      <c r="DCH126" s="2"/>
      <c r="DCJ126" s="2"/>
      <c r="DCL126" s="2"/>
      <c r="DCN126" s="2"/>
      <c r="DCP126" s="2"/>
      <c r="DCR126" s="2"/>
      <c r="DCT126" s="2"/>
      <c r="DCV126" s="2"/>
      <c r="DCX126" s="2"/>
      <c r="DCZ126" s="2"/>
      <c r="DDB126" s="2"/>
      <c r="DDD126" s="2"/>
      <c r="DDF126" s="2"/>
      <c r="DDH126" s="2"/>
      <c r="DDJ126" s="2"/>
      <c r="DDL126" s="2"/>
      <c r="DDN126" s="2"/>
      <c r="DDP126" s="2"/>
      <c r="DDR126" s="2"/>
      <c r="DDT126" s="2"/>
      <c r="DDV126" s="2"/>
      <c r="DDX126" s="2"/>
      <c r="DDZ126" s="2"/>
      <c r="DEB126" s="2"/>
      <c r="DED126" s="2"/>
      <c r="DEF126" s="2"/>
      <c r="DEH126" s="2"/>
      <c r="DEJ126" s="2"/>
      <c r="DEL126" s="2"/>
      <c r="DEN126" s="2"/>
      <c r="DEP126" s="2"/>
      <c r="DER126" s="2"/>
      <c r="DET126" s="2"/>
      <c r="DEV126" s="2"/>
      <c r="DEX126" s="2"/>
      <c r="DEZ126" s="2"/>
      <c r="DFB126" s="2"/>
      <c r="DFD126" s="2"/>
      <c r="DFF126" s="2"/>
      <c r="DFH126" s="2"/>
      <c r="DFJ126" s="2"/>
      <c r="DFL126" s="2"/>
      <c r="DFN126" s="2"/>
      <c r="DFP126" s="2"/>
      <c r="DFR126" s="2"/>
      <c r="DFT126" s="2"/>
      <c r="DFV126" s="2"/>
      <c r="DFX126" s="2"/>
      <c r="DFZ126" s="2"/>
      <c r="DGB126" s="2"/>
      <c r="DGD126" s="2"/>
      <c r="DGF126" s="2"/>
      <c r="DGH126" s="2"/>
      <c r="DGJ126" s="2"/>
      <c r="DGL126" s="2"/>
      <c r="DGN126" s="2"/>
      <c r="DGP126" s="2"/>
      <c r="DGR126" s="2"/>
      <c r="DGT126" s="2"/>
      <c r="DGV126" s="2"/>
      <c r="DGX126" s="2"/>
      <c r="DGZ126" s="2"/>
      <c r="DHB126" s="2"/>
      <c r="DHD126" s="2"/>
      <c r="DHF126" s="2"/>
      <c r="DHH126" s="2"/>
      <c r="DHJ126" s="2"/>
      <c r="DHL126" s="2"/>
      <c r="DHN126" s="2"/>
      <c r="DHP126" s="2"/>
      <c r="DHR126" s="2"/>
      <c r="DHT126" s="2"/>
      <c r="DHV126" s="2"/>
      <c r="DHX126" s="2"/>
      <c r="DHZ126" s="2"/>
      <c r="DIB126" s="2"/>
      <c r="DID126" s="2"/>
      <c r="DIF126" s="2"/>
      <c r="DIH126" s="2"/>
      <c r="DIJ126" s="2"/>
      <c r="DIL126" s="2"/>
      <c r="DIN126" s="2"/>
      <c r="DIP126" s="2"/>
      <c r="DIR126" s="2"/>
      <c r="DIT126" s="2"/>
      <c r="DIV126" s="2"/>
      <c r="DIX126" s="2"/>
      <c r="DIZ126" s="2"/>
      <c r="DJB126" s="2"/>
      <c r="DJD126" s="2"/>
      <c r="DJF126" s="2"/>
      <c r="DJH126" s="2"/>
      <c r="DJJ126" s="2"/>
      <c r="DJL126" s="2"/>
      <c r="DJN126" s="2"/>
      <c r="DJP126" s="2"/>
      <c r="DJR126" s="2"/>
      <c r="DJT126" s="2"/>
      <c r="DJV126" s="2"/>
      <c r="DJX126" s="2"/>
      <c r="DJZ126" s="2"/>
      <c r="DKB126" s="2"/>
      <c r="DKD126" s="2"/>
      <c r="DKF126" s="2"/>
      <c r="DKH126" s="2"/>
      <c r="DKJ126" s="2"/>
      <c r="DKL126" s="2"/>
      <c r="DKN126" s="2"/>
      <c r="DKP126" s="2"/>
      <c r="DKR126" s="2"/>
      <c r="DKT126" s="2"/>
      <c r="DKV126" s="2"/>
      <c r="DKX126" s="2"/>
      <c r="DKZ126" s="2"/>
      <c r="DLB126" s="2"/>
      <c r="DLD126" s="2"/>
      <c r="DLF126" s="2"/>
      <c r="DLH126" s="2"/>
      <c r="DLJ126" s="2"/>
      <c r="DLL126" s="2"/>
      <c r="DLN126" s="2"/>
      <c r="DLP126" s="2"/>
      <c r="DLR126" s="2"/>
      <c r="DLT126" s="2"/>
      <c r="DLV126" s="2"/>
      <c r="DLX126" s="2"/>
      <c r="DLZ126" s="2"/>
      <c r="DMB126" s="2"/>
      <c r="DMD126" s="2"/>
      <c r="DMF126" s="2"/>
      <c r="DMH126" s="2"/>
      <c r="DMJ126" s="2"/>
      <c r="DML126" s="2"/>
      <c r="DMN126" s="2"/>
      <c r="DMP126" s="2"/>
      <c r="DMR126" s="2"/>
      <c r="DMT126" s="2"/>
      <c r="DMV126" s="2"/>
      <c r="DMX126" s="2"/>
      <c r="DMZ126" s="2"/>
      <c r="DNB126" s="2"/>
      <c r="DND126" s="2"/>
      <c r="DNF126" s="2"/>
      <c r="DNH126" s="2"/>
      <c r="DNJ126" s="2"/>
      <c r="DNL126" s="2"/>
      <c r="DNN126" s="2"/>
      <c r="DNP126" s="2"/>
      <c r="DNR126" s="2"/>
      <c r="DNT126" s="2"/>
      <c r="DNV126" s="2"/>
      <c r="DNX126" s="2"/>
      <c r="DNZ126" s="2"/>
      <c r="DOB126" s="2"/>
      <c r="DOD126" s="2"/>
      <c r="DOF126" s="2"/>
      <c r="DOH126" s="2"/>
      <c r="DOJ126" s="2"/>
      <c r="DOL126" s="2"/>
      <c r="DON126" s="2"/>
      <c r="DOP126" s="2"/>
      <c r="DOR126" s="2"/>
      <c r="DOT126" s="2"/>
      <c r="DOV126" s="2"/>
      <c r="DOX126" s="2"/>
      <c r="DOZ126" s="2"/>
      <c r="DPB126" s="2"/>
      <c r="DPD126" s="2"/>
      <c r="DPF126" s="2"/>
      <c r="DPH126" s="2"/>
      <c r="DPJ126" s="2"/>
      <c r="DPL126" s="2"/>
      <c r="DPN126" s="2"/>
      <c r="DPP126" s="2"/>
      <c r="DPR126" s="2"/>
      <c r="DPT126" s="2"/>
      <c r="DPV126" s="2"/>
      <c r="DPX126" s="2"/>
      <c r="DPZ126" s="2"/>
      <c r="DQB126" s="2"/>
      <c r="DQD126" s="2"/>
      <c r="DQF126" s="2"/>
      <c r="DQH126" s="2"/>
      <c r="DQJ126" s="2"/>
      <c r="DQL126" s="2"/>
      <c r="DQN126" s="2"/>
      <c r="DQP126" s="2"/>
      <c r="DQR126" s="2"/>
      <c r="DQT126" s="2"/>
      <c r="DQV126" s="2"/>
      <c r="DQX126" s="2"/>
      <c r="DQZ126" s="2"/>
      <c r="DRB126" s="2"/>
      <c r="DRD126" s="2"/>
      <c r="DRF126" s="2"/>
      <c r="DRH126" s="2"/>
      <c r="DRJ126" s="2"/>
      <c r="DRL126" s="2"/>
      <c r="DRN126" s="2"/>
      <c r="DRP126" s="2"/>
      <c r="DRR126" s="2"/>
      <c r="DRT126" s="2"/>
      <c r="DRV126" s="2"/>
      <c r="DRX126" s="2"/>
      <c r="DRZ126" s="2"/>
      <c r="DSB126" s="2"/>
      <c r="DSD126" s="2"/>
      <c r="DSF126" s="2"/>
      <c r="DSH126" s="2"/>
      <c r="DSJ126" s="2"/>
      <c r="DSL126" s="2"/>
      <c r="DSN126" s="2"/>
      <c r="DSP126" s="2"/>
      <c r="DSR126" s="2"/>
      <c r="DST126" s="2"/>
      <c r="DSV126" s="2"/>
      <c r="DSX126" s="2"/>
      <c r="DSZ126" s="2"/>
      <c r="DTB126" s="2"/>
      <c r="DTD126" s="2"/>
      <c r="DTF126" s="2"/>
      <c r="DTH126" s="2"/>
      <c r="DTJ126" s="2"/>
      <c r="DTL126" s="2"/>
      <c r="DTN126" s="2"/>
      <c r="DTP126" s="2"/>
      <c r="DTR126" s="2"/>
      <c r="DTT126" s="2"/>
      <c r="DTV126" s="2"/>
      <c r="DTX126" s="2"/>
      <c r="DTZ126" s="2"/>
      <c r="DUB126" s="2"/>
      <c r="DUD126" s="2"/>
      <c r="DUF126" s="2"/>
      <c r="DUH126" s="2"/>
      <c r="DUJ126" s="2"/>
      <c r="DUL126" s="2"/>
      <c r="DUN126" s="2"/>
      <c r="DUP126" s="2"/>
      <c r="DUR126" s="2"/>
      <c r="DUT126" s="2"/>
      <c r="DUV126" s="2"/>
      <c r="DUX126" s="2"/>
      <c r="DUZ126" s="2"/>
      <c r="DVB126" s="2"/>
      <c r="DVD126" s="2"/>
      <c r="DVF126" s="2"/>
      <c r="DVH126" s="2"/>
      <c r="DVJ126" s="2"/>
      <c r="DVL126" s="2"/>
      <c r="DVN126" s="2"/>
      <c r="DVP126" s="2"/>
      <c r="DVR126" s="2"/>
      <c r="DVT126" s="2"/>
      <c r="DVV126" s="2"/>
      <c r="DVX126" s="2"/>
      <c r="DVZ126" s="2"/>
      <c r="DWB126" s="2"/>
      <c r="DWD126" s="2"/>
      <c r="DWF126" s="2"/>
      <c r="DWH126" s="2"/>
      <c r="DWJ126" s="2"/>
      <c r="DWL126" s="2"/>
      <c r="DWN126" s="2"/>
      <c r="DWP126" s="2"/>
      <c r="DWR126" s="2"/>
      <c r="DWT126" s="2"/>
      <c r="DWV126" s="2"/>
      <c r="DWX126" s="2"/>
      <c r="DWZ126" s="2"/>
      <c r="DXB126" s="2"/>
      <c r="DXD126" s="2"/>
      <c r="DXF126" s="2"/>
      <c r="DXH126" s="2"/>
      <c r="DXJ126" s="2"/>
      <c r="DXL126" s="2"/>
      <c r="DXN126" s="2"/>
      <c r="DXP126" s="2"/>
      <c r="DXR126" s="2"/>
      <c r="DXT126" s="2"/>
      <c r="DXV126" s="2"/>
      <c r="DXX126" s="2"/>
      <c r="DXZ126" s="2"/>
      <c r="DYB126" s="2"/>
      <c r="DYD126" s="2"/>
      <c r="DYF126" s="2"/>
      <c r="DYH126" s="2"/>
      <c r="DYJ126" s="2"/>
      <c r="DYL126" s="2"/>
      <c r="DYN126" s="2"/>
      <c r="DYP126" s="2"/>
      <c r="DYR126" s="2"/>
      <c r="DYT126" s="2"/>
      <c r="DYV126" s="2"/>
      <c r="DYX126" s="2"/>
      <c r="DYZ126" s="2"/>
      <c r="DZB126" s="2"/>
      <c r="DZD126" s="2"/>
      <c r="DZF126" s="2"/>
      <c r="DZH126" s="2"/>
      <c r="DZJ126" s="2"/>
      <c r="DZL126" s="2"/>
      <c r="DZN126" s="2"/>
      <c r="DZP126" s="2"/>
      <c r="DZR126" s="2"/>
      <c r="DZT126" s="2"/>
      <c r="DZV126" s="2"/>
      <c r="DZX126" s="2"/>
      <c r="DZZ126" s="2"/>
      <c r="EAB126" s="2"/>
      <c r="EAD126" s="2"/>
      <c r="EAF126" s="2"/>
      <c r="EAH126" s="2"/>
      <c r="EAJ126" s="2"/>
      <c r="EAL126" s="2"/>
      <c r="EAN126" s="2"/>
      <c r="EAP126" s="2"/>
      <c r="EAR126" s="2"/>
      <c r="EAT126" s="2"/>
      <c r="EAV126" s="2"/>
      <c r="EAX126" s="2"/>
      <c r="EAZ126" s="2"/>
      <c r="EBB126" s="2"/>
      <c r="EBD126" s="2"/>
      <c r="EBF126" s="2"/>
      <c r="EBH126" s="2"/>
      <c r="EBJ126" s="2"/>
      <c r="EBL126" s="2"/>
      <c r="EBN126" s="2"/>
      <c r="EBP126" s="2"/>
      <c r="EBR126" s="2"/>
      <c r="EBT126" s="2"/>
      <c r="EBV126" s="2"/>
      <c r="EBX126" s="2"/>
      <c r="EBZ126" s="2"/>
      <c r="ECB126" s="2"/>
      <c r="ECD126" s="2"/>
      <c r="ECF126" s="2"/>
      <c r="ECH126" s="2"/>
      <c r="ECJ126" s="2"/>
      <c r="ECL126" s="2"/>
      <c r="ECN126" s="2"/>
      <c r="ECP126" s="2"/>
      <c r="ECR126" s="2"/>
      <c r="ECT126" s="2"/>
      <c r="ECV126" s="2"/>
      <c r="ECX126" s="2"/>
      <c r="ECZ126" s="2"/>
      <c r="EDB126" s="2"/>
      <c r="EDD126" s="2"/>
      <c r="EDF126" s="2"/>
      <c r="EDH126" s="2"/>
      <c r="EDJ126" s="2"/>
      <c r="EDL126" s="2"/>
      <c r="EDN126" s="2"/>
      <c r="EDP126" s="2"/>
      <c r="EDR126" s="2"/>
      <c r="EDT126" s="2"/>
      <c r="EDV126" s="2"/>
      <c r="EDX126" s="2"/>
      <c r="EDZ126" s="2"/>
      <c r="EEB126" s="2"/>
      <c r="EED126" s="2"/>
      <c r="EEF126" s="2"/>
      <c r="EEH126" s="2"/>
      <c r="EEJ126" s="2"/>
      <c r="EEL126" s="2"/>
      <c r="EEN126" s="2"/>
      <c r="EEP126" s="2"/>
      <c r="EER126" s="2"/>
      <c r="EET126" s="2"/>
      <c r="EEV126" s="2"/>
      <c r="EEX126" s="2"/>
      <c r="EEZ126" s="2"/>
      <c r="EFB126" s="2"/>
      <c r="EFD126" s="2"/>
      <c r="EFF126" s="2"/>
      <c r="EFH126" s="2"/>
      <c r="EFJ126" s="2"/>
      <c r="EFL126" s="2"/>
      <c r="EFN126" s="2"/>
      <c r="EFP126" s="2"/>
      <c r="EFR126" s="2"/>
      <c r="EFT126" s="2"/>
      <c r="EFV126" s="2"/>
      <c r="EFX126" s="2"/>
      <c r="EFZ126" s="2"/>
      <c r="EGB126" s="2"/>
      <c r="EGD126" s="2"/>
      <c r="EGF126" s="2"/>
      <c r="EGH126" s="2"/>
      <c r="EGJ126" s="2"/>
      <c r="EGL126" s="2"/>
      <c r="EGN126" s="2"/>
      <c r="EGP126" s="2"/>
      <c r="EGR126" s="2"/>
      <c r="EGT126" s="2"/>
      <c r="EGV126" s="2"/>
      <c r="EGX126" s="2"/>
      <c r="EGZ126" s="2"/>
      <c r="EHB126" s="2"/>
      <c r="EHD126" s="2"/>
      <c r="EHF126" s="2"/>
      <c r="EHH126" s="2"/>
      <c r="EHJ126" s="2"/>
      <c r="EHL126" s="2"/>
      <c r="EHN126" s="2"/>
      <c r="EHP126" s="2"/>
      <c r="EHR126" s="2"/>
      <c r="EHT126" s="2"/>
      <c r="EHV126" s="2"/>
      <c r="EHX126" s="2"/>
      <c r="EHZ126" s="2"/>
      <c r="EIB126" s="2"/>
      <c r="EID126" s="2"/>
      <c r="EIF126" s="2"/>
      <c r="EIH126" s="2"/>
      <c r="EIJ126" s="2"/>
      <c r="EIL126" s="2"/>
      <c r="EIN126" s="2"/>
      <c r="EIP126" s="2"/>
      <c r="EIR126" s="2"/>
      <c r="EIT126" s="2"/>
      <c r="EIV126" s="2"/>
      <c r="EIX126" s="2"/>
      <c r="EIZ126" s="2"/>
      <c r="EJB126" s="2"/>
      <c r="EJD126" s="2"/>
      <c r="EJF126" s="2"/>
      <c r="EJH126" s="2"/>
      <c r="EJJ126" s="2"/>
      <c r="EJL126" s="2"/>
      <c r="EJN126" s="2"/>
      <c r="EJP126" s="2"/>
      <c r="EJR126" s="2"/>
      <c r="EJT126" s="2"/>
      <c r="EJV126" s="2"/>
      <c r="EJX126" s="2"/>
      <c r="EJZ126" s="2"/>
      <c r="EKB126" s="2"/>
      <c r="EKD126" s="2"/>
      <c r="EKF126" s="2"/>
      <c r="EKH126" s="2"/>
      <c r="EKJ126" s="2"/>
      <c r="EKL126" s="2"/>
      <c r="EKN126" s="2"/>
      <c r="EKP126" s="2"/>
      <c r="EKR126" s="2"/>
      <c r="EKT126" s="2"/>
      <c r="EKV126" s="2"/>
      <c r="EKX126" s="2"/>
      <c r="EKZ126" s="2"/>
      <c r="ELB126" s="2"/>
      <c r="ELD126" s="2"/>
      <c r="ELF126" s="2"/>
      <c r="ELH126" s="2"/>
      <c r="ELJ126" s="2"/>
      <c r="ELL126" s="2"/>
      <c r="ELN126" s="2"/>
      <c r="ELP126" s="2"/>
      <c r="ELR126" s="2"/>
      <c r="ELT126" s="2"/>
      <c r="ELV126" s="2"/>
      <c r="ELX126" s="2"/>
      <c r="ELZ126" s="2"/>
      <c r="EMB126" s="2"/>
      <c r="EMD126" s="2"/>
      <c r="EMF126" s="2"/>
      <c r="EMH126" s="2"/>
      <c r="EMJ126" s="2"/>
      <c r="EML126" s="2"/>
      <c r="EMN126" s="2"/>
      <c r="EMP126" s="2"/>
      <c r="EMR126" s="2"/>
      <c r="EMT126" s="2"/>
      <c r="EMV126" s="2"/>
      <c r="EMX126" s="2"/>
      <c r="EMZ126" s="2"/>
      <c r="ENB126" s="2"/>
      <c r="END126" s="2"/>
      <c r="ENF126" s="2"/>
      <c r="ENH126" s="2"/>
      <c r="ENJ126" s="2"/>
      <c r="ENL126" s="2"/>
      <c r="ENN126" s="2"/>
      <c r="ENP126" s="2"/>
      <c r="ENR126" s="2"/>
      <c r="ENT126" s="2"/>
      <c r="ENV126" s="2"/>
      <c r="ENX126" s="2"/>
      <c r="ENZ126" s="2"/>
      <c r="EOB126" s="2"/>
      <c r="EOD126" s="2"/>
      <c r="EOF126" s="2"/>
      <c r="EOH126" s="2"/>
      <c r="EOJ126" s="2"/>
      <c r="EOL126" s="2"/>
      <c r="EON126" s="2"/>
      <c r="EOP126" s="2"/>
      <c r="EOR126" s="2"/>
      <c r="EOT126" s="2"/>
      <c r="EOV126" s="2"/>
      <c r="EOX126" s="2"/>
      <c r="EOZ126" s="2"/>
      <c r="EPB126" s="2"/>
      <c r="EPD126" s="2"/>
      <c r="EPF126" s="2"/>
      <c r="EPH126" s="2"/>
      <c r="EPJ126" s="2"/>
      <c r="EPL126" s="2"/>
      <c r="EPN126" s="2"/>
      <c r="EPP126" s="2"/>
      <c r="EPR126" s="2"/>
      <c r="EPT126" s="2"/>
      <c r="EPV126" s="2"/>
      <c r="EPX126" s="2"/>
      <c r="EPZ126" s="2"/>
      <c r="EQB126" s="2"/>
      <c r="EQD126" s="2"/>
      <c r="EQF126" s="2"/>
      <c r="EQH126" s="2"/>
      <c r="EQJ126" s="2"/>
      <c r="EQL126" s="2"/>
      <c r="EQN126" s="2"/>
      <c r="EQP126" s="2"/>
      <c r="EQR126" s="2"/>
      <c r="EQT126" s="2"/>
      <c r="EQV126" s="2"/>
      <c r="EQX126" s="2"/>
      <c r="EQZ126" s="2"/>
      <c r="ERB126" s="2"/>
      <c r="ERD126" s="2"/>
      <c r="ERF126" s="2"/>
      <c r="ERH126" s="2"/>
      <c r="ERJ126" s="2"/>
      <c r="ERL126" s="2"/>
      <c r="ERN126" s="2"/>
      <c r="ERP126" s="2"/>
      <c r="ERR126" s="2"/>
      <c r="ERT126" s="2"/>
      <c r="ERV126" s="2"/>
      <c r="ERX126" s="2"/>
      <c r="ERZ126" s="2"/>
      <c r="ESB126" s="2"/>
      <c r="ESD126" s="2"/>
      <c r="ESF126" s="2"/>
      <c r="ESH126" s="2"/>
      <c r="ESJ126" s="2"/>
      <c r="ESL126" s="2"/>
      <c r="ESN126" s="2"/>
      <c r="ESP126" s="2"/>
      <c r="ESR126" s="2"/>
      <c r="EST126" s="2"/>
      <c r="ESV126" s="2"/>
      <c r="ESX126" s="2"/>
      <c r="ESZ126" s="2"/>
      <c r="ETB126" s="2"/>
      <c r="ETD126" s="2"/>
      <c r="ETF126" s="2"/>
      <c r="ETH126" s="2"/>
      <c r="ETJ126" s="2"/>
      <c r="ETL126" s="2"/>
      <c r="ETN126" s="2"/>
      <c r="ETP126" s="2"/>
      <c r="ETR126" s="2"/>
      <c r="ETT126" s="2"/>
      <c r="ETV126" s="2"/>
      <c r="ETX126" s="2"/>
      <c r="ETZ126" s="2"/>
      <c r="EUB126" s="2"/>
      <c r="EUD126" s="2"/>
      <c r="EUF126" s="2"/>
      <c r="EUH126" s="2"/>
      <c r="EUJ126" s="2"/>
      <c r="EUL126" s="2"/>
      <c r="EUN126" s="2"/>
      <c r="EUP126" s="2"/>
      <c r="EUR126" s="2"/>
      <c r="EUT126" s="2"/>
      <c r="EUV126" s="2"/>
      <c r="EUX126" s="2"/>
      <c r="EUZ126" s="2"/>
      <c r="EVB126" s="2"/>
      <c r="EVD126" s="2"/>
      <c r="EVF126" s="2"/>
      <c r="EVH126" s="2"/>
      <c r="EVJ126" s="2"/>
      <c r="EVL126" s="2"/>
      <c r="EVN126" s="2"/>
      <c r="EVP126" s="2"/>
      <c r="EVR126" s="2"/>
      <c r="EVT126" s="2"/>
      <c r="EVV126" s="2"/>
      <c r="EVX126" s="2"/>
      <c r="EVZ126" s="2"/>
      <c r="EWB126" s="2"/>
      <c r="EWD126" s="2"/>
      <c r="EWF126" s="2"/>
      <c r="EWH126" s="2"/>
      <c r="EWJ126" s="2"/>
      <c r="EWL126" s="2"/>
      <c r="EWN126" s="2"/>
      <c r="EWP126" s="2"/>
      <c r="EWR126" s="2"/>
      <c r="EWT126" s="2"/>
      <c r="EWV126" s="2"/>
      <c r="EWX126" s="2"/>
      <c r="EWZ126" s="2"/>
      <c r="EXB126" s="2"/>
      <c r="EXD126" s="2"/>
      <c r="EXF126" s="2"/>
      <c r="EXH126" s="2"/>
      <c r="EXJ126" s="2"/>
      <c r="EXL126" s="2"/>
      <c r="EXN126" s="2"/>
      <c r="EXP126" s="2"/>
      <c r="EXR126" s="2"/>
      <c r="EXT126" s="2"/>
      <c r="EXV126" s="2"/>
      <c r="EXX126" s="2"/>
      <c r="EXZ126" s="2"/>
      <c r="EYB126" s="2"/>
      <c r="EYD126" s="2"/>
      <c r="EYF126" s="2"/>
      <c r="EYH126" s="2"/>
      <c r="EYJ126" s="2"/>
      <c r="EYL126" s="2"/>
      <c r="EYN126" s="2"/>
      <c r="EYP126" s="2"/>
      <c r="EYR126" s="2"/>
      <c r="EYT126" s="2"/>
      <c r="EYV126" s="2"/>
      <c r="EYX126" s="2"/>
      <c r="EYZ126" s="2"/>
      <c r="EZB126" s="2"/>
      <c r="EZD126" s="2"/>
      <c r="EZF126" s="2"/>
      <c r="EZH126" s="2"/>
      <c r="EZJ126" s="2"/>
      <c r="EZL126" s="2"/>
      <c r="EZN126" s="2"/>
      <c r="EZP126" s="2"/>
      <c r="EZR126" s="2"/>
      <c r="EZT126" s="2"/>
      <c r="EZV126" s="2"/>
      <c r="EZX126" s="2"/>
      <c r="EZZ126" s="2"/>
      <c r="FAB126" s="2"/>
      <c r="FAD126" s="2"/>
      <c r="FAF126" s="2"/>
      <c r="FAH126" s="2"/>
      <c r="FAJ126" s="2"/>
      <c r="FAL126" s="2"/>
      <c r="FAN126" s="2"/>
      <c r="FAP126" s="2"/>
      <c r="FAR126" s="2"/>
      <c r="FAT126" s="2"/>
      <c r="FAV126" s="2"/>
      <c r="FAX126" s="2"/>
      <c r="FAZ126" s="2"/>
      <c r="FBB126" s="2"/>
      <c r="FBD126" s="2"/>
      <c r="FBF126" s="2"/>
      <c r="FBH126" s="2"/>
      <c r="FBJ126" s="2"/>
      <c r="FBL126" s="2"/>
      <c r="FBN126" s="2"/>
      <c r="FBP126" s="2"/>
      <c r="FBR126" s="2"/>
      <c r="FBT126" s="2"/>
      <c r="FBV126" s="2"/>
      <c r="FBX126" s="2"/>
      <c r="FBZ126" s="2"/>
      <c r="FCB126" s="2"/>
      <c r="FCD126" s="2"/>
      <c r="FCF126" s="2"/>
      <c r="FCH126" s="2"/>
      <c r="FCJ126" s="2"/>
      <c r="FCL126" s="2"/>
      <c r="FCN126" s="2"/>
      <c r="FCP126" s="2"/>
      <c r="FCR126" s="2"/>
      <c r="FCT126" s="2"/>
      <c r="FCV126" s="2"/>
      <c r="FCX126" s="2"/>
      <c r="FCZ126" s="2"/>
      <c r="FDB126" s="2"/>
      <c r="FDD126" s="2"/>
      <c r="FDF126" s="2"/>
      <c r="FDH126" s="2"/>
      <c r="FDJ126" s="2"/>
      <c r="FDL126" s="2"/>
      <c r="FDN126" s="2"/>
      <c r="FDP126" s="2"/>
      <c r="FDR126" s="2"/>
      <c r="FDT126" s="2"/>
      <c r="FDV126" s="2"/>
      <c r="FDX126" s="2"/>
      <c r="FDZ126" s="2"/>
      <c r="FEB126" s="2"/>
      <c r="FED126" s="2"/>
      <c r="FEF126" s="2"/>
      <c r="FEH126" s="2"/>
      <c r="FEJ126" s="2"/>
      <c r="FEL126" s="2"/>
      <c r="FEN126" s="2"/>
      <c r="FEP126" s="2"/>
      <c r="FER126" s="2"/>
      <c r="FET126" s="2"/>
      <c r="FEV126" s="2"/>
      <c r="FEX126" s="2"/>
      <c r="FEZ126" s="2"/>
      <c r="FFB126" s="2"/>
      <c r="FFD126" s="2"/>
      <c r="FFF126" s="2"/>
      <c r="FFH126" s="2"/>
      <c r="FFJ126" s="2"/>
      <c r="FFL126" s="2"/>
      <c r="FFN126" s="2"/>
      <c r="FFP126" s="2"/>
      <c r="FFR126" s="2"/>
      <c r="FFT126" s="2"/>
      <c r="FFV126" s="2"/>
      <c r="FFX126" s="2"/>
      <c r="FFZ126" s="2"/>
      <c r="FGB126" s="2"/>
      <c r="FGD126" s="2"/>
      <c r="FGF126" s="2"/>
      <c r="FGH126" s="2"/>
      <c r="FGJ126" s="2"/>
      <c r="FGL126" s="2"/>
      <c r="FGN126" s="2"/>
      <c r="FGP126" s="2"/>
      <c r="FGR126" s="2"/>
      <c r="FGT126" s="2"/>
      <c r="FGV126" s="2"/>
      <c r="FGX126" s="2"/>
      <c r="FGZ126" s="2"/>
      <c r="FHB126" s="2"/>
      <c r="FHD126" s="2"/>
      <c r="FHF126" s="2"/>
      <c r="FHH126" s="2"/>
      <c r="FHJ126" s="2"/>
      <c r="FHL126" s="2"/>
      <c r="FHN126" s="2"/>
      <c r="FHP126" s="2"/>
      <c r="FHR126" s="2"/>
      <c r="FHT126" s="2"/>
      <c r="FHV126" s="2"/>
      <c r="FHX126" s="2"/>
      <c r="FHZ126" s="2"/>
      <c r="FIB126" s="2"/>
      <c r="FID126" s="2"/>
      <c r="FIF126" s="2"/>
      <c r="FIH126" s="2"/>
      <c r="FIJ126" s="2"/>
      <c r="FIL126" s="2"/>
      <c r="FIN126" s="2"/>
      <c r="FIP126" s="2"/>
      <c r="FIR126" s="2"/>
      <c r="FIT126" s="2"/>
      <c r="FIV126" s="2"/>
      <c r="FIX126" s="2"/>
      <c r="FIZ126" s="2"/>
      <c r="FJB126" s="2"/>
      <c r="FJD126" s="2"/>
      <c r="FJF126" s="2"/>
      <c r="FJH126" s="2"/>
      <c r="FJJ126" s="2"/>
      <c r="FJL126" s="2"/>
      <c r="FJN126" s="2"/>
      <c r="FJP126" s="2"/>
      <c r="FJR126" s="2"/>
      <c r="FJT126" s="2"/>
      <c r="FJV126" s="2"/>
      <c r="FJX126" s="2"/>
      <c r="FJZ126" s="2"/>
      <c r="FKB126" s="2"/>
      <c r="FKD126" s="2"/>
      <c r="FKF126" s="2"/>
      <c r="FKH126" s="2"/>
      <c r="FKJ126" s="2"/>
      <c r="FKL126" s="2"/>
      <c r="FKN126" s="2"/>
      <c r="FKP126" s="2"/>
      <c r="FKR126" s="2"/>
      <c r="FKT126" s="2"/>
      <c r="FKV126" s="2"/>
      <c r="FKX126" s="2"/>
      <c r="FKZ126" s="2"/>
      <c r="FLB126" s="2"/>
      <c r="FLD126" s="2"/>
      <c r="FLF126" s="2"/>
      <c r="FLH126" s="2"/>
      <c r="FLJ126" s="2"/>
      <c r="FLL126" s="2"/>
      <c r="FLN126" s="2"/>
      <c r="FLP126" s="2"/>
      <c r="FLR126" s="2"/>
      <c r="FLT126" s="2"/>
      <c r="FLV126" s="2"/>
      <c r="FLX126" s="2"/>
      <c r="FLZ126" s="2"/>
      <c r="FMB126" s="2"/>
      <c r="FMD126" s="2"/>
      <c r="FMF126" s="2"/>
      <c r="FMH126" s="2"/>
      <c r="FMJ126" s="2"/>
      <c r="FML126" s="2"/>
      <c r="FMN126" s="2"/>
      <c r="FMP126" s="2"/>
      <c r="FMR126" s="2"/>
      <c r="FMT126" s="2"/>
      <c r="FMV126" s="2"/>
      <c r="FMX126" s="2"/>
      <c r="FMZ126" s="2"/>
      <c r="FNB126" s="2"/>
      <c r="FND126" s="2"/>
      <c r="FNF126" s="2"/>
      <c r="FNH126" s="2"/>
      <c r="FNJ126" s="2"/>
      <c r="FNL126" s="2"/>
      <c r="FNN126" s="2"/>
      <c r="FNP126" s="2"/>
      <c r="FNR126" s="2"/>
      <c r="FNT126" s="2"/>
      <c r="FNV126" s="2"/>
      <c r="FNX126" s="2"/>
      <c r="FNZ126" s="2"/>
      <c r="FOB126" s="2"/>
      <c r="FOD126" s="2"/>
      <c r="FOF126" s="2"/>
      <c r="FOH126" s="2"/>
      <c r="FOJ126" s="2"/>
      <c r="FOL126" s="2"/>
      <c r="FON126" s="2"/>
      <c r="FOP126" s="2"/>
      <c r="FOR126" s="2"/>
      <c r="FOT126" s="2"/>
      <c r="FOV126" s="2"/>
      <c r="FOX126" s="2"/>
      <c r="FOZ126" s="2"/>
      <c r="FPB126" s="2"/>
      <c r="FPD126" s="2"/>
      <c r="FPF126" s="2"/>
      <c r="FPH126" s="2"/>
      <c r="FPJ126" s="2"/>
      <c r="FPL126" s="2"/>
      <c r="FPN126" s="2"/>
      <c r="FPP126" s="2"/>
      <c r="FPR126" s="2"/>
      <c r="FPT126" s="2"/>
      <c r="FPV126" s="2"/>
      <c r="FPX126" s="2"/>
      <c r="FPZ126" s="2"/>
      <c r="FQB126" s="2"/>
      <c r="FQD126" s="2"/>
      <c r="FQF126" s="2"/>
      <c r="FQH126" s="2"/>
      <c r="FQJ126" s="2"/>
      <c r="FQL126" s="2"/>
      <c r="FQN126" s="2"/>
      <c r="FQP126" s="2"/>
      <c r="FQR126" s="2"/>
      <c r="FQT126" s="2"/>
      <c r="FQV126" s="2"/>
      <c r="FQX126" s="2"/>
      <c r="FQZ126" s="2"/>
      <c r="FRB126" s="2"/>
      <c r="FRD126" s="2"/>
      <c r="FRF126" s="2"/>
      <c r="FRH126" s="2"/>
      <c r="FRJ126" s="2"/>
      <c r="FRL126" s="2"/>
      <c r="FRN126" s="2"/>
      <c r="FRP126" s="2"/>
      <c r="FRR126" s="2"/>
      <c r="FRT126" s="2"/>
      <c r="FRV126" s="2"/>
      <c r="FRX126" s="2"/>
      <c r="FRZ126" s="2"/>
      <c r="FSB126" s="2"/>
      <c r="FSD126" s="2"/>
      <c r="FSF126" s="2"/>
      <c r="FSH126" s="2"/>
      <c r="FSJ126" s="2"/>
      <c r="FSL126" s="2"/>
      <c r="FSN126" s="2"/>
      <c r="FSP126" s="2"/>
      <c r="FSR126" s="2"/>
      <c r="FST126" s="2"/>
      <c r="FSV126" s="2"/>
      <c r="FSX126" s="2"/>
      <c r="FSZ126" s="2"/>
      <c r="FTB126" s="2"/>
      <c r="FTD126" s="2"/>
      <c r="FTF126" s="2"/>
      <c r="FTH126" s="2"/>
      <c r="FTJ126" s="2"/>
      <c r="FTL126" s="2"/>
      <c r="FTN126" s="2"/>
      <c r="FTP126" s="2"/>
      <c r="FTR126" s="2"/>
      <c r="FTT126" s="2"/>
      <c r="FTV126" s="2"/>
      <c r="FTX126" s="2"/>
      <c r="FTZ126" s="2"/>
      <c r="FUB126" s="2"/>
      <c r="FUD126" s="2"/>
      <c r="FUF126" s="2"/>
      <c r="FUH126" s="2"/>
      <c r="FUJ126" s="2"/>
      <c r="FUL126" s="2"/>
      <c r="FUN126" s="2"/>
      <c r="FUP126" s="2"/>
      <c r="FUR126" s="2"/>
      <c r="FUT126" s="2"/>
      <c r="FUV126" s="2"/>
      <c r="FUX126" s="2"/>
      <c r="FUZ126" s="2"/>
      <c r="FVB126" s="2"/>
      <c r="FVD126" s="2"/>
      <c r="FVF126" s="2"/>
      <c r="FVH126" s="2"/>
      <c r="FVJ126" s="2"/>
      <c r="FVL126" s="2"/>
      <c r="FVN126" s="2"/>
      <c r="FVP126" s="2"/>
      <c r="FVR126" s="2"/>
      <c r="FVT126" s="2"/>
      <c r="FVV126" s="2"/>
      <c r="FVX126" s="2"/>
      <c r="FVZ126" s="2"/>
      <c r="FWB126" s="2"/>
      <c r="FWD126" s="2"/>
      <c r="FWF126" s="2"/>
      <c r="FWH126" s="2"/>
      <c r="FWJ126" s="2"/>
      <c r="FWL126" s="2"/>
      <c r="FWN126" s="2"/>
      <c r="FWP126" s="2"/>
      <c r="FWR126" s="2"/>
      <c r="FWT126" s="2"/>
      <c r="FWV126" s="2"/>
      <c r="FWX126" s="2"/>
      <c r="FWZ126" s="2"/>
      <c r="FXB126" s="2"/>
      <c r="FXD126" s="2"/>
      <c r="FXF126" s="2"/>
      <c r="FXH126" s="2"/>
      <c r="FXJ126" s="2"/>
      <c r="FXL126" s="2"/>
      <c r="FXN126" s="2"/>
      <c r="FXP126" s="2"/>
      <c r="FXR126" s="2"/>
      <c r="FXT126" s="2"/>
      <c r="FXV126" s="2"/>
      <c r="FXX126" s="2"/>
      <c r="FXZ126" s="2"/>
      <c r="FYB126" s="2"/>
      <c r="FYD126" s="2"/>
      <c r="FYF126" s="2"/>
      <c r="FYH126" s="2"/>
      <c r="FYJ126" s="2"/>
      <c r="FYL126" s="2"/>
      <c r="FYN126" s="2"/>
      <c r="FYP126" s="2"/>
      <c r="FYR126" s="2"/>
      <c r="FYT126" s="2"/>
      <c r="FYV126" s="2"/>
      <c r="FYX126" s="2"/>
      <c r="FYZ126" s="2"/>
      <c r="FZB126" s="2"/>
      <c r="FZD126" s="2"/>
      <c r="FZF126" s="2"/>
      <c r="FZH126" s="2"/>
      <c r="FZJ126" s="2"/>
      <c r="FZL126" s="2"/>
      <c r="FZN126" s="2"/>
      <c r="FZP126" s="2"/>
      <c r="FZR126" s="2"/>
      <c r="FZT126" s="2"/>
      <c r="FZV126" s="2"/>
      <c r="FZX126" s="2"/>
      <c r="FZZ126" s="2"/>
      <c r="GAB126" s="2"/>
      <c r="GAD126" s="2"/>
      <c r="GAF126" s="2"/>
      <c r="GAH126" s="2"/>
      <c r="GAJ126" s="2"/>
      <c r="GAL126" s="2"/>
      <c r="GAN126" s="2"/>
      <c r="GAP126" s="2"/>
      <c r="GAR126" s="2"/>
      <c r="GAT126" s="2"/>
      <c r="GAV126" s="2"/>
      <c r="GAX126" s="2"/>
      <c r="GAZ126" s="2"/>
      <c r="GBB126" s="2"/>
      <c r="GBD126" s="2"/>
      <c r="GBF126" s="2"/>
      <c r="GBH126" s="2"/>
      <c r="GBJ126" s="2"/>
      <c r="GBL126" s="2"/>
      <c r="GBN126" s="2"/>
      <c r="GBP126" s="2"/>
      <c r="GBR126" s="2"/>
      <c r="GBT126" s="2"/>
      <c r="GBV126" s="2"/>
      <c r="GBX126" s="2"/>
      <c r="GBZ126" s="2"/>
      <c r="GCB126" s="2"/>
      <c r="GCD126" s="2"/>
      <c r="GCF126" s="2"/>
      <c r="GCH126" s="2"/>
      <c r="GCJ126" s="2"/>
      <c r="GCL126" s="2"/>
      <c r="GCN126" s="2"/>
      <c r="GCP126" s="2"/>
      <c r="GCR126" s="2"/>
      <c r="GCT126" s="2"/>
      <c r="GCV126" s="2"/>
      <c r="GCX126" s="2"/>
      <c r="GCZ126" s="2"/>
      <c r="GDB126" s="2"/>
      <c r="GDD126" s="2"/>
      <c r="GDF126" s="2"/>
      <c r="GDH126" s="2"/>
      <c r="GDJ126" s="2"/>
      <c r="GDL126" s="2"/>
      <c r="GDN126" s="2"/>
      <c r="GDP126" s="2"/>
      <c r="GDR126" s="2"/>
      <c r="GDT126" s="2"/>
      <c r="GDV126" s="2"/>
      <c r="GDX126" s="2"/>
      <c r="GDZ126" s="2"/>
      <c r="GEB126" s="2"/>
      <c r="GED126" s="2"/>
      <c r="GEF126" s="2"/>
      <c r="GEH126" s="2"/>
      <c r="GEJ126" s="2"/>
      <c r="GEL126" s="2"/>
      <c r="GEN126" s="2"/>
      <c r="GEP126" s="2"/>
      <c r="GER126" s="2"/>
      <c r="GET126" s="2"/>
      <c r="GEV126" s="2"/>
      <c r="GEX126" s="2"/>
      <c r="GEZ126" s="2"/>
      <c r="GFB126" s="2"/>
      <c r="GFD126" s="2"/>
      <c r="GFF126" s="2"/>
      <c r="GFH126" s="2"/>
      <c r="GFJ126" s="2"/>
      <c r="GFL126" s="2"/>
      <c r="GFN126" s="2"/>
      <c r="GFP126" s="2"/>
      <c r="GFR126" s="2"/>
      <c r="GFT126" s="2"/>
      <c r="GFV126" s="2"/>
      <c r="GFX126" s="2"/>
      <c r="GFZ126" s="2"/>
      <c r="GGB126" s="2"/>
      <c r="GGD126" s="2"/>
      <c r="GGF126" s="2"/>
      <c r="GGH126" s="2"/>
      <c r="GGJ126" s="2"/>
      <c r="GGL126" s="2"/>
      <c r="GGN126" s="2"/>
      <c r="GGP126" s="2"/>
      <c r="GGR126" s="2"/>
      <c r="GGT126" s="2"/>
      <c r="GGV126" s="2"/>
      <c r="GGX126" s="2"/>
      <c r="GGZ126" s="2"/>
      <c r="GHB126" s="2"/>
      <c r="GHD126" s="2"/>
      <c r="GHF126" s="2"/>
      <c r="GHH126" s="2"/>
      <c r="GHJ126" s="2"/>
      <c r="GHL126" s="2"/>
      <c r="GHN126" s="2"/>
      <c r="GHP126" s="2"/>
      <c r="GHR126" s="2"/>
      <c r="GHT126" s="2"/>
      <c r="GHV126" s="2"/>
      <c r="GHX126" s="2"/>
      <c r="GHZ126" s="2"/>
      <c r="GIB126" s="2"/>
      <c r="GID126" s="2"/>
      <c r="GIF126" s="2"/>
      <c r="GIH126" s="2"/>
      <c r="GIJ126" s="2"/>
      <c r="GIL126" s="2"/>
      <c r="GIN126" s="2"/>
      <c r="GIP126" s="2"/>
      <c r="GIR126" s="2"/>
      <c r="GIT126" s="2"/>
      <c r="GIV126" s="2"/>
      <c r="GIX126" s="2"/>
      <c r="GIZ126" s="2"/>
      <c r="GJB126" s="2"/>
      <c r="GJD126" s="2"/>
      <c r="GJF126" s="2"/>
      <c r="GJH126" s="2"/>
      <c r="GJJ126" s="2"/>
      <c r="GJL126" s="2"/>
      <c r="GJN126" s="2"/>
      <c r="GJP126" s="2"/>
      <c r="GJR126" s="2"/>
      <c r="GJT126" s="2"/>
      <c r="GJV126" s="2"/>
      <c r="GJX126" s="2"/>
      <c r="GJZ126" s="2"/>
      <c r="GKB126" s="2"/>
      <c r="GKD126" s="2"/>
      <c r="GKF126" s="2"/>
      <c r="GKH126" s="2"/>
      <c r="GKJ126" s="2"/>
      <c r="GKL126" s="2"/>
      <c r="GKN126" s="2"/>
      <c r="GKP126" s="2"/>
      <c r="GKR126" s="2"/>
      <c r="GKT126" s="2"/>
      <c r="GKV126" s="2"/>
      <c r="GKX126" s="2"/>
      <c r="GKZ126" s="2"/>
      <c r="GLB126" s="2"/>
      <c r="GLD126" s="2"/>
      <c r="GLF126" s="2"/>
      <c r="GLH126" s="2"/>
      <c r="GLJ126" s="2"/>
      <c r="GLL126" s="2"/>
      <c r="GLN126" s="2"/>
      <c r="GLP126" s="2"/>
      <c r="GLR126" s="2"/>
      <c r="GLT126" s="2"/>
      <c r="GLV126" s="2"/>
      <c r="GLX126" s="2"/>
      <c r="GLZ126" s="2"/>
      <c r="GMB126" s="2"/>
      <c r="GMD126" s="2"/>
      <c r="GMF126" s="2"/>
      <c r="GMH126" s="2"/>
      <c r="GMJ126" s="2"/>
      <c r="GML126" s="2"/>
      <c r="GMN126" s="2"/>
      <c r="GMP126" s="2"/>
      <c r="GMR126" s="2"/>
      <c r="GMT126" s="2"/>
      <c r="GMV126" s="2"/>
      <c r="GMX126" s="2"/>
      <c r="GMZ126" s="2"/>
      <c r="GNB126" s="2"/>
      <c r="GND126" s="2"/>
      <c r="GNF126" s="2"/>
      <c r="GNH126" s="2"/>
      <c r="GNJ126" s="2"/>
      <c r="GNL126" s="2"/>
      <c r="GNN126" s="2"/>
      <c r="GNP126" s="2"/>
      <c r="GNR126" s="2"/>
      <c r="GNT126" s="2"/>
      <c r="GNV126" s="2"/>
      <c r="GNX126" s="2"/>
      <c r="GNZ126" s="2"/>
      <c r="GOB126" s="2"/>
      <c r="GOD126" s="2"/>
      <c r="GOF126" s="2"/>
      <c r="GOH126" s="2"/>
      <c r="GOJ126" s="2"/>
      <c r="GOL126" s="2"/>
      <c r="GON126" s="2"/>
      <c r="GOP126" s="2"/>
      <c r="GOR126" s="2"/>
      <c r="GOT126" s="2"/>
      <c r="GOV126" s="2"/>
      <c r="GOX126" s="2"/>
      <c r="GOZ126" s="2"/>
      <c r="GPB126" s="2"/>
      <c r="GPD126" s="2"/>
      <c r="GPF126" s="2"/>
      <c r="GPH126" s="2"/>
      <c r="GPJ126" s="2"/>
      <c r="GPL126" s="2"/>
      <c r="GPN126" s="2"/>
      <c r="GPP126" s="2"/>
      <c r="GPR126" s="2"/>
      <c r="GPT126" s="2"/>
      <c r="GPV126" s="2"/>
      <c r="GPX126" s="2"/>
      <c r="GPZ126" s="2"/>
      <c r="GQB126" s="2"/>
      <c r="GQD126" s="2"/>
      <c r="GQF126" s="2"/>
      <c r="GQH126" s="2"/>
      <c r="GQJ126" s="2"/>
      <c r="GQL126" s="2"/>
      <c r="GQN126" s="2"/>
      <c r="GQP126" s="2"/>
      <c r="GQR126" s="2"/>
      <c r="GQT126" s="2"/>
      <c r="GQV126" s="2"/>
      <c r="GQX126" s="2"/>
      <c r="GQZ126" s="2"/>
      <c r="GRB126" s="2"/>
      <c r="GRD126" s="2"/>
      <c r="GRF126" s="2"/>
      <c r="GRH126" s="2"/>
      <c r="GRJ126" s="2"/>
      <c r="GRL126" s="2"/>
      <c r="GRN126" s="2"/>
      <c r="GRP126" s="2"/>
      <c r="GRR126" s="2"/>
      <c r="GRT126" s="2"/>
      <c r="GRV126" s="2"/>
      <c r="GRX126" s="2"/>
      <c r="GRZ126" s="2"/>
      <c r="GSB126" s="2"/>
      <c r="GSD126" s="2"/>
      <c r="GSF126" s="2"/>
      <c r="GSH126" s="2"/>
      <c r="GSJ126" s="2"/>
      <c r="GSL126" s="2"/>
      <c r="GSN126" s="2"/>
      <c r="GSP126" s="2"/>
      <c r="GSR126" s="2"/>
      <c r="GST126" s="2"/>
      <c r="GSV126" s="2"/>
      <c r="GSX126" s="2"/>
      <c r="GSZ126" s="2"/>
      <c r="GTB126" s="2"/>
      <c r="GTD126" s="2"/>
      <c r="GTF126" s="2"/>
      <c r="GTH126" s="2"/>
      <c r="GTJ126" s="2"/>
      <c r="GTL126" s="2"/>
      <c r="GTN126" s="2"/>
      <c r="GTP126" s="2"/>
      <c r="GTR126" s="2"/>
      <c r="GTT126" s="2"/>
      <c r="GTV126" s="2"/>
      <c r="GTX126" s="2"/>
      <c r="GTZ126" s="2"/>
      <c r="GUB126" s="2"/>
      <c r="GUD126" s="2"/>
      <c r="GUF126" s="2"/>
      <c r="GUH126" s="2"/>
      <c r="GUJ126" s="2"/>
      <c r="GUL126" s="2"/>
      <c r="GUN126" s="2"/>
      <c r="GUP126" s="2"/>
      <c r="GUR126" s="2"/>
      <c r="GUT126" s="2"/>
      <c r="GUV126" s="2"/>
      <c r="GUX126" s="2"/>
      <c r="GUZ126" s="2"/>
      <c r="GVB126" s="2"/>
      <c r="GVD126" s="2"/>
      <c r="GVF126" s="2"/>
      <c r="GVH126" s="2"/>
      <c r="GVJ126" s="2"/>
      <c r="GVL126" s="2"/>
      <c r="GVN126" s="2"/>
      <c r="GVP126" s="2"/>
      <c r="GVR126" s="2"/>
      <c r="GVT126" s="2"/>
      <c r="GVV126" s="2"/>
      <c r="GVX126" s="2"/>
      <c r="GVZ126" s="2"/>
      <c r="GWB126" s="2"/>
      <c r="GWD126" s="2"/>
      <c r="GWF126" s="2"/>
      <c r="GWH126" s="2"/>
      <c r="GWJ126" s="2"/>
      <c r="GWL126" s="2"/>
      <c r="GWN126" s="2"/>
      <c r="GWP126" s="2"/>
      <c r="GWR126" s="2"/>
      <c r="GWT126" s="2"/>
      <c r="GWV126" s="2"/>
      <c r="GWX126" s="2"/>
      <c r="GWZ126" s="2"/>
      <c r="GXB126" s="2"/>
      <c r="GXD126" s="2"/>
      <c r="GXF126" s="2"/>
      <c r="GXH126" s="2"/>
      <c r="GXJ126" s="2"/>
      <c r="GXL126" s="2"/>
      <c r="GXN126" s="2"/>
      <c r="GXP126" s="2"/>
      <c r="GXR126" s="2"/>
      <c r="GXT126" s="2"/>
      <c r="GXV126" s="2"/>
      <c r="GXX126" s="2"/>
      <c r="GXZ126" s="2"/>
      <c r="GYB126" s="2"/>
      <c r="GYD126" s="2"/>
      <c r="GYF126" s="2"/>
      <c r="GYH126" s="2"/>
      <c r="GYJ126" s="2"/>
      <c r="GYL126" s="2"/>
      <c r="GYN126" s="2"/>
      <c r="GYP126" s="2"/>
      <c r="GYR126" s="2"/>
      <c r="GYT126" s="2"/>
      <c r="GYV126" s="2"/>
      <c r="GYX126" s="2"/>
      <c r="GYZ126" s="2"/>
      <c r="GZB126" s="2"/>
      <c r="GZD126" s="2"/>
      <c r="GZF126" s="2"/>
      <c r="GZH126" s="2"/>
      <c r="GZJ126" s="2"/>
      <c r="GZL126" s="2"/>
      <c r="GZN126" s="2"/>
      <c r="GZP126" s="2"/>
      <c r="GZR126" s="2"/>
      <c r="GZT126" s="2"/>
      <c r="GZV126" s="2"/>
      <c r="GZX126" s="2"/>
      <c r="GZZ126" s="2"/>
      <c r="HAB126" s="2"/>
      <c r="HAD126" s="2"/>
      <c r="HAF126" s="2"/>
      <c r="HAH126" s="2"/>
      <c r="HAJ126" s="2"/>
      <c r="HAL126" s="2"/>
      <c r="HAN126" s="2"/>
      <c r="HAP126" s="2"/>
      <c r="HAR126" s="2"/>
      <c r="HAT126" s="2"/>
      <c r="HAV126" s="2"/>
      <c r="HAX126" s="2"/>
      <c r="HAZ126" s="2"/>
      <c r="HBB126" s="2"/>
      <c r="HBD126" s="2"/>
      <c r="HBF126" s="2"/>
      <c r="HBH126" s="2"/>
      <c r="HBJ126" s="2"/>
      <c r="HBL126" s="2"/>
      <c r="HBN126" s="2"/>
      <c r="HBP126" s="2"/>
      <c r="HBR126" s="2"/>
      <c r="HBT126" s="2"/>
      <c r="HBV126" s="2"/>
      <c r="HBX126" s="2"/>
      <c r="HBZ126" s="2"/>
      <c r="HCB126" s="2"/>
      <c r="HCD126" s="2"/>
      <c r="HCF126" s="2"/>
      <c r="HCH126" s="2"/>
      <c r="HCJ126" s="2"/>
      <c r="HCL126" s="2"/>
      <c r="HCN126" s="2"/>
      <c r="HCP126" s="2"/>
      <c r="HCR126" s="2"/>
      <c r="HCT126" s="2"/>
      <c r="HCV126" s="2"/>
      <c r="HCX126" s="2"/>
      <c r="HCZ126" s="2"/>
      <c r="HDB126" s="2"/>
      <c r="HDD126" s="2"/>
      <c r="HDF126" s="2"/>
      <c r="HDH126" s="2"/>
      <c r="HDJ126" s="2"/>
      <c r="HDL126" s="2"/>
      <c r="HDN126" s="2"/>
      <c r="HDP126" s="2"/>
      <c r="HDR126" s="2"/>
      <c r="HDT126" s="2"/>
      <c r="HDV126" s="2"/>
      <c r="HDX126" s="2"/>
      <c r="HDZ126" s="2"/>
      <c r="HEB126" s="2"/>
      <c r="HED126" s="2"/>
      <c r="HEF126" s="2"/>
      <c r="HEH126" s="2"/>
      <c r="HEJ126" s="2"/>
      <c r="HEL126" s="2"/>
      <c r="HEN126" s="2"/>
      <c r="HEP126" s="2"/>
      <c r="HER126" s="2"/>
      <c r="HET126" s="2"/>
      <c r="HEV126" s="2"/>
      <c r="HEX126" s="2"/>
      <c r="HEZ126" s="2"/>
      <c r="HFB126" s="2"/>
      <c r="HFD126" s="2"/>
      <c r="HFF126" s="2"/>
      <c r="HFH126" s="2"/>
      <c r="HFJ126" s="2"/>
      <c r="HFL126" s="2"/>
      <c r="HFN126" s="2"/>
      <c r="HFP126" s="2"/>
      <c r="HFR126" s="2"/>
      <c r="HFT126" s="2"/>
      <c r="HFV126" s="2"/>
      <c r="HFX126" s="2"/>
      <c r="HFZ126" s="2"/>
      <c r="HGB126" s="2"/>
      <c r="HGD126" s="2"/>
      <c r="HGF126" s="2"/>
      <c r="HGH126" s="2"/>
      <c r="HGJ126" s="2"/>
      <c r="HGL126" s="2"/>
      <c r="HGN126" s="2"/>
      <c r="HGP126" s="2"/>
      <c r="HGR126" s="2"/>
      <c r="HGT126" s="2"/>
      <c r="HGV126" s="2"/>
      <c r="HGX126" s="2"/>
      <c r="HGZ126" s="2"/>
      <c r="HHB126" s="2"/>
      <c r="HHD126" s="2"/>
      <c r="HHF126" s="2"/>
      <c r="HHH126" s="2"/>
      <c r="HHJ126" s="2"/>
      <c r="HHL126" s="2"/>
      <c r="HHN126" s="2"/>
      <c r="HHP126" s="2"/>
      <c r="HHR126" s="2"/>
      <c r="HHT126" s="2"/>
      <c r="HHV126" s="2"/>
      <c r="HHX126" s="2"/>
      <c r="HHZ126" s="2"/>
      <c r="HIB126" s="2"/>
      <c r="HID126" s="2"/>
      <c r="HIF126" s="2"/>
      <c r="HIH126" s="2"/>
      <c r="HIJ126" s="2"/>
      <c r="HIL126" s="2"/>
      <c r="HIN126" s="2"/>
      <c r="HIP126" s="2"/>
      <c r="HIR126" s="2"/>
      <c r="HIT126" s="2"/>
      <c r="HIV126" s="2"/>
      <c r="HIX126" s="2"/>
      <c r="HIZ126" s="2"/>
      <c r="HJB126" s="2"/>
      <c r="HJD126" s="2"/>
      <c r="HJF126" s="2"/>
      <c r="HJH126" s="2"/>
      <c r="HJJ126" s="2"/>
      <c r="HJL126" s="2"/>
      <c r="HJN126" s="2"/>
      <c r="HJP126" s="2"/>
      <c r="HJR126" s="2"/>
      <c r="HJT126" s="2"/>
      <c r="HJV126" s="2"/>
      <c r="HJX126" s="2"/>
      <c r="HJZ126" s="2"/>
      <c r="HKB126" s="2"/>
      <c r="HKD126" s="2"/>
      <c r="HKF126" s="2"/>
      <c r="HKH126" s="2"/>
      <c r="HKJ126" s="2"/>
      <c r="HKL126" s="2"/>
      <c r="HKN126" s="2"/>
      <c r="HKP126" s="2"/>
      <c r="HKR126" s="2"/>
      <c r="HKT126" s="2"/>
      <c r="HKV126" s="2"/>
      <c r="HKX126" s="2"/>
      <c r="HKZ126" s="2"/>
      <c r="HLB126" s="2"/>
      <c r="HLD126" s="2"/>
      <c r="HLF126" s="2"/>
      <c r="HLH126" s="2"/>
      <c r="HLJ126" s="2"/>
      <c r="HLL126" s="2"/>
      <c r="HLN126" s="2"/>
      <c r="HLP126" s="2"/>
      <c r="HLR126" s="2"/>
      <c r="HLT126" s="2"/>
      <c r="HLV126" s="2"/>
      <c r="HLX126" s="2"/>
      <c r="HLZ126" s="2"/>
      <c r="HMB126" s="2"/>
      <c r="HMD126" s="2"/>
      <c r="HMF126" s="2"/>
      <c r="HMH126" s="2"/>
      <c r="HMJ126" s="2"/>
      <c r="HML126" s="2"/>
      <c r="HMN126" s="2"/>
      <c r="HMP126" s="2"/>
      <c r="HMR126" s="2"/>
      <c r="HMT126" s="2"/>
      <c r="HMV126" s="2"/>
      <c r="HMX126" s="2"/>
      <c r="HMZ126" s="2"/>
      <c r="HNB126" s="2"/>
      <c r="HND126" s="2"/>
      <c r="HNF126" s="2"/>
      <c r="HNH126" s="2"/>
      <c r="HNJ126" s="2"/>
      <c r="HNL126" s="2"/>
      <c r="HNN126" s="2"/>
      <c r="HNP126" s="2"/>
      <c r="HNR126" s="2"/>
      <c r="HNT126" s="2"/>
      <c r="HNV126" s="2"/>
      <c r="HNX126" s="2"/>
      <c r="HNZ126" s="2"/>
      <c r="HOB126" s="2"/>
      <c r="HOD126" s="2"/>
      <c r="HOF126" s="2"/>
      <c r="HOH126" s="2"/>
      <c r="HOJ126" s="2"/>
      <c r="HOL126" s="2"/>
      <c r="HON126" s="2"/>
      <c r="HOP126" s="2"/>
      <c r="HOR126" s="2"/>
      <c r="HOT126" s="2"/>
      <c r="HOV126" s="2"/>
      <c r="HOX126" s="2"/>
      <c r="HOZ126" s="2"/>
      <c r="HPB126" s="2"/>
      <c r="HPD126" s="2"/>
      <c r="HPF126" s="2"/>
      <c r="HPH126" s="2"/>
      <c r="HPJ126" s="2"/>
      <c r="HPL126" s="2"/>
      <c r="HPN126" s="2"/>
      <c r="HPP126" s="2"/>
      <c r="HPR126" s="2"/>
      <c r="HPT126" s="2"/>
      <c r="HPV126" s="2"/>
      <c r="HPX126" s="2"/>
      <c r="HPZ126" s="2"/>
      <c r="HQB126" s="2"/>
      <c r="HQD126" s="2"/>
      <c r="HQF126" s="2"/>
      <c r="HQH126" s="2"/>
      <c r="HQJ126" s="2"/>
      <c r="HQL126" s="2"/>
      <c r="HQN126" s="2"/>
      <c r="HQP126" s="2"/>
      <c r="HQR126" s="2"/>
      <c r="HQT126" s="2"/>
      <c r="HQV126" s="2"/>
      <c r="HQX126" s="2"/>
      <c r="HQZ126" s="2"/>
      <c r="HRB126" s="2"/>
      <c r="HRD126" s="2"/>
      <c r="HRF126" s="2"/>
      <c r="HRH126" s="2"/>
      <c r="HRJ126" s="2"/>
      <c r="HRL126" s="2"/>
      <c r="HRN126" s="2"/>
      <c r="HRP126" s="2"/>
      <c r="HRR126" s="2"/>
      <c r="HRT126" s="2"/>
      <c r="HRV126" s="2"/>
      <c r="HRX126" s="2"/>
      <c r="HRZ126" s="2"/>
      <c r="HSB126" s="2"/>
      <c r="HSD126" s="2"/>
      <c r="HSF126" s="2"/>
      <c r="HSH126" s="2"/>
      <c r="HSJ126" s="2"/>
      <c r="HSL126" s="2"/>
      <c r="HSN126" s="2"/>
      <c r="HSP126" s="2"/>
      <c r="HSR126" s="2"/>
      <c r="HST126" s="2"/>
      <c r="HSV126" s="2"/>
      <c r="HSX126" s="2"/>
      <c r="HSZ126" s="2"/>
      <c r="HTB126" s="2"/>
      <c r="HTD126" s="2"/>
      <c r="HTF126" s="2"/>
      <c r="HTH126" s="2"/>
      <c r="HTJ126" s="2"/>
      <c r="HTL126" s="2"/>
      <c r="HTN126" s="2"/>
      <c r="HTP126" s="2"/>
      <c r="HTR126" s="2"/>
      <c r="HTT126" s="2"/>
      <c r="HTV126" s="2"/>
      <c r="HTX126" s="2"/>
      <c r="HTZ126" s="2"/>
      <c r="HUB126" s="2"/>
      <c r="HUD126" s="2"/>
      <c r="HUF126" s="2"/>
      <c r="HUH126" s="2"/>
      <c r="HUJ126" s="2"/>
      <c r="HUL126" s="2"/>
      <c r="HUN126" s="2"/>
      <c r="HUP126" s="2"/>
      <c r="HUR126" s="2"/>
      <c r="HUT126" s="2"/>
      <c r="HUV126" s="2"/>
      <c r="HUX126" s="2"/>
      <c r="HUZ126" s="2"/>
      <c r="HVB126" s="2"/>
      <c r="HVD126" s="2"/>
      <c r="HVF126" s="2"/>
      <c r="HVH126" s="2"/>
      <c r="HVJ126" s="2"/>
      <c r="HVL126" s="2"/>
      <c r="HVN126" s="2"/>
      <c r="HVP126" s="2"/>
      <c r="HVR126" s="2"/>
      <c r="HVT126" s="2"/>
      <c r="HVV126" s="2"/>
      <c r="HVX126" s="2"/>
      <c r="HVZ126" s="2"/>
      <c r="HWB126" s="2"/>
      <c r="HWD126" s="2"/>
      <c r="HWF126" s="2"/>
      <c r="HWH126" s="2"/>
      <c r="HWJ126" s="2"/>
      <c r="HWL126" s="2"/>
      <c r="HWN126" s="2"/>
      <c r="HWP126" s="2"/>
      <c r="HWR126" s="2"/>
      <c r="HWT126" s="2"/>
      <c r="HWV126" s="2"/>
      <c r="HWX126" s="2"/>
      <c r="HWZ126" s="2"/>
      <c r="HXB126" s="2"/>
      <c r="HXD126" s="2"/>
      <c r="HXF126" s="2"/>
      <c r="HXH126" s="2"/>
      <c r="HXJ126" s="2"/>
      <c r="HXL126" s="2"/>
      <c r="HXN126" s="2"/>
      <c r="HXP126" s="2"/>
      <c r="HXR126" s="2"/>
      <c r="HXT126" s="2"/>
      <c r="HXV126" s="2"/>
      <c r="HXX126" s="2"/>
      <c r="HXZ126" s="2"/>
      <c r="HYB126" s="2"/>
      <c r="HYD126" s="2"/>
      <c r="HYF126" s="2"/>
      <c r="HYH126" s="2"/>
      <c r="HYJ126" s="2"/>
      <c r="HYL126" s="2"/>
      <c r="HYN126" s="2"/>
      <c r="HYP126" s="2"/>
      <c r="HYR126" s="2"/>
      <c r="HYT126" s="2"/>
      <c r="HYV126" s="2"/>
      <c r="HYX126" s="2"/>
      <c r="HYZ126" s="2"/>
      <c r="HZB126" s="2"/>
      <c r="HZD126" s="2"/>
      <c r="HZF126" s="2"/>
      <c r="HZH126" s="2"/>
      <c r="HZJ126" s="2"/>
      <c r="HZL126" s="2"/>
      <c r="HZN126" s="2"/>
      <c r="HZP126" s="2"/>
      <c r="HZR126" s="2"/>
      <c r="HZT126" s="2"/>
      <c r="HZV126" s="2"/>
      <c r="HZX126" s="2"/>
      <c r="HZZ126" s="2"/>
      <c r="IAB126" s="2"/>
      <c r="IAD126" s="2"/>
      <c r="IAF126" s="2"/>
      <c r="IAH126" s="2"/>
      <c r="IAJ126" s="2"/>
      <c r="IAL126" s="2"/>
      <c r="IAN126" s="2"/>
      <c r="IAP126" s="2"/>
      <c r="IAR126" s="2"/>
      <c r="IAT126" s="2"/>
      <c r="IAV126" s="2"/>
      <c r="IAX126" s="2"/>
      <c r="IAZ126" s="2"/>
      <c r="IBB126" s="2"/>
      <c r="IBD126" s="2"/>
      <c r="IBF126" s="2"/>
      <c r="IBH126" s="2"/>
      <c r="IBJ126" s="2"/>
      <c r="IBL126" s="2"/>
      <c r="IBN126" s="2"/>
      <c r="IBP126" s="2"/>
      <c r="IBR126" s="2"/>
      <c r="IBT126" s="2"/>
      <c r="IBV126" s="2"/>
      <c r="IBX126" s="2"/>
      <c r="IBZ126" s="2"/>
      <c r="ICB126" s="2"/>
      <c r="ICD126" s="2"/>
      <c r="ICF126" s="2"/>
      <c r="ICH126" s="2"/>
      <c r="ICJ126" s="2"/>
      <c r="ICL126" s="2"/>
      <c r="ICN126" s="2"/>
      <c r="ICP126" s="2"/>
      <c r="ICR126" s="2"/>
      <c r="ICT126" s="2"/>
      <c r="ICV126" s="2"/>
      <c r="ICX126" s="2"/>
      <c r="ICZ126" s="2"/>
      <c r="IDB126" s="2"/>
      <c r="IDD126" s="2"/>
      <c r="IDF126" s="2"/>
      <c r="IDH126" s="2"/>
      <c r="IDJ126" s="2"/>
      <c r="IDL126" s="2"/>
      <c r="IDN126" s="2"/>
      <c r="IDP126" s="2"/>
      <c r="IDR126" s="2"/>
      <c r="IDT126" s="2"/>
      <c r="IDV126" s="2"/>
      <c r="IDX126" s="2"/>
      <c r="IDZ126" s="2"/>
      <c r="IEB126" s="2"/>
      <c r="IED126" s="2"/>
      <c r="IEF126" s="2"/>
      <c r="IEH126" s="2"/>
      <c r="IEJ126" s="2"/>
      <c r="IEL126" s="2"/>
      <c r="IEN126" s="2"/>
      <c r="IEP126" s="2"/>
      <c r="IER126" s="2"/>
      <c r="IET126" s="2"/>
      <c r="IEV126" s="2"/>
      <c r="IEX126" s="2"/>
      <c r="IEZ126" s="2"/>
      <c r="IFB126" s="2"/>
      <c r="IFD126" s="2"/>
      <c r="IFF126" s="2"/>
      <c r="IFH126" s="2"/>
      <c r="IFJ126" s="2"/>
      <c r="IFL126" s="2"/>
      <c r="IFN126" s="2"/>
      <c r="IFP126" s="2"/>
      <c r="IFR126" s="2"/>
      <c r="IFT126" s="2"/>
      <c r="IFV126" s="2"/>
      <c r="IFX126" s="2"/>
      <c r="IFZ126" s="2"/>
      <c r="IGB126" s="2"/>
      <c r="IGD126" s="2"/>
      <c r="IGF126" s="2"/>
      <c r="IGH126" s="2"/>
      <c r="IGJ126" s="2"/>
      <c r="IGL126" s="2"/>
      <c r="IGN126" s="2"/>
      <c r="IGP126" s="2"/>
      <c r="IGR126" s="2"/>
      <c r="IGT126" s="2"/>
      <c r="IGV126" s="2"/>
      <c r="IGX126" s="2"/>
      <c r="IGZ126" s="2"/>
      <c r="IHB126" s="2"/>
      <c r="IHD126" s="2"/>
      <c r="IHF126" s="2"/>
      <c r="IHH126" s="2"/>
      <c r="IHJ126" s="2"/>
      <c r="IHL126" s="2"/>
      <c r="IHN126" s="2"/>
      <c r="IHP126" s="2"/>
      <c r="IHR126" s="2"/>
      <c r="IHT126" s="2"/>
      <c r="IHV126" s="2"/>
      <c r="IHX126" s="2"/>
      <c r="IHZ126" s="2"/>
      <c r="IIB126" s="2"/>
      <c r="IID126" s="2"/>
      <c r="IIF126" s="2"/>
      <c r="IIH126" s="2"/>
      <c r="IIJ126" s="2"/>
      <c r="IIL126" s="2"/>
      <c r="IIN126" s="2"/>
      <c r="IIP126" s="2"/>
      <c r="IIR126" s="2"/>
      <c r="IIT126" s="2"/>
      <c r="IIV126" s="2"/>
      <c r="IIX126" s="2"/>
      <c r="IIZ126" s="2"/>
      <c r="IJB126" s="2"/>
      <c r="IJD126" s="2"/>
      <c r="IJF126" s="2"/>
      <c r="IJH126" s="2"/>
      <c r="IJJ126" s="2"/>
      <c r="IJL126" s="2"/>
      <c r="IJN126" s="2"/>
      <c r="IJP126" s="2"/>
      <c r="IJR126" s="2"/>
      <c r="IJT126" s="2"/>
      <c r="IJV126" s="2"/>
      <c r="IJX126" s="2"/>
      <c r="IJZ126" s="2"/>
      <c r="IKB126" s="2"/>
      <c r="IKD126" s="2"/>
      <c r="IKF126" s="2"/>
      <c r="IKH126" s="2"/>
      <c r="IKJ126" s="2"/>
      <c r="IKL126" s="2"/>
      <c r="IKN126" s="2"/>
      <c r="IKP126" s="2"/>
      <c r="IKR126" s="2"/>
      <c r="IKT126" s="2"/>
      <c r="IKV126" s="2"/>
      <c r="IKX126" s="2"/>
      <c r="IKZ126" s="2"/>
      <c r="ILB126" s="2"/>
      <c r="ILD126" s="2"/>
      <c r="ILF126" s="2"/>
      <c r="ILH126" s="2"/>
      <c r="ILJ126" s="2"/>
      <c r="ILL126" s="2"/>
      <c r="ILN126" s="2"/>
      <c r="ILP126" s="2"/>
      <c r="ILR126" s="2"/>
      <c r="ILT126" s="2"/>
      <c r="ILV126" s="2"/>
      <c r="ILX126" s="2"/>
      <c r="ILZ126" s="2"/>
      <c r="IMB126" s="2"/>
      <c r="IMD126" s="2"/>
      <c r="IMF126" s="2"/>
      <c r="IMH126" s="2"/>
      <c r="IMJ126" s="2"/>
      <c r="IML126" s="2"/>
      <c r="IMN126" s="2"/>
      <c r="IMP126" s="2"/>
      <c r="IMR126" s="2"/>
      <c r="IMT126" s="2"/>
      <c r="IMV126" s="2"/>
      <c r="IMX126" s="2"/>
      <c r="IMZ126" s="2"/>
      <c r="INB126" s="2"/>
      <c r="IND126" s="2"/>
      <c r="INF126" s="2"/>
      <c r="INH126" s="2"/>
      <c r="INJ126" s="2"/>
      <c r="INL126" s="2"/>
      <c r="INN126" s="2"/>
      <c r="INP126" s="2"/>
      <c r="INR126" s="2"/>
      <c r="INT126" s="2"/>
      <c r="INV126" s="2"/>
      <c r="INX126" s="2"/>
      <c r="INZ126" s="2"/>
      <c r="IOB126" s="2"/>
      <c r="IOD126" s="2"/>
      <c r="IOF126" s="2"/>
      <c r="IOH126" s="2"/>
      <c r="IOJ126" s="2"/>
      <c r="IOL126" s="2"/>
      <c r="ION126" s="2"/>
      <c r="IOP126" s="2"/>
      <c r="IOR126" s="2"/>
      <c r="IOT126" s="2"/>
      <c r="IOV126" s="2"/>
      <c r="IOX126" s="2"/>
      <c r="IOZ126" s="2"/>
      <c r="IPB126" s="2"/>
      <c r="IPD126" s="2"/>
      <c r="IPF126" s="2"/>
      <c r="IPH126" s="2"/>
      <c r="IPJ126" s="2"/>
      <c r="IPL126" s="2"/>
      <c r="IPN126" s="2"/>
      <c r="IPP126" s="2"/>
      <c r="IPR126" s="2"/>
      <c r="IPT126" s="2"/>
      <c r="IPV126" s="2"/>
      <c r="IPX126" s="2"/>
      <c r="IPZ126" s="2"/>
      <c r="IQB126" s="2"/>
      <c r="IQD126" s="2"/>
      <c r="IQF126" s="2"/>
      <c r="IQH126" s="2"/>
      <c r="IQJ126" s="2"/>
      <c r="IQL126" s="2"/>
      <c r="IQN126" s="2"/>
      <c r="IQP126" s="2"/>
      <c r="IQR126" s="2"/>
      <c r="IQT126" s="2"/>
      <c r="IQV126" s="2"/>
      <c r="IQX126" s="2"/>
      <c r="IQZ126" s="2"/>
      <c r="IRB126" s="2"/>
      <c r="IRD126" s="2"/>
      <c r="IRF126" s="2"/>
      <c r="IRH126" s="2"/>
      <c r="IRJ126" s="2"/>
      <c r="IRL126" s="2"/>
      <c r="IRN126" s="2"/>
      <c r="IRP126" s="2"/>
      <c r="IRR126" s="2"/>
      <c r="IRT126" s="2"/>
      <c r="IRV126" s="2"/>
      <c r="IRX126" s="2"/>
      <c r="IRZ126" s="2"/>
      <c r="ISB126" s="2"/>
      <c r="ISD126" s="2"/>
      <c r="ISF126" s="2"/>
      <c r="ISH126" s="2"/>
      <c r="ISJ126" s="2"/>
      <c r="ISL126" s="2"/>
      <c r="ISN126" s="2"/>
      <c r="ISP126" s="2"/>
      <c r="ISR126" s="2"/>
      <c r="IST126" s="2"/>
      <c r="ISV126" s="2"/>
      <c r="ISX126" s="2"/>
      <c r="ISZ126" s="2"/>
      <c r="ITB126" s="2"/>
      <c r="ITD126" s="2"/>
      <c r="ITF126" s="2"/>
      <c r="ITH126" s="2"/>
      <c r="ITJ126" s="2"/>
      <c r="ITL126" s="2"/>
      <c r="ITN126" s="2"/>
      <c r="ITP126" s="2"/>
      <c r="ITR126" s="2"/>
      <c r="ITT126" s="2"/>
      <c r="ITV126" s="2"/>
      <c r="ITX126" s="2"/>
      <c r="ITZ126" s="2"/>
      <c r="IUB126" s="2"/>
      <c r="IUD126" s="2"/>
      <c r="IUF126" s="2"/>
      <c r="IUH126" s="2"/>
      <c r="IUJ126" s="2"/>
      <c r="IUL126" s="2"/>
      <c r="IUN126" s="2"/>
      <c r="IUP126" s="2"/>
      <c r="IUR126" s="2"/>
      <c r="IUT126" s="2"/>
      <c r="IUV126" s="2"/>
      <c r="IUX126" s="2"/>
      <c r="IUZ126" s="2"/>
      <c r="IVB126" s="2"/>
      <c r="IVD126" s="2"/>
      <c r="IVF126" s="2"/>
      <c r="IVH126" s="2"/>
      <c r="IVJ126" s="2"/>
      <c r="IVL126" s="2"/>
      <c r="IVN126" s="2"/>
      <c r="IVP126" s="2"/>
      <c r="IVR126" s="2"/>
      <c r="IVT126" s="2"/>
      <c r="IVV126" s="2"/>
      <c r="IVX126" s="2"/>
      <c r="IVZ126" s="2"/>
      <c r="IWB126" s="2"/>
      <c r="IWD126" s="2"/>
      <c r="IWF126" s="2"/>
      <c r="IWH126" s="2"/>
      <c r="IWJ126" s="2"/>
      <c r="IWL126" s="2"/>
      <c r="IWN126" s="2"/>
      <c r="IWP126" s="2"/>
      <c r="IWR126" s="2"/>
      <c r="IWT126" s="2"/>
      <c r="IWV126" s="2"/>
      <c r="IWX126" s="2"/>
      <c r="IWZ126" s="2"/>
      <c r="IXB126" s="2"/>
      <c r="IXD126" s="2"/>
      <c r="IXF126" s="2"/>
      <c r="IXH126" s="2"/>
      <c r="IXJ126" s="2"/>
      <c r="IXL126" s="2"/>
      <c r="IXN126" s="2"/>
      <c r="IXP126" s="2"/>
      <c r="IXR126" s="2"/>
      <c r="IXT126" s="2"/>
      <c r="IXV126" s="2"/>
      <c r="IXX126" s="2"/>
      <c r="IXZ126" s="2"/>
      <c r="IYB126" s="2"/>
      <c r="IYD126" s="2"/>
      <c r="IYF126" s="2"/>
      <c r="IYH126" s="2"/>
      <c r="IYJ126" s="2"/>
      <c r="IYL126" s="2"/>
      <c r="IYN126" s="2"/>
      <c r="IYP126" s="2"/>
      <c r="IYR126" s="2"/>
      <c r="IYT126" s="2"/>
      <c r="IYV126" s="2"/>
      <c r="IYX126" s="2"/>
      <c r="IYZ126" s="2"/>
      <c r="IZB126" s="2"/>
      <c r="IZD126" s="2"/>
      <c r="IZF126" s="2"/>
      <c r="IZH126" s="2"/>
      <c r="IZJ126" s="2"/>
      <c r="IZL126" s="2"/>
      <c r="IZN126" s="2"/>
      <c r="IZP126" s="2"/>
      <c r="IZR126" s="2"/>
      <c r="IZT126" s="2"/>
      <c r="IZV126" s="2"/>
      <c r="IZX126" s="2"/>
      <c r="IZZ126" s="2"/>
      <c r="JAB126" s="2"/>
      <c r="JAD126" s="2"/>
      <c r="JAF126" s="2"/>
      <c r="JAH126" s="2"/>
      <c r="JAJ126" s="2"/>
      <c r="JAL126" s="2"/>
      <c r="JAN126" s="2"/>
      <c r="JAP126" s="2"/>
      <c r="JAR126" s="2"/>
      <c r="JAT126" s="2"/>
      <c r="JAV126" s="2"/>
      <c r="JAX126" s="2"/>
      <c r="JAZ126" s="2"/>
      <c r="JBB126" s="2"/>
      <c r="JBD126" s="2"/>
      <c r="JBF126" s="2"/>
      <c r="JBH126" s="2"/>
      <c r="JBJ126" s="2"/>
      <c r="JBL126" s="2"/>
      <c r="JBN126" s="2"/>
      <c r="JBP126" s="2"/>
      <c r="JBR126" s="2"/>
      <c r="JBT126" s="2"/>
      <c r="JBV126" s="2"/>
      <c r="JBX126" s="2"/>
      <c r="JBZ126" s="2"/>
      <c r="JCB126" s="2"/>
      <c r="JCD126" s="2"/>
      <c r="JCF126" s="2"/>
      <c r="JCH126" s="2"/>
      <c r="JCJ126" s="2"/>
      <c r="JCL126" s="2"/>
      <c r="JCN126" s="2"/>
      <c r="JCP126" s="2"/>
      <c r="JCR126" s="2"/>
      <c r="JCT126" s="2"/>
      <c r="JCV126" s="2"/>
      <c r="JCX126" s="2"/>
      <c r="JCZ126" s="2"/>
      <c r="JDB126" s="2"/>
      <c r="JDD126" s="2"/>
      <c r="JDF126" s="2"/>
      <c r="JDH126" s="2"/>
      <c r="JDJ126" s="2"/>
      <c r="JDL126" s="2"/>
      <c r="JDN126" s="2"/>
      <c r="JDP126" s="2"/>
      <c r="JDR126" s="2"/>
      <c r="JDT126" s="2"/>
      <c r="JDV126" s="2"/>
      <c r="JDX126" s="2"/>
      <c r="JDZ126" s="2"/>
      <c r="JEB126" s="2"/>
      <c r="JED126" s="2"/>
      <c r="JEF126" s="2"/>
      <c r="JEH126" s="2"/>
      <c r="JEJ126" s="2"/>
      <c r="JEL126" s="2"/>
      <c r="JEN126" s="2"/>
      <c r="JEP126" s="2"/>
      <c r="JER126" s="2"/>
      <c r="JET126" s="2"/>
      <c r="JEV126" s="2"/>
      <c r="JEX126" s="2"/>
      <c r="JEZ126" s="2"/>
      <c r="JFB126" s="2"/>
      <c r="JFD126" s="2"/>
      <c r="JFF126" s="2"/>
      <c r="JFH126" s="2"/>
      <c r="JFJ126" s="2"/>
      <c r="JFL126" s="2"/>
      <c r="JFN126" s="2"/>
      <c r="JFP126" s="2"/>
      <c r="JFR126" s="2"/>
      <c r="JFT126" s="2"/>
      <c r="JFV126" s="2"/>
      <c r="JFX126" s="2"/>
      <c r="JFZ126" s="2"/>
      <c r="JGB126" s="2"/>
      <c r="JGD126" s="2"/>
      <c r="JGF126" s="2"/>
      <c r="JGH126" s="2"/>
      <c r="JGJ126" s="2"/>
      <c r="JGL126" s="2"/>
      <c r="JGN126" s="2"/>
      <c r="JGP126" s="2"/>
      <c r="JGR126" s="2"/>
      <c r="JGT126" s="2"/>
      <c r="JGV126" s="2"/>
      <c r="JGX126" s="2"/>
      <c r="JGZ126" s="2"/>
      <c r="JHB126" s="2"/>
      <c r="JHD126" s="2"/>
      <c r="JHF126" s="2"/>
      <c r="JHH126" s="2"/>
      <c r="JHJ126" s="2"/>
      <c r="JHL126" s="2"/>
      <c r="JHN126" s="2"/>
      <c r="JHP126" s="2"/>
      <c r="JHR126" s="2"/>
      <c r="JHT126" s="2"/>
      <c r="JHV126" s="2"/>
      <c r="JHX126" s="2"/>
      <c r="JHZ126" s="2"/>
      <c r="JIB126" s="2"/>
      <c r="JID126" s="2"/>
      <c r="JIF126" s="2"/>
      <c r="JIH126" s="2"/>
      <c r="JIJ126" s="2"/>
      <c r="JIL126" s="2"/>
      <c r="JIN126" s="2"/>
      <c r="JIP126" s="2"/>
      <c r="JIR126" s="2"/>
      <c r="JIT126" s="2"/>
      <c r="JIV126" s="2"/>
      <c r="JIX126" s="2"/>
      <c r="JIZ126" s="2"/>
      <c r="JJB126" s="2"/>
      <c r="JJD126" s="2"/>
      <c r="JJF126" s="2"/>
      <c r="JJH126" s="2"/>
      <c r="JJJ126" s="2"/>
      <c r="JJL126" s="2"/>
      <c r="JJN126" s="2"/>
      <c r="JJP126" s="2"/>
      <c r="JJR126" s="2"/>
      <c r="JJT126" s="2"/>
      <c r="JJV126" s="2"/>
      <c r="JJX126" s="2"/>
      <c r="JJZ126" s="2"/>
      <c r="JKB126" s="2"/>
      <c r="JKD126" s="2"/>
      <c r="JKF126" s="2"/>
      <c r="JKH126" s="2"/>
      <c r="JKJ126" s="2"/>
      <c r="JKL126" s="2"/>
      <c r="JKN126" s="2"/>
      <c r="JKP126" s="2"/>
      <c r="JKR126" s="2"/>
      <c r="JKT126" s="2"/>
      <c r="JKV126" s="2"/>
      <c r="JKX126" s="2"/>
      <c r="JKZ126" s="2"/>
      <c r="JLB126" s="2"/>
      <c r="JLD126" s="2"/>
      <c r="JLF126" s="2"/>
      <c r="JLH126" s="2"/>
      <c r="JLJ126" s="2"/>
      <c r="JLL126" s="2"/>
      <c r="JLN126" s="2"/>
      <c r="JLP126" s="2"/>
      <c r="JLR126" s="2"/>
      <c r="JLT126" s="2"/>
      <c r="JLV126" s="2"/>
      <c r="JLX126" s="2"/>
      <c r="JLZ126" s="2"/>
      <c r="JMB126" s="2"/>
      <c r="JMD126" s="2"/>
      <c r="JMF126" s="2"/>
      <c r="JMH126" s="2"/>
      <c r="JMJ126" s="2"/>
      <c r="JML126" s="2"/>
      <c r="JMN126" s="2"/>
      <c r="JMP126" s="2"/>
      <c r="JMR126" s="2"/>
      <c r="JMT126" s="2"/>
      <c r="JMV126" s="2"/>
      <c r="JMX126" s="2"/>
      <c r="JMZ126" s="2"/>
      <c r="JNB126" s="2"/>
      <c r="JND126" s="2"/>
      <c r="JNF126" s="2"/>
      <c r="JNH126" s="2"/>
      <c r="JNJ126" s="2"/>
      <c r="JNL126" s="2"/>
      <c r="JNN126" s="2"/>
      <c r="JNP126" s="2"/>
      <c r="JNR126" s="2"/>
      <c r="JNT126" s="2"/>
      <c r="JNV126" s="2"/>
      <c r="JNX126" s="2"/>
      <c r="JNZ126" s="2"/>
      <c r="JOB126" s="2"/>
      <c r="JOD126" s="2"/>
      <c r="JOF126" s="2"/>
      <c r="JOH126" s="2"/>
      <c r="JOJ126" s="2"/>
      <c r="JOL126" s="2"/>
      <c r="JON126" s="2"/>
      <c r="JOP126" s="2"/>
      <c r="JOR126" s="2"/>
      <c r="JOT126" s="2"/>
      <c r="JOV126" s="2"/>
      <c r="JOX126" s="2"/>
      <c r="JOZ126" s="2"/>
      <c r="JPB126" s="2"/>
      <c r="JPD126" s="2"/>
      <c r="JPF126" s="2"/>
      <c r="JPH126" s="2"/>
      <c r="JPJ126" s="2"/>
      <c r="JPL126" s="2"/>
      <c r="JPN126" s="2"/>
      <c r="JPP126" s="2"/>
      <c r="JPR126" s="2"/>
      <c r="JPT126" s="2"/>
      <c r="JPV126" s="2"/>
      <c r="JPX126" s="2"/>
      <c r="JPZ126" s="2"/>
      <c r="JQB126" s="2"/>
      <c r="JQD126" s="2"/>
      <c r="JQF126" s="2"/>
      <c r="JQH126" s="2"/>
      <c r="JQJ126" s="2"/>
      <c r="JQL126" s="2"/>
      <c r="JQN126" s="2"/>
      <c r="JQP126" s="2"/>
      <c r="JQR126" s="2"/>
      <c r="JQT126" s="2"/>
      <c r="JQV126" s="2"/>
      <c r="JQX126" s="2"/>
      <c r="JQZ126" s="2"/>
      <c r="JRB126" s="2"/>
      <c r="JRD126" s="2"/>
      <c r="JRF126" s="2"/>
      <c r="JRH126" s="2"/>
      <c r="JRJ126" s="2"/>
      <c r="JRL126" s="2"/>
      <c r="JRN126" s="2"/>
      <c r="JRP126" s="2"/>
      <c r="JRR126" s="2"/>
      <c r="JRT126" s="2"/>
      <c r="JRV126" s="2"/>
      <c r="JRX126" s="2"/>
      <c r="JRZ126" s="2"/>
      <c r="JSB126" s="2"/>
      <c r="JSD126" s="2"/>
      <c r="JSF126" s="2"/>
      <c r="JSH126" s="2"/>
      <c r="JSJ126" s="2"/>
      <c r="JSL126" s="2"/>
      <c r="JSN126" s="2"/>
      <c r="JSP126" s="2"/>
      <c r="JSR126" s="2"/>
      <c r="JST126" s="2"/>
      <c r="JSV126" s="2"/>
      <c r="JSX126" s="2"/>
      <c r="JSZ126" s="2"/>
      <c r="JTB126" s="2"/>
      <c r="JTD126" s="2"/>
      <c r="JTF126" s="2"/>
      <c r="JTH126" s="2"/>
      <c r="JTJ126" s="2"/>
      <c r="JTL126" s="2"/>
      <c r="JTN126" s="2"/>
      <c r="JTP126" s="2"/>
      <c r="JTR126" s="2"/>
      <c r="JTT126" s="2"/>
      <c r="JTV126" s="2"/>
      <c r="JTX126" s="2"/>
      <c r="JTZ126" s="2"/>
      <c r="JUB126" s="2"/>
      <c r="JUD126" s="2"/>
      <c r="JUF126" s="2"/>
      <c r="JUH126" s="2"/>
      <c r="JUJ126" s="2"/>
      <c r="JUL126" s="2"/>
      <c r="JUN126" s="2"/>
      <c r="JUP126" s="2"/>
      <c r="JUR126" s="2"/>
      <c r="JUT126" s="2"/>
      <c r="JUV126" s="2"/>
      <c r="JUX126" s="2"/>
      <c r="JUZ126" s="2"/>
      <c r="JVB126" s="2"/>
      <c r="JVD126" s="2"/>
      <c r="JVF126" s="2"/>
      <c r="JVH126" s="2"/>
      <c r="JVJ126" s="2"/>
      <c r="JVL126" s="2"/>
      <c r="JVN126" s="2"/>
      <c r="JVP126" s="2"/>
      <c r="JVR126" s="2"/>
      <c r="JVT126" s="2"/>
      <c r="JVV126" s="2"/>
      <c r="JVX126" s="2"/>
      <c r="JVZ126" s="2"/>
      <c r="JWB126" s="2"/>
      <c r="JWD126" s="2"/>
      <c r="JWF126" s="2"/>
      <c r="JWH126" s="2"/>
      <c r="JWJ126" s="2"/>
      <c r="JWL126" s="2"/>
      <c r="JWN126" s="2"/>
      <c r="JWP126" s="2"/>
      <c r="JWR126" s="2"/>
      <c r="JWT126" s="2"/>
      <c r="JWV126" s="2"/>
      <c r="JWX126" s="2"/>
      <c r="JWZ126" s="2"/>
      <c r="JXB126" s="2"/>
      <c r="JXD126" s="2"/>
      <c r="JXF126" s="2"/>
      <c r="JXH126" s="2"/>
      <c r="JXJ126" s="2"/>
      <c r="JXL126" s="2"/>
      <c r="JXN126" s="2"/>
      <c r="JXP126" s="2"/>
      <c r="JXR126" s="2"/>
      <c r="JXT126" s="2"/>
      <c r="JXV126" s="2"/>
      <c r="JXX126" s="2"/>
      <c r="JXZ126" s="2"/>
      <c r="JYB126" s="2"/>
      <c r="JYD126" s="2"/>
      <c r="JYF126" s="2"/>
      <c r="JYH126" s="2"/>
      <c r="JYJ126" s="2"/>
      <c r="JYL126" s="2"/>
      <c r="JYN126" s="2"/>
      <c r="JYP126" s="2"/>
      <c r="JYR126" s="2"/>
      <c r="JYT126" s="2"/>
      <c r="JYV126" s="2"/>
      <c r="JYX126" s="2"/>
      <c r="JYZ126" s="2"/>
      <c r="JZB126" s="2"/>
      <c r="JZD126" s="2"/>
      <c r="JZF126" s="2"/>
      <c r="JZH126" s="2"/>
      <c r="JZJ126" s="2"/>
      <c r="JZL126" s="2"/>
      <c r="JZN126" s="2"/>
      <c r="JZP126" s="2"/>
      <c r="JZR126" s="2"/>
      <c r="JZT126" s="2"/>
      <c r="JZV126" s="2"/>
      <c r="JZX126" s="2"/>
      <c r="JZZ126" s="2"/>
      <c r="KAB126" s="2"/>
      <c r="KAD126" s="2"/>
      <c r="KAF126" s="2"/>
      <c r="KAH126" s="2"/>
      <c r="KAJ126" s="2"/>
      <c r="KAL126" s="2"/>
      <c r="KAN126" s="2"/>
      <c r="KAP126" s="2"/>
      <c r="KAR126" s="2"/>
      <c r="KAT126" s="2"/>
      <c r="KAV126" s="2"/>
      <c r="KAX126" s="2"/>
      <c r="KAZ126" s="2"/>
      <c r="KBB126" s="2"/>
      <c r="KBD126" s="2"/>
      <c r="KBF126" s="2"/>
      <c r="KBH126" s="2"/>
      <c r="KBJ126" s="2"/>
      <c r="KBL126" s="2"/>
      <c r="KBN126" s="2"/>
      <c r="KBP126" s="2"/>
      <c r="KBR126" s="2"/>
      <c r="KBT126" s="2"/>
      <c r="KBV126" s="2"/>
      <c r="KBX126" s="2"/>
      <c r="KBZ126" s="2"/>
      <c r="KCB126" s="2"/>
      <c r="KCD126" s="2"/>
      <c r="KCF126" s="2"/>
      <c r="KCH126" s="2"/>
      <c r="KCJ126" s="2"/>
      <c r="KCL126" s="2"/>
      <c r="KCN126" s="2"/>
      <c r="KCP126" s="2"/>
      <c r="KCR126" s="2"/>
      <c r="KCT126" s="2"/>
      <c r="KCV126" s="2"/>
      <c r="KCX126" s="2"/>
      <c r="KCZ126" s="2"/>
      <c r="KDB126" s="2"/>
      <c r="KDD126" s="2"/>
      <c r="KDF126" s="2"/>
      <c r="KDH126" s="2"/>
      <c r="KDJ126" s="2"/>
      <c r="KDL126" s="2"/>
      <c r="KDN126" s="2"/>
      <c r="KDP126" s="2"/>
      <c r="KDR126" s="2"/>
      <c r="KDT126" s="2"/>
      <c r="KDV126" s="2"/>
      <c r="KDX126" s="2"/>
      <c r="KDZ126" s="2"/>
      <c r="KEB126" s="2"/>
      <c r="KED126" s="2"/>
      <c r="KEF126" s="2"/>
      <c r="KEH126" s="2"/>
      <c r="KEJ126" s="2"/>
      <c r="KEL126" s="2"/>
      <c r="KEN126" s="2"/>
      <c r="KEP126" s="2"/>
      <c r="KER126" s="2"/>
      <c r="KET126" s="2"/>
      <c r="KEV126" s="2"/>
      <c r="KEX126" s="2"/>
      <c r="KEZ126" s="2"/>
      <c r="KFB126" s="2"/>
      <c r="KFD126" s="2"/>
      <c r="KFF126" s="2"/>
      <c r="KFH126" s="2"/>
      <c r="KFJ126" s="2"/>
      <c r="KFL126" s="2"/>
      <c r="KFN126" s="2"/>
      <c r="KFP126" s="2"/>
      <c r="KFR126" s="2"/>
      <c r="KFT126" s="2"/>
      <c r="KFV126" s="2"/>
      <c r="KFX126" s="2"/>
      <c r="KFZ126" s="2"/>
      <c r="KGB126" s="2"/>
      <c r="KGD126" s="2"/>
      <c r="KGF126" s="2"/>
      <c r="KGH126" s="2"/>
      <c r="KGJ126" s="2"/>
      <c r="KGL126" s="2"/>
      <c r="KGN126" s="2"/>
      <c r="KGP126" s="2"/>
      <c r="KGR126" s="2"/>
      <c r="KGT126" s="2"/>
      <c r="KGV126" s="2"/>
      <c r="KGX126" s="2"/>
      <c r="KGZ126" s="2"/>
      <c r="KHB126" s="2"/>
      <c r="KHD126" s="2"/>
      <c r="KHF126" s="2"/>
      <c r="KHH126" s="2"/>
      <c r="KHJ126" s="2"/>
      <c r="KHL126" s="2"/>
      <c r="KHN126" s="2"/>
      <c r="KHP126" s="2"/>
      <c r="KHR126" s="2"/>
      <c r="KHT126" s="2"/>
      <c r="KHV126" s="2"/>
      <c r="KHX126" s="2"/>
      <c r="KHZ126" s="2"/>
      <c r="KIB126" s="2"/>
      <c r="KID126" s="2"/>
      <c r="KIF126" s="2"/>
      <c r="KIH126" s="2"/>
      <c r="KIJ126" s="2"/>
      <c r="KIL126" s="2"/>
      <c r="KIN126" s="2"/>
      <c r="KIP126" s="2"/>
      <c r="KIR126" s="2"/>
      <c r="KIT126" s="2"/>
      <c r="KIV126" s="2"/>
      <c r="KIX126" s="2"/>
      <c r="KIZ126" s="2"/>
      <c r="KJB126" s="2"/>
      <c r="KJD126" s="2"/>
      <c r="KJF126" s="2"/>
      <c r="KJH126" s="2"/>
      <c r="KJJ126" s="2"/>
      <c r="KJL126" s="2"/>
      <c r="KJN126" s="2"/>
      <c r="KJP126" s="2"/>
      <c r="KJR126" s="2"/>
      <c r="KJT126" s="2"/>
      <c r="KJV126" s="2"/>
      <c r="KJX126" s="2"/>
      <c r="KJZ126" s="2"/>
      <c r="KKB126" s="2"/>
      <c r="KKD126" s="2"/>
      <c r="KKF126" s="2"/>
      <c r="KKH126" s="2"/>
      <c r="KKJ126" s="2"/>
      <c r="KKL126" s="2"/>
      <c r="KKN126" s="2"/>
      <c r="KKP126" s="2"/>
      <c r="KKR126" s="2"/>
      <c r="KKT126" s="2"/>
      <c r="KKV126" s="2"/>
      <c r="KKX126" s="2"/>
      <c r="KKZ126" s="2"/>
      <c r="KLB126" s="2"/>
      <c r="KLD126" s="2"/>
      <c r="KLF126" s="2"/>
      <c r="KLH126" s="2"/>
      <c r="KLJ126" s="2"/>
      <c r="KLL126" s="2"/>
      <c r="KLN126" s="2"/>
      <c r="KLP126" s="2"/>
      <c r="KLR126" s="2"/>
      <c r="KLT126" s="2"/>
      <c r="KLV126" s="2"/>
      <c r="KLX126" s="2"/>
      <c r="KLZ126" s="2"/>
      <c r="KMB126" s="2"/>
      <c r="KMD126" s="2"/>
      <c r="KMF126" s="2"/>
      <c r="KMH126" s="2"/>
      <c r="KMJ126" s="2"/>
      <c r="KML126" s="2"/>
      <c r="KMN126" s="2"/>
      <c r="KMP126" s="2"/>
      <c r="KMR126" s="2"/>
      <c r="KMT126" s="2"/>
      <c r="KMV126" s="2"/>
      <c r="KMX126" s="2"/>
      <c r="KMZ126" s="2"/>
      <c r="KNB126" s="2"/>
      <c r="KND126" s="2"/>
      <c r="KNF126" s="2"/>
      <c r="KNH126" s="2"/>
      <c r="KNJ126" s="2"/>
      <c r="KNL126" s="2"/>
      <c r="KNN126" s="2"/>
      <c r="KNP126" s="2"/>
      <c r="KNR126" s="2"/>
      <c r="KNT126" s="2"/>
      <c r="KNV126" s="2"/>
      <c r="KNX126" s="2"/>
      <c r="KNZ126" s="2"/>
      <c r="KOB126" s="2"/>
      <c r="KOD126" s="2"/>
      <c r="KOF126" s="2"/>
      <c r="KOH126" s="2"/>
      <c r="KOJ126" s="2"/>
      <c r="KOL126" s="2"/>
      <c r="KON126" s="2"/>
      <c r="KOP126" s="2"/>
      <c r="KOR126" s="2"/>
      <c r="KOT126" s="2"/>
      <c r="KOV126" s="2"/>
      <c r="KOX126" s="2"/>
      <c r="KOZ126" s="2"/>
      <c r="KPB126" s="2"/>
      <c r="KPD126" s="2"/>
      <c r="KPF126" s="2"/>
      <c r="KPH126" s="2"/>
      <c r="KPJ126" s="2"/>
      <c r="KPL126" s="2"/>
      <c r="KPN126" s="2"/>
      <c r="KPP126" s="2"/>
      <c r="KPR126" s="2"/>
      <c r="KPT126" s="2"/>
      <c r="KPV126" s="2"/>
      <c r="KPX126" s="2"/>
      <c r="KPZ126" s="2"/>
      <c r="KQB126" s="2"/>
      <c r="KQD126" s="2"/>
      <c r="KQF126" s="2"/>
      <c r="KQH126" s="2"/>
      <c r="KQJ126" s="2"/>
      <c r="KQL126" s="2"/>
      <c r="KQN126" s="2"/>
      <c r="KQP126" s="2"/>
      <c r="KQR126" s="2"/>
      <c r="KQT126" s="2"/>
      <c r="KQV126" s="2"/>
      <c r="KQX126" s="2"/>
      <c r="KQZ126" s="2"/>
      <c r="KRB126" s="2"/>
      <c r="KRD126" s="2"/>
      <c r="KRF126" s="2"/>
      <c r="KRH126" s="2"/>
      <c r="KRJ126" s="2"/>
      <c r="KRL126" s="2"/>
      <c r="KRN126" s="2"/>
      <c r="KRP126" s="2"/>
      <c r="KRR126" s="2"/>
      <c r="KRT126" s="2"/>
      <c r="KRV126" s="2"/>
      <c r="KRX126" s="2"/>
      <c r="KRZ126" s="2"/>
      <c r="KSB126" s="2"/>
      <c r="KSD126" s="2"/>
      <c r="KSF126" s="2"/>
      <c r="KSH126" s="2"/>
      <c r="KSJ126" s="2"/>
      <c r="KSL126" s="2"/>
      <c r="KSN126" s="2"/>
      <c r="KSP126" s="2"/>
      <c r="KSR126" s="2"/>
      <c r="KST126" s="2"/>
      <c r="KSV126" s="2"/>
      <c r="KSX126" s="2"/>
      <c r="KSZ126" s="2"/>
      <c r="KTB126" s="2"/>
      <c r="KTD126" s="2"/>
      <c r="KTF126" s="2"/>
      <c r="KTH126" s="2"/>
      <c r="KTJ126" s="2"/>
      <c r="KTL126" s="2"/>
      <c r="KTN126" s="2"/>
      <c r="KTP126" s="2"/>
      <c r="KTR126" s="2"/>
      <c r="KTT126" s="2"/>
      <c r="KTV126" s="2"/>
      <c r="KTX126" s="2"/>
      <c r="KTZ126" s="2"/>
      <c r="KUB126" s="2"/>
      <c r="KUD126" s="2"/>
      <c r="KUF126" s="2"/>
      <c r="KUH126" s="2"/>
      <c r="KUJ126" s="2"/>
      <c r="KUL126" s="2"/>
      <c r="KUN126" s="2"/>
      <c r="KUP126" s="2"/>
      <c r="KUR126" s="2"/>
      <c r="KUT126" s="2"/>
      <c r="KUV126" s="2"/>
      <c r="KUX126" s="2"/>
      <c r="KUZ126" s="2"/>
      <c r="KVB126" s="2"/>
      <c r="KVD126" s="2"/>
      <c r="KVF126" s="2"/>
      <c r="KVH126" s="2"/>
      <c r="KVJ126" s="2"/>
      <c r="KVL126" s="2"/>
      <c r="KVN126" s="2"/>
      <c r="KVP126" s="2"/>
      <c r="KVR126" s="2"/>
      <c r="KVT126" s="2"/>
      <c r="KVV126" s="2"/>
      <c r="KVX126" s="2"/>
      <c r="KVZ126" s="2"/>
      <c r="KWB126" s="2"/>
      <c r="KWD126" s="2"/>
      <c r="KWF126" s="2"/>
      <c r="KWH126" s="2"/>
      <c r="KWJ126" s="2"/>
      <c r="KWL126" s="2"/>
      <c r="KWN126" s="2"/>
      <c r="KWP126" s="2"/>
      <c r="KWR126" s="2"/>
      <c r="KWT126" s="2"/>
      <c r="KWV126" s="2"/>
      <c r="KWX126" s="2"/>
      <c r="KWZ126" s="2"/>
      <c r="KXB126" s="2"/>
      <c r="KXD126" s="2"/>
      <c r="KXF126" s="2"/>
      <c r="KXH126" s="2"/>
      <c r="KXJ126" s="2"/>
      <c r="KXL126" s="2"/>
      <c r="KXN126" s="2"/>
      <c r="KXP126" s="2"/>
      <c r="KXR126" s="2"/>
      <c r="KXT126" s="2"/>
      <c r="KXV126" s="2"/>
      <c r="KXX126" s="2"/>
      <c r="KXZ126" s="2"/>
      <c r="KYB126" s="2"/>
      <c r="KYD126" s="2"/>
      <c r="KYF126" s="2"/>
      <c r="KYH126" s="2"/>
      <c r="KYJ126" s="2"/>
      <c r="KYL126" s="2"/>
      <c r="KYN126" s="2"/>
      <c r="KYP126" s="2"/>
      <c r="KYR126" s="2"/>
      <c r="KYT126" s="2"/>
      <c r="KYV126" s="2"/>
      <c r="KYX126" s="2"/>
      <c r="KYZ126" s="2"/>
      <c r="KZB126" s="2"/>
      <c r="KZD126" s="2"/>
      <c r="KZF126" s="2"/>
      <c r="KZH126" s="2"/>
      <c r="KZJ126" s="2"/>
      <c r="KZL126" s="2"/>
      <c r="KZN126" s="2"/>
      <c r="KZP126" s="2"/>
      <c r="KZR126" s="2"/>
      <c r="KZT126" s="2"/>
      <c r="KZV126" s="2"/>
      <c r="KZX126" s="2"/>
      <c r="KZZ126" s="2"/>
      <c r="LAB126" s="2"/>
      <c r="LAD126" s="2"/>
      <c r="LAF126" s="2"/>
      <c r="LAH126" s="2"/>
      <c r="LAJ126" s="2"/>
      <c r="LAL126" s="2"/>
      <c r="LAN126" s="2"/>
      <c r="LAP126" s="2"/>
      <c r="LAR126" s="2"/>
      <c r="LAT126" s="2"/>
      <c r="LAV126" s="2"/>
      <c r="LAX126" s="2"/>
      <c r="LAZ126" s="2"/>
      <c r="LBB126" s="2"/>
      <c r="LBD126" s="2"/>
      <c r="LBF126" s="2"/>
      <c r="LBH126" s="2"/>
      <c r="LBJ126" s="2"/>
      <c r="LBL126" s="2"/>
      <c r="LBN126" s="2"/>
      <c r="LBP126" s="2"/>
      <c r="LBR126" s="2"/>
      <c r="LBT126" s="2"/>
      <c r="LBV126" s="2"/>
      <c r="LBX126" s="2"/>
      <c r="LBZ126" s="2"/>
      <c r="LCB126" s="2"/>
      <c r="LCD126" s="2"/>
      <c r="LCF126" s="2"/>
      <c r="LCH126" s="2"/>
      <c r="LCJ126" s="2"/>
      <c r="LCL126" s="2"/>
      <c r="LCN126" s="2"/>
      <c r="LCP126" s="2"/>
      <c r="LCR126" s="2"/>
      <c r="LCT126" s="2"/>
      <c r="LCV126" s="2"/>
      <c r="LCX126" s="2"/>
      <c r="LCZ126" s="2"/>
      <c r="LDB126" s="2"/>
      <c r="LDD126" s="2"/>
      <c r="LDF126" s="2"/>
      <c r="LDH126" s="2"/>
      <c r="LDJ126" s="2"/>
      <c r="LDL126" s="2"/>
      <c r="LDN126" s="2"/>
      <c r="LDP126" s="2"/>
      <c r="LDR126" s="2"/>
      <c r="LDT126" s="2"/>
      <c r="LDV126" s="2"/>
      <c r="LDX126" s="2"/>
      <c r="LDZ126" s="2"/>
      <c r="LEB126" s="2"/>
      <c r="LED126" s="2"/>
      <c r="LEF126" s="2"/>
      <c r="LEH126" s="2"/>
      <c r="LEJ126" s="2"/>
      <c r="LEL126" s="2"/>
      <c r="LEN126" s="2"/>
      <c r="LEP126" s="2"/>
      <c r="LER126" s="2"/>
      <c r="LET126" s="2"/>
      <c r="LEV126" s="2"/>
      <c r="LEX126" s="2"/>
      <c r="LEZ126" s="2"/>
      <c r="LFB126" s="2"/>
      <c r="LFD126" s="2"/>
      <c r="LFF126" s="2"/>
      <c r="LFH126" s="2"/>
      <c r="LFJ126" s="2"/>
      <c r="LFL126" s="2"/>
      <c r="LFN126" s="2"/>
      <c r="LFP126" s="2"/>
      <c r="LFR126" s="2"/>
      <c r="LFT126" s="2"/>
      <c r="LFV126" s="2"/>
      <c r="LFX126" s="2"/>
      <c r="LFZ126" s="2"/>
      <c r="LGB126" s="2"/>
      <c r="LGD126" s="2"/>
      <c r="LGF126" s="2"/>
      <c r="LGH126" s="2"/>
      <c r="LGJ126" s="2"/>
      <c r="LGL126" s="2"/>
      <c r="LGN126" s="2"/>
      <c r="LGP126" s="2"/>
      <c r="LGR126" s="2"/>
      <c r="LGT126" s="2"/>
      <c r="LGV126" s="2"/>
      <c r="LGX126" s="2"/>
      <c r="LGZ126" s="2"/>
      <c r="LHB126" s="2"/>
      <c r="LHD126" s="2"/>
      <c r="LHF126" s="2"/>
      <c r="LHH126" s="2"/>
      <c r="LHJ126" s="2"/>
      <c r="LHL126" s="2"/>
      <c r="LHN126" s="2"/>
      <c r="LHP126" s="2"/>
      <c r="LHR126" s="2"/>
      <c r="LHT126" s="2"/>
      <c r="LHV126" s="2"/>
      <c r="LHX126" s="2"/>
      <c r="LHZ126" s="2"/>
      <c r="LIB126" s="2"/>
      <c r="LID126" s="2"/>
      <c r="LIF126" s="2"/>
      <c r="LIH126" s="2"/>
      <c r="LIJ126" s="2"/>
      <c r="LIL126" s="2"/>
      <c r="LIN126" s="2"/>
      <c r="LIP126" s="2"/>
      <c r="LIR126" s="2"/>
      <c r="LIT126" s="2"/>
      <c r="LIV126" s="2"/>
      <c r="LIX126" s="2"/>
      <c r="LIZ126" s="2"/>
      <c r="LJB126" s="2"/>
      <c r="LJD126" s="2"/>
      <c r="LJF126" s="2"/>
      <c r="LJH126" s="2"/>
      <c r="LJJ126" s="2"/>
      <c r="LJL126" s="2"/>
      <c r="LJN126" s="2"/>
      <c r="LJP126" s="2"/>
      <c r="LJR126" s="2"/>
      <c r="LJT126" s="2"/>
      <c r="LJV126" s="2"/>
      <c r="LJX126" s="2"/>
      <c r="LJZ126" s="2"/>
      <c r="LKB126" s="2"/>
      <c r="LKD126" s="2"/>
      <c r="LKF126" s="2"/>
      <c r="LKH126" s="2"/>
      <c r="LKJ126" s="2"/>
      <c r="LKL126" s="2"/>
      <c r="LKN126" s="2"/>
      <c r="LKP126" s="2"/>
      <c r="LKR126" s="2"/>
      <c r="LKT126" s="2"/>
      <c r="LKV126" s="2"/>
      <c r="LKX126" s="2"/>
      <c r="LKZ126" s="2"/>
      <c r="LLB126" s="2"/>
      <c r="LLD126" s="2"/>
      <c r="LLF126" s="2"/>
      <c r="LLH126" s="2"/>
      <c r="LLJ126" s="2"/>
      <c r="LLL126" s="2"/>
      <c r="LLN126" s="2"/>
      <c r="LLP126" s="2"/>
      <c r="LLR126" s="2"/>
      <c r="LLT126" s="2"/>
      <c r="LLV126" s="2"/>
      <c r="LLX126" s="2"/>
      <c r="LLZ126" s="2"/>
      <c r="LMB126" s="2"/>
      <c r="LMD126" s="2"/>
      <c r="LMF126" s="2"/>
      <c r="LMH126" s="2"/>
      <c r="LMJ126" s="2"/>
      <c r="LML126" s="2"/>
      <c r="LMN126" s="2"/>
      <c r="LMP126" s="2"/>
      <c r="LMR126" s="2"/>
      <c r="LMT126" s="2"/>
      <c r="LMV126" s="2"/>
      <c r="LMX126" s="2"/>
      <c r="LMZ126" s="2"/>
      <c r="LNB126" s="2"/>
      <c r="LND126" s="2"/>
      <c r="LNF126" s="2"/>
      <c r="LNH126" s="2"/>
      <c r="LNJ126" s="2"/>
      <c r="LNL126" s="2"/>
      <c r="LNN126" s="2"/>
      <c r="LNP126" s="2"/>
      <c r="LNR126" s="2"/>
      <c r="LNT126" s="2"/>
      <c r="LNV126" s="2"/>
      <c r="LNX126" s="2"/>
      <c r="LNZ126" s="2"/>
      <c r="LOB126" s="2"/>
      <c r="LOD126" s="2"/>
      <c r="LOF126" s="2"/>
      <c r="LOH126" s="2"/>
      <c r="LOJ126" s="2"/>
      <c r="LOL126" s="2"/>
      <c r="LON126" s="2"/>
      <c r="LOP126" s="2"/>
      <c r="LOR126" s="2"/>
      <c r="LOT126" s="2"/>
      <c r="LOV126" s="2"/>
      <c r="LOX126" s="2"/>
      <c r="LOZ126" s="2"/>
      <c r="LPB126" s="2"/>
      <c r="LPD126" s="2"/>
      <c r="LPF126" s="2"/>
      <c r="LPH126" s="2"/>
      <c r="LPJ126" s="2"/>
      <c r="LPL126" s="2"/>
      <c r="LPN126" s="2"/>
      <c r="LPP126" s="2"/>
      <c r="LPR126" s="2"/>
      <c r="LPT126" s="2"/>
      <c r="LPV126" s="2"/>
      <c r="LPX126" s="2"/>
      <c r="LPZ126" s="2"/>
      <c r="LQB126" s="2"/>
      <c r="LQD126" s="2"/>
      <c r="LQF126" s="2"/>
      <c r="LQH126" s="2"/>
      <c r="LQJ126" s="2"/>
      <c r="LQL126" s="2"/>
      <c r="LQN126" s="2"/>
      <c r="LQP126" s="2"/>
      <c r="LQR126" s="2"/>
      <c r="LQT126" s="2"/>
      <c r="LQV126" s="2"/>
      <c r="LQX126" s="2"/>
      <c r="LQZ126" s="2"/>
      <c r="LRB126" s="2"/>
      <c r="LRD126" s="2"/>
      <c r="LRF126" s="2"/>
      <c r="LRH126" s="2"/>
      <c r="LRJ126" s="2"/>
      <c r="LRL126" s="2"/>
      <c r="LRN126" s="2"/>
      <c r="LRP126" s="2"/>
      <c r="LRR126" s="2"/>
      <c r="LRT126" s="2"/>
      <c r="LRV126" s="2"/>
      <c r="LRX126" s="2"/>
      <c r="LRZ126" s="2"/>
      <c r="LSB126" s="2"/>
      <c r="LSD126" s="2"/>
      <c r="LSF126" s="2"/>
      <c r="LSH126" s="2"/>
      <c r="LSJ126" s="2"/>
      <c r="LSL126" s="2"/>
      <c r="LSN126" s="2"/>
      <c r="LSP126" s="2"/>
      <c r="LSR126" s="2"/>
      <c r="LST126" s="2"/>
      <c r="LSV126" s="2"/>
      <c r="LSX126" s="2"/>
      <c r="LSZ126" s="2"/>
      <c r="LTB126" s="2"/>
      <c r="LTD126" s="2"/>
      <c r="LTF126" s="2"/>
      <c r="LTH126" s="2"/>
      <c r="LTJ126" s="2"/>
      <c r="LTL126" s="2"/>
      <c r="LTN126" s="2"/>
      <c r="LTP126" s="2"/>
      <c r="LTR126" s="2"/>
      <c r="LTT126" s="2"/>
      <c r="LTV126" s="2"/>
      <c r="LTX126" s="2"/>
      <c r="LTZ126" s="2"/>
      <c r="LUB126" s="2"/>
      <c r="LUD126" s="2"/>
      <c r="LUF126" s="2"/>
      <c r="LUH126" s="2"/>
      <c r="LUJ126" s="2"/>
      <c r="LUL126" s="2"/>
      <c r="LUN126" s="2"/>
      <c r="LUP126" s="2"/>
      <c r="LUR126" s="2"/>
      <c r="LUT126" s="2"/>
      <c r="LUV126" s="2"/>
      <c r="LUX126" s="2"/>
      <c r="LUZ126" s="2"/>
      <c r="LVB126" s="2"/>
      <c r="LVD126" s="2"/>
      <c r="LVF126" s="2"/>
      <c r="LVH126" s="2"/>
      <c r="LVJ126" s="2"/>
      <c r="LVL126" s="2"/>
      <c r="LVN126" s="2"/>
      <c r="LVP126" s="2"/>
      <c r="LVR126" s="2"/>
      <c r="LVT126" s="2"/>
      <c r="LVV126" s="2"/>
      <c r="LVX126" s="2"/>
      <c r="LVZ126" s="2"/>
      <c r="LWB126" s="2"/>
      <c r="LWD126" s="2"/>
      <c r="LWF126" s="2"/>
      <c r="LWH126" s="2"/>
      <c r="LWJ126" s="2"/>
      <c r="LWL126" s="2"/>
      <c r="LWN126" s="2"/>
      <c r="LWP126" s="2"/>
      <c r="LWR126" s="2"/>
      <c r="LWT126" s="2"/>
      <c r="LWV126" s="2"/>
      <c r="LWX126" s="2"/>
      <c r="LWZ126" s="2"/>
      <c r="LXB126" s="2"/>
      <c r="LXD126" s="2"/>
      <c r="LXF126" s="2"/>
      <c r="LXH126" s="2"/>
      <c r="LXJ126" s="2"/>
      <c r="LXL126" s="2"/>
      <c r="LXN126" s="2"/>
      <c r="LXP126" s="2"/>
      <c r="LXR126" s="2"/>
      <c r="LXT126" s="2"/>
      <c r="LXV126" s="2"/>
      <c r="LXX126" s="2"/>
      <c r="LXZ126" s="2"/>
      <c r="LYB126" s="2"/>
      <c r="LYD126" s="2"/>
      <c r="LYF126" s="2"/>
      <c r="LYH126" s="2"/>
      <c r="LYJ126" s="2"/>
      <c r="LYL126" s="2"/>
      <c r="LYN126" s="2"/>
      <c r="LYP126" s="2"/>
      <c r="LYR126" s="2"/>
      <c r="LYT126" s="2"/>
      <c r="LYV126" s="2"/>
      <c r="LYX126" s="2"/>
      <c r="LYZ126" s="2"/>
      <c r="LZB126" s="2"/>
      <c r="LZD126" s="2"/>
      <c r="LZF126" s="2"/>
      <c r="LZH126" s="2"/>
      <c r="LZJ126" s="2"/>
      <c r="LZL126" s="2"/>
      <c r="LZN126" s="2"/>
      <c r="LZP126" s="2"/>
      <c r="LZR126" s="2"/>
      <c r="LZT126" s="2"/>
      <c r="LZV126" s="2"/>
      <c r="LZX126" s="2"/>
      <c r="LZZ126" s="2"/>
      <c r="MAB126" s="2"/>
      <c r="MAD126" s="2"/>
      <c r="MAF126" s="2"/>
      <c r="MAH126" s="2"/>
      <c r="MAJ126" s="2"/>
      <c r="MAL126" s="2"/>
      <c r="MAN126" s="2"/>
      <c r="MAP126" s="2"/>
      <c r="MAR126" s="2"/>
      <c r="MAT126" s="2"/>
      <c r="MAV126" s="2"/>
      <c r="MAX126" s="2"/>
      <c r="MAZ126" s="2"/>
      <c r="MBB126" s="2"/>
      <c r="MBD126" s="2"/>
      <c r="MBF126" s="2"/>
      <c r="MBH126" s="2"/>
      <c r="MBJ126" s="2"/>
      <c r="MBL126" s="2"/>
      <c r="MBN126" s="2"/>
      <c r="MBP126" s="2"/>
      <c r="MBR126" s="2"/>
      <c r="MBT126" s="2"/>
      <c r="MBV126" s="2"/>
      <c r="MBX126" s="2"/>
      <c r="MBZ126" s="2"/>
      <c r="MCB126" s="2"/>
      <c r="MCD126" s="2"/>
      <c r="MCF126" s="2"/>
      <c r="MCH126" s="2"/>
      <c r="MCJ126" s="2"/>
      <c r="MCL126" s="2"/>
      <c r="MCN126" s="2"/>
      <c r="MCP126" s="2"/>
      <c r="MCR126" s="2"/>
      <c r="MCT126" s="2"/>
      <c r="MCV126" s="2"/>
      <c r="MCX126" s="2"/>
      <c r="MCZ126" s="2"/>
      <c r="MDB126" s="2"/>
      <c r="MDD126" s="2"/>
      <c r="MDF126" s="2"/>
      <c r="MDH126" s="2"/>
      <c r="MDJ126" s="2"/>
      <c r="MDL126" s="2"/>
      <c r="MDN126" s="2"/>
      <c r="MDP126" s="2"/>
      <c r="MDR126" s="2"/>
      <c r="MDT126" s="2"/>
      <c r="MDV126" s="2"/>
      <c r="MDX126" s="2"/>
      <c r="MDZ126" s="2"/>
      <c r="MEB126" s="2"/>
      <c r="MED126" s="2"/>
      <c r="MEF126" s="2"/>
      <c r="MEH126" s="2"/>
      <c r="MEJ126" s="2"/>
      <c r="MEL126" s="2"/>
      <c r="MEN126" s="2"/>
      <c r="MEP126" s="2"/>
      <c r="MER126" s="2"/>
      <c r="MET126" s="2"/>
      <c r="MEV126" s="2"/>
      <c r="MEX126" s="2"/>
      <c r="MEZ126" s="2"/>
      <c r="MFB126" s="2"/>
      <c r="MFD126" s="2"/>
      <c r="MFF126" s="2"/>
      <c r="MFH126" s="2"/>
      <c r="MFJ126" s="2"/>
      <c r="MFL126" s="2"/>
      <c r="MFN126" s="2"/>
      <c r="MFP126" s="2"/>
      <c r="MFR126" s="2"/>
      <c r="MFT126" s="2"/>
      <c r="MFV126" s="2"/>
      <c r="MFX126" s="2"/>
      <c r="MFZ126" s="2"/>
      <c r="MGB126" s="2"/>
      <c r="MGD126" s="2"/>
      <c r="MGF126" s="2"/>
      <c r="MGH126" s="2"/>
      <c r="MGJ126" s="2"/>
      <c r="MGL126" s="2"/>
      <c r="MGN126" s="2"/>
      <c r="MGP126" s="2"/>
      <c r="MGR126" s="2"/>
      <c r="MGT126" s="2"/>
      <c r="MGV126" s="2"/>
      <c r="MGX126" s="2"/>
      <c r="MGZ126" s="2"/>
      <c r="MHB126" s="2"/>
      <c r="MHD126" s="2"/>
      <c r="MHF126" s="2"/>
      <c r="MHH126" s="2"/>
      <c r="MHJ126" s="2"/>
      <c r="MHL126" s="2"/>
      <c r="MHN126" s="2"/>
      <c r="MHP126" s="2"/>
      <c r="MHR126" s="2"/>
      <c r="MHT126" s="2"/>
      <c r="MHV126" s="2"/>
      <c r="MHX126" s="2"/>
      <c r="MHZ126" s="2"/>
      <c r="MIB126" s="2"/>
      <c r="MID126" s="2"/>
      <c r="MIF126" s="2"/>
      <c r="MIH126" s="2"/>
      <c r="MIJ126" s="2"/>
      <c r="MIL126" s="2"/>
      <c r="MIN126" s="2"/>
      <c r="MIP126" s="2"/>
      <c r="MIR126" s="2"/>
      <c r="MIT126" s="2"/>
      <c r="MIV126" s="2"/>
      <c r="MIX126" s="2"/>
      <c r="MIZ126" s="2"/>
      <c r="MJB126" s="2"/>
      <c r="MJD126" s="2"/>
      <c r="MJF126" s="2"/>
      <c r="MJH126" s="2"/>
      <c r="MJJ126" s="2"/>
      <c r="MJL126" s="2"/>
      <c r="MJN126" s="2"/>
      <c r="MJP126" s="2"/>
      <c r="MJR126" s="2"/>
      <c r="MJT126" s="2"/>
      <c r="MJV126" s="2"/>
      <c r="MJX126" s="2"/>
      <c r="MJZ126" s="2"/>
      <c r="MKB126" s="2"/>
      <c r="MKD126" s="2"/>
      <c r="MKF126" s="2"/>
      <c r="MKH126" s="2"/>
      <c r="MKJ126" s="2"/>
      <c r="MKL126" s="2"/>
      <c r="MKN126" s="2"/>
      <c r="MKP126" s="2"/>
      <c r="MKR126" s="2"/>
      <c r="MKT126" s="2"/>
      <c r="MKV126" s="2"/>
      <c r="MKX126" s="2"/>
      <c r="MKZ126" s="2"/>
      <c r="MLB126" s="2"/>
      <c r="MLD126" s="2"/>
      <c r="MLF126" s="2"/>
      <c r="MLH126" s="2"/>
      <c r="MLJ126" s="2"/>
      <c r="MLL126" s="2"/>
      <c r="MLN126" s="2"/>
      <c r="MLP126" s="2"/>
      <c r="MLR126" s="2"/>
      <c r="MLT126" s="2"/>
      <c r="MLV126" s="2"/>
      <c r="MLX126" s="2"/>
      <c r="MLZ126" s="2"/>
      <c r="MMB126" s="2"/>
      <c r="MMD126" s="2"/>
      <c r="MMF126" s="2"/>
      <c r="MMH126" s="2"/>
      <c r="MMJ126" s="2"/>
      <c r="MML126" s="2"/>
      <c r="MMN126" s="2"/>
      <c r="MMP126" s="2"/>
      <c r="MMR126" s="2"/>
      <c r="MMT126" s="2"/>
      <c r="MMV126" s="2"/>
      <c r="MMX126" s="2"/>
      <c r="MMZ126" s="2"/>
      <c r="MNB126" s="2"/>
      <c r="MND126" s="2"/>
      <c r="MNF126" s="2"/>
      <c r="MNH126" s="2"/>
      <c r="MNJ126" s="2"/>
      <c r="MNL126" s="2"/>
      <c r="MNN126" s="2"/>
      <c r="MNP126" s="2"/>
      <c r="MNR126" s="2"/>
      <c r="MNT126" s="2"/>
      <c r="MNV126" s="2"/>
      <c r="MNX126" s="2"/>
      <c r="MNZ126" s="2"/>
      <c r="MOB126" s="2"/>
      <c r="MOD126" s="2"/>
      <c r="MOF126" s="2"/>
      <c r="MOH126" s="2"/>
      <c r="MOJ126" s="2"/>
      <c r="MOL126" s="2"/>
      <c r="MON126" s="2"/>
      <c r="MOP126" s="2"/>
      <c r="MOR126" s="2"/>
      <c r="MOT126" s="2"/>
      <c r="MOV126" s="2"/>
      <c r="MOX126" s="2"/>
      <c r="MOZ126" s="2"/>
      <c r="MPB126" s="2"/>
      <c r="MPD126" s="2"/>
      <c r="MPF126" s="2"/>
      <c r="MPH126" s="2"/>
      <c r="MPJ126" s="2"/>
      <c r="MPL126" s="2"/>
      <c r="MPN126" s="2"/>
      <c r="MPP126" s="2"/>
      <c r="MPR126" s="2"/>
      <c r="MPT126" s="2"/>
      <c r="MPV126" s="2"/>
      <c r="MPX126" s="2"/>
      <c r="MPZ126" s="2"/>
      <c r="MQB126" s="2"/>
      <c r="MQD126" s="2"/>
      <c r="MQF126" s="2"/>
      <c r="MQH126" s="2"/>
      <c r="MQJ126" s="2"/>
      <c r="MQL126" s="2"/>
      <c r="MQN126" s="2"/>
      <c r="MQP126" s="2"/>
      <c r="MQR126" s="2"/>
      <c r="MQT126" s="2"/>
      <c r="MQV126" s="2"/>
      <c r="MQX126" s="2"/>
      <c r="MQZ126" s="2"/>
      <c r="MRB126" s="2"/>
      <c r="MRD126" s="2"/>
      <c r="MRF126" s="2"/>
      <c r="MRH126" s="2"/>
      <c r="MRJ126" s="2"/>
      <c r="MRL126" s="2"/>
      <c r="MRN126" s="2"/>
      <c r="MRP126" s="2"/>
      <c r="MRR126" s="2"/>
      <c r="MRT126" s="2"/>
      <c r="MRV126" s="2"/>
      <c r="MRX126" s="2"/>
      <c r="MRZ126" s="2"/>
      <c r="MSB126" s="2"/>
      <c r="MSD126" s="2"/>
      <c r="MSF126" s="2"/>
      <c r="MSH126" s="2"/>
      <c r="MSJ126" s="2"/>
      <c r="MSL126" s="2"/>
      <c r="MSN126" s="2"/>
      <c r="MSP126" s="2"/>
      <c r="MSR126" s="2"/>
      <c r="MST126" s="2"/>
      <c r="MSV126" s="2"/>
      <c r="MSX126" s="2"/>
      <c r="MSZ126" s="2"/>
      <c r="MTB126" s="2"/>
      <c r="MTD126" s="2"/>
      <c r="MTF126" s="2"/>
      <c r="MTH126" s="2"/>
      <c r="MTJ126" s="2"/>
      <c r="MTL126" s="2"/>
      <c r="MTN126" s="2"/>
      <c r="MTP126" s="2"/>
      <c r="MTR126" s="2"/>
      <c r="MTT126" s="2"/>
      <c r="MTV126" s="2"/>
      <c r="MTX126" s="2"/>
      <c r="MTZ126" s="2"/>
      <c r="MUB126" s="2"/>
      <c r="MUD126" s="2"/>
      <c r="MUF126" s="2"/>
      <c r="MUH126" s="2"/>
      <c r="MUJ126" s="2"/>
      <c r="MUL126" s="2"/>
      <c r="MUN126" s="2"/>
      <c r="MUP126" s="2"/>
      <c r="MUR126" s="2"/>
      <c r="MUT126" s="2"/>
      <c r="MUV126" s="2"/>
      <c r="MUX126" s="2"/>
      <c r="MUZ126" s="2"/>
      <c r="MVB126" s="2"/>
      <c r="MVD126" s="2"/>
      <c r="MVF126" s="2"/>
      <c r="MVH126" s="2"/>
      <c r="MVJ126" s="2"/>
      <c r="MVL126" s="2"/>
      <c r="MVN126" s="2"/>
      <c r="MVP126" s="2"/>
      <c r="MVR126" s="2"/>
      <c r="MVT126" s="2"/>
      <c r="MVV126" s="2"/>
      <c r="MVX126" s="2"/>
      <c r="MVZ126" s="2"/>
      <c r="MWB126" s="2"/>
      <c r="MWD126" s="2"/>
      <c r="MWF126" s="2"/>
      <c r="MWH126" s="2"/>
      <c r="MWJ126" s="2"/>
      <c r="MWL126" s="2"/>
      <c r="MWN126" s="2"/>
      <c r="MWP126" s="2"/>
      <c r="MWR126" s="2"/>
      <c r="MWT126" s="2"/>
      <c r="MWV126" s="2"/>
      <c r="MWX126" s="2"/>
      <c r="MWZ126" s="2"/>
      <c r="MXB126" s="2"/>
      <c r="MXD126" s="2"/>
      <c r="MXF126" s="2"/>
      <c r="MXH126" s="2"/>
      <c r="MXJ126" s="2"/>
      <c r="MXL126" s="2"/>
      <c r="MXN126" s="2"/>
      <c r="MXP126" s="2"/>
      <c r="MXR126" s="2"/>
      <c r="MXT126" s="2"/>
      <c r="MXV126" s="2"/>
      <c r="MXX126" s="2"/>
      <c r="MXZ126" s="2"/>
      <c r="MYB126" s="2"/>
      <c r="MYD126" s="2"/>
      <c r="MYF126" s="2"/>
      <c r="MYH126" s="2"/>
      <c r="MYJ126" s="2"/>
      <c r="MYL126" s="2"/>
      <c r="MYN126" s="2"/>
      <c r="MYP126" s="2"/>
      <c r="MYR126" s="2"/>
      <c r="MYT126" s="2"/>
      <c r="MYV126" s="2"/>
      <c r="MYX126" s="2"/>
      <c r="MYZ126" s="2"/>
      <c r="MZB126" s="2"/>
      <c r="MZD126" s="2"/>
      <c r="MZF126" s="2"/>
      <c r="MZH126" s="2"/>
      <c r="MZJ126" s="2"/>
      <c r="MZL126" s="2"/>
      <c r="MZN126" s="2"/>
      <c r="MZP126" s="2"/>
      <c r="MZR126" s="2"/>
      <c r="MZT126" s="2"/>
      <c r="MZV126" s="2"/>
      <c r="MZX126" s="2"/>
      <c r="MZZ126" s="2"/>
      <c r="NAB126" s="2"/>
      <c r="NAD126" s="2"/>
      <c r="NAF126" s="2"/>
      <c r="NAH126" s="2"/>
      <c r="NAJ126" s="2"/>
      <c r="NAL126" s="2"/>
      <c r="NAN126" s="2"/>
      <c r="NAP126" s="2"/>
      <c r="NAR126" s="2"/>
      <c r="NAT126" s="2"/>
      <c r="NAV126" s="2"/>
      <c r="NAX126" s="2"/>
      <c r="NAZ126" s="2"/>
      <c r="NBB126" s="2"/>
      <c r="NBD126" s="2"/>
      <c r="NBF126" s="2"/>
      <c r="NBH126" s="2"/>
      <c r="NBJ126" s="2"/>
      <c r="NBL126" s="2"/>
      <c r="NBN126" s="2"/>
      <c r="NBP126" s="2"/>
      <c r="NBR126" s="2"/>
      <c r="NBT126" s="2"/>
      <c r="NBV126" s="2"/>
      <c r="NBX126" s="2"/>
      <c r="NBZ126" s="2"/>
      <c r="NCB126" s="2"/>
      <c r="NCD126" s="2"/>
      <c r="NCF126" s="2"/>
      <c r="NCH126" s="2"/>
      <c r="NCJ126" s="2"/>
      <c r="NCL126" s="2"/>
      <c r="NCN126" s="2"/>
      <c r="NCP126" s="2"/>
      <c r="NCR126" s="2"/>
      <c r="NCT126" s="2"/>
      <c r="NCV126" s="2"/>
      <c r="NCX126" s="2"/>
      <c r="NCZ126" s="2"/>
      <c r="NDB126" s="2"/>
      <c r="NDD126" s="2"/>
      <c r="NDF126" s="2"/>
      <c r="NDH126" s="2"/>
      <c r="NDJ126" s="2"/>
      <c r="NDL126" s="2"/>
      <c r="NDN126" s="2"/>
      <c r="NDP126" s="2"/>
      <c r="NDR126" s="2"/>
      <c r="NDT126" s="2"/>
      <c r="NDV126" s="2"/>
      <c r="NDX126" s="2"/>
      <c r="NDZ126" s="2"/>
      <c r="NEB126" s="2"/>
      <c r="NED126" s="2"/>
      <c r="NEF126" s="2"/>
      <c r="NEH126" s="2"/>
      <c r="NEJ126" s="2"/>
      <c r="NEL126" s="2"/>
      <c r="NEN126" s="2"/>
      <c r="NEP126" s="2"/>
      <c r="NER126" s="2"/>
      <c r="NET126" s="2"/>
      <c r="NEV126" s="2"/>
      <c r="NEX126" s="2"/>
      <c r="NEZ126" s="2"/>
      <c r="NFB126" s="2"/>
      <c r="NFD126" s="2"/>
      <c r="NFF126" s="2"/>
      <c r="NFH126" s="2"/>
      <c r="NFJ126" s="2"/>
      <c r="NFL126" s="2"/>
      <c r="NFN126" s="2"/>
      <c r="NFP126" s="2"/>
      <c r="NFR126" s="2"/>
      <c r="NFT126" s="2"/>
      <c r="NFV126" s="2"/>
      <c r="NFX126" s="2"/>
      <c r="NFZ126" s="2"/>
      <c r="NGB126" s="2"/>
      <c r="NGD126" s="2"/>
      <c r="NGF126" s="2"/>
      <c r="NGH126" s="2"/>
      <c r="NGJ126" s="2"/>
      <c r="NGL126" s="2"/>
      <c r="NGN126" s="2"/>
      <c r="NGP126" s="2"/>
      <c r="NGR126" s="2"/>
      <c r="NGT126" s="2"/>
      <c r="NGV126" s="2"/>
      <c r="NGX126" s="2"/>
      <c r="NGZ126" s="2"/>
      <c r="NHB126" s="2"/>
      <c r="NHD126" s="2"/>
      <c r="NHF126" s="2"/>
      <c r="NHH126" s="2"/>
      <c r="NHJ126" s="2"/>
      <c r="NHL126" s="2"/>
      <c r="NHN126" s="2"/>
      <c r="NHP126" s="2"/>
      <c r="NHR126" s="2"/>
      <c r="NHT126" s="2"/>
      <c r="NHV126" s="2"/>
      <c r="NHX126" s="2"/>
      <c r="NHZ126" s="2"/>
      <c r="NIB126" s="2"/>
      <c r="NID126" s="2"/>
      <c r="NIF126" s="2"/>
      <c r="NIH126" s="2"/>
      <c r="NIJ126" s="2"/>
      <c r="NIL126" s="2"/>
      <c r="NIN126" s="2"/>
      <c r="NIP126" s="2"/>
      <c r="NIR126" s="2"/>
      <c r="NIT126" s="2"/>
      <c r="NIV126" s="2"/>
      <c r="NIX126" s="2"/>
      <c r="NIZ126" s="2"/>
      <c r="NJB126" s="2"/>
      <c r="NJD126" s="2"/>
      <c r="NJF126" s="2"/>
      <c r="NJH126" s="2"/>
      <c r="NJJ126" s="2"/>
      <c r="NJL126" s="2"/>
      <c r="NJN126" s="2"/>
      <c r="NJP126" s="2"/>
      <c r="NJR126" s="2"/>
      <c r="NJT126" s="2"/>
      <c r="NJV126" s="2"/>
      <c r="NJX126" s="2"/>
      <c r="NJZ126" s="2"/>
      <c r="NKB126" s="2"/>
      <c r="NKD126" s="2"/>
      <c r="NKF126" s="2"/>
      <c r="NKH126" s="2"/>
      <c r="NKJ126" s="2"/>
      <c r="NKL126" s="2"/>
      <c r="NKN126" s="2"/>
      <c r="NKP126" s="2"/>
      <c r="NKR126" s="2"/>
      <c r="NKT126" s="2"/>
      <c r="NKV126" s="2"/>
      <c r="NKX126" s="2"/>
      <c r="NKZ126" s="2"/>
      <c r="NLB126" s="2"/>
      <c r="NLD126" s="2"/>
      <c r="NLF126" s="2"/>
      <c r="NLH126" s="2"/>
      <c r="NLJ126" s="2"/>
      <c r="NLL126" s="2"/>
      <c r="NLN126" s="2"/>
      <c r="NLP126" s="2"/>
      <c r="NLR126" s="2"/>
      <c r="NLT126" s="2"/>
      <c r="NLV126" s="2"/>
      <c r="NLX126" s="2"/>
      <c r="NLZ126" s="2"/>
      <c r="NMB126" s="2"/>
      <c r="NMD126" s="2"/>
      <c r="NMF126" s="2"/>
      <c r="NMH126" s="2"/>
      <c r="NMJ126" s="2"/>
      <c r="NML126" s="2"/>
      <c r="NMN126" s="2"/>
      <c r="NMP126" s="2"/>
      <c r="NMR126" s="2"/>
      <c r="NMT126" s="2"/>
      <c r="NMV126" s="2"/>
      <c r="NMX126" s="2"/>
      <c r="NMZ126" s="2"/>
      <c r="NNB126" s="2"/>
      <c r="NND126" s="2"/>
      <c r="NNF126" s="2"/>
      <c r="NNH126" s="2"/>
      <c r="NNJ126" s="2"/>
      <c r="NNL126" s="2"/>
      <c r="NNN126" s="2"/>
      <c r="NNP126" s="2"/>
      <c r="NNR126" s="2"/>
      <c r="NNT126" s="2"/>
      <c r="NNV126" s="2"/>
      <c r="NNX126" s="2"/>
      <c r="NNZ126" s="2"/>
      <c r="NOB126" s="2"/>
      <c r="NOD126" s="2"/>
      <c r="NOF126" s="2"/>
      <c r="NOH126" s="2"/>
      <c r="NOJ126" s="2"/>
      <c r="NOL126" s="2"/>
      <c r="NON126" s="2"/>
      <c r="NOP126" s="2"/>
      <c r="NOR126" s="2"/>
      <c r="NOT126" s="2"/>
      <c r="NOV126" s="2"/>
      <c r="NOX126" s="2"/>
      <c r="NOZ126" s="2"/>
      <c r="NPB126" s="2"/>
      <c r="NPD126" s="2"/>
      <c r="NPF126" s="2"/>
      <c r="NPH126" s="2"/>
      <c r="NPJ126" s="2"/>
      <c r="NPL126" s="2"/>
      <c r="NPN126" s="2"/>
      <c r="NPP126" s="2"/>
      <c r="NPR126" s="2"/>
      <c r="NPT126" s="2"/>
      <c r="NPV126" s="2"/>
      <c r="NPX126" s="2"/>
      <c r="NPZ126" s="2"/>
      <c r="NQB126" s="2"/>
      <c r="NQD126" s="2"/>
      <c r="NQF126" s="2"/>
      <c r="NQH126" s="2"/>
      <c r="NQJ126" s="2"/>
      <c r="NQL126" s="2"/>
      <c r="NQN126" s="2"/>
      <c r="NQP126" s="2"/>
      <c r="NQR126" s="2"/>
      <c r="NQT126" s="2"/>
      <c r="NQV126" s="2"/>
      <c r="NQX126" s="2"/>
      <c r="NQZ126" s="2"/>
      <c r="NRB126" s="2"/>
      <c r="NRD126" s="2"/>
      <c r="NRF126" s="2"/>
      <c r="NRH126" s="2"/>
      <c r="NRJ126" s="2"/>
      <c r="NRL126" s="2"/>
      <c r="NRN126" s="2"/>
      <c r="NRP126" s="2"/>
      <c r="NRR126" s="2"/>
      <c r="NRT126" s="2"/>
      <c r="NRV126" s="2"/>
      <c r="NRX126" s="2"/>
      <c r="NRZ126" s="2"/>
      <c r="NSB126" s="2"/>
      <c r="NSD126" s="2"/>
      <c r="NSF126" s="2"/>
      <c r="NSH126" s="2"/>
      <c r="NSJ126" s="2"/>
      <c r="NSL126" s="2"/>
      <c r="NSN126" s="2"/>
      <c r="NSP126" s="2"/>
      <c r="NSR126" s="2"/>
      <c r="NST126" s="2"/>
      <c r="NSV126" s="2"/>
      <c r="NSX126" s="2"/>
      <c r="NSZ126" s="2"/>
      <c r="NTB126" s="2"/>
      <c r="NTD126" s="2"/>
      <c r="NTF126" s="2"/>
      <c r="NTH126" s="2"/>
      <c r="NTJ126" s="2"/>
      <c r="NTL126" s="2"/>
      <c r="NTN126" s="2"/>
      <c r="NTP126" s="2"/>
      <c r="NTR126" s="2"/>
      <c r="NTT126" s="2"/>
      <c r="NTV126" s="2"/>
      <c r="NTX126" s="2"/>
      <c r="NTZ126" s="2"/>
      <c r="NUB126" s="2"/>
      <c r="NUD126" s="2"/>
      <c r="NUF126" s="2"/>
      <c r="NUH126" s="2"/>
      <c r="NUJ126" s="2"/>
      <c r="NUL126" s="2"/>
      <c r="NUN126" s="2"/>
      <c r="NUP126" s="2"/>
      <c r="NUR126" s="2"/>
      <c r="NUT126" s="2"/>
      <c r="NUV126" s="2"/>
      <c r="NUX126" s="2"/>
      <c r="NUZ126" s="2"/>
      <c r="NVB126" s="2"/>
      <c r="NVD126" s="2"/>
      <c r="NVF126" s="2"/>
      <c r="NVH126" s="2"/>
      <c r="NVJ126" s="2"/>
      <c r="NVL126" s="2"/>
      <c r="NVN126" s="2"/>
      <c r="NVP126" s="2"/>
      <c r="NVR126" s="2"/>
      <c r="NVT126" s="2"/>
      <c r="NVV126" s="2"/>
      <c r="NVX126" s="2"/>
      <c r="NVZ126" s="2"/>
      <c r="NWB126" s="2"/>
      <c r="NWD126" s="2"/>
      <c r="NWF126" s="2"/>
      <c r="NWH126" s="2"/>
      <c r="NWJ126" s="2"/>
      <c r="NWL126" s="2"/>
      <c r="NWN126" s="2"/>
      <c r="NWP126" s="2"/>
      <c r="NWR126" s="2"/>
      <c r="NWT126" s="2"/>
      <c r="NWV126" s="2"/>
      <c r="NWX126" s="2"/>
      <c r="NWZ126" s="2"/>
      <c r="NXB126" s="2"/>
      <c r="NXD126" s="2"/>
      <c r="NXF126" s="2"/>
      <c r="NXH126" s="2"/>
      <c r="NXJ126" s="2"/>
      <c r="NXL126" s="2"/>
      <c r="NXN126" s="2"/>
      <c r="NXP126" s="2"/>
      <c r="NXR126" s="2"/>
      <c r="NXT126" s="2"/>
      <c r="NXV126" s="2"/>
      <c r="NXX126" s="2"/>
      <c r="NXZ126" s="2"/>
      <c r="NYB126" s="2"/>
      <c r="NYD126" s="2"/>
      <c r="NYF126" s="2"/>
      <c r="NYH126" s="2"/>
      <c r="NYJ126" s="2"/>
      <c r="NYL126" s="2"/>
      <c r="NYN126" s="2"/>
      <c r="NYP126" s="2"/>
      <c r="NYR126" s="2"/>
      <c r="NYT126" s="2"/>
      <c r="NYV126" s="2"/>
      <c r="NYX126" s="2"/>
      <c r="NYZ126" s="2"/>
      <c r="NZB126" s="2"/>
      <c r="NZD126" s="2"/>
      <c r="NZF126" s="2"/>
      <c r="NZH126" s="2"/>
      <c r="NZJ126" s="2"/>
      <c r="NZL126" s="2"/>
      <c r="NZN126" s="2"/>
      <c r="NZP126" s="2"/>
      <c r="NZR126" s="2"/>
      <c r="NZT126" s="2"/>
      <c r="NZV126" s="2"/>
      <c r="NZX126" s="2"/>
      <c r="NZZ126" s="2"/>
      <c r="OAB126" s="2"/>
      <c r="OAD126" s="2"/>
      <c r="OAF126" s="2"/>
      <c r="OAH126" s="2"/>
      <c r="OAJ126" s="2"/>
      <c r="OAL126" s="2"/>
      <c r="OAN126" s="2"/>
      <c r="OAP126" s="2"/>
      <c r="OAR126" s="2"/>
      <c r="OAT126" s="2"/>
      <c r="OAV126" s="2"/>
      <c r="OAX126" s="2"/>
      <c r="OAZ126" s="2"/>
      <c r="OBB126" s="2"/>
      <c r="OBD126" s="2"/>
      <c r="OBF126" s="2"/>
      <c r="OBH126" s="2"/>
      <c r="OBJ126" s="2"/>
      <c r="OBL126" s="2"/>
      <c r="OBN126" s="2"/>
      <c r="OBP126" s="2"/>
      <c r="OBR126" s="2"/>
      <c r="OBT126" s="2"/>
      <c r="OBV126" s="2"/>
      <c r="OBX126" s="2"/>
      <c r="OBZ126" s="2"/>
      <c r="OCB126" s="2"/>
      <c r="OCD126" s="2"/>
      <c r="OCF126" s="2"/>
      <c r="OCH126" s="2"/>
      <c r="OCJ126" s="2"/>
      <c r="OCL126" s="2"/>
      <c r="OCN126" s="2"/>
      <c r="OCP126" s="2"/>
      <c r="OCR126" s="2"/>
      <c r="OCT126" s="2"/>
      <c r="OCV126" s="2"/>
      <c r="OCX126" s="2"/>
      <c r="OCZ126" s="2"/>
      <c r="ODB126" s="2"/>
      <c r="ODD126" s="2"/>
      <c r="ODF126" s="2"/>
      <c r="ODH126" s="2"/>
      <c r="ODJ126" s="2"/>
      <c r="ODL126" s="2"/>
      <c r="ODN126" s="2"/>
      <c r="ODP126" s="2"/>
      <c r="ODR126" s="2"/>
      <c r="ODT126" s="2"/>
      <c r="ODV126" s="2"/>
      <c r="ODX126" s="2"/>
      <c r="ODZ126" s="2"/>
      <c r="OEB126" s="2"/>
      <c r="OED126" s="2"/>
      <c r="OEF126" s="2"/>
      <c r="OEH126" s="2"/>
      <c r="OEJ126" s="2"/>
      <c r="OEL126" s="2"/>
      <c r="OEN126" s="2"/>
      <c r="OEP126" s="2"/>
      <c r="OER126" s="2"/>
      <c r="OET126" s="2"/>
      <c r="OEV126" s="2"/>
      <c r="OEX126" s="2"/>
      <c r="OEZ126" s="2"/>
      <c r="OFB126" s="2"/>
      <c r="OFD126" s="2"/>
      <c r="OFF126" s="2"/>
      <c r="OFH126" s="2"/>
      <c r="OFJ126" s="2"/>
      <c r="OFL126" s="2"/>
      <c r="OFN126" s="2"/>
      <c r="OFP126" s="2"/>
      <c r="OFR126" s="2"/>
      <c r="OFT126" s="2"/>
      <c r="OFV126" s="2"/>
      <c r="OFX126" s="2"/>
      <c r="OFZ126" s="2"/>
      <c r="OGB126" s="2"/>
      <c r="OGD126" s="2"/>
      <c r="OGF126" s="2"/>
      <c r="OGH126" s="2"/>
      <c r="OGJ126" s="2"/>
      <c r="OGL126" s="2"/>
      <c r="OGN126" s="2"/>
      <c r="OGP126" s="2"/>
      <c r="OGR126" s="2"/>
      <c r="OGT126" s="2"/>
      <c r="OGV126" s="2"/>
      <c r="OGX126" s="2"/>
      <c r="OGZ126" s="2"/>
      <c r="OHB126" s="2"/>
      <c r="OHD126" s="2"/>
      <c r="OHF126" s="2"/>
      <c r="OHH126" s="2"/>
      <c r="OHJ126" s="2"/>
      <c r="OHL126" s="2"/>
      <c r="OHN126" s="2"/>
      <c r="OHP126" s="2"/>
      <c r="OHR126" s="2"/>
      <c r="OHT126" s="2"/>
      <c r="OHV126" s="2"/>
      <c r="OHX126" s="2"/>
      <c r="OHZ126" s="2"/>
      <c r="OIB126" s="2"/>
      <c r="OID126" s="2"/>
      <c r="OIF126" s="2"/>
      <c r="OIH126" s="2"/>
      <c r="OIJ126" s="2"/>
      <c r="OIL126" s="2"/>
      <c r="OIN126" s="2"/>
      <c r="OIP126" s="2"/>
      <c r="OIR126" s="2"/>
      <c r="OIT126" s="2"/>
      <c r="OIV126" s="2"/>
      <c r="OIX126" s="2"/>
      <c r="OIZ126" s="2"/>
      <c r="OJB126" s="2"/>
      <c r="OJD126" s="2"/>
      <c r="OJF126" s="2"/>
      <c r="OJH126" s="2"/>
      <c r="OJJ126" s="2"/>
      <c r="OJL126" s="2"/>
      <c r="OJN126" s="2"/>
      <c r="OJP126" s="2"/>
      <c r="OJR126" s="2"/>
      <c r="OJT126" s="2"/>
      <c r="OJV126" s="2"/>
      <c r="OJX126" s="2"/>
      <c r="OJZ126" s="2"/>
      <c r="OKB126" s="2"/>
      <c r="OKD126" s="2"/>
      <c r="OKF126" s="2"/>
      <c r="OKH126" s="2"/>
      <c r="OKJ126" s="2"/>
      <c r="OKL126" s="2"/>
      <c r="OKN126" s="2"/>
      <c r="OKP126" s="2"/>
      <c r="OKR126" s="2"/>
      <c r="OKT126" s="2"/>
      <c r="OKV126" s="2"/>
      <c r="OKX126" s="2"/>
      <c r="OKZ126" s="2"/>
      <c r="OLB126" s="2"/>
      <c r="OLD126" s="2"/>
      <c r="OLF126" s="2"/>
      <c r="OLH126" s="2"/>
      <c r="OLJ126" s="2"/>
      <c r="OLL126" s="2"/>
      <c r="OLN126" s="2"/>
      <c r="OLP126" s="2"/>
      <c r="OLR126" s="2"/>
      <c r="OLT126" s="2"/>
      <c r="OLV126" s="2"/>
      <c r="OLX126" s="2"/>
      <c r="OLZ126" s="2"/>
      <c r="OMB126" s="2"/>
      <c r="OMD126" s="2"/>
      <c r="OMF126" s="2"/>
      <c r="OMH126" s="2"/>
      <c r="OMJ126" s="2"/>
      <c r="OML126" s="2"/>
      <c r="OMN126" s="2"/>
      <c r="OMP126" s="2"/>
      <c r="OMR126" s="2"/>
      <c r="OMT126" s="2"/>
      <c r="OMV126" s="2"/>
      <c r="OMX126" s="2"/>
      <c r="OMZ126" s="2"/>
      <c r="ONB126" s="2"/>
      <c r="OND126" s="2"/>
      <c r="ONF126" s="2"/>
      <c r="ONH126" s="2"/>
      <c r="ONJ126" s="2"/>
      <c r="ONL126" s="2"/>
      <c r="ONN126" s="2"/>
      <c r="ONP126" s="2"/>
      <c r="ONR126" s="2"/>
      <c r="ONT126" s="2"/>
      <c r="ONV126" s="2"/>
      <c r="ONX126" s="2"/>
      <c r="ONZ126" s="2"/>
      <c r="OOB126" s="2"/>
      <c r="OOD126" s="2"/>
      <c r="OOF126" s="2"/>
      <c r="OOH126" s="2"/>
      <c r="OOJ126" s="2"/>
      <c r="OOL126" s="2"/>
      <c r="OON126" s="2"/>
      <c r="OOP126" s="2"/>
      <c r="OOR126" s="2"/>
      <c r="OOT126" s="2"/>
      <c r="OOV126" s="2"/>
      <c r="OOX126" s="2"/>
      <c r="OOZ126" s="2"/>
      <c r="OPB126" s="2"/>
      <c r="OPD126" s="2"/>
      <c r="OPF126" s="2"/>
      <c r="OPH126" s="2"/>
      <c r="OPJ126" s="2"/>
      <c r="OPL126" s="2"/>
      <c r="OPN126" s="2"/>
      <c r="OPP126" s="2"/>
      <c r="OPR126" s="2"/>
      <c r="OPT126" s="2"/>
      <c r="OPV126" s="2"/>
      <c r="OPX126" s="2"/>
      <c r="OPZ126" s="2"/>
      <c r="OQB126" s="2"/>
      <c r="OQD126" s="2"/>
      <c r="OQF126" s="2"/>
      <c r="OQH126" s="2"/>
      <c r="OQJ126" s="2"/>
      <c r="OQL126" s="2"/>
      <c r="OQN126" s="2"/>
      <c r="OQP126" s="2"/>
      <c r="OQR126" s="2"/>
      <c r="OQT126" s="2"/>
      <c r="OQV126" s="2"/>
      <c r="OQX126" s="2"/>
      <c r="OQZ126" s="2"/>
      <c r="ORB126" s="2"/>
      <c r="ORD126" s="2"/>
      <c r="ORF126" s="2"/>
      <c r="ORH126" s="2"/>
      <c r="ORJ126" s="2"/>
      <c r="ORL126" s="2"/>
      <c r="ORN126" s="2"/>
      <c r="ORP126" s="2"/>
      <c r="ORR126" s="2"/>
      <c r="ORT126" s="2"/>
      <c r="ORV126" s="2"/>
      <c r="ORX126" s="2"/>
      <c r="ORZ126" s="2"/>
      <c r="OSB126" s="2"/>
      <c r="OSD126" s="2"/>
      <c r="OSF126" s="2"/>
      <c r="OSH126" s="2"/>
      <c r="OSJ126" s="2"/>
      <c r="OSL126" s="2"/>
      <c r="OSN126" s="2"/>
      <c r="OSP126" s="2"/>
      <c r="OSR126" s="2"/>
      <c r="OST126" s="2"/>
      <c r="OSV126" s="2"/>
      <c r="OSX126" s="2"/>
      <c r="OSZ126" s="2"/>
      <c r="OTB126" s="2"/>
      <c r="OTD126" s="2"/>
      <c r="OTF126" s="2"/>
      <c r="OTH126" s="2"/>
      <c r="OTJ126" s="2"/>
      <c r="OTL126" s="2"/>
      <c r="OTN126" s="2"/>
      <c r="OTP126" s="2"/>
      <c r="OTR126" s="2"/>
      <c r="OTT126" s="2"/>
      <c r="OTV126" s="2"/>
      <c r="OTX126" s="2"/>
      <c r="OTZ126" s="2"/>
      <c r="OUB126" s="2"/>
      <c r="OUD126" s="2"/>
      <c r="OUF126" s="2"/>
      <c r="OUH126" s="2"/>
      <c r="OUJ126" s="2"/>
      <c r="OUL126" s="2"/>
      <c r="OUN126" s="2"/>
      <c r="OUP126" s="2"/>
      <c r="OUR126" s="2"/>
      <c r="OUT126" s="2"/>
      <c r="OUV126" s="2"/>
      <c r="OUX126" s="2"/>
      <c r="OUZ126" s="2"/>
      <c r="OVB126" s="2"/>
      <c r="OVD126" s="2"/>
      <c r="OVF126" s="2"/>
      <c r="OVH126" s="2"/>
      <c r="OVJ126" s="2"/>
      <c r="OVL126" s="2"/>
      <c r="OVN126" s="2"/>
      <c r="OVP126" s="2"/>
      <c r="OVR126" s="2"/>
      <c r="OVT126" s="2"/>
      <c r="OVV126" s="2"/>
      <c r="OVX126" s="2"/>
      <c r="OVZ126" s="2"/>
      <c r="OWB126" s="2"/>
      <c r="OWD126" s="2"/>
      <c r="OWF126" s="2"/>
      <c r="OWH126" s="2"/>
      <c r="OWJ126" s="2"/>
      <c r="OWL126" s="2"/>
      <c r="OWN126" s="2"/>
      <c r="OWP126" s="2"/>
      <c r="OWR126" s="2"/>
      <c r="OWT126" s="2"/>
      <c r="OWV126" s="2"/>
      <c r="OWX126" s="2"/>
      <c r="OWZ126" s="2"/>
      <c r="OXB126" s="2"/>
      <c r="OXD126" s="2"/>
      <c r="OXF126" s="2"/>
      <c r="OXH126" s="2"/>
      <c r="OXJ126" s="2"/>
      <c r="OXL126" s="2"/>
      <c r="OXN126" s="2"/>
      <c r="OXP126" s="2"/>
      <c r="OXR126" s="2"/>
      <c r="OXT126" s="2"/>
      <c r="OXV126" s="2"/>
      <c r="OXX126" s="2"/>
      <c r="OXZ126" s="2"/>
      <c r="OYB126" s="2"/>
      <c r="OYD126" s="2"/>
      <c r="OYF126" s="2"/>
      <c r="OYH126" s="2"/>
      <c r="OYJ126" s="2"/>
      <c r="OYL126" s="2"/>
      <c r="OYN126" s="2"/>
      <c r="OYP126" s="2"/>
      <c r="OYR126" s="2"/>
      <c r="OYT126" s="2"/>
      <c r="OYV126" s="2"/>
      <c r="OYX126" s="2"/>
      <c r="OYZ126" s="2"/>
      <c r="OZB126" s="2"/>
      <c r="OZD126" s="2"/>
      <c r="OZF126" s="2"/>
      <c r="OZH126" s="2"/>
      <c r="OZJ126" s="2"/>
      <c r="OZL126" s="2"/>
      <c r="OZN126" s="2"/>
      <c r="OZP126" s="2"/>
      <c r="OZR126" s="2"/>
      <c r="OZT126" s="2"/>
      <c r="OZV126" s="2"/>
      <c r="OZX126" s="2"/>
      <c r="OZZ126" s="2"/>
      <c r="PAB126" s="2"/>
      <c r="PAD126" s="2"/>
      <c r="PAF126" s="2"/>
      <c r="PAH126" s="2"/>
      <c r="PAJ126" s="2"/>
      <c r="PAL126" s="2"/>
      <c r="PAN126" s="2"/>
      <c r="PAP126" s="2"/>
      <c r="PAR126" s="2"/>
      <c r="PAT126" s="2"/>
      <c r="PAV126" s="2"/>
      <c r="PAX126" s="2"/>
      <c r="PAZ126" s="2"/>
      <c r="PBB126" s="2"/>
      <c r="PBD126" s="2"/>
      <c r="PBF126" s="2"/>
      <c r="PBH126" s="2"/>
      <c r="PBJ126" s="2"/>
      <c r="PBL126" s="2"/>
      <c r="PBN126" s="2"/>
      <c r="PBP126" s="2"/>
      <c r="PBR126" s="2"/>
      <c r="PBT126" s="2"/>
      <c r="PBV126" s="2"/>
      <c r="PBX126" s="2"/>
      <c r="PBZ126" s="2"/>
      <c r="PCB126" s="2"/>
      <c r="PCD126" s="2"/>
      <c r="PCF126" s="2"/>
      <c r="PCH126" s="2"/>
      <c r="PCJ126" s="2"/>
      <c r="PCL126" s="2"/>
      <c r="PCN126" s="2"/>
      <c r="PCP126" s="2"/>
      <c r="PCR126" s="2"/>
      <c r="PCT126" s="2"/>
      <c r="PCV126" s="2"/>
      <c r="PCX126" s="2"/>
      <c r="PCZ126" s="2"/>
      <c r="PDB126" s="2"/>
      <c r="PDD126" s="2"/>
      <c r="PDF126" s="2"/>
      <c r="PDH126" s="2"/>
      <c r="PDJ126" s="2"/>
      <c r="PDL126" s="2"/>
      <c r="PDN126" s="2"/>
      <c r="PDP126" s="2"/>
      <c r="PDR126" s="2"/>
      <c r="PDT126" s="2"/>
      <c r="PDV126" s="2"/>
      <c r="PDX126" s="2"/>
      <c r="PDZ126" s="2"/>
      <c r="PEB126" s="2"/>
      <c r="PED126" s="2"/>
      <c r="PEF126" s="2"/>
      <c r="PEH126" s="2"/>
      <c r="PEJ126" s="2"/>
      <c r="PEL126" s="2"/>
      <c r="PEN126" s="2"/>
      <c r="PEP126" s="2"/>
      <c r="PER126" s="2"/>
      <c r="PET126" s="2"/>
      <c r="PEV126" s="2"/>
      <c r="PEX126" s="2"/>
      <c r="PEZ126" s="2"/>
      <c r="PFB126" s="2"/>
      <c r="PFD126" s="2"/>
      <c r="PFF126" s="2"/>
      <c r="PFH126" s="2"/>
      <c r="PFJ126" s="2"/>
      <c r="PFL126" s="2"/>
      <c r="PFN126" s="2"/>
      <c r="PFP126" s="2"/>
      <c r="PFR126" s="2"/>
      <c r="PFT126" s="2"/>
      <c r="PFV126" s="2"/>
      <c r="PFX126" s="2"/>
      <c r="PFZ126" s="2"/>
      <c r="PGB126" s="2"/>
      <c r="PGD126" s="2"/>
      <c r="PGF126" s="2"/>
      <c r="PGH126" s="2"/>
      <c r="PGJ126" s="2"/>
      <c r="PGL126" s="2"/>
      <c r="PGN126" s="2"/>
      <c r="PGP126" s="2"/>
      <c r="PGR126" s="2"/>
      <c r="PGT126" s="2"/>
      <c r="PGV126" s="2"/>
      <c r="PGX126" s="2"/>
      <c r="PGZ126" s="2"/>
      <c r="PHB126" s="2"/>
      <c r="PHD126" s="2"/>
      <c r="PHF126" s="2"/>
      <c r="PHH126" s="2"/>
      <c r="PHJ126" s="2"/>
      <c r="PHL126" s="2"/>
      <c r="PHN126" s="2"/>
      <c r="PHP126" s="2"/>
      <c r="PHR126" s="2"/>
      <c r="PHT126" s="2"/>
      <c r="PHV126" s="2"/>
      <c r="PHX126" s="2"/>
      <c r="PHZ126" s="2"/>
      <c r="PIB126" s="2"/>
      <c r="PID126" s="2"/>
      <c r="PIF126" s="2"/>
      <c r="PIH126" s="2"/>
      <c r="PIJ126" s="2"/>
      <c r="PIL126" s="2"/>
      <c r="PIN126" s="2"/>
      <c r="PIP126" s="2"/>
      <c r="PIR126" s="2"/>
      <c r="PIT126" s="2"/>
      <c r="PIV126" s="2"/>
      <c r="PIX126" s="2"/>
      <c r="PIZ126" s="2"/>
      <c r="PJB126" s="2"/>
      <c r="PJD126" s="2"/>
      <c r="PJF126" s="2"/>
      <c r="PJH126" s="2"/>
      <c r="PJJ126" s="2"/>
      <c r="PJL126" s="2"/>
      <c r="PJN126" s="2"/>
      <c r="PJP126" s="2"/>
      <c r="PJR126" s="2"/>
      <c r="PJT126" s="2"/>
      <c r="PJV126" s="2"/>
      <c r="PJX126" s="2"/>
      <c r="PJZ126" s="2"/>
      <c r="PKB126" s="2"/>
      <c r="PKD126" s="2"/>
      <c r="PKF126" s="2"/>
      <c r="PKH126" s="2"/>
      <c r="PKJ126" s="2"/>
      <c r="PKL126" s="2"/>
      <c r="PKN126" s="2"/>
      <c r="PKP126" s="2"/>
      <c r="PKR126" s="2"/>
      <c r="PKT126" s="2"/>
      <c r="PKV126" s="2"/>
      <c r="PKX126" s="2"/>
      <c r="PKZ126" s="2"/>
      <c r="PLB126" s="2"/>
      <c r="PLD126" s="2"/>
      <c r="PLF126" s="2"/>
      <c r="PLH126" s="2"/>
      <c r="PLJ126" s="2"/>
      <c r="PLL126" s="2"/>
      <c r="PLN126" s="2"/>
      <c r="PLP126" s="2"/>
      <c r="PLR126" s="2"/>
      <c r="PLT126" s="2"/>
      <c r="PLV126" s="2"/>
      <c r="PLX126" s="2"/>
      <c r="PLZ126" s="2"/>
      <c r="PMB126" s="2"/>
      <c r="PMD126" s="2"/>
      <c r="PMF126" s="2"/>
      <c r="PMH126" s="2"/>
      <c r="PMJ126" s="2"/>
      <c r="PML126" s="2"/>
      <c r="PMN126" s="2"/>
      <c r="PMP126" s="2"/>
      <c r="PMR126" s="2"/>
      <c r="PMT126" s="2"/>
      <c r="PMV126" s="2"/>
      <c r="PMX126" s="2"/>
      <c r="PMZ126" s="2"/>
      <c r="PNB126" s="2"/>
      <c r="PND126" s="2"/>
      <c r="PNF126" s="2"/>
      <c r="PNH126" s="2"/>
      <c r="PNJ126" s="2"/>
      <c r="PNL126" s="2"/>
      <c r="PNN126" s="2"/>
      <c r="PNP126" s="2"/>
      <c r="PNR126" s="2"/>
      <c r="PNT126" s="2"/>
      <c r="PNV126" s="2"/>
      <c r="PNX126" s="2"/>
      <c r="PNZ126" s="2"/>
      <c r="POB126" s="2"/>
      <c r="POD126" s="2"/>
      <c r="POF126" s="2"/>
      <c r="POH126" s="2"/>
      <c r="POJ126" s="2"/>
      <c r="POL126" s="2"/>
      <c r="PON126" s="2"/>
      <c r="POP126" s="2"/>
      <c r="POR126" s="2"/>
      <c r="POT126" s="2"/>
      <c r="POV126" s="2"/>
      <c r="POX126" s="2"/>
      <c r="POZ126" s="2"/>
      <c r="PPB126" s="2"/>
      <c r="PPD126" s="2"/>
      <c r="PPF126" s="2"/>
      <c r="PPH126" s="2"/>
      <c r="PPJ126" s="2"/>
      <c r="PPL126" s="2"/>
      <c r="PPN126" s="2"/>
      <c r="PPP126" s="2"/>
      <c r="PPR126" s="2"/>
      <c r="PPT126" s="2"/>
      <c r="PPV126" s="2"/>
      <c r="PPX126" s="2"/>
      <c r="PPZ126" s="2"/>
      <c r="PQB126" s="2"/>
      <c r="PQD126" s="2"/>
      <c r="PQF126" s="2"/>
      <c r="PQH126" s="2"/>
      <c r="PQJ126" s="2"/>
      <c r="PQL126" s="2"/>
      <c r="PQN126" s="2"/>
      <c r="PQP126" s="2"/>
      <c r="PQR126" s="2"/>
      <c r="PQT126" s="2"/>
      <c r="PQV126" s="2"/>
      <c r="PQX126" s="2"/>
      <c r="PQZ126" s="2"/>
      <c r="PRB126" s="2"/>
      <c r="PRD126" s="2"/>
      <c r="PRF126" s="2"/>
      <c r="PRH126" s="2"/>
      <c r="PRJ126" s="2"/>
      <c r="PRL126" s="2"/>
      <c r="PRN126" s="2"/>
      <c r="PRP126" s="2"/>
      <c r="PRR126" s="2"/>
      <c r="PRT126" s="2"/>
      <c r="PRV126" s="2"/>
      <c r="PRX126" s="2"/>
      <c r="PRZ126" s="2"/>
      <c r="PSB126" s="2"/>
      <c r="PSD126" s="2"/>
      <c r="PSF126" s="2"/>
      <c r="PSH126" s="2"/>
      <c r="PSJ126" s="2"/>
      <c r="PSL126" s="2"/>
      <c r="PSN126" s="2"/>
      <c r="PSP126" s="2"/>
      <c r="PSR126" s="2"/>
      <c r="PST126" s="2"/>
      <c r="PSV126" s="2"/>
      <c r="PSX126" s="2"/>
      <c r="PSZ126" s="2"/>
      <c r="PTB126" s="2"/>
      <c r="PTD126" s="2"/>
      <c r="PTF126" s="2"/>
      <c r="PTH126" s="2"/>
      <c r="PTJ126" s="2"/>
      <c r="PTL126" s="2"/>
      <c r="PTN126" s="2"/>
      <c r="PTP126" s="2"/>
      <c r="PTR126" s="2"/>
      <c r="PTT126" s="2"/>
      <c r="PTV126" s="2"/>
      <c r="PTX126" s="2"/>
      <c r="PTZ126" s="2"/>
      <c r="PUB126" s="2"/>
      <c r="PUD126" s="2"/>
      <c r="PUF126" s="2"/>
      <c r="PUH126" s="2"/>
      <c r="PUJ126" s="2"/>
      <c r="PUL126" s="2"/>
      <c r="PUN126" s="2"/>
      <c r="PUP126" s="2"/>
      <c r="PUR126" s="2"/>
      <c r="PUT126" s="2"/>
      <c r="PUV126" s="2"/>
      <c r="PUX126" s="2"/>
      <c r="PUZ126" s="2"/>
      <c r="PVB126" s="2"/>
      <c r="PVD126" s="2"/>
      <c r="PVF126" s="2"/>
      <c r="PVH126" s="2"/>
      <c r="PVJ126" s="2"/>
      <c r="PVL126" s="2"/>
      <c r="PVN126" s="2"/>
      <c r="PVP126" s="2"/>
      <c r="PVR126" s="2"/>
      <c r="PVT126" s="2"/>
      <c r="PVV126" s="2"/>
      <c r="PVX126" s="2"/>
      <c r="PVZ126" s="2"/>
      <c r="PWB126" s="2"/>
      <c r="PWD126" s="2"/>
      <c r="PWF126" s="2"/>
      <c r="PWH126" s="2"/>
      <c r="PWJ126" s="2"/>
      <c r="PWL126" s="2"/>
      <c r="PWN126" s="2"/>
      <c r="PWP126" s="2"/>
      <c r="PWR126" s="2"/>
      <c r="PWT126" s="2"/>
      <c r="PWV126" s="2"/>
      <c r="PWX126" s="2"/>
      <c r="PWZ126" s="2"/>
      <c r="PXB126" s="2"/>
      <c r="PXD126" s="2"/>
      <c r="PXF126" s="2"/>
      <c r="PXH126" s="2"/>
      <c r="PXJ126" s="2"/>
      <c r="PXL126" s="2"/>
      <c r="PXN126" s="2"/>
      <c r="PXP126" s="2"/>
      <c r="PXR126" s="2"/>
      <c r="PXT126" s="2"/>
      <c r="PXV126" s="2"/>
      <c r="PXX126" s="2"/>
      <c r="PXZ126" s="2"/>
      <c r="PYB126" s="2"/>
      <c r="PYD126" s="2"/>
      <c r="PYF126" s="2"/>
      <c r="PYH126" s="2"/>
      <c r="PYJ126" s="2"/>
      <c r="PYL126" s="2"/>
      <c r="PYN126" s="2"/>
      <c r="PYP126" s="2"/>
      <c r="PYR126" s="2"/>
      <c r="PYT126" s="2"/>
      <c r="PYV126" s="2"/>
      <c r="PYX126" s="2"/>
      <c r="PYZ126" s="2"/>
      <c r="PZB126" s="2"/>
      <c r="PZD126" s="2"/>
      <c r="PZF126" s="2"/>
      <c r="PZH126" s="2"/>
      <c r="PZJ126" s="2"/>
      <c r="PZL126" s="2"/>
      <c r="PZN126" s="2"/>
      <c r="PZP126" s="2"/>
      <c r="PZR126" s="2"/>
      <c r="PZT126" s="2"/>
      <c r="PZV126" s="2"/>
      <c r="PZX126" s="2"/>
      <c r="PZZ126" s="2"/>
      <c r="QAB126" s="2"/>
      <c r="QAD126" s="2"/>
      <c r="QAF126" s="2"/>
      <c r="QAH126" s="2"/>
      <c r="QAJ126" s="2"/>
      <c r="QAL126" s="2"/>
      <c r="QAN126" s="2"/>
      <c r="QAP126" s="2"/>
      <c r="QAR126" s="2"/>
      <c r="QAT126" s="2"/>
      <c r="QAV126" s="2"/>
      <c r="QAX126" s="2"/>
      <c r="QAZ126" s="2"/>
      <c r="QBB126" s="2"/>
      <c r="QBD126" s="2"/>
      <c r="QBF126" s="2"/>
      <c r="QBH126" s="2"/>
      <c r="QBJ126" s="2"/>
      <c r="QBL126" s="2"/>
      <c r="QBN126" s="2"/>
      <c r="QBP126" s="2"/>
      <c r="QBR126" s="2"/>
      <c r="QBT126" s="2"/>
      <c r="QBV126" s="2"/>
      <c r="QBX126" s="2"/>
      <c r="QBZ126" s="2"/>
      <c r="QCB126" s="2"/>
      <c r="QCD126" s="2"/>
      <c r="QCF126" s="2"/>
      <c r="QCH126" s="2"/>
      <c r="QCJ126" s="2"/>
      <c r="QCL126" s="2"/>
      <c r="QCN126" s="2"/>
      <c r="QCP126" s="2"/>
      <c r="QCR126" s="2"/>
      <c r="QCT126" s="2"/>
      <c r="QCV126" s="2"/>
      <c r="QCX126" s="2"/>
      <c r="QCZ126" s="2"/>
      <c r="QDB126" s="2"/>
      <c r="QDD126" s="2"/>
      <c r="QDF126" s="2"/>
      <c r="QDH126" s="2"/>
      <c r="QDJ126" s="2"/>
      <c r="QDL126" s="2"/>
      <c r="QDN126" s="2"/>
      <c r="QDP126" s="2"/>
      <c r="QDR126" s="2"/>
      <c r="QDT126" s="2"/>
      <c r="QDV126" s="2"/>
      <c r="QDX126" s="2"/>
      <c r="QDZ126" s="2"/>
      <c r="QEB126" s="2"/>
      <c r="QED126" s="2"/>
      <c r="QEF126" s="2"/>
      <c r="QEH126" s="2"/>
      <c r="QEJ126" s="2"/>
      <c r="QEL126" s="2"/>
      <c r="QEN126" s="2"/>
      <c r="QEP126" s="2"/>
      <c r="QER126" s="2"/>
      <c r="QET126" s="2"/>
      <c r="QEV126" s="2"/>
      <c r="QEX126" s="2"/>
      <c r="QEZ126" s="2"/>
      <c r="QFB126" s="2"/>
      <c r="QFD126" s="2"/>
      <c r="QFF126" s="2"/>
      <c r="QFH126" s="2"/>
      <c r="QFJ126" s="2"/>
      <c r="QFL126" s="2"/>
      <c r="QFN126" s="2"/>
      <c r="QFP126" s="2"/>
      <c r="QFR126" s="2"/>
      <c r="QFT126" s="2"/>
      <c r="QFV126" s="2"/>
      <c r="QFX126" s="2"/>
      <c r="QFZ126" s="2"/>
      <c r="QGB126" s="2"/>
      <c r="QGD126" s="2"/>
      <c r="QGF126" s="2"/>
      <c r="QGH126" s="2"/>
      <c r="QGJ126" s="2"/>
      <c r="QGL126" s="2"/>
      <c r="QGN126" s="2"/>
      <c r="QGP126" s="2"/>
      <c r="QGR126" s="2"/>
      <c r="QGT126" s="2"/>
      <c r="QGV126" s="2"/>
      <c r="QGX126" s="2"/>
      <c r="QGZ126" s="2"/>
      <c r="QHB126" s="2"/>
      <c r="QHD126" s="2"/>
      <c r="QHF126" s="2"/>
      <c r="QHH126" s="2"/>
      <c r="QHJ126" s="2"/>
      <c r="QHL126" s="2"/>
      <c r="QHN126" s="2"/>
      <c r="QHP126" s="2"/>
      <c r="QHR126" s="2"/>
      <c r="QHT126" s="2"/>
      <c r="QHV126" s="2"/>
      <c r="QHX126" s="2"/>
      <c r="QHZ126" s="2"/>
      <c r="QIB126" s="2"/>
      <c r="QID126" s="2"/>
      <c r="QIF126" s="2"/>
      <c r="QIH126" s="2"/>
      <c r="QIJ126" s="2"/>
      <c r="QIL126" s="2"/>
      <c r="QIN126" s="2"/>
      <c r="QIP126" s="2"/>
      <c r="QIR126" s="2"/>
      <c r="QIT126" s="2"/>
      <c r="QIV126" s="2"/>
      <c r="QIX126" s="2"/>
      <c r="QIZ126" s="2"/>
      <c r="QJB126" s="2"/>
      <c r="QJD126" s="2"/>
      <c r="QJF126" s="2"/>
      <c r="QJH126" s="2"/>
      <c r="QJJ126" s="2"/>
      <c r="QJL126" s="2"/>
      <c r="QJN126" s="2"/>
      <c r="QJP126" s="2"/>
      <c r="QJR126" s="2"/>
      <c r="QJT126" s="2"/>
      <c r="QJV126" s="2"/>
      <c r="QJX126" s="2"/>
      <c r="QJZ126" s="2"/>
      <c r="QKB126" s="2"/>
      <c r="QKD126" s="2"/>
      <c r="QKF126" s="2"/>
      <c r="QKH126" s="2"/>
      <c r="QKJ126" s="2"/>
      <c r="QKL126" s="2"/>
      <c r="QKN126" s="2"/>
      <c r="QKP126" s="2"/>
      <c r="QKR126" s="2"/>
      <c r="QKT126" s="2"/>
      <c r="QKV126" s="2"/>
      <c r="QKX126" s="2"/>
      <c r="QKZ126" s="2"/>
      <c r="QLB126" s="2"/>
      <c r="QLD126" s="2"/>
      <c r="QLF126" s="2"/>
      <c r="QLH126" s="2"/>
      <c r="QLJ126" s="2"/>
      <c r="QLL126" s="2"/>
      <c r="QLN126" s="2"/>
      <c r="QLP126" s="2"/>
      <c r="QLR126" s="2"/>
      <c r="QLT126" s="2"/>
      <c r="QLV126" s="2"/>
      <c r="QLX126" s="2"/>
      <c r="QLZ126" s="2"/>
      <c r="QMB126" s="2"/>
      <c r="QMD126" s="2"/>
      <c r="QMF126" s="2"/>
      <c r="QMH126" s="2"/>
      <c r="QMJ126" s="2"/>
      <c r="QML126" s="2"/>
      <c r="QMN126" s="2"/>
      <c r="QMP126" s="2"/>
      <c r="QMR126" s="2"/>
      <c r="QMT126" s="2"/>
      <c r="QMV126" s="2"/>
      <c r="QMX126" s="2"/>
      <c r="QMZ126" s="2"/>
      <c r="QNB126" s="2"/>
      <c r="QND126" s="2"/>
      <c r="QNF126" s="2"/>
      <c r="QNH126" s="2"/>
      <c r="QNJ126" s="2"/>
      <c r="QNL126" s="2"/>
      <c r="QNN126" s="2"/>
      <c r="QNP126" s="2"/>
      <c r="QNR126" s="2"/>
      <c r="QNT126" s="2"/>
      <c r="QNV126" s="2"/>
      <c r="QNX126" s="2"/>
      <c r="QNZ126" s="2"/>
      <c r="QOB126" s="2"/>
      <c r="QOD126" s="2"/>
      <c r="QOF126" s="2"/>
      <c r="QOH126" s="2"/>
      <c r="QOJ126" s="2"/>
      <c r="QOL126" s="2"/>
      <c r="QON126" s="2"/>
      <c r="QOP126" s="2"/>
      <c r="QOR126" s="2"/>
      <c r="QOT126" s="2"/>
      <c r="QOV126" s="2"/>
      <c r="QOX126" s="2"/>
      <c r="QOZ126" s="2"/>
      <c r="QPB126" s="2"/>
      <c r="QPD126" s="2"/>
      <c r="QPF126" s="2"/>
      <c r="QPH126" s="2"/>
      <c r="QPJ126" s="2"/>
      <c r="QPL126" s="2"/>
      <c r="QPN126" s="2"/>
      <c r="QPP126" s="2"/>
      <c r="QPR126" s="2"/>
      <c r="QPT126" s="2"/>
      <c r="QPV126" s="2"/>
      <c r="QPX126" s="2"/>
      <c r="QPZ126" s="2"/>
      <c r="QQB126" s="2"/>
      <c r="QQD126" s="2"/>
      <c r="QQF126" s="2"/>
      <c r="QQH126" s="2"/>
      <c r="QQJ126" s="2"/>
      <c r="QQL126" s="2"/>
      <c r="QQN126" s="2"/>
      <c r="QQP126" s="2"/>
      <c r="QQR126" s="2"/>
      <c r="QQT126" s="2"/>
      <c r="QQV126" s="2"/>
      <c r="QQX126" s="2"/>
      <c r="QQZ126" s="2"/>
      <c r="QRB126" s="2"/>
      <c r="QRD126" s="2"/>
      <c r="QRF126" s="2"/>
      <c r="QRH126" s="2"/>
      <c r="QRJ126" s="2"/>
      <c r="QRL126" s="2"/>
      <c r="QRN126" s="2"/>
      <c r="QRP126" s="2"/>
      <c r="QRR126" s="2"/>
      <c r="QRT126" s="2"/>
      <c r="QRV126" s="2"/>
      <c r="QRX126" s="2"/>
      <c r="QRZ126" s="2"/>
      <c r="QSB126" s="2"/>
      <c r="QSD126" s="2"/>
      <c r="QSF126" s="2"/>
      <c r="QSH126" s="2"/>
      <c r="QSJ126" s="2"/>
      <c r="QSL126" s="2"/>
      <c r="QSN126" s="2"/>
      <c r="QSP126" s="2"/>
      <c r="QSR126" s="2"/>
      <c r="QST126" s="2"/>
      <c r="QSV126" s="2"/>
      <c r="QSX126" s="2"/>
      <c r="QSZ126" s="2"/>
      <c r="QTB126" s="2"/>
      <c r="QTD126" s="2"/>
      <c r="QTF126" s="2"/>
      <c r="QTH126" s="2"/>
      <c r="QTJ126" s="2"/>
      <c r="QTL126" s="2"/>
      <c r="QTN126" s="2"/>
      <c r="QTP126" s="2"/>
      <c r="QTR126" s="2"/>
      <c r="QTT126" s="2"/>
      <c r="QTV126" s="2"/>
      <c r="QTX126" s="2"/>
      <c r="QTZ126" s="2"/>
      <c r="QUB126" s="2"/>
      <c r="QUD126" s="2"/>
      <c r="QUF126" s="2"/>
      <c r="QUH126" s="2"/>
      <c r="QUJ126" s="2"/>
      <c r="QUL126" s="2"/>
      <c r="QUN126" s="2"/>
      <c r="QUP126" s="2"/>
      <c r="QUR126" s="2"/>
      <c r="QUT126" s="2"/>
      <c r="QUV126" s="2"/>
      <c r="QUX126" s="2"/>
      <c r="QUZ126" s="2"/>
      <c r="QVB126" s="2"/>
      <c r="QVD126" s="2"/>
      <c r="QVF126" s="2"/>
      <c r="QVH126" s="2"/>
      <c r="QVJ126" s="2"/>
      <c r="QVL126" s="2"/>
      <c r="QVN126" s="2"/>
      <c r="QVP126" s="2"/>
      <c r="QVR126" s="2"/>
      <c r="QVT126" s="2"/>
      <c r="QVV126" s="2"/>
      <c r="QVX126" s="2"/>
      <c r="QVZ126" s="2"/>
      <c r="QWB126" s="2"/>
      <c r="QWD126" s="2"/>
      <c r="QWF126" s="2"/>
      <c r="QWH126" s="2"/>
      <c r="QWJ126" s="2"/>
      <c r="QWL126" s="2"/>
      <c r="QWN126" s="2"/>
      <c r="QWP126" s="2"/>
      <c r="QWR126" s="2"/>
      <c r="QWT126" s="2"/>
      <c r="QWV126" s="2"/>
      <c r="QWX126" s="2"/>
      <c r="QWZ126" s="2"/>
      <c r="QXB126" s="2"/>
      <c r="QXD126" s="2"/>
      <c r="QXF126" s="2"/>
      <c r="QXH126" s="2"/>
      <c r="QXJ126" s="2"/>
      <c r="QXL126" s="2"/>
      <c r="QXN126" s="2"/>
      <c r="QXP126" s="2"/>
      <c r="QXR126" s="2"/>
      <c r="QXT126" s="2"/>
      <c r="QXV126" s="2"/>
      <c r="QXX126" s="2"/>
      <c r="QXZ126" s="2"/>
      <c r="QYB126" s="2"/>
      <c r="QYD126" s="2"/>
      <c r="QYF126" s="2"/>
      <c r="QYH126" s="2"/>
      <c r="QYJ126" s="2"/>
      <c r="QYL126" s="2"/>
      <c r="QYN126" s="2"/>
      <c r="QYP126" s="2"/>
      <c r="QYR126" s="2"/>
      <c r="QYT126" s="2"/>
      <c r="QYV126" s="2"/>
      <c r="QYX126" s="2"/>
      <c r="QYZ126" s="2"/>
      <c r="QZB126" s="2"/>
      <c r="QZD126" s="2"/>
      <c r="QZF126" s="2"/>
      <c r="QZH126" s="2"/>
      <c r="QZJ126" s="2"/>
      <c r="QZL126" s="2"/>
      <c r="QZN126" s="2"/>
      <c r="QZP126" s="2"/>
      <c r="QZR126" s="2"/>
      <c r="QZT126" s="2"/>
      <c r="QZV126" s="2"/>
      <c r="QZX126" s="2"/>
      <c r="QZZ126" s="2"/>
      <c r="RAB126" s="2"/>
      <c r="RAD126" s="2"/>
      <c r="RAF126" s="2"/>
      <c r="RAH126" s="2"/>
      <c r="RAJ126" s="2"/>
      <c r="RAL126" s="2"/>
      <c r="RAN126" s="2"/>
      <c r="RAP126" s="2"/>
      <c r="RAR126" s="2"/>
      <c r="RAT126" s="2"/>
      <c r="RAV126" s="2"/>
      <c r="RAX126" s="2"/>
      <c r="RAZ126" s="2"/>
      <c r="RBB126" s="2"/>
      <c r="RBD126" s="2"/>
      <c r="RBF126" s="2"/>
      <c r="RBH126" s="2"/>
      <c r="RBJ126" s="2"/>
      <c r="RBL126" s="2"/>
      <c r="RBN126" s="2"/>
      <c r="RBP126" s="2"/>
      <c r="RBR126" s="2"/>
      <c r="RBT126" s="2"/>
      <c r="RBV126" s="2"/>
      <c r="RBX126" s="2"/>
      <c r="RBZ126" s="2"/>
      <c r="RCB126" s="2"/>
      <c r="RCD126" s="2"/>
      <c r="RCF126" s="2"/>
      <c r="RCH126" s="2"/>
      <c r="RCJ126" s="2"/>
      <c r="RCL126" s="2"/>
      <c r="RCN126" s="2"/>
      <c r="RCP126" s="2"/>
      <c r="RCR126" s="2"/>
      <c r="RCT126" s="2"/>
      <c r="RCV126" s="2"/>
      <c r="RCX126" s="2"/>
      <c r="RCZ126" s="2"/>
      <c r="RDB126" s="2"/>
      <c r="RDD126" s="2"/>
      <c r="RDF126" s="2"/>
      <c r="RDH126" s="2"/>
      <c r="RDJ126" s="2"/>
      <c r="RDL126" s="2"/>
      <c r="RDN126" s="2"/>
      <c r="RDP126" s="2"/>
      <c r="RDR126" s="2"/>
      <c r="RDT126" s="2"/>
      <c r="RDV126" s="2"/>
      <c r="RDX126" s="2"/>
      <c r="RDZ126" s="2"/>
      <c r="REB126" s="2"/>
      <c r="RED126" s="2"/>
      <c r="REF126" s="2"/>
      <c r="REH126" s="2"/>
      <c r="REJ126" s="2"/>
      <c r="REL126" s="2"/>
      <c r="REN126" s="2"/>
      <c r="REP126" s="2"/>
      <c r="RER126" s="2"/>
      <c r="RET126" s="2"/>
      <c r="REV126" s="2"/>
      <c r="REX126" s="2"/>
      <c r="REZ126" s="2"/>
      <c r="RFB126" s="2"/>
      <c r="RFD126" s="2"/>
      <c r="RFF126" s="2"/>
      <c r="RFH126" s="2"/>
      <c r="RFJ126" s="2"/>
      <c r="RFL126" s="2"/>
      <c r="RFN126" s="2"/>
      <c r="RFP126" s="2"/>
      <c r="RFR126" s="2"/>
      <c r="RFT126" s="2"/>
      <c r="RFV126" s="2"/>
      <c r="RFX126" s="2"/>
      <c r="RFZ126" s="2"/>
      <c r="RGB126" s="2"/>
      <c r="RGD126" s="2"/>
      <c r="RGF126" s="2"/>
      <c r="RGH126" s="2"/>
      <c r="RGJ126" s="2"/>
      <c r="RGL126" s="2"/>
      <c r="RGN126" s="2"/>
      <c r="RGP126" s="2"/>
      <c r="RGR126" s="2"/>
      <c r="RGT126" s="2"/>
      <c r="RGV126" s="2"/>
      <c r="RGX126" s="2"/>
      <c r="RGZ126" s="2"/>
      <c r="RHB126" s="2"/>
      <c r="RHD126" s="2"/>
      <c r="RHF126" s="2"/>
      <c r="RHH126" s="2"/>
      <c r="RHJ126" s="2"/>
      <c r="RHL126" s="2"/>
      <c r="RHN126" s="2"/>
      <c r="RHP126" s="2"/>
      <c r="RHR126" s="2"/>
      <c r="RHT126" s="2"/>
      <c r="RHV126" s="2"/>
      <c r="RHX126" s="2"/>
      <c r="RHZ126" s="2"/>
      <c r="RIB126" s="2"/>
      <c r="RID126" s="2"/>
      <c r="RIF126" s="2"/>
      <c r="RIH126" s="2"/>
      <c r="RIJ126" s="2"/>
      <c r="RIL126" s="2"/>
      <c r="RIN126" s="2"/>
      <c r="RIP126" s="2"/>
      <c r="RIR126" s="2"/>
      <c r="RIT126" s="2"/>
      <c r="RIV126" s="2"/>
      <c r="RIX126" s="2"/>
      <c r="RIZ126" s="2"/>
      <c r="RJB126" s="2"/>
      <c r="RJD126" s="2"/>
      <c r="RJF126" s="2"/>
      <c r="RJH126" s="2"/>
      <c r="RJJ126" s="2"/>
      <c r="RJL126" s="2"/>
      <c r="RJN126" s="2"/>
      <c r="RJP126" s="2"/>
      <c r="RJR126" s="2"/>
      <c r="RJT126" s="2"/>
      <c r="RJV126" s="2"/>
      <c r="RJX126" s="2"/>
      <c r="RJZ126" s="2"/>
      <c r="RKB126" s="2"/>
      <c r="RKD126" s="2"/>
      <c r="RKF126" s="2"/>
      <c r="RKH126" s="2"/>
      <c r="RKJ126" s="2"/>
      <c r="RKL126" s="2"/>
      <c r="RKN126" s="2"/>
      <c r="RKP126" s="2"/>
      <c r="RKR126" s="2"/>
      <c r="RKT126" s="2"/>
      <c r="RKV126" s="2"/>
      <c r="RKX126" s="2"/>
      <c r="RKZ126" s="2"/>
      <c r="RLB126" s="2"/>
      <c r="RLD126" s="2"/>
      <c r="RLF126" s="2"/>
      <c r="RLH126" s="2"/>
      <c r="RLJ126" s="2"/>
      <c r="RLL126" s="2"/>
      <c r="RLN126" s="2"/>
      <c r="RLP126" s="2"/>
      <c r="RLR126" s="2"/>
      <c r="RLT126" s="2"/>
      <c r="RLV126" s="2"/>
      <c r="RLX126" s="2"/>
      <c r="RLZ126" s="2"/>
      <c r="RMB126" s="2"/>
      <c r="RMD126" s="2"/>
      <c r="RMF126" s="2"/>
      <c r="RMH126" s="2"/>
      <c r="RMJ126" s="2"/>
      <c r="RML126" s="2"/>
      <c r="RMN126" s="2"/>
      <c r="RMP126" s="2"/>
      <c r="RMR126" s="2"/>
      <c r="RMT126" s="2"/>
      <c r="RMV126" s="2"/>
      <c r="RMX126" s="2"/>
      <c r="RMZ126" s="2"/>
      <c r="RNB126" s="2"/>
      <c r="RND126" s="2"/>
      <c r="RNF126" s="2"/>
      <c r="RNH126" s="2"/>
      <c r="RNJ126" s="2"/>
      <c r="RNL126" s="2"/>
      <c r="RNN126" s="2"/>
      <c r="RNP126" s="2"/>
      <c r="RNR126" s="2"/>
      <c r="RNT126" s="2"/>
      <c r="RNV126" s="2"/>
      <c r="RNX126" s="2"/>
      <c r="RNZ126" s="2"/>
      <c r="ROB126" s="2"/>
      <c r="ROD126" s="2"/>
      <c r="ROF126" s="2"/>
      <c r="ROH126" s="2"/>
      <c r="ROJ126" s="2"/>
      <c r="ROL126" s="2"/>
      <c r="RON126" s="2"/>
      <c r="ROP126" s="2"/>
      <c r="ROR126" s="2"/>
      <c r="ROT126" s="2"/>
      <c r="ROV126" s="2"/>
      <c r="ROX126" s="2"/>
      <c r="ROZ126" s="2"/>
      <c r="RPB126" s="2"/>
      <c r="RPD126" s="2"/>
      <c r="RPF126" s="2"/>
      <c r="RPH126" s="2"/>
      <c r="RPJ126" s="2"/>
      <c r="RPL126" s="2"/>
      <c r="RPN126" s="2"/>
      <c r="RPP126" s="2"/>
      <c r="RPR126" s="2"/>
      <c r="RPT126" s="2"/>
      <c r="RPV126" s="2"/>
      <c r="RPX126" s="2"/>
      <c r="RPZ126" s="2"/>
      <c r="RQB126" s="2"/>
      <c r="RQD126" s="2"/>
      <c r="RQF126" s="2"/>
      <c r="RQH126" s="2"/>
      <c r="RQJ126" s="2"/>
      <c r="RQL126" s="2"/>
      <c r="RQN126" s="2"/>
      <c r="RQP126" s="2"/>
      <c r="RQR126" s="2"/>
      <c r="RQT126" s="2"/>
      <c r="RQV126" s="2"/>
      <c r="RQX126" s="2"/>
      <c r="RQZ126" s="2"/>
      <c r="RRB126" s="2"/>
      <c r="RRD126" s="2"/>
      <c r="RRF126" s="2"/>
      <c r="RRH126" s="2"/>
      <c r="RRJ126" s="2"/>
      <c r="RRL126" s="2"/>
      <c r="RRN126" s="2"/>
      <c r="RRP126" s="2"/>
      <c r="RRR126" s="2"/>
      <c r="RRT126" s="2"/>
      <c r="RRV126" s="2"/>
      <c r="RRX126" s="2"/>
      <c r="RRZ126" s="2"/>
      <c r="RSB126" s="2"/>
      <c r="RSD126" s="2"/>
      <c r="RSF126" s="2"/>
      <c r="RSH126" s="2"/>
      <c r="RSJ126" s="2"/>
      <c r="RSL126" s="2"/>
      <c r="RSN126" s="2"/>
      <c r="RSP126" s="2"/>
      <c r="RSR126" s="2"/>
      <c r="RST126" s="2"/>
      <c r="RSV126" s="2"/>
      <c r="RSX126" s="2"/>
      <c r="RSZ126" s="2"/>
      <c r="RTB126" s="2"/>
      <c r="RTD126" s="2"/>
      <c r="RTF126" s="2"/>
      <c r="RTH126" s="2"/>
      <c r="RTJ126" s="2"/>
      <c r="RTL126" s="2"/>
      <c r="RTN126" s="2"/>
      <c r="RTP126" s="2"/>
      <c r="RTR126" s="2"/>
      <c r="RTT126" s="2"/>
      <c r="RTV126" s="2"/>
      <c r="RTX126" s="2"/>
      <c r="RTZ126" s="2"/>
      <c r="RUB126" s="2"/>
      <c r="RUD126" s="2"/>
      <c r="RUF126" s="2"/>
      <c r="RUH126" s="2"/>
      <c r="RUJ126" s="2"/>
      <c r="RUL126" s="2"/>
      <c r="RUN126" s="2"/>
      <c r="RUP126" s="2"/>
      <c r="RUR126" s="2"/>
      <c r="RUT126" s="2"/>
      <c r="RUV126" s="2"/>
      <c r="RUX126" s="2"/>
      <c r="RUZ126" s="2"/>
      <c r="RVB126" s="2"/>
      <c r="RVD126" s="2"/>
      <c r="RVF126" s="2"/>
      <c r="RVH126" s="2"/>
      <c r="RVJ126" s="2"/>
      <c r="RVL126" s="2"/>
      <c r="RVN126" s="2"/>
      <c r="RVP126" s="2"/>
      <c r="RVR126" s="2"/>
      <c r="RVT126" s="2"/>
      <c r="RVV126" s="2"/>
      <c r="RVX126" s="2"/>
      <c r="RVZ126" s="2"/>
      <c r="RWB126" s="2"/>
      <c r="RWD126" s="2"/>
      <c r="RWF126" s="2"/>
      <c r="RWH126" s="2"/>
      <c r="RWJ126" s="2"/>
      <c r="RWL126" s="2"/>
      <c r="RWN126" s="2"/>
      <c r="RWP126" s="2"/>
      <c r="RWR126" s="2"/>
      <c r="RWT126" s="2"/>
      <c r="RWV126" s="2"/>
      <c r="RWX126" s="2"/>
      <c r="RWZ126" s="2"/>
      <c r="RXB126" s="2"/>
      <c r="RXD126" s="2"/>
      <c r="RXF126" s="2"/>
      <c r="RXH126" s="2"/>
      <c r="RXJ126" s="2"/>
      <c r="RXL126" s="2"/>
      <c r="RXN126" s="2"/>
      <c r="RXP126" s="2"/>
      <c r="RXR126" s="2"/>
      <c r="RXT126" s="2"/>
      <c r="RXV126" s="2"/>
      <c r="RXX126" s="2"/>
      <c r="RXZ126" s="2"/>
      <c r="RYB126" s="2"/>
      <c r="RYD126" s="2"/>
      <c r="RYF126" s="2"/>
      <c r="RYH126" s="2"/>
      <c r="RYJ126" s="2"/>
      <c r="RYL126" s="2"/>
      <c r="RYN126" s="2"/>
      <c r="RYP126" s="2"/>
      <c r="RYR126" s="2"/>
      <c r="RYT126" s="2"/>
      <c r="RYV126" s="2"/>
      <c r="RYX126" s="2"/>
      <c r="RYZ126" s="2"/>
      <c r="RZB126" s="2"/>
      <c r="RZD126" s="2"/>
      <c r="RZF126" s="2"/>
      <c r="RZH126" s="2"/>
      <c r="RZJ126" s="2"/>
      <c r="RZL126" s="2"/>
      <c r="RZN126" s="2"/>
      <c r="RZP126" s="2"/>
      <c r="RZR126" s="2"/>
      <c r="RZT126" s="2"/>
      <c r="RZV126" s="2"/>
      <c r="RZX126" s="2"/>
      <c r="RZZ126" s="2"/>
      <c r="SAB126" s="2"/>
      <c r="SAD126" s="2"/>
      <c r="SAF126" s="2"/>
      <c r="SAH126" s="2"/>
      <c r="SAJ126" s="2"/>
      <c r="SAL126" s="2"/>
      <c r="SAN126" s="2"/>
      <c r="SAP126" s="2"/>
      <c r="SAR126" s="2"/>
      <c r="SAT126" s="2"/>
      <c r="SAV126" s="2"/>
      <c r="SAX126" s="2"/>
      <c r="SAZ126" s="2"/>
      <c r="SBB126" s="2"/>
      <c r="SBD126" s="2"/>
      <c r="SBF126" s="2"/>
      <c r="SBH126" s="2"/>
      <c r="SBJ126" s="2"/>
      <c r="SBL126" s="2"/>
      <c r="SBN126" s="2"/>
      <c r="SBP126" s="2"/>
      <c r="SBR126" s="2"/>
      <c r="SBT126" s="2"/>
      <c r="SBV126" s="2"/>
      <c r="SBX126" s="2"/>
      <c r="SBZ126" s="2"/>
      <c r="SCB126" s="2"/>
      <c r="SCD126" s="2"/>
      <c r="SCF126" s="2"/>
      <c r="SCH126" s="2"/>
      <c r="SCJ126" s="2"/>
      <c r="SCL126" s="2"/>
      <c r="SCN126" s="2"/>
      <c r="SCP126" s="2"/>
      <c r="SCR126" s="2"/>
      <c r="SCT126" s="2"/>
      <c r="SCV126" s="2"/>
      <c r="SCX126" s="2"/>
      <c r="SCZ126" s="2"/>
      <c r="SDB126" s="2"/>
      <c r="SDD126" s="2"/>
      <c r="SDF126" s="2"/>
      <c r="SDH126" s="2"/>
      <c r="SDJ126" s="2"/>
      <c r="SDL126" s="2"/>
      <c r="SDN126" s="2"/>
      <c r="SDP126" s="2"/>
      <c r="SDR126" s="2"/>
      <c r="SDT126" s="2"/>
      <c r="SDV126" s="2"/>
      <c r="SDX126" s="2"/>
      <c r="SDZ126" s="2"/>
      <c r="SEB126" s="2"/>
      <c r="SED126" s="2"/>
      <c r="SEF126" s="2"/>
      <c r="SEH126" s="2"/>
      <c r="SEJ126" s="2"/>
      <c r="SEL126" s="2"/>
      <c r="SEN126" s="2"/>
      <c r="SEP126" s="2"/>
      <c r="SER126" s="2"/>
      <c r="SET126" s="2"/>
      <c r="SEV126" s="2"/>
      <c r="SEX126" s="2"/>
      <c r="SEZ126" s="2"/>
      <c r="SFB126" s="2"/>
      <c r="SFD126" s="2"/>
      <c r="SFF126" s="2"/>
      <c r="SFH126" s="2"/>
      <c r="SFJ126" s="2"/>
      <c r="SFL126" s="2"/>
      <c r="SFN126" s="2"/>
      <c r="SFP126" s="2"/>
      <c r="SFR126" s="2"/>
      <c r="SFT126" s="2"/>
      <c r="SFV126" s="2"/>
      <c r="SFX126" s="2"/>
      <c r="SFZ126" s="2"/>
      <c r="SGB126" s="2"/>
      <c r="SGD126" s="2"/>
      <c r="SGF126" s="2"/>
      <c r="SGH126" s="2"/>
      <c r="SGJ126" s="2"/>
      <c r="SGL126" s="2"/>
      <c r="SGN126" s="2"/>
      <c r="SGP126" s="2"/>
      <c r="SGR126" s="2"/>
      <c r="SGT126" s="2"/>
      <c r="SGV126" s="2"/>
      <c r="SGX126" s="2"/>
      <c r="SGZ126" s="2"/>
      <c r="SHB126" s="2"/>
      <c r="SHD126" s="2"/>
      <c r="SHF126" s="2"/>
      <c r="SHH126" s="2"/>
      <c r="SHJ126" s="2"/>
      <c r="SHL126" s="2"/>
      <c r="SHN126" s="2"/>
      <c r="SHP126" s="2"/>
      <c r="SHR126" s="2"/>
      <c r="SHT126" s="2"/>
      <c r="SHV126" s="2"/>
      <c r="SHX126" s="2"/>
      <c r="SHZ126" s="2"/>
      <c r="SIB126" s="2"/>
      <c r="SID126" s="2"/>
      <c r="SIF126" s="2"/>
      <c r="SIH126" s="2"/>
      <c r="SIJ126" s="2"/>
      <c r="SIL126" s="2"/>
      <c r="SIN126" s="2"/>
      <c r="SIP126" s="2"/>
      <c r="SIR126" s="2"/>
      <c r="SIT126" s="2"/>
      <c r="SIV126" s="2"/>
      <c r="SIX126" s="2"/>
      <c r="SIZ126" s="2"/>
      <c r="SJB126" s="2"/>
      <c r="SJD126" s="2"/>
      <c r="SJF126" s="2"/>
      <c r="SJH126" s="2"/>
      <c r="SJJ126" s="2"/>
      <c r="SJL126" s="2"/>
      <c r="SJN126" s="2"/>
      <c r="SJP126" s="2"/>
      <c r="SJR126" s="2"/>
      <c r="SJT126" s="2"/>
      <c r="SJV126" s="2"/>
      <c r="SJX126" s="2"/>
      <c r="SJZ126" s="2"/>
      <c r="SKB126" s="2"/>
      <c r="SKD126" s="2"/>
      <c r="SKF126" s="2"/>
      <c r="SKH126" s="2"/>
      <c r="SKJ126" s="2"/>
      <c r="SKL126" s="2"/>
      <c r="SKN126" s="2"/>
      <c r="SKP126" s="2"/>
      <c r="SKR126" s="2"/>
      <c r="SKT126" s="2"/>
      <c r="SKV126" s="2"/>
      <c r="SKX126" s="2"/>
      <c r="SKZ126" s="2"/>
      <c r="SLB126" s="2"/>
      <c r="SLD126" s="2"/>
      <c r="SLF126" s="2"/>
      <c r="SLH126" s="2"/>
      <c r="SLJ126" s="2"/>
      <c r="SLL126" s="2"/>
      <c r="SLN126" s="2"/>
      <c r="SLP126" s="2"/>
      <c r="SLR126" s="2"/>
      <c r="SLT126" s="2"/>
      <c r="SLV126" s="2"/>
      <c r="SLX126" s="2"/>
      <c r="SLZ126" s="2"/>
      <c r="SMB126" s="2"/>
      <c r="SMD126" s="2"/>
      <c r="SMF126" s="2"/>
      <c r="SMH126" s="2"/>
      <c r="SMJ126" s="2"/>
      <c r="SML126" s="2"/>
      <c r="SMN126" s="2"/>
      <c r="SMP126" s="2"/>
      <c r="SMR126" s="2"/>
      <c r="SMT126" s="2"/>
      <c r="SMV126" s="2"/>
      <c r="SMX126" s="2"/>
      <c r="SMZ126" s="2"/>
      <c r="SNB126" s="2"/>
      <c r="SND126" s="2"/>
      <c r="SNF126" s="2"/>
      <c r="SNH126" s="2"/>
      <c r="SNJ126" s="2"/>
      <c r="SNL126" s="2"/>
      <c r="SNN126" s="2"/>
      <c r="SNP126" s="2"/>
      <c r="SNR126" s="2"/>
      <c r="SNT126" s="2"/>
      <c r="SNV126" s="2"/>
      <c r="SNX126" s="2"/>
      <c r="SNZ126" s="2"/>
      <c r="SOB126" s="2"/>
      <c r="SOD126" s="2"/>
      <c r="SOF126" s="2"/>
      <c r="SOH126" s="2"/>
      <c r="SOJ126" s="2"/>
      <c r="SOL126" s="2"/>
      <c r="SON126" s="2"/>
      <c r="SOP126" s="2"/>
      <c r="SOR126" s="2"/>
      <c r="SOT126" s="2"/>
      <c r="SOV126" s="2"/>
      <c r="SOX126" s="2"/>
      <c r="SOZ126" s="2"/>
      <c r="SPB126" s="2"/>
      <c r="SPD126" s="2"/>
      <c r="SPF126" s="2"/>
      <c r="SPH126" s="2"/>
      <c r="SPJ126" s="2"/>
      <c r="SPL126" s="2"/>
      <c r="SPN126" s="2"/>
      <c r="SPP126" s="2"/>
      <c r="SPR126" s="2"/>
      <c r="SPT126" s="2"/>
      <c r="SPV126" s="2"/>
      <c r="SPX126" s="2"/>
      <c r="SPZ126" s="2"/>
      <c r="SQB126" s="2"/>
      <c r="SQD126" s="2"/>
      <c r="SQF126" s="2"/>
      <c r="SQH126" s="2"/>
      <c r="SQJ126" s="2"/>
      <c r="SQL126" s="2"/>
      <c r="SQN126" s="2"/>
      <c r="SQP126" s="2"/>
      <c r="SQR126" s="2"/>
      <c r="SQT126" s="2"/>
      <c r="SQV126" s="2"/>
      <c r="SQX126" s="2"/>
      <c r="SQZ126" s="2"/>
      <c r="SRB126" s="2"/>
      <c r="SRD126" s="2"/>
      <c r="SRF126" s="2"/>
      <c r="SRH126" s="2"/>
      <c r="SRJ126" s="2"/>
      <c r="SRL126" s="2"/>
      <c r="SRN126" s="2"/>
      <c r="SRP126" s="2"/>
      <c r="SRR126" s="2"/>
      <c r="SRT126" s="2"/>
      <c r="SRV126" s="2"/>
      <c r="SRX126" s="2"/>
      <c r="SRZ126" s="2"/>
      <c r="SSB126" s="2"/>
      <c r="SSD126" s="2"/>
      <c r="SSF126" s="2"/>
      <c r="SSH126" s="2"/>
      <c r="SSJ126" s="2"/>
      <c r="SSL126" s="2"/>
      <c r="SSN126" s="2"/>
      <c r="SSP126" s="2"/>
      <c r="SSR126" s="2"/>
      <c r="SST126" s="2"/>
      <c r="SSV126" s="2"/>
      <c r="SSX126" s="2"/>
      <c r="SSZ126" s="2"/>
      <c r="STB126" s="2"/>
      <c r="STD126" s="2"/>
      <c r="STF126" s="2"/>
      <c r="STH126" s="2"/>
      <c r="STJ126" s="2"/>
      <c r="STL126" s="2"/>
      <c r="STN126" s="2"/>
      <c r="STP126" s="2"/>
      <c r="STR126" s="2"/>
      <c r="STT126" s="2"/>
      <c r="STV126" s="2"/>
      <c r="STX126" s="2"/>
      <c r="STZ126" s="2"/>
      <c r="SUB126" s="2"/>
      <c r="SUD126" s="2"/>
      <c r="SUF126" s="2"/>
      <c r="SUH126" s="2"/>
      <c r="SUJ126" s="2"/>
      <c r="SUL126" s="2"/>
      <c r="SUN126" s="2"/>
      <c r="SUP126" s="2"/>
      <c r="SUR126" s="2"/>
      <c r="SUT126" s="2"/>
      <c r="SUV126" s="2"/>
      <c r="SUX126" s="2"/>
      <c r="SUZ126" s="2"/>
      <c r="SVB126" s="2"/>
      <c r="SVD126" s="2"/>
      <c r="SVF126" s="2"/>
      <c r="SVH126" s="2"/>
      <c r="SVJ126" s="2"/>
      <c r="SVL126" s="2"/>
      <c r="SVN126" s="2"/>
      <c r="SVP126" s="2"/>
      <c r="SVR126" s="2"/>
      <c r="SVT126" s="2"/>
      <c r="SVV126" s="2"/>
      <c r="SVX126" s="2"/>
      <c r="SVZ126" s="2"/>
      <c r="SWB126" s="2"/>
      <c r="SWD126" s="2"/>
      <c r="SWF126" s="2"/>
      <c r="SWH126" s="2"/>
      <c r="SWJ126" s="2"/>
      <c r="SWL126" s="2"/>
      <c r="SWN126" s="2"/>
      <c r="SWP126" s="2"/>
      <c r="SWR126" s="2"/>
      <c r="SWT126" s="2"/>
      <c r="SWV126" s="2"/>
      <c r="SWX126" s="2"/>
      <c r="SWZ126" s="2"/>
      <c r="SXB126" s="2"/>
      <c r="SXD126" s="2"/>
      <c r="SXF126" s="2"/>
      <c r="SXH126" s="2"/>
      <c r="SXJ126" s="2"/>
      <c r="SXL126" s="2"/>
      <c r="SXN126" s="2"/>
      <c r="SXP126" s="2"/>
      <c r="SXR126" s="2"/>
      <c r="SXT126" s="2"/>
      <c r="SXV126" s="2"/>
      <c r="SXX126" s="2"/>
      <c r="SXZ126" s="2"/>
      <c r="SYB126" s="2"/>
      <c r="SYD126" s="2"/>
      <c r="SYF126" s="2"/>
      <c r="SYH126" s="2"/>
      <c r="SYJ126" s="2"/>
      <c r="SYL126" s="2"/>
      <c r="SYN126" s="2"/>
      <c r="SYP126" s="2"/>
      <c r="SYR126" s="2"/>
      <c r="SYT126" s="2"/>
      <c r="SYV126" s="2"/>
      <c r="SYX126" s="2"/>
      <c r="SYZ126" s="2"/>
      <c r="SZB126" s="2"/>
      <c r="SZD126" s="2"/>
      <c r="SZF126" s="2"/>
      <c r="SZH126" s="2"/>
      <c r="SZJ126" s="2"/>
      <c r="SZL126" s="2"/>
      <c r="SZN126" s="2"/>
      <c r="SZP126" s="2"/>
      <c r="SZR126" s="2"/>
      <c r="SZT126" s="2"/>
      <c r="SZV126" s="2"/>
      <c r="SZX126" s="2"/>
      <c r="SZZ126" s="2"/>
      <c r="TAB126" s="2"/>
      <c r="TAD126" s="2"/>
      <c r="TAF126" s="2"/>
      <c r="TAH126" s="2"/>
      <c r="TAJ126" s="2"/>
      <c r="TAL126" s="2"/>
      <c r="TAN126" s="2"/>
      <c r="TAP126" s="2"/>
      <c r="TAR126" s="2"/>
      <c r="TAT126" s="2"/>
      <c r="TAV126" s="2"/>
      <c r="TAX126" s="2"/>
      <c r="TAZ126" s="2"/>
      <c r="TBB126" s="2"/>
      <c r="TBD126" s="2"/>
      <c r="TBF126" s="2"/>
      <c r="TBH126" s="2"/>
      <c r="TBJ126" s="2"/>
      <c r="TBL126" s="2"/>
      <c r="TBN126" s="2"/>
      <c r="TBP126" s="2"/>
      <c r="TBR126" s="2"/>
      <c r="TBT126" s="2"/>
      <c r="TBV126" s="2"/>
      <c r="TBX126" s="2"/>
      <c r="TBZ126" s="2"/>
      <c r="TCB126" s="2"/>
      <c r="TCD126" s="2"/>
      <c r="TCF126" s="2"/>
      <c r="TCH126" s="2"/>
      <c r="TCJ126" s="2"/>
      <c r="TCL126" s="2"/>
      <c r="TCN126" s="2"/>
      <c r="TCP126" s="2"/>
      <c r="TCR126" s="2"/>
      <c r="TCT126" s="2"/>
      <c r="TCV126" s="2"/>
      <c r="TCX126" s="2"/>
      <c r="TCZ126" s="2"/>
      <c r="TDB126" s="2"/>
      <c r="TDD126" s="2"/>
      <c r="TDF126" s="2"/>
      <c r="TDH126" s="2"/>
      <c r="TDJ126" s="2"/>
      <c r="TDL126" s="2"/>
      <c r="TDN126" s="2"/>
      <c r="TDP126" s="2"/>
      <c r="TDR126" s="2"/>
      <c r="TDT126" s="2"/>
      <c r="TDV126" s="2"/>
      <c r="TDX126" s="2"/>
      <c r="TDZ126" s="2"/>
      <c r="TEB126" s="2"/>
      <c r="TED126" s="2"/>
      <c r="TEF126" s="2"/>
      <c r="TEH126" s="2"/>
      <c r="TEJ126" s="2"/>
      <c r="TEL126" s="2"/>
      <c r="TEN126" s="2"/>
      <c r="TEP126" s="2"/>
      <c r="TER126" s="2"/>
      <c r="TET126" s="2"/>
      <c r="TEV126" s="2"/>
      <c r="TEX126" s="2"/>
      <c r="TEZ126" s="2"/>
      <c r="TFB126" s="2"/>
      <c r="TFD126" s="2"/>
      <c r="TFF126" s="2"/>
      <c r="TFH126" s="2"/>
      <c r="TFJ126" s="2"/>
      <c r="TFL126" s="2"/>
      <c r="TFN126" s="2"/>
      <c r="TFP126" s="2"/>
      <c r="TFR126" s="2"/>
      <c r="TFT126" s="2"/>
      <c r="TFV126" s="2"/>
      <c r="TFX126" s="2"/>
      <c r="TFZ126" s="2"/>
      <c r="TGB126" s="2"/>
      <c r="TGD126" s="2"/>
      <c r="TGF126" s="2"/>
      <c r="TGH126" s="2"/>
      <c r="TGJ126" s="2"/>
      <c r="TGL126" s="2"/>
      <c r="TGN126" s="2"/>
      <c r="TGP126" s="2"/>
      <c r="TGR126" s="2"/>
      <c r="TGT126" s="2"/>
      <c r="TGV126" s="2"/>
      <c r="TGX126" s="2"/>
      <c r="TGZ126" s="2"/>
      <c r="THB126" s="2"/>
      <c r="THD126" s="2"/>
      <c r="THF126" s="2"/>
      <c r="THH126" s="2"/>
      <c r="THJ126" s="2"/>
      <c r="THL126" s="2"/>
      <c r="THN126" s="2"/>
      <c r="THP126" s="2"/>
      <c r="THR126" s="2"/>
      <c r="THT126" s="2"/>
      <c r="THV126" s="2"/>
      <c r="THX126" s="2"/>
      <c r="THZ126" s="2"/>
      <c r="TIB126" s="2"/>
      <c r="TID126" s="2"/>
      <c r="TIF126" s="2"/>
      <c r="TIH126" s="2"/>
      <c r="TIJ126" s="2"/>
      <c r="TIL126" s="2"/>
      <c r="TIN126" s="2"/>
      <c r="TIP126" s="2"/>
      <c r="TIR126" s="2"/>
      <c r="TIT126" s="2"/>
      <c r="TIV126" s="2"/>
      <c r="TIX126" s="2"/>
      <c r="TIZ126" s="2"/>
      <c r="TJB126" s="2"/>
      <c r="TJD126" s="2"/>
      <c r="TJF126" s="2"/>
      <c r="TJH126" s="2"/>
      <c r="TJJ126" s="2"/>
      <c r="TJL126" s="2"/>
      <c r="TJN126" s="2"/>
      <c r="TJP126" s="2"/>
      <c r="TJR126" s="2"/>
      <c r="TJT126" s="2"/>
      <c r="TJV126" s="2"/>
      <c r="TJX126" s="2"/>
      <c r="TJZ126" s="2"/>
      <c r="TKB126" s="2"/>
      <c r="TKD126" s="2"/>
      <c r="TKF126" s="2"/>
      <c r="TKH126" s="2"/>
      <c r="TKJ126" s="2"/>
      <c r="TKL126" s="2"/>
      <c r="TKN126" s="2"/>
      <c r="TKP126" s="2"/>
      <c r="TKR126" s="2"/>
      <c r="TKT126" s="2"/>
      <c r="TKV126" s="2"/>
      <c r="TKX126" s="2"/>
      <c r="TKZ126" s="2"/>
      <c r="TLB126" s="2"/>
      <c r="TLD126" s="2"/>
      <c r="TLF126" s="2"/>
      <c r="TLH126" s="2"/>
      <c r="TLJ126" s="2"/>
      <c r="TLL126" s="2"/>
      <c r="TLN126" s="2"/>
      <c r="TLP126" s="2"/>
      <c r="TLR126" s="2"/>
      <c r="TLT126" s="2"/>
      <c r="TLV126" s="2"/>
      <c r="TLX126" s="2"/>
      <c r="TLZ126" s="2"/>
      <c r="TMB126" s="2"/>
      <c r="TMD126" s="2"/>
      <c r="TMF126" s="2"/>
      <c r="TMH126" s="2"/>
      <c r="TMJ126" s="2"/>
      <c r="TML126" s="2"/>
      <c r="TMN126" s="2"/>
      <c r="TMP126" s="2"/>
      <c r="TMR126" s="2"/>
      <c r="TMT126" s="2"/>
      <c r="TMV126" s="2"/>
      <c r="TMX126" s="2"/>
      <c r="TMZ126" s="2"/>
      <c r="TNB126" s="2"/>
      <c r="TND126" s="2"/>
      <c r="TNF126" s="2"/>
      <c r="TNH126" s="2"/>
      <c r="TNJ126" s="2"/>
      <c r="TNL126" s="2"/>
      <c r="TNN126" s="2"/>
      <c r="TNP126" s="2"/>
      <c r="TNR126" s="2"/>
      <c r="TNT126" s="2"/>
      <c r="TNV126" s="2"/>
      <c r="TNX126" s="2"/>
      <c r="TNZ126" s="2"/>
      <c r="TOB126" s="2"/>
      <c r="TOD126" s="2"/>
      <c r="TOF126" s="2"/>
      <c r="TOH126" s="2"/>
      <c r="TOJ126" s="2"/>
      <c r="TOL126" s="2"/>
      <c r="TON126" s="2"/>
      <c r="TOP126" s="2"/>
      <c r="TOR126" s="2"/>
      <c r="TOT126" s="2"/>
      <c r="TOV126" s="2"/>
      <c r="TOX126" s="2"/>
      <c r="TOZ126" s="2"/>
      <c r="TPB126" s="2"/>
      <c r="TPD126" s="2"/>
      <c r="TPF126" s="2"/>
      <c r="TPH126" s="2"/>
      <c r="TPJ126" s="2"/>
      <c r="TPL126" s="2"/>
      <c r="TPN126" s="2"/>
      <c r="TPP126" s="2"/>
      <c r="TPR126" s="2"/>
      <c r="TPT126" s="2"/>
      <c r="TPV126" s="2"/>
      <c r="TPX126" s="2"/>
      <c r="TPZ126" s="2"/>
      <c r="TQB126" s="2"/>
      <c r="TQD126" s="2"/>
      <c r="TQF126" s="2"/>
      <c r="TQH126" s="2"/>
      <c r="TQJ126" s="2"/>
      <c r="TQL126" s="2"/>
      <c r="TQN126" s="2"/>
      <c r="TQP126" s="2"/>
      <c r="TQR126" s="2"/>
      <c r="TQT126" s="2"/>
      <c r="TQV126" s="2"/>
      <c r="TQX126" s="2"/>
      <c r="TQZ126" s="2"/>
      <c r="TRB126" s="2"/>
      <c r="TRD126" s="2"/>
      <c r="TRF126" s="2"/>
      <c r="TRH126" s="2"/>
      <c r="TRJ126" s="2"/>
      <c r="TRL126" s="2"/>
      <c r="TRN126" s="2"/>
      <c r="TRP126" s="2"/>
      <c r="TRR126" s="2"/>
      <c r="TRT126" s="2"/>
      <c r="TRV126" s="2"/>
      <c r="TRX126" s="2"/>
      <c r="TRZ126" s="2"/>
      <c r="TSB126" s="2"/>
      <c r="TSD126" s="2"/>
      <c r="TSF126" s="2"/>
      <c r="TSH126" s="2"/>
      <c r="TSJ126" s="2"/>
      <c r="TSL126" s="2"/>
      <c r="TSN126" s="2"/>
      <c r="TSP126" s="2"/>
      <c r="TSR126" s="2"/>
      <c r="TST126" s="2"/>
      <c r="TSV126" s="2"/>
      <c r="TSX126" s="2"/>
      <c r="TSZ126" s="2"/>
      <c r="TTB126" s="2"/>
      <c r="TTD126" s="2"/>
      <c r="TTF126" s="2"/>
      <c r="TTH126" s="2"/>
      <c r="TTJ126" s="2"/>
      <c r="TTL126" s="2"/>
      <c r="TTN126" s="2"/>
      <c r="TTP126" s="2"/>
      <c r="TTR126" s="2"/>
      <c r="TTT126" s="2"/>
      <c r="TTV126" s="2"/>
      <c r="TTX126" s="2"/>
      <c r="TTZ126" s="2"/>
      <c r="TUB126" s="2"/>
      <c r="TUD126" s="2"/>
      <c r="TUF126" s="2"/>
      <c r="TUH126" s="2"/>
      <c r="TUJ126" s="2"/>
      <c r="TUL126" s="2"/>
      <c r="TUN126" s="2"/>
      <c r="TUP126" s="2"/>
      <c r="TUR126" s="2"/>
      <c r="TUT126" s="2"/>
      <c r="TUV126" s="2"/>
      <c r="TUX126" s="2"/>
      <c r="TUZ126" s="2"/>
      <c r="TVB126" s="2"/>
      <c r="TVD126" s="2"/>
      <c r="TVF126" s="2"/>
      <c r="TVH126" s="2"/>
      <c r="TVJ126" s="2"/>
      <c r="TVL126" s="2"/>
      <c r="TVN126" s="2"/>
      <c r="TVP126" s="2"/>
      <c r="TVR126" s="2"/>
      <c r="TVT126" s="2"/>
      <c r="TVV126" s="2"/>
      <c r="TVX126" s="2"/>
      <c r="TVZ126" s="2"/>
      <c r="TWB126" s="2"/>
      <c r="TWD126" s="2"/>
      <c r="TWF126" s="2"/>
      <c r="TWH126" s="2"/>
      <c r="TWJ126" s="2"/>
      <c r="TWL126" s="2"/>
      <c r="TWN126" s="2"/>
      <c r="TWP126" s="2"/>
      <c r="TWR126" s="2"/>
      <c r="TWT126" s="2"/>
      <c r="TWV126" s="2"/>
      <c r="TWX126" s="2"/>
      <c r="TWZ126" s="2"/>
      <c r="TXB126" s="2"/>
      <c r="TXD126" s="2"/>
      <c r="TXF126" s="2"/>
      <c r="TXH126" s="2"/>
      <c r="TXJ126" s="2"/>
      <c r="TXL126" s="2"/>
      <c r="TXN126" s="2"/>
      <c r="TXP126" s="2"/>
      <c r="TXR126" s="2"/>
      <c r="TXT126" s="2"/>
      <c r="TXV126" s="2"/>
      <c r="TXX126" s="2"/>
      <c r="TXZ126" s="2"/>
      <c r="TYB126" s="2"/>
      <c r="TYD126" s="2"/>
      <c r="TYF126" s="2"/>
      <c r="TYH126" s="2"/>
      <c r="TYJ126" s="2"/>
      <c r="TYL126" s="2"/>
      <c r="TYN126" s="2"/>
      <c r="TYP126" s="2"/>
      <c r="TYR126" s="2"/>
      <c r="TYT126" s="2"/>
      <c r="TYV126" s="2"/>
      <c r="TYX126" s="2"/>
      <c r="TYZ126" s="2"/>
      <c r="TZB126" s="2"/>
      <c r="TZD126" s="2"/>
      <c r="TZF126" s="2"/>
      <c r="TZH126" s="2"/>
      <c r="TZJ126" s="2"/>
      <c r="TZL126" s="2"/>
      <c r="TZN126" s="2"/>
      <c r="TZP126" s="2"/>
      <c r="TZR126" s="2"/>
      <c r="TZT126" s="2"/>
      <c r="TZV126" s="2"/>
      <c r="TZX126" s="2"/>
      <c r="TZZ126" s="2"/>
      <c r="UAB126" s="2"/>
      <c r="UAD126" s="2"/>
      <c r="UAF126" s="2"/>
      <c r="UAH126" s="2"/>
      <c r="UAJ126" s="2"/>
      <c r="UAL126" s="2"/>
      <c r="UAN126" s="2"/>
      <c r="UAP126" s="2"/>
      <c r="UAR126" s="2"/>
      <c r="UAT126" s="2"/>
      <c r="UAV126" s="2"/>
      <c r="UAX126" s="2"/>
      <c r="UAZ126" s="2"/>
      <c r="UBB126" s="2"/>
      <c r="UBD126" s="2"/>
      <c r="UBF126" s="2"/>
      <c r="UBH126" s="2"/>
      <c r="UBJ126" s="2"/>
      <c r="UBL126" s="2"/>
      <c r="UBN126" s="2"/>
      <c r="UBP126" s="2"/>
      <c r="UBR126" s="2"/>
      <c r="UBT126" s="2"/>
      <c r="UBV126" s="2"/>
      <c r="UBX126" s="2"/>
      <c r="UBZ126" s="2"/>
      <c r="UCB126" s="2"/>
      <c r="UCD126" s="2"/>
      <c r="UCF126" s="2"/>
      <c r="UCH126" s="2"/>
      <c r="UCJ126" s="2"/>
      <c r="UCL126" s="2"/>
      <c r="UCN126" s="2"/>
      <c r="UCP126" s="2"/>
      <c r="UCR126" s="2"/>
      <c r="UCT126" s="2"/>
      <c r="UCV126" s="2"/>
      <c r="UCX126" s="2"/>
      <c r="UCZ126" s="2"/>
      <c r="UDB126" s="2"/>
      <c r="UDD126" s="2"/>
      <c r="UDF126" s="2"/>
      <c r="UDH126" s="2"/>
      <c r="UDJ126" s="2"/>
      <c r="UDL126" s="2"/>
      <c r="UDN126" s="2"/>
      <c r="UDP126" s="2"/>
      <c r="UDR126" s="2"/>
      <c r="UDT126" s="2"/>
      <c r="UDV126" s="2"/>
      <c r="UDX126" s="2"/>
      <c r="UDZ126" s="2"/>
      <c r="UEB126" s="2"/>
      <c r="UED126" s="2"/>
      <c r="UEF126" s="2"/>
      <c r="UEH126" s="2"/>
      <c r="UEJ126" s="2"/>
      <c r="UEL126" s="2"/>
      <c r="UEN126" s="2"/>
      <c r="UEP126" s="2"/>
      <c r="UER126" s="2"/>
      <c r="UET126" s="2"/>
      <c r="UEV126" s="2"/>
      <c r="UEX126" s="2"/>
      <c r="UEZ126" s="2"/>
      <c r="UFB126" s="2"/>
      <c r="UFD126" s="2"/>
      <c r="UFF126" s="2"/>
      <c r="UFH126" s="2"/>
      <c r="UFJ126" s="2"/>
      <c r="UFL126" s="2"/>
      <c r="UFN126" s="2"/>
      <c r="UFP126" s="2"/>
      <c r="UFR126" s="2"/>
      <c r="UFT126" s="2"/>
      <c r="UFV126" s="2"/>
      <c r="UFX126" s="2"/>
      <c r="UFZ126" s="2"/>
      <c r="UGB126" s="2"/>
      <c r="UGD126" s="2"/>
      <c r="UGF126" s="2"/>
      <c r="UGH126" s="2"/>
      <c r="UGJ126" s="2"/>
      <c r="UGL126" s="2"/>
      <c r="UGN126" s="2"/>
      <c r="UGP126" s="2"/>
      <c r="UGR126" s="2"/>
      <c r="UGT126" s="2"/>
      <c r="UGV126" s="2"/>
      <c r="UGX126" s="2"/>
      <c r="UGZ126" s="2"/>
      <c r="UHB126" s="2"/>
      <c r="UHD126" s="2"/>
      <c r="UHF126" s="2"/>
      <c r="UHH126" s="2"/>
      <c r="UHJ126" s="2"/>
      <c r="UHL126" s="2"/>
      <c r="UHN126" s="2"/>
      <c r="UHP126" s="2"/>
      <c r="UHR126" s="2"/>
      <c r="UHT126" s="2"/>
      <c r="UHV126" s="2"/>
      <c r="UHX126" s="2"/>
      <c r="UHZ126" s="2"/>
      <c r="UIB126" s="2"/>
      <c r="UID126" s="2"/>
      <c r="UIF126" s="2"/>
      <c r="UIH126" s="2"/>
      <c r="UIJ126" s="2"/>
      <c r="UIL126" s="2"/>
      <c r="UIN126" s="2"/>
      <c r="UIP126" s="2"/>
      <c r="UIR126" s="2"/>
      <c r="UIT126" s="2"/>
      <c r="UIV126" s="2"/>
      <c r="UIX126" s="2"/>
      <c r="UIZ126" s="2"/>
      <c r="UJB126" s="2"/>
      <c r="UJD126" s="2"/>
      <c r="UJF126" s="2"/>
      <c r="UJH126" s="2"/>
      <c r="UJJ126" s="2"/>
      <c r="UJL126" s="2"/>
      <c r="UJN126" s="2"/>
      <c r="UJP126" s="2"/>
      <c r="UJR126" s="2"/>
      <c r="UJT126" s="2"/>
      <c r="UJV126" s="2"/>
      <c r="UJX126" s="2"/>
      <c r="UJZ126" s="2"/>
      <c r="UKB126" s="2"/>
      <c r="UKD126" s="2"/>
      <c r="UKF126" s="2"/>
      <c r="UKH126" s="2"/>
      <c r="UKJ126" s="2"/>
      <c r="UKL126" s="2"/>
      <c r="UKN126" s="2"/>
      <c r="UKP126" s="2"/>
      <c r="UKR126" s="2"/>
      <c r="UKT126" s="2"/>
      <c r="UKV126" s="2"/>
      <c r="UKX126" s="2"/>
      <c r="UKZ126" s="2"/>
      <c r="ULB126" s="2"/>
      <c r="ULD126" s="2"/>
      <c r="ULF126" s="2"/>
      <c r="ULH126" s="2"/>
      <c r="ULJ126" s="2"/>
      <c r="ULL126" s="2"/>
      <c r="ULN126" s="2"/>
      <c r="ULP126" s="2"/>
      <c r="ULR126" s="2"/>
      <c r="ULT126" s="2"/>
      <c r="ULV126" s="2"/>
      <c r="ULX126" s="2"/>
      <c r="ULZ126" s="2"/>
      <c r="UMB126" s="2"/>
      <c r="UMD126" s="2"/>
      <c r="UMF126" s="2"/>
      <c r="UMH126" s="2"/>
      <c r="UMJ126" s="2"/>
      <c r="UML126" s="2"/>
      <c r="UMN126" s="2"/>
      <c r="UMP126" s="2"/>
      <c r="UMR126" s="2"/>
      <c r="UMT126" s="2"/>
      <c r="UMV126" s="2"/>
      <c r="UMX126" s="2"/>
      <c r="UMZ126" s="2"/>
      <c r="UNB126" s="2"/>
      <c r="UND126" s="2"/>
      <c r="UNF126" s="2"/>
      <c r="UNH126" s="2"/>
      <c r="UNJ126" s="2"/>
      <c r="UNL126" s="2"/>
      <c r="UNN126" s="2"/>
      <c r="UNP126" s="2"/>
      <c r="UNR126" s="2"/>
      <c r="UNT126" s="2"/>
      <c r="UNV126" s="2"/>
      <c r="UNX126" s="2"/>
      <c r="UNZ126" s="2"/>
      <c r="UOB126" s="2"/>
      <c r="UOD126" s="2"/>
      <c r="UOF126" s="2"/>
      <c r="UOH126" s="2"/>
      <c r="UOJ126" s="2"/>
      <c r="UOL126" s="2"/>
      <c r="UON126" s="2"/>
      <c r="UOP126" s="2"/>
      <c r="UOR126" s="2"/>
      <c r="UOT126" s="2"/>
      <c r="UOV126" s="2"/>
      <c r="UOX126" s="2"/>
      <c r="UOZ126" s="2"/>
      <c r="UPB126" s="2"/>
      <c r="UPD126" s="2"/>
      <c r="UPF126" s="2"/>
      <c r="UPH126" s="2"/>
      <c r="UPJ126" s="2"/>
      <c r="UPL126" s="2"/>
      <c r="UPN126" s="2"/>
      <c r="UPP126" s="2"/>
      <c r="UPR126" s="2"/>
      <c r="UPT126" s="2"/>
      <c r="UPV126" s="2"/>
      <c r="UPX126" s="2"/>
      <c r="UPZ126" s="2"/>
      <c r="UQB126" s="2"/>
      <c r="UQD126" s="2"/>
      <c r="UQF126" s="2"/>
      <c r="UQH126" s="2"/>
      <c r="UQJ126" s="2"/>
      <c r="UQL126" s="2"/>
      <c r="UQN126" s="2"/>
      <c r="UQP126" s="2"/>
      <c r="UQR126" s="2"/>
      <c r="UQT126" s="2"/>
      <c r="UQV126" s="2"/>
      <c r="UQX126" s="2"/>
      <c r="UQZ126" s="2"/>
      <c r="URB126" s="2"/>
      <c r="URD126" s="2"/>
      <c r="URF126" s="2"/>
      <c r="URH126" s="2"/>
      <c r="URJ126" s="2"/>
      <c r="URL126" s="2"/>
      <c r="URN126" s="2"/>
      <c r="URP126" s="2"/>
      <c r="URR126" s="2"/>
      <c r="URT126" s="2"/>
      <c r="URV126" s="2"/>
      <c r="URX126" s="2"/>
      <c r="URZ126" s="2"/>
      <c r="USB126" s="2"/>
      <c r="USD126" s="2"/>
      <c r="USF126" s="2"/>
      <c r="USH126" s="2"/>
      <c r="USJ126" s="2"/>
      <c r="USL126" s="2"/>
      <c r="USN126" s="2"/>
      <c r="USP126" s="2"/>
      <c r="USR126" s="2"/>
      <c r="UST126" s="2"/>
      <c r="USV126" s="2"/>
      <c r="USX126" s="2"/>
      <c r="USZ126" s="2"/>
      <c r="UTB126" s="2"/>
      <c r="UTD126" s="2"/>
      <c r="UTF126" s="2"/>
      <c r="UTH126" s="2"/>
      <c r="UTJ126" s="2"/>
      <c r="UTL126" s="2"/>
      <c r="UTN126" s="2"/>
      <c r="UTP126" s="2"/>
      <c r="UTR126" s="2"/>
      <c r="UTT126" s="2"/>
      <c r="UTV126" s="2"/>
      <c r="UTX126" s="2"/>
      <c r="UTZ126" s="2"/>
      <c r="UUB126" s="2"/>
      <c r="UUD126" s="2"/>
      <c r="UUF126" s="2"/>
      <c r="UUH126" s="2"/>
      <c r="UUJ126" s="2"/>
      <c r="UUL126" s="2"/>
      <c r="UUN126" s="2"/>
      <c r="UUP126" s="2"/>
      <c r="UUR126" s="2"/>
      <c r="UUT126" s="2"/>
      <c r="UUV126" s="2"/>
      <c r="UUX126" s="2"/>
      <c r="UUZ126" s="2"/>
      <c r="UVB126" s="2"/>
      <c r="UVD126" s="2"/>
      <c r="UVF126" s="2"/>
      <c r="UVH126" s="2"/>
      <c r="UVJ126" s="2"/>
      <c r="UVL126" s="2"/>
      <c r="UVN126" s="2"/>
      <c r="UVP126" s="2"/>
      <c r="UVR126" s="2"/>
      <c r="UVT126" s="2"/>
      <c r="UVV126" s="2"/>
      <c r="UVX126" s="2"/>
      <c r="UVZ126" s="2"/>
      <c r="UWB126" s="2"/>
      <c r="UWD126" s="2"/>
      <c r="UWF126" s="2"/>
      <c r="UWH126" s="2"/>
      <c r="UWJ126" s="2"/>
      <c r="UWL126" s="2"/>
      <c r="UWN126" s="2"/>
      <c r="UWP126" s="2"/>
      <c r="UWR126" s="2"/>
      <c r="UWT126" s="2"/>
      <c r="UWV126" s="2"/>
      <c r="UWX126" s="2"/>
      <c r="UWZ126" s="2"/>
      <c r="UXB126" s="2"/>
      <c r="UXD126" s="2"/>
      <c r="UXF126" s="2"/>
      <c r="UXH126" s="2"/>
      <c r="UXJ126" s="2"/>
      <c r="UXL126" s="2"/>
      <c r="UXN126" s="2"/>
      <c r="UXP126" s="2"/>
      <c r="UXR126" s="2"/>
      <c r="UXT126" s="2"/>
      <c r="UXV126" s="2"/>
      <c r="UXX126" s="2"/>
      <c r="UXZ126" s="2"/>
      <c r="UYB126" s="2"/>
      <c r="UYD126" s="2"/>
      <c r="UYF126" s="2"/>
      <c r="UYH126" s="2"/>
      <c r="UYJ126" s="2"/>
      <c r="UYL126" s="2"/>
      <c r="UYN126" s="2"/>
      <c r="UYP126" s="2"/>
      <c r="UYR126" s="2"/>
      <c r="UYT126" s="2"/>
      <c r="UYV126" s="2"/>
      <c r="UYX126" s="2"/>
      <c r="UYZ126" s="2"/>
      <c r="UZB126" s="2"/>
      <c r="UZD126" s="2"/>
      <c r="UZF126" s="2"/>
      <c r="UZH126" s="2"/>
      <c r="UZJ126" s="2"/>
      <c r="UZL126" s="2"/>
      <c r="UZN126" s="2"/>
      <c r="UZP126" s="2"/>
      <c r="UZR126" s="2"/>
      <c r="UZT126" s="2"/>
      <c r="UZV126" s="2"/>
      <c r="UZX126" s="2"/>
      <c r="UZZ126" s="2"/>
      <c r="VAB126" s="2"/>
      <c r="VAD126" s="2"/>
      <c r="VAF126" s="2"/>
      <c r="VAH126" s="2"/>
      <c r="VAJ126" s="2"/>
      <c r="VAL126" s="2"/>
      <c r="VAN126" s="2"/>
      <c r="VAP126" s="2"/>
      <c r="VAR126" s="2"/>
      <c r="VAT126" s="2"/>
      <c r="VAV126" s="2"/>
      <c r="VAX126" s="2"/>
      <c r="VAZ126" s="2"/>
      <c r="VBB126" s="2"/>
      <c r="VBD126" s="2"/>
      <c r="VBF126" s="2"/>
      <c r="VBH126" s="2"/>
      <c r="VBJ126" s="2"/>
      <c r="VBL126" s="2"/>
      <c r="VBN126" s="2"/>
      <c r="VBP126" s="2"/>
      <c r="VBR126" s="2"/>
      <c r="VBT126" s="2"/>
      <c r="VBV126" s="2"/>
      <c r="VBX126" s="2"/>
      <c r="VBZ126" s="2"/>
      <c r="VCB126" s="2"/>
      <c r="VCD126" s="2"/>
      <c r="VCF126" s="2"/>
      <c r="VCH126" s="2"/>
      <c r="VCJ126" s="2"/>
      <c r="VCL126" s="2"/>
      <c r="VCN126" s="2"/>
      <c r="VCP126" s="2"/>
      <c r="VCR126" s="2"/>
      <c r="VCT126" s="2"/>
      <c r="VCV126" s="2"/>
      <c r="VCX126" s="2"/>
      <c r="VCZ126" s="2"/>
      <c r="VDB126" s="2"/>
      <c r="VDD126" s="2"/>
      <c r="VDF126" s="2"/>
      <c r="VDH126" s="2"/>
      <c r="VDJ126" s="2"/>
      <c r="VDL126" s="2"/>
      <c r="VDN126" s="2"/>
      <c r="VDP126" s="2"/>
      <c r="VDR126" s="2"/>
      <c r="VDT126" s="2"/>
      <c r="VDV126" s="2"/>
      <c r="VDX126" s="2"/>
      <c r="VDZ126" s="2"/>
      <c r="VEB126" s="2"/>
      <c r="VED126" s="2"/>
      <c r="VEF126" s="2"/>
      <c r="VEH126" s="2"/>
      <c r="VEJ126" s="2"/>
      <c r="VEL126" s="2"/>
      <c r="VEN126" s="2"/>
      <c r="VEP126" s="2"/>
      <c r="VER126" s="2"/>
      <c r="VET126" s="2"/>
      <c r="VEV126" s="2"/>
      <c r="VEX126" s="2"/>
      <c r="VEZ126" s="2"/>
      <c r="VFB126" s="2"/>
      <c r="VFD126" s="2"/>
      <c r="VFF126" s="2"/>
      <c r="VFH126" s="2"/>
      <c r="VFJ126" s="2"/>
      <c r="VFL126" s="2"/>
      <c r="VFN126" s="2"/>
      <c r="VFP126" s="2"/>
      <c r="VFR126" s="2"/>
      <c r="VFT126" s="2"/>
      <c r="VFV126" s="2"/>
      <c r="VFX126" s="2"/>
      <c r="VFZ126" s="2"/>
      <c r="VGB126" s="2"/>
      <c r="VGD126" s="2"/>
      <c r="VGF126" s="2"/>
      <c r="VGH126" s="2"/>
      <c r="VGJ126" s="2"/>
      <c r="VGL126" s="2"/>
      <c r="VGN126" s="2"/>
      <c r="VGP126" s="2"/>
      <c r="VGR126" s="2"/>
      <c r="VGT126" s="2"/>
      <c r="VGV126" s="2"/>
      <c r="VGX126" s="2"/>
      <c r="VGZ126" s="2"/>
      <c r="VHB126" s="2"/>
      <c r="VHD126" s="2"/>
      <c r="VHF126" s="2"/>
      <c r="VHH126" s="2"/>
      <c r="VHJ126" s="2"/>
      <c r="VHL126" s="2"/>
      <c r="VHN126" s="2"/>
      <c r="VHP126" s="2"/>
      <c r="VHR126" s="2"/>
      <c r="VHT126" s="2"/>
      <c r="VHV126" s="2"/>
      <c r="VHX126" s="2"/>
      <c r="VHZ126" s="2"/>
      <c r="VIB126" s="2"/>
      <c r="VID126" s="2"/>
      <c r="VIF126" s="2"/>
      <c r="VIH126" s="2"/>
      <c r="VIJ126" s="2"/>
      <c r="VIL126" s="2"/>
      <c r="VIN126" s="2"/>
      <c r="VIP126" s="2"/>
      <c r="VIR126" s="2"/>
      <c r="VIT126" s="2"/>
      <c r="VIV126" s="2"/>
      <c r="VIX126" s="2"/>
      <c r="VIZ126" s="2"/>
      <c r="VJB126" s="2"/>
      <c r="VJD126" s="2"/>
      <c r="VJF126" s="2"/>
      <c r="VJH126" s="2"/>
      <c r="VJJ126" s="2"/>
      <c r="VJL126" s="2"/>
      <c r="VJN126" s="2"/>
      <c r="VJP126" s="2"/>
      <c r="VJR126" s="2"/>
      <c r="VJT126" s="2"/>
      <c r="VJV126" s="2"/>
      <c r="VJX126" s="2"/>
      <c r="VJZ126" s="2"/>
      <c r="VKB126" s="2"/>
      <c r="VKD126" s="2"/>
      <c r="VKF126" s="2"/>
      <c r="VKH126" s="2"/>
      <c r="VKJ126" s="2"/>
      <c r="VKL126" s="2"/>
      <c r="VKN126" s="2"/>
      <c r="VKP126" s="2"/>
      <c r="VKR126" s="2"/>
      <c r="VKT126" s="2"/>
      <c r="VKV126" s="2"/>
      <c r="VKX126" s="2"/>
      <c r="VKZ126" s="2"/>
      <c r="VLB126" s="2"/>
      <c r="VLD126" s="2"/>
      <c r="VLF126" s="2"/>
      <c r="VLH126" s="2"/>
      <c r="VLJ126" s="2"/>
      <c r="VLL126" s="2"/>
      <c r="VLN126" s="2"/>
      <c r="VLP126" s="2"/>
      <c r="VLR126" s="2"/>
      <c r="VLT126" s="2"/>
      <c r="VLV126" s="2"/>
      <c r="VLX126" s="2"/>
      <c r="VLZ126" s="2"/>
      <c r="VMB126" s="2"/>
      <c r="VMD126" s="2"/>
      <c r="VMF126" s="2"/>
      <c r="VMH126" s="2"/>
      <c r="VMJ126" s="2"/>
      <c r="VML126" s="2"/>
      <c r="VMN126" s="2"/>
      <c r="VMP126" s="2"/>
      <c r="VMR126" s="2"/>
      <c r="VMT126" s="2"/>
      <c r="VMV126" s="2"/>
      <c r="VMX126" s="2"/>
      <c r="VMZ126" s="2"/>
      <c r="VNB126" s="2"/>
      <c r="VND126" s="2"/>
      <c r="VNF126" s="2"/>
      <c r="VNH126" s="2"/>
      <c r="VNJ126" s="2"/>
      <c r="VNL126" s="2"/>
      <c r="VNN126" s="2"/>
      <c r="VNP126" s="2"/>
      <c r="VNR126" s="2"/>
      <c r="VNT126" s="2"/>
      <c r="VNV126" s="2"/>
      <c r="VNX126" s="2"/>
      <c r="VNZ126" s="2"/>
      <c r="VOB126" s="2"/>
      <c r="VOD126" s="2"/>
      <c r="VOF126" s="2"/>
      <c r="VOH126" s="2"/>
      <c r="VOJ126" s="2"/>
      <c r="VOL126" s="2"/>
      <c r="VON126" s="2"/>
      <c r="VOP126" s="2"/>
      <c r="VOR126" s="2"/>
      <c r="VOT126" s="2"/>
      <c r="VOV126" s="2"/>
      <c r="VOX126" s="2"/>
      <c r="VOZ126" s="2"/>
      <c r="VPB126" s="2"/>
      <c r="VPD126" s="2"/>
      <c r="VPF126" s="2"/>
      <c r="VPH126" s="2"/>
      <c r="VPJ126" s="2"/>
      <c r="VPL126" s="2"/>
      <c r="VPN126" s="2"/>
      <c r="VPP126" s="2"/>
      <c r="VPR126" s="2"/>
      <c r="VPT126" s="2"/>
      <c r="VPV126" s="2"/>
      <c r="VPX126" s="2"/>
      <c r="VPZ126" s="2"/>
      <c r="VQB126" s="2"/>
      <c r="VQD126" s="2"/>
      <c r="VQF126" s="2"/>
      <c r="VQH126" s="2"/>
      <c r="VQJ126" s="2"/>
      <c r="VQL126" s="2"/>
      <c r="VQN126" s="2"/>
      <c r="VQP126" s="2"/>
      <c r="VQR126" s="2"/>
      <c r="VQT126" s="2"/>
      <c r="VQV126" s="2"/>
      <c r="VQX126" s="2"/>
      <c r="VQZ126" s="2"/>
      <c r="VRB126" s="2"/>
      <c r="VRD126" s="2"/>
      <c r="VRF126" s="2"/>
      <c r="VRH126" s="2"/>
      <c r="VRJ126" s="2"/>
      <c r="VRL126" s="2"/>
      <c r="VRN126" s="2"/>
      <c r="VRP126" s="2"/>
      <c r="VRR126" s="2"/>
      <c r="VRT126" s="2"/>
      <c r="VRV126" s="2"/>
      <c r="VRX126" s="2"/>
      <c r="VRZ126" s="2"/>
      <c r="VSB126" s="2"/>
      <c r="VSD126" s="2"/>
      <c r="VSF126" s="2"/>
      <c r="VSH126" s="2"/>
      <c r="VSJ126" s="2"/>
      <c r="VSL126" s="2"/>
      <c r="VSN126" s="2"/>
      <c r="VSP126" s="2"/>
      <c r="VSR126" s="2"/>
      <c r="VST126" s="2"/>
      <c r="VSV126" s="2"/>
      <c r="VSX126" s="2"/>
      <c r="VSZ126" s="2"/>
      <c r="VTB126" s="2"/>
      <c r="VTD126" s="2"/>
      <c r="VTF126" s="2"/>
      <c r="VTH126" s="2"/>
      <c r="VTJ126" s="2"/>
      <c r="VTL126" s="2"/>
      <c r="VTN126" s="2"/>
      <c r="VTP126" s="2"/>
      <c r="VTR126" s="2"/>
      <c r="VTT126" s="2"/>
      <c r="VTV126" s="2"/>
      <c r="VTX126" s="2"/>
      <c r="VTZ126" s="2"/>
      <c r="VUB126" s="2"/>
      <c r="VUD126" s="2"/>
      <c r="VUF126" s="2"/>
      <c r="VUH126" s="2"/>
      <c r="VUJ126" s="2"/>
      <c r="VUL126" s="2"/>
      <c r="VUN126" s="2"/>
      <c r="VUP126" s="2"/>
      <c r="VUR126" s="2"/>
      <c r="VUT126" s="2"/>
      <c r="VUV126" s="2"/>
      <c r="VUX126" s="2"/>
      <c r="VUZ126" s="2"/>
      <c r="VVB126" s="2"/>
      <c r="VVD126" s="2"/>
      <c r="VVF126" s="2"/>
      <c r="VVH126" s="2"/>
      <c r="VVJ126" s="2"/>
      <c r="VVL126" s="2"/>
      <c r="VVN126" s="2"/>
      <c r="VVP126" s="2"/>
      <c r="VVR126" s="2"/>
      <c r="VVT126" s="2"/>
      <c r="VVV126" s="2"/>
      <c r="VVX126" s="2"/>
      <c r="VVZ126" s="2"/>
      <c r="VWB126" s="2"/>
      <c r="VWD126" s="2"/>
      <c r="VWF126" s="2"/>
      <c r="VWH126" s="2"/>
      <c r="VWJ126" s="2"/>
      <c r="VWL126" s="2"/>
      <c r="VWN126" s="2"/>
      <c r="VWP126" s="2"/>
      <c r="VWR126" s="2"/>
      <c r="VWT126" s="2"/>
      <c r="VWV126" s="2"/>
      <c r="VWX126" s="2"/>
      <c r="VWZ126" s="2"/>
      <c r="VXB126" s="2"/>
      <c r="VXD126" s="2"/>
      <c r="VXF126" s="2"/>
      <c r="VXH126" s="2"/>
      <c r="VXJ126" s="2"/>
      <c r="VXL126" s="2"/>
      <c r="VXN126" s="2"/>
      <c r="VXP126" s="2"/>
      <c r="VXR126" s="2"/>
      <c r="VXT126" s="2"/>
      <c r="VXV126" s="2"/>
      <c r="VXX126" s="2"/>
      <c r="VXZ126" s="2"/>
      <c r="VYB126" s="2"/>
      <c r="VYD126" s="2"/>
      <c r="VYF126" s="2"/>
      <c r="VYH126" s="2"/>
      <c r="VYJ126" s="2"/>
      <c r="VYL126" s="2"/>
      <c r="VYN126" s="2"/>
      <c r="VYP126" s="2"/>
      <c r="VYR126" s="2"/>
      <c r="VYT126" s="2"/>
      <c r="VYV126" s="2"/>
      <c r="VYX126" s="2"/>
      <c r="VYZ126" s="2"/>
      <c r="VZB126" s="2"/>
      <c r="VZD126" s="2"/>
      <c r="VZF126" s="2"/>
      <c r="VZH126" s="2"/>
      <c r="VZJ126" s="2"/>
      <c r="VZL126" s="2"/>
      <c r="VZN126" s="2"/>
      <c r="VZP126" s="2"/>
      <c r="VZR126" s="2"/>
      <c r="VZT126" s="2"/>
      <c r="VZV126" s="2"/>
      <c r="VZX126" s="2"/>
      <c r="VZZ126" s="2"/>
      <c r="WAB126" s="2"/>
      <c r="WAD126" s="2"/>
      <c r="WAF126" s="2"/>
      <c r="WAH126" s="2"/>
      <c r="WAJ126" s="2"/>
      <c r="WAL126" s="2"/>
      <c r="WAN126" s="2"/>
      <c r="WAP126" s="2"/>
      <c r="WAR126" s="2"/>
      <c r="WAT126" s="2"/>
      <c r="WAV126" s="2"/>
      <c r="WAX126" s="2"/>
      <c r="WAZ126" s="2"/>
      <c r="WBB126" s="2"/>
      <c r="WBD126" s="2"/>
      <c r="WBF126" s="2"/>
      <c r="WBH126" s="2"/>
      <c r="WBJ126" s="2"/>
      <c r="WBL126" s="2"/>
      <c r="WBN126" s="2"/>
      <c r="WBP126" s="2"/>
      <c r="WBR126" s="2"/>
      <c r="WBT126" s="2"/>
      <c r="WBV126" s="2"/>
      <c r="WBX126" s="2"/>
      <c r="WBZ126" s="2"/>
      <c r="WCB126" s="2"/>
      <c r="WCD126" s="2"/>
      <c r="WCF126" s="2"/>
      <c r="WCH126" s="2"/>
      <c r="WCJ126" s="2"/>
      <c r="WCL126" s="2"/>
      <c r="WCN126" s="2"/>
      <c r="WCP126" s="2"/>
      <c r="WCR126" s="2"/>
      <c r="WCT126" s="2"/>
      <c r="WCV126" s="2"/>
      <c r="WCX126" s="2"/>
      <c r="WCZ126" s="2"/>
      <c r="WDB126" s="2"/>
      <c r="WDD126" s="2"/>
      <c r="WDF126" s="2"/>
      <c r="WDH126" s="2"/>
      <c r="WDJ126" s="2"/>
      <c r="WDL126" s="2"/>
      <c r="WDN126" s="2"/>
      <c r="WDP126" s="2"/>
      <c r="WDR126" s="2"/>
      <c r="WDT126" s="2"/>
      <c r="WDV126" s="2"/>
      <c r="WDX126" s="2"/>
      <c r="WDZ126" s="2"/>
      <c r="WEB126" s="2"/>
      <c r="WED126" s="2"/>
      <c r="WEF126" s="2"/>
      <c r="WEH126" s="2"/>
      <c r="WEJ126" s="2"/>
      <c r="WEL126" s="2"/>
      <c r="WEN126" s="2"/>
      <c r="WEP126" s="2"/>
      <c r="WER126" s="2"/>
      <c r="WET126" s="2"/>
      <c r="WEV126" s="2"/>
      <c r="WEX126" s="2"/>
      <c r="WEZ126" s="2"/>
      <c r="WFB126" s="2"/>
      <c r="WFD126" s="2"/>
      <c r="WFF126" s="2"/>
      <c r="WFH126" s="2"/>
      <c r="WFJ126" s="2"/>
      <c r="WFL126" s="2"/>
      <c r="WFN126" s="2"/>
      <c r="WFP126" s="2"/>
      <c r="WFR126" s="2"/>
      <c r="WFT126" s="2"/>
      <c r="WFV126" s="2"/>
      <c r="WFX126" s="2"/>
      <c r="WFZ126" s="2"/>
      <c r="WGB126" s="2"/>
      <c r="WGD126" s="2"/>
      <c r="WGF126" s="2"/>
      <c r="WGH126" s="2"/>
      <c r="WGJ126" s="2"/>
      <c r="WGL126" s="2"/>
      <c r="WGN126" s="2"/>
      <c r="WGP126" s="2"/>
      <c r="WGR126" s="2"/>
      <c r="WGT126" s="2"/>
      <c r="WGV126" s="2"/>
      <c r="WGX126" s="2"/>
      <c r="WGZ126" s="2"/>
      <c r="WHB126" s="2"/>
      <c r="WHD126" s="2"/>
      <c r="WHF126" s="2"/>
      <c r="WHH126" s="2"/>
      <c r="WHJ126" s="2"/>
      <c r="WHL126" s="2"/>
      <c r="WHN126" s="2"/>
      <c r="WHP126" s="2"/>
      <c r="WHR126" s="2"/>
      <c r="WHT126" s="2"/>
      <c r="WHV126" s="2"/>
      <c r="WHX126" s="2"/>
      <c r="WHZ126" s="2"/>
      <c r="WIB126" s="2"/>
      <c r="WID126" s="2"/>
      <c r="WIF126" s="2"/>
      <c r="WIH126" s="2"/>
      <c r="WIJ126" s="2"/>
      <c r="WIL126" s="2"/>
      <c r="WIN126" s="2"/>
      <c r="WIP126" s="2"/>
      <c r="WIR126" s="2"/>
      <c r="WIT126" s="2"/>
      <c r="WIV126" s="2"/>
      <c r="WIX126" s="2"/>
      <c r="WIZ126" s="2"/>
      <c r="WJB126" s="2"/>
      <c r="WJD126" s="2"/>
      <c r="WJF126" s="2"/>
      <c r="WJH126" s="2"/>
      <c r="WJJ126" s="2"/>
      <c r="WJL126" s="2"/>
      <c r="WJN126" s="2"/>
      <c r="WJP126" s="2"/>
      <c r="WJR126" s="2"/>
      <c r="WJT126" s="2"/>
      <c r="WJV126" s="2"/>
      <c r="WJX126" s="2"/>
      <c r="WJZ126" s="2"/>
      <c r="WKB126" s="2"/>
      <c r="WKD126" s="2"/>
      <c r="WKF126" s="2"/>
      <c r="WKH126" s="2"/>
      <c r="WKJ126" s="2"/>
      <c r="WKL126" s="2"/>
      <c r="WKN126" s="2"/>
      <c r="WKP126" s="2"/>
      <c r="WKR126" s="2"/>
      <c r="WKT126" s="2"/>
      <c r="WKV126" s="2"/>
      <c r="WKX126" s="2"/>
      <c r="WKZ126" s="2"/>
      <c r="WLB126" s="2"/>
      <c r="WLD126" s="2"/>
      <c r="WLF126" s="2"/>
      <c r="WLH126" s="2"/>
      <c r="WLJ126" s="2"/>
      <c r="WLL126" s="2"/>
      <c r="WLN126" s="2"/>
      <c r="WLP126" s="2"/>
      <c r="WLR126" s="2"/>
      <c r="WLT126" s="2"/>
      <c r="WLV126" s="2"/>
      <c r="WLX126" s="2"/>
      <c r="WLZ126" s="2"/>
      <c r="WMB126" s="2"/>
      <c r="WMD126" s="2"/>
      <c r="WMF126" s="2"/>
      <c r="WMH126" s="2"/>
      <c r="WMJ126" s="2"/>
      <c r="WML126" s="2"/>
      <c r="WMN126" s="2"/>
      <c r="WMP126" s="2"/>
      <c r="WMR126" s="2"/>
      <c r="WMT126" s="2"/>
      <c r="WMV126" s="2"/>
      <c r="WMX126" s="2"/>
      <c r="WMZ126" s="2"/>
      <c r="WNB126" s="2"/>
      <c r="WND126" s="2"/>
      <c r="WNF126" s="2"/>
      <c r="WNH126" s="2"/>
      <c r="WNJ126" s="2"/>
      <c r="WNL126" s="2"/>
      <c r="WNN126" s="2"/>
      <c r="WNP126" s="2"/>
      <c r="WNR126" s="2"/>
      <c r="WNT126" s="2"/>
      <c r="WNV126" s="2"/>
      <c r="WNX126" s="2"/>
      <c r="WNZ126" s="2"/>
      <c r="WOB126" s="2"/>
      <c r="WOD126" s="2"/>
      <c r="WOF126" s="2"/>
      <c r="WOH126" s="2"/>
      <c r="WOJ126" s="2"/>
      <c r="WOL126" s="2"/>
      <c r="WON126" s="2"/>
      <c r="WOP126" s="2"/>
      <c r="WOR126" s="2"/>
      <c r="WOT126" s="2"/>
      <c r="WOV126" s="2"/>
      <c r="WOX126" s="2"/>
      <c r="WOZ126" s="2"/>
      <c r="WPB126" s="2"/>
      <c r="WPD126" s="2"/>
      <c r="WPF126" s="2"/>
      <c r="WPH126" s="2"/>
      <c r="WPJ126" s="2"/>
      <c r="WPL126" s="2"/>
      <c r="WPN126" s="2"/>
      <c r="WPP126" s="2"/>
      <c r="WPR126" s="2"/>
      <c r="WPT126" s="2"/>
      <c r="WPV126" s="2"/>
      <c r="WPX126" s="2"/>
      <c r="WPZ126" s="2"/>
      <c r="WQB126" s="2"/>
      <c r="WQD126" s="2"/>
      <c r="WQF126" s="2"/>
      <c r="WQH126" s="2"/>
      <c r="WQJ126" s="2"/>
      <c r="WQL126" s="2"/>
      <c r="WQN126" s="2"/>
      <c r="WQP126" s="2"/>
      <c r="WQR126" s="2"/>
      <c r="WQT126" s="2"/>
      <c r="WQV126" s="2"/>
      <c r="WQX126" s="2"/>
      <c r="WQZ126" s="2"/>
      <c r="WRB126" s="2"/>
      <c r="WRD126" s="2"/>
      <c r="WRF126" s="2"/>
      <c r="WRH126" s="2"/>
      <c r="WRJ126" s="2"/>
      <c r="WRL126" s="2"/>
      <c r="WRN126" s="2"/>
      <c r="WRP126" s="2"/>
      <c r="WRR126" s="2"/>
      <c r="WRT126" s="2"/>
      <c r="WRV126" s="2"/>
      <c r="WRX126" s="2"/>
      <c r="WRZ126" s="2"/>
      <c r="WSB126" s="2"/>
      <c r="WSD126" s="2"/>
      <c r="WSF126" s="2"/>
      <c r="WSH126" s="2"/>
      <c r="WSJ126" s="2"/>
      <c r="WSL126" s="2"/>
      <c r="WSN126" s="2"/>
      <c r="WSP126" s="2"/>
      <c r="WSR126" s="2"/>
      <c r="WST126" s="2"/>
      <c r="WSV126" s="2"/>
      <c r="WSX126" s="2"/>
      <c r="WSZ126" s="2"/>
      <c r="WTB126" s="2"/>
      <c r="WTD126" s="2"/>
      <c r="WTF126" s="2"/>
      <c r="WTH126" s="2"/>
      <c r="WTJ126" s="2"/>
      <c r="WTL126" s="2"/>
      <c r="WTN126" s="2"/>
      <c r="WTP126" s="2"/>
      <c r="WTR126" s="2"/>
      <c r="WTT126" s="2"/>
      <c r="WTV126" s="2"/>
      <c r="WTX126" s="2"/>
      <c r="WTZ126" s="2"/>
      <c r="WUB126" s="2"/>
      <c r="WUD126" s="2"/>
      <c r="WUF126" s="2"/>
      <c r="WUH126" s="2"/>
      <c r="WUJ126" s="2"/>
      <c r="WUL126" s="2"/>
      <c r="WUN126" s="2"/>
      <c r="WUP126" s="2"/>
      <c r="WUR126" s="2"/>
      <c r="WUT126" s="2"/>
      <c r="WUV126" s="2"/>
      <c r="WUX126" s="2"/>
      <c r="WUZ126" s="2"/>
      <c r="WVB126" s="2"/>
      <c r="WVD126" s="2"/>
      <c r="WVF126" s="2"/>
      <c r="WVH126" s="2"/>
      <c r="WVJ126" s="2"/>
      <c r="WVL126" s="2"/>
      <c r="WVN126" s="2"/>
      <c r="WVP126" s="2"/>
      <c r="WVR126" s="2"/>
      <c r="WVT126" s="2"/>
      <c r="WVV126" s="2"/>
      <c r="WVX126" s="2"/>
      <c r="WVZ126" s="2"/>
      <c r="WWB126" s="2"/>
      <c r="WWD126" s="2"/>
      <c r="WWF126" s="2"/>
      <c r="WWH126" s="2"/>
      <c r="WWJ126" s="2"/>
      <c r="WWL126" s="2"/>
      <c r="WWN126" s="2"/>
      <c r="WWP126" s="2"/>
      <c r="WWR126" s="2"/>
      <c r="WWT126" s="2"/>
      <c r="WWV126" s="2"/>
      <c r="WWX126" s="2"/>
      <c r="WWZ126" s="2"/>
      <c r="WXB126" s="2"/>
      <c r="WXD126" s="2"/>
      <c r="WXF126" s="2"/>
      <c r="WXH126" s="2"/>
      <c r="WXJ126" s="2"/>
      <c r="WXL126" s="2"/>
      <c r="WXN126" s="2"/>
      <c r="WXP126" s="2"/>
      <c r="WXR126" s="2"/>
      <c r="WXT126" s="2"/>
      <c r="WXV126" s="2"/>
      <c r="WXX126" s="2"/>
      <c r="WXZ126" s="2"/>
      <c r="WYB126" s="2"/>
      <c r="WYD126" s="2"/>
      <c r="WYF126" s="2"/>
      <c r="WYH126" s="2"/>
      <c r="WYJ126" s="2"/>
      <c r="WYL126" s="2"/>
      <c r="WYN126" s="2"/>
      <c r="WYP126" s="2"/>
      <c r="WYR126" s="2"/>
      <c r="WYT126" s="2"/>
      <c r="WYV126" s="2"/>
      <c r="WYX126" s="2"/>
      <c r="WYZ126" s="2"/>
      <c r="WZB126" s="2"/>
      <c r="WZD126" s="2"/>
      <c r="WZF126" s="2"/>
      <c r="WZH126" s="2"/>
      <c r="WZJ126" s="2"/>
      <c r="WZL126" s="2"/>
      <c r="WZN126" s="2"/>
      <c r="WZP126" s="2"/>
      <c r="WZR126" s="2"/>
      <c r="WZT126" s="2"/>
      <c r="WZV126" s="2"/>
      <c r="WZX126" s="2"/>
      <c r="WZZ126" s="2"/>
      <c r="XAB126" s="2"/>
      <c r="XAD126" s="2"/>
      <c r="XAF126" s="2"/>
      <c r="XAH126" s="2"/>
      <c r="XAJ126" s="2"/>
      <c r="XAL126" s="2"/>
      <c r="XAN126" s="2"/>
      <c r="XAP126" s="2"/>
      <c r="XAR126" s="2"/>
      <c r="XAT126" s="2"/>
      <c r="XAV126" s="2"/>
      <c r="XAX126" s="2"/>
      <c r="XAZ126" s="2"/>
      <c r="XBB126" s="2"/>
      <c r="XBD126" s="2"/>
      <c r="XBF126" s="2"/>
      <c r="XBH126" s="2"/>
      <c r="XBJ126" s="2"/>
      <c r="XBL126" s="2"/>
      <c r="XBN126" s="2"/>
      <c r="XBP126" s="2"/>
      <c r="XBR126" s="2"/>
      <c r="XBT126" s="2"/>
      <c r="XBV126" s="2"/>
      <c r="XBX126" s="2"/>
      <c r="XBZ126" s="2"/>
      <c r="XCB126" s="2"/>
      <c r="XCD126" s="2"/>
      <c r="XCF126" s="2"/>
      <c r="XCH126" s="2"/>
      <c r="XCJ126" s="2"/>
      <c r="XCL126" s="2"/>
      <c r="XCN126" s="2"/>
      <c r="XCP126" s="2"/>
      <c r="XCR126" s="2"/>
      <c r="XCT126" s="2"/>
      <c r="XCV126" s="2"/>
      <c r="XCX126" s="2"/>
      <c r="XCZ126" s="2"/>
      <c r="XDB126" s="2"/>
      <c r="XDD126" s="2"/>
      <c r="XDF126" s="2"/>
      <c r="XDH126" s="2"/>
      <c r="XDJ126" s="2"/>
      <c r="XDL126" s="2"/>
      <c r="XDN126" s="2"/>
      <c r="XDP126" s="2"/>
      <c r="XDR126" s="2"/>
      <c r="XDT126" s="2"/>
      <c r="XDV126" s="2"/>
      <c r="XDX126" s="2"/>
      <c r="XDZ126" s="2"/>
      <c r="XEB126" s="2"/>
      <c r="XED126" s="2"/>
      <c r="XEF126" s="2"/>
      <c r="XEH126" s="2"/>
      <c r="XEJ126" s="2"/>
      <c r="XEL126" s="2"/>
      <c r="XEN126" s="2"/>
      <c r="XEP126" s="2"/>
      <c r="XER126" s="2"/>
      <c r="XET126" s="2"/>
      <c r="XEV126" s="2"/>
      <c r="XEX126" s="2"/>
      <c r="XEZ126" s="2"/>
      <c r="XFB126" s="2"/>
    </row>
    <row r="127" spans="1:1024 1026:2048 2050:3072 3074:4096 4098:5120 5122:6144 6146:7168 7170:8192 8194:9216 9218:10240 10242:11264 11266:12288 12290:13312 13314:14336 14338:15360 15362:16382">
      <c r="A127" s="1" t="s">
        <v>38</v>
      </c>
      <c r="B127" s="15" t="s">
        <v>3078</v>
      </c>
      <c r="C127" s="374" t="s">
        <v>3075</v>
      </c>
      <c r="D127" s="13">
        <v>3</v>
      </c>
      <c r="E127" s="370"/>
      <c r="F127" s="13"/>
      <c r="G127" s="13">
        <v>20230522</v>
      </c>
      <c r="H127" s="160" t="s">
        <v>699</v>
      </c>
      <c r="I127" s="372" t="s">
        <v>750</v>
      </c>
      <c r="J127" s="147" t="s">
        <v>915</v>
      </c>
      <c r="K127" s="12" t="s">
        <v>1119</v>
      </c>
      <c r="L127" s="12" t="s">
        <v>1233</v>
      </c>
      <c r="N127" s="361" t="s">
        <v>912</v>
      </c>
      <c r="O127" s="28">
        <v>3630</v>
      </c>
      <c r="P127" s="28">
        <f t="shared" si="24"/>
        <v>2722.5</v>
      </c>
      <c r="Q127" s="28">
        <f t="shared" si="20"/>
        <v>8167.5</v>
      </c>
    </row>
    <row r="128" spans="1:1024 1026:2048 2050:3072 3074:4096 4098:5120 5122:6144 6146:7168 7170:8192 8194:9216 9218:10240 10242:11264 11266:12288 12290:13312 13314:14336 14338:15360 15362:16382">
      <c r="A128" s="1" t="s">
        <v>38</v>
      </c>
      <c r="B128" s="17" t="s">
        <v>3076</v>
      </c>
      <c r="C128" s="375"/>
      <c r="D128" s="14">
        <v>3</v>
      </c>
      <c r="E128" s="371"/>
      <c r="F128" s="14">
        <v>20230322</v>
      </c>
      <c r="G128" s="14">
        <v>20230522</v>
      </c>
      <c r="H128" s="161" t="s">
        <v>699</v>
      </c>
      <c r="I128" s="373"/>
      <c r="J128" s="238"/>
      <c r="K128" s="12" t="s">
        <v>1236</v>
      </c>
      <c r="L128" s="12" t="s">
        <v>1235</v>
      </c>
      <c r="M128" s="1" t="s">
        <v>909</v>
      </c>
      <c r="N128" s="361"/>
      <c r="O128" s="28">
        <v>2420</v>
      </c>
      <c r="P128" s="28">
        <f t="shared" si="24"/>
        <v>1815</v>
      </c>
      <c r="Q128" s="28">
        <f t="shared" si="20"/>
        <v>5445</v>
      </c>
    </row>
    <row r="129" spans="1:1024 1026:2048 2050:3072 3074:4096 4098:5120 5122:6144 6146:7168 7170:8192 8194:9216 9218:10240 10242:11264 11266:12288 12290:13312 13314:14336 14338:15360 15362:16382">
      <c r="A129" s="1" t="s">
        <v>38</v>
      </c>
      <c r="B129" s="1">
        <v>3019012501</v>
      </c>
      <c r="C129" s="1" t="s">
        <v>2591</v>
      </c>
      <c r="D129" s="1">
        <v>19</v>
      </c>
      <c r="E129" s="257"/>
      <c r="F129" s="1">
        <v>20230608</v>
      </c>
      <c r="G129" s="1">
        <v>20230821</v>
      </c>
      <c r="H129" s="159" t="s">
        <v>699</v>
      </c>
      <c r="J129" s="2"/>
      <c r="K129" s="12" t="s">
        <v>1249</v>
      </c>
      <c r="L129" s="12" t="s">
        <v>1123</v>
      </c>
      <c r="M129" s="1" t="s">
        <v>1009</v>
      </c>
      <c r="N129" s="2"/>
      <c r="O129" s="28">
        <v>1595</v>
      </c>
      <c r="P129" s="28">
        <f t="shared" si="24"/>
        <v>1196.25</v>
      </c>
      <c r="Q129" s="28">
        <f t="shared" si="20"/>
        <v>22728.75</v>
      </c>
      <c r="R129" s="2"/>
      <c r="T129" s="2"/>
      <c r="V129" s="2"/>
      <c r="X129" s="2"/>
      <c r="Z129" s="2"/>
      <c r="AB129" s="2"/>
      <c r="AD129" s="2"/>
      <c r="AF129" s="2"/>
      <c r="AH129" s="2"/>
      <c r="AJ129" s="2"/>
      <c r="AL129" s="2"/>
      <c r="AN129" s="2"/>
      <c r="AP129" s="2"/>
      <c r="AR129" s="2"/>
      <c r="AT129" s="2"/>
      <c r="AV129" s="2"/>
      <c r="AX129" s="2"/>
      <c r="AZ129" s="2"/>
      <c r="BB129" s="2"/>
      <c r="BD129" s="2"/>
      <c r="BF129" s="2"/>
      <c r="BH129" s="2"/>
      <c r="BJ129" s="2"/>
      <c r="BL129" s="2"/>
      <c r="BN129" s="2"/>
      <c r="BP129" s="2"/>
      <c r="BR129" s="2"/>
      <c r="BT129" s="2"/>
      <c r="BV129" s="2"/>
      <c r="BX129" s="2"/>
      <c r="BZ129" s="2"/>
      <c r="CB129" s="2"/>
      <c r="CD129" s="2"/>
      <c r="CF129" s="2"/>
      <c r="CH129" s="2"/>
      <c r="CJ129" s="2"/>
      <c r="CL129" s="2"/>
      <c r="CN129" s="2"/>
      <c r="CP129" s="2"/>
      <c r="CR129" s="2"/>
      <c r="CT129" s="2"/>
      <c r="CV129" s="2"/>
      <c r="CX129" s="2"/>
      <c r="CZ129" s="2"/>
      <c r="DB129" s="2"/>
      <c r="DD129" s="2"/>
      <c r="DF129" s="2"/>
      <c r="DH129" s="2"/>
      <c r="DJ129" s="2"/>
      <c r="DL129" s="2"/>
      <c r="DN129" s="2"/>
      <c r="DP129" s="2"/>
      <c r="DR129" s="2"/>
      <c r="DT129" s="2"/>
      <c r="DV129" s="2"/>
      <c r="DX129" s="2"/>
      <c r="DZ129" s="2"/>
      <c r="EB129" s="2"/>
      <c r="ED129" s="2"/>
      <c r="EF129" s="2"/>
      <c r="EH129" s="2"/>
      <c r="EJ129" s="2"/>
      <c r="EL129" s="2"/>
      <c r="EN129" s="2"/>
      <c r="EP129" s="2"/>
      <c r="ER129" s="2"/>
      <c r="ET129" s="2"/>
      <c r="EV129" s="2"/>
      <c r="EX129" s="2"/>
      <c r="EZ129" s="2"/>
      <c r="FB129" s="2"/>
      <c r="FD129" s="2"/>
      <c r="FF129" s="2"/>
      <c r="FH129" s="2"/>
      <c r="FJ129" s="2"/>
      <c r="FL129" s="2"/>
      <c r="FN129" s="2"/>
      <c r="FP129" s="2"/>
      <c r="FR129" s="2"/>
      <c r="FT129" s="2"/>
      <c r="FV129" s="2"/>
      <c r="FX129" s="2"/>
      <c r="FZ129" s="2"/>
      <c r="GB129" s="2"/>
      <c r="GD129" s="2"/>
      <c r="GF129" s="2"/>
      <c r="GH129" s="2"/>
      <c r="GJ129" s="2"/>
      <c r="GL129" s="2"/>
      <c r="GN129" s="2"/>
      <c r="GP129" s="2"/>
      <c r="GR129" s="2"/>
      <c r="GT129" s="2"/>
      <c r="GV129" s="2"/>
      <c r="GX129" s="2"/>
      <c r="GZ129" s="2"/>
      <c r="HB129" s="2"/>
      <c r="HD129" s="2"/>
      <c r="HF129" s="2"/>
      <c r="HH129" s="2"/>
      <c r="HJ129" s="2"/>
      <c r="HL129" s="2"/>
      <c r="HN129" s="2"/>
      <c r="HP129" s="2"/>
      <c r="HR129" s="2"/>
      <c r="HT129" s="2"/>
      <c r="HV129" s="2"/>
      <c r="HX129" s="2"/>
      <c r="HZ129" s="2"/>
      <c r="IB129" s="2"/>
      <c r="ID129" s="2"/>
      <c r="IF129" s="2"/>
      <c r="IH129" s="2"/>
      <c r="IJ129" s="2"/>
      <c r="IL129" s="2"/>
      <c r="IN129" s="2"/>
      <c r="IP129" s="2"/>
      <c r="IR129" s="2"/>
      <c r="IT129" s="2"/>
      <c r="IV129" s="2"/>
      <c r="IX129" s="2"/>
      <c r="IZ129" s="2"/>
      <c r="JB129" s="2"/>
      <c r="JD129" s="2"/>
      <c r="JF129" s="2"/>
      <c r="JH129" s="2"/>
      <c r="JJ129" s="2"/>
      <c r="JL129" s="2"/>
      <c r="JN129" s="2"/>
      <c r="JP129" s="2"/>
      <c r="JR129" s="2"/>
      <c r="JT129" s="2"/>
      <c r="JV129" s="2"/>
      <c r="JX129" s="2"/>
      <c r="JZ129" s="2"/>
      <c r="KB129" s="2"/>
      <c r="KD129" s="2"/>
      <c r="KF129" s="2"/>
      <c r="KH129" s="2"/>
      <c r="KJ129" s="2"/>
      <c r="KL129" s="2"/>
      <c r="KN129" s="2"/>
      <c r="KP129" s="2"/>
      <c r="KR129" s="2"/>
      <c r="KT129" s="2"/>
      <c r="KV129" s="2"/>
      <c r="KX129" s="2"/>
      <c r="KZ129" s="2"/>
      <c r="LB129" s="2"/>
      <c r="LD129" s="2"/>
      <c r="LF129" s="2"/>
      <c r="LH129" s="2"/>
      <c r="LJ129" s="2"/>
      <c r="LL129" s="2"/>
      <c r="LN129" s="2"/>
      <c r="LP129" s="2"/>
      <c r="LR129" s="2"/>
      <c r="LT129" s="2"/>
      <c r="LV129" s="2"/>
      <c r="LX129" s="2"/>
      <c r="LZ129" s="2"/>
      <c r="MB129" s="2"/>
      <c r="MD129" s="2"/>
      <c r="MF129" s="2"/>
      <c r="MH129" s="2"/>
      <c r="MJ129" s="2"/>
      <c r="ML129" s="2"/>
      <c r="MN129" s="2"/>
      <c r="MP129" s="2"/>
      <c r="MR129" s="2"/>
      <c r="MT129" s="2"/>
      <c r="MV129" s="2"/>
      <c r="MX129" s="2"/>
      <c r="MZ129" s="2"/>
      <c r="NB129" s="2"/>
      <c r="ND129" s="2"/>
      <c r="NF129" s="2"/>
      <c r="NH129" s="2"/>
      <c r="NJ129" s="2"/>
      <c r="NL129" s="2"/>
      <c r="NN129" s="2"/>
      <c r="NP129" s="2"/>
      <c r="NR129" s="2"/>
      <c r="NT129" s="2"/>
      <c r="NV129" s="2"/>
      <c r="NX129" s="2"/>
      <c r="NZ129" s="2"/>
      <c r="OB129" s="2"/>
      <c r="OD129" s="2"/>
      <c r="OF129" s="2"/>
      <c r="OH129" s="2"/>
      <c r="OJ129" s="2"/>
      <c r="OL129" s="2"/>
      <c r="ON129" s="2"/>
      <c r="OP129" s="2"/>
      <c r="OR129" s="2"/>
      <c r="OT129" s="2"/>
      <c r="OV129" s="2"/>
      <c r="OX129" s="2"/>
      <c r="OZ129" s="2"/>
      <c r="PB129" s="2"/>
      <c r="PD129" s="2"/>
      <c r="PF129" s="2"/>
      <c r="PH129" s="2"/>
      <c r="PJ129" s="2"/>
      <c r="PL129" s="2"/>
      <c r="PN129" s="2"/>
      <c r="PP129" s="2"/>
      <c r="PR129" s="2"/>
      <c r="PT129" s="2"/>
      <c r="PV129" s="2"/>
      <c r="PX129" s="2"/>
      <c r="PZ129" s="2"/>
      <c r="QB129" s="2"/>
      <c r="QD129" s="2"/>
      <c r="QF129" s="2"/>
      <c r="QH129" s="2"/>
      <c r="QJ129" s="2"/>
      <c r="QL129" s="2"/>
      <c r="QN129" s="2"/>
      <c r="QP129" s="2"/>
      <c r="QR129" s="2"/>
      <c r="QT129" s="2"/>
      <c r="QV129" s="2"/>
      <c r="QX129" s="2"/>
      <c r="QZ129" s="2"/>
      <c r="RB129" s="2"/>
      <c r="RD129" s="2"/>
      <c r="RF129" s="2"/>
      <c r="RH129" s="2"/>
      <c r="RJ129" s="2"/>
      <c r="RL129" s="2"/>
      <c r="RN129" s="2"/>
      <c r="RP129" s="2"/>
      <c r="RR129" s="2"/>
      <c r="RT129" s="2"/>
      <c r="RV129" s="2"/>
      <c r="RX129" s="2"/>
      <c r="RZ129" s="2"/>
      <c r="SB129" s="2"/>
      <c r="SD129" s="2"/>
      <c r="SF129" s="2"/>
      <c r="SH129" s="2"/>
      <c r="SJ129" s="2"/>
      <c r="SL129" s="2"/>
      <c r="SN129" s="2"/>
      <c r="SP129" s="2"/>
      <c r="SR129" s="2"/>
      <c r="ST129" s="2"/>
      <c r="SV129" s="2"/>
      <c r="SX129" s="2"/>
      <c r="SZ129" s="2"/>
      <c r="TB129" s="2"/>
      <c r="TD129" s="2"/>
      <c r="TF129" s="2"/>
      <c r="TH129" s="2"/>
      <c r="TJ129" s="2"/>
      <c r="TL129" s="2"/>
      <c r="TN129" s="2"/>
      <c r="TP129" s="2"/>
      <c r="TR129" s="2"/>
      <c r="TT129" s="2"/>
      <c r="TV129" s="2"/>
      <c r="TX129" s="2"/>
      <c r="TZ129" s="2"/>
      <c r="UB129" s="2"/>
      <c r="UD129" s="2"/>
      <c r="UF129" s="2"/>
      <c r="UH129" s="2"/>
      <c r="UJ129" s="2"/>
      <c r="UL129" s="2"/>
      <c r="UN129" s="2"/>
      <c r="UP129" s="2"/>
      <c r="UR129" s="2"/>
      <c r="UT129" s="2"/>
      <c r="UV129" s="2"/>
      <c r="UX129" s="2"/>
      <c r="UZ129" s="2"/>
      <c r="VB129" s="2"/>
      <c r="VD129" s="2"/>
      <c r="VF129" s="2"/>
      <c r="VH129" s="2"/>
      <c r="VJ129" s="2"/>
      <c r="VL129" s="2"/>
      <c r="VN129" s="2"/>
      <c r="VP129" s="2"/>
      <c r="VR129" s="2"/>
      <c r="VT129" s="2"/>
      <c r="VV129" s="2"/>
      <c r="VX129" s="2"/>
      <c r="VZ129" s="2"/>
      <c r="WB129" s="2"/>
      <c r="WD129" s="2"/>
      <c r="WF129" s="2"/>
      <c r="WH129" s="2"/>
      <c r="WJ129" s="2"/>
      <c r="WL129" s="2"/>
      <c r="WN129" s="2"/>
      <c r="WP129" s="2"/>
      <c r="WR129" s="2"/>
      <c r="WT129" s="2"/>
      <c r="WV129" s="2"/>
      <c r="WX129" s="2"/>
      <c r="WZ129" s="2"/>
      <c r="XB129" s="2"/>
      <c r="XD129" s="2"/>
      <c r="XF129" s="2"/>
      <c r="XH129" s="2"/>
      <c r="XJ129" s="2"/>
      <c r="XL129" s="2"/>
      <c r="XN129" s="2"/>
      <c r="XP129" s="2"/>
      <c r="XR129" s="2"/>
      <c r="XT129" s="2"/>
      <c r="XV129" s="2"/>
      <c r="XX129" s="2"/>
      <c r="XZ129" s="2"/>
      <c r="YB129" s="2"/>
      <c r="YD129" s="2"/>
      <c r="YF129" s="2"/>
      <c r="YH129" s="2"/>
      <c r="YJ129" s="2"/>
      <c r="YL129" s="2"/>
      <c r="YN129" s="2"/>
      <c r="YP129" s="2"/>
      <c r="YR129" s="2"/>
      <c r="YT129" s="2"/>
      <c r="YV129" s="2"/>
      <c r="YX129" s="2"/>
      <c r="YZ129" s="2"/>
      <c r="ZB129" s="2"/>
      <c r="ZD129" s="2"/>
      <c r="ZF129" s="2"/>
      <c r="ZH129" s="2"/>
      <c r="ZJ129" s="2"/>
      <c r="ZL129" s="2"/>
      <c r="ZN129" s="2"/>
      <c r="ZP129" s="2"/>
      <c r="ZR129" s="2"/>
      <c r="ZT129" s="2"/>
      <c r="ZV129" s="2"/>
      <c r="ZX129" s="2"/>
      <c r="ZZ129" s="2"/>
      <c r="AAB129" s="2"/>
      <c r="AAD129" s="2"/>
      <c r="AAF129" s="2"/>
      <c r="AAH129" s="2"/>
      <c r="AAJ129" s="2"/>
      <c r="AAL129" s="2"/>
      <c r="AAN129" s="2"/>
      <c r="AAP129" s="2"/>
      <c r="AAR129" s="2"/>
      <c r="AAT129" s="2"/>
      <c r="AAV129" s="2"/>
      <c r="AAX129" s="2"/>
      <c r="AAZ129" s="2"/>
      <c r="ABB129" s="2"/>
      <c r="ABD129" s="2"/>
      <c r="ABF129" s="2"/>
      <c r="ABH129" s="2"/>
      <c r="ABJ129" s="2"/>
      <c r="ABL129" s="2"/>
      <c r="ABN129" s="2"/>
      <c r="ABP129" s="2"/>
      <c r="ABR129" s="2"/>
      <c r="ABT129" s="2"/>
      <c r="ABV129" s="2"/>
      <c r="ABX129" s="2"/>
      <c r="ABZ129" s="2"/>
      <c r="ACB129" s="2"/>
      <c r="ACD129" s="2"/>
      <c r="ACF129" s="2"/>
      <c r="ACH129" s="2"/>
      <c r="ACJ129" s="2"/>
      <c r="ACL129" s="2"/>
      <c r="ACN129" s="2"/>
      <c r="ACP129" s="2"/>
      <c r="ACR129" s="2"/>
      <c r="ACT129" s="2"/>
      <c r="ACV129" s="2"/>
      <c r="ACX129" s="2"/>
      <c r="ACZ129" s="2"/>
      <c r="ADB129" s="2"/>
      <c r="ADD129" s="2"/>
      <c r="ADF129" s="2"/>
      <c r="ADH129" s="2"/>
      <c r="ADJ129" s="2"/>
      <c r="ADL129" s="2"/>
      <c r="ADN129" s="2"/>
      <c r="ADP129" s="2"/>
      <c r="ADR129" s="2"/>
      <c r="ADT129" s="2"/>
      <c r="ADV129" s="2"/>
      <c r="ADX129" s="2"/>
      <c r="ADZ129" s="2"/>
      <c r="AEB129" s="2"/>
      <c r="AED129" s="2"/>
      <c r="AEF129" s="2"/>
      <c r="AEH129" s="2"/>
      <c r="AEJ129" s="2"/>
      <c r="AEL129" s="2"/>
      <c r="AEN129" s="2"/>
      <c r="AEP129" s="2"/>
      <c r="AER129" s="2"/>
      <c r="AET129" s="2"/>
      <c r="AEV129" s="2"/>
      <c r="AEX129" s="2"/>
      <c r="AEZ129" s="2"/>
      <c r="AFB129" s="2"/>
      <c r="AFD129" s="2"/>
      <c r="AFF129" s="2"/>
      <c r="AFH129" s="2"/>
      <c r="AFJ129" s="2"/>
      <c r="AFL129" s="2"/>
      <c r="AFN129" s="2"/>
      <c r="AFP129" s="2"/>
      <c r="AFR129" s="2"/>
      <c r="AFT129" s="2"/>
      <c r="AFV129" s="2"/>
      <c r="AFX129" s="2"/>
      <c r="AFZ129" s="2"/>
      <c r="AGB129" s="2"/>
      <c r="AGD129" s="2"/>
      <c r="AGF129" s="2"/>
      <c r="AGH129" s="2"/>
      <c r="AGJ129" s="2"/>
      <c r="AGL129" s="2"/>
      <c r="AGN129" s="2"/>
      <c r="AGP129" s="2"/>
      <c r="AGR129" s="2"/>
      <c r="AGT129" s="2"/>
      <c r="AGV129" s="2"/>
      <c r="AGX129" s="2"/>
      <c r="AGZ129" s="2"/>
      <c r="AHB129" s="2"/>
      <c r="AHD129" s="2"/>
      <c r="AHF129" s="2"/>
      <c r="AHH129" s="2"/>
      <c r="AHJ129" s="2"/>
      <c r="AHL129" s="2"/>
      <c r="AHN129" s="2"/>
      <c r="AHP129" s="2"/>
      <c r="AHR129" s="2"/>
      <c r="AHT129" s="2"/>
      <c r="AHV129" s="2"/>
      <c r="AHX129" s="2"/>
      <c r="AHZ129" s="2"/>
      <c r="AIB129" s="2"/>
      <c r="AID129" s="2"/>
      <c r="AIF129" s="2"/>
      <c r="AIH129" s="2"/>
      <c r="AIJ129" s="2"/>
      <c r="AIL129" s="2"/>
      <c r="AIN129" s="2"/>
      <c r="AIP129" s="2"/>
      <c r="AIR129" s="2"/>
      <c r="AIT129" s="2"/>
      <c r="AIV129" s="2"/>
      <c r="AIX129" s="2"/>
      <c r="AIZ129" s="2"/>
      <c r="AJB129" s="2"/>
      <c r="AJD129" s="2"/>
      <c r="AJF129" s="2"/>
      <c r="AJH129" s="2"/>
      <c r="AJJ129" s="2"/>
      <c r="AJL129" s="2"/>
      <c r="AJN129" s="2"/>
      <c r="AJP129" s="2"/>
      <c r="AJR129" s="2"/>
      <c r="AJT129" s="2"/>
      <c r="AJV129" s="2"/>
      <c r="AJX129" s="2"/>
      <c r="AJZ129" s="2"/>
      <c r="AKB129" s="2"/>
      <c r="AKD129" s="2"/>
      <c r="AKF129" s="2"/>
      <c r="AKH129" s="2"/>
      <c r="AKJ129" s="2"/>
      <c r="AKL129" s="2"/>
      <c r="AKN129" s="2"/>
      <c r="AKP129" s="2"/>
      <c r="AKR129" s="2"/>
      <c r="AKT129" s="2"/>
      <c r="AKV129" s="2"/>
      <c r="AKX129" s="2"/>
      <c r="AKZ129" s="2"/>
      <c r="ALB129" s="2"/>
      <c r="ALD129" s="2"/>
      <c r="ALF129" s="2"/>
      <c r="ALH129" s="2"/>
      <c r="ALJ129" s="2"/>
      <c r="ALL129" s="2"/>
      <c r="ALN129" s="2"/>
      <c r="ALP129" s="2"/>
      <c r="ALR129" s="2"/>
      <c r="ALT129" s="2"/>
      <c r="ALV129" s="2"/>
      <c r="ALX129" s="2"/>
      <c r="ALZ129" s="2"/>
      <c r="AMB129" s="2"/>
      <c r="AMD129" s="2"/>
      <c r="AMF129" s="2"/>
      <c r="AMH129" s="2"/>
      <c r="AMJ129" s="2"/>
      <c r="AML129" s="2"/>
      <c r="AMN129" s="2"/>
      <c r="AMP129" s="2"/>
      <c r="AMR129" s="2"/>
      <c r="AMT129" s="2"/>
      <c r="AMV129" s="2"/>
      <c r="AMX129" s="2"/>
      <c r="AMZ129" s="2"/>
      <c r="ANB129" s="2"/>
      <c r="AND129" s="2"/>
      <c r="ANF129" s="2"/>
      <c r="ANH129" s="2"/>
      <c r="ANJ129" s="2"/>
      <c r="ANL129" s="2"/>
      <c r="ANN129" s="2"/>
      <c r="ANP129" s="2"/>
      <c r="ANR129" s="2"/>
      <c r="ANT129" s="2"/>
      <c r="ANV129" s="2"/>
      <c r="ANX129" s="2"/>
      <c r="ANZ129" s="2"/>
      <c r="AOB129" s="2"/>
      <c r="AOD129" s="2"/>
      <c r="AOF129" s="2"/>
      <c r="AOH129" s="2"/>
      <c r="AOJ129" s="2"/>
      <c r="AOL129" s="2"/>
      <c r="AON129" s="2"/>
      <c r="AOP129" s="2"/>
      <c r="AOR129" s="2"/>
      <c r="AOT129" s="2"/>
      <c r="AOV129" s="2"/>
      <c r="AOX129" s="2"/>
      <c r="AOZ129" s="2"/>
      <c r="APB129" s="2"/>
      <c r="APD129" s="2"/>
      <c r="APF129" s="2"/>
      <c r="APH129" s="2"/>
      <c r="APJ129" s="2"/>
      <c r="APL129" s="2"/>
      <c r="APN129" s="2"/>
      <c r="APP129" s="2"/>
      <c r="APR129" s="2"/>
      <c r="APT129" s="2"/>
      <c r="APV129" s="2"/>
      <c r="APX129" s="2"/>
      <c r="APZ129" s="2"/>
      <c r="AQB129" s="2"/>
      <c r="AQD129" s="2"/>
      <c r="AQF129" s="2"/>
      <c r="AQH129" s="2"/>
      <c r="AQJ129" s="2"/>
      <c r="AQL129" s="2"/>
      <c r="AQN129" s="2"/>
      <c r="AQP129" s="2"/>
      <c r="AQR129" s="2"/>
      <c r="AQT129" s="2"/>
      <c r="AQV129" s="2"/>
      <c r="AQX129" s="2"/>
      <c r="AQZ129" s="2"/>
      <c r="ARB129" s="2"/>
      <c r="ARD129" s="2"/>
      <c r="ARF129" s="2"/>
      <c r="ARH129" s="2"/>
      <c r="ARJ129" s="2"/>
      <c r="ARL129" s="2"/>
      <c r="ARN129" s="2"/>
      <c r="ARP129" s="2"/>
      <c r="ARR129" s="2"/>
      <c r="ART129" s="2"/>
      <c r="ARV129" s="2"/>
      <c r="ARX129" s="2"/>
      <c r="ARZ129" s="2"/>
      <c r="ASB129" s="2"/>
      <c r="ASD129" s="2"/>
      <c r="ASF129" s="2"/>
      <c r="ASH129" s="2"/>
      <c r="ASJ129" s="2"/>
      <c r="ASL129" s="2"/>
      <c r="ASN129" s="2"/>
      <c r="ASP129" s="2"/>
      <c r="ASR129" s="2"/>
      <c r="AST129" s="2"/>
      <c r="ASV129" s="2"/>
      <c r="ASX129" s="2"/>
      <c r="ASZ129" s="2"/>
      <c r="ATB129" s="2"/>
      <c r="ATD129" s="2"/>
      <c r="ATF129" s="2"/>
      <c r="ATH129" s="2"/>
      <c r="ATJ129" s="2"/>
      <c r="ATL129" s="2"/>
      <c r="ATN129" s="2"/>
      <c r="ATP129" s="2"/>
      <c r="ATR129" s="2"/>
      <c r="ATT129" s="2"/>
      <c r="ATV129" s="2"/>
      <c r="ATX129" s="2"/>
      <c r="ATZ129" s="2"/>
      <c r="AUB129" s="2"/>
      <c r="AUD129" s="2"/>
      <c r="AUF129" s="2"/>
      <c r="AUH129" s="2"/>
      <c r="AUJ129" s="2"/>
      <c r="AUL129" s="2"/>
      <c r="AUN129" s="2"/>
      <c r="AUP129" s="2"/>
      <c r="AUR129" s="2"/>
      <c r="AUT129" s="2"/>
      <c r="AUV129" s="2"/>
      <c r="AUX129" s="2"/>
      <c r="AUZ129" s="2"/>
      <c r="AVB129" s="2"/>
      <c r="AVD129" s="2"/>
      <c r="AVF129" s="2"/>
      <c r="AVH129" s="2"/>
      <c r="AVJ129" s="2"/>
      <c r="AVL129" s="2"/>
      <c r="AVN129" s="2"/>
      <c r="AVP129" s="2"/>
      <c r="AVR129" s="2"/>
      <c r="AVT129" s="2"/>
      <c r="AVV129" s="2"/>
      <c r="AVX129" s="2"/>
      <c r="AVZ129" s="2"/>
      <c r="AWB129" s="2"/>
      <c r="AWD129" s="2"/>
      <c r="AWF129" s="2"/>
      <c r="AWH129" s="2"/>
      <c r="AWJ129" s="2"/>
      <c r="AWL129" s="2"/>
      <c r="AWN129" s="2"/>
      <c r="AWP129" s="2"/>
      <c r="AWR129" s="2"/>
      <c r="AWT129" s="2"/>
      <c r="AWV129" s="2"/>
      <c r="AWX129" s="2"/>
      <c r="AWZ129" s="2"/>
      <c r="AXB129" s="2"/>
      <c r="AXD129" s="2"/>
      <c r="AXF129" s="2"/>
      <c r="AXH129" s="2"/>
      <c r="AXJ129" s="2"/>
      <c r="AXL129" s="2"/>
      <c r="AXN129" s="2"/>
      <c r="AXP129" s="2"/>
      <c r="AXR129" s="2"/>
      <c r="AXT129" s="2"/>
      <c r="AXV129" s="2"/>
      <c r="AXX129" s="2"/>
      <c r="AXZ129" s="2"/>
      <c r="AYB129" s="2"/>
      <c r="AYD129" s="2"/>
      <c r="AYF129" s="2"/>
      <c r="AYH129" s="2"/>
      <c r="AYJ129" s="2"/>
      <c r="AYL129" s="2"/>
      <c r="AYN129" s="2"/>
      <c r="AYP129" s="2"/>
      <c r="AYR129" s="2"/>
      <c r="AYT129" s="2"/>
      <c r="AYV129" s="2"/>
      <c r="AYX129" s="2"/>
      <c r="AYZ129" s="2"/>
      <c r="AZB129" s="2"/>
      <c r="AZD129" s="2"/>
      <c r="AZF129" s="2"/>
      <c r="AZH129" s="2"/>
      <c r="AZJ129" s="2"/>
      <c r="AZL129" s="2"/>
      <c r="AZN129" s="2"/>
      <c r="AZP129" s="2"/>
      <c r="AZR129" s="2"/>
      <c r="AZT129" s="2"/>
      <c r="AZV129" s="2"/>
      <c r="AZX129" s="2"/>
      <c r="AZZ129" s="2"/>
      <c r="BAB129" s="2"/>
      <c r="BAD129" s="2"/>
      <c r="BAF129" s="2"/>
      <c r="BAH129" s="2"/>
      <c r="BAJ129" s="2"/>
      <c r="BAL129" s="2"/>
      <c r="BAN129" s="2"/>
      <c r="BAP129" s="2"/>
      <c r="BAR129" s="2"/>
      <c r="BAT129" s="2"/>
      <c r="BAV129" s="2"/>
      <c r="BAX129" s="2"/>
      <c r="BAZ129" s="2"/>
      <c r="BBB129" s="2"/>
      <c r="BBD129" s="2"/>
      <c r="BBF129" s="2"/>
      <c r="BBH129" s="2"/>
      <c r="BBJ129" s="2"/>
      <c r="BBL129" s="2"/>
      <c r="BBN129" s="2"/>
      <c r="BBP129" s="2"/>
      <c r="BBR129" s="2"/>
      <c r="BBT129" s="2"/>
      <c r="BBV129" s="2"/>
      <c r="BBX129" s="2"/>
      <c r="BBZ129" s="2"/>
      <c r="BCB129" s="2"/>
      <c r="BCD129" s="2"/>
      <c r="BCF129" s="2"/>
      <c r="BCH129" s="2"/>
      <c r="BCJ129" s="2"/>
      <c r="BCL129" s="2"/>
      <c r="BCN129" s="2"/>
      <c r="BCP129" s="2"/>
      <c r="BCR129" s="2"/>
      <c r="BCT129" s="2"/>
      <c r="BCV129" s="2"/>
      <c r="BCX129" s="2"/>
      <c r="BCZ129" s="2"/>
      <c r="BDB129" s="2"/>
      <c r="BDD129" s="2"/>
      <c r="BDF129" s="2"/>
      <c r="BDH129" s="2"/>
      <c r="BDJ129" s="2"/>
      <c r="BDL129" s="2"/>
      <c r="BDN129" s="2"/>
      <c r="BDP129" s="2"/>
      <c r="BDR129" s="2"/>
      <c r="BDT129" s="2"/>
      <c r="BDV129" s="2"/>
      <c r="BDX129" s="2"/>
      <c r="BDZ129" s="2"/>
      <c r="BEB129" s="2"/>
      <c r="BED129" s="2"/>
      <c r="BEF129" s="2"/>
      <c r="BEH129" s="2"/>
      <c r="BEJ129" s="2"/>
      <c r="BEL129" s="2"/>
      <c r="BEN129" s="2"/>
      <c r="BEP129" s="2"/>
      <c r="BER129" s="2"/>
      <c r="BET129" s="2"/>
      <c r="BEV129" s="2"/>
      <c r="BEX129" s="2"/>
      <c r="BEZ129" s="2"/>
      <c r="BFB129" s="2"/>
      <c r="BFD129" s="2"/>
      <c r="BFF129" s="2"/>
      <c r="BFH129" s="2"/>
      <c r="BFJ129" s="2"/>
      <c r="BFL129" s="2"/>
      <c r="BFN129" s="2"/>
      <c r="BFP129" s="2"/>
      <c r="BFR129" s="2"/>
      <c r="BFT129" s="2"/>
      <c r="BFV129" s="2"/>
      <c r="BFX129" s="2"/>
      <c r="BFZ129" s="2"/>
      <c r="BGB129" s="2"/>
      <c r="BGD129" s="2"/>
      <c r="BGF129" s="2"/>
      <c r="BGH129" s="2"/>
      <c r="BGJ129" s="2"/>
      <c r="BGL129" s="2"/>
      <c r="BGN129" s="2"/>
      <c r="BGP129" s="2"/>
      <c r="BGR129" s="2"/>
      <c r="BGT129" s="2"/>
      <c r="BGV129" s="2"/>
      <c r="BGX129" s="2"/>
      <c r="BGZ129" s="2"/>
      <c r="BHB129" s="2"/>
      <c r="BHD129" s="2"/>
      <c r="BHF129" s="2"/>
      <c r="BHH129" s="2"/>
      <c r="BHJ129" s="2"/>
      <c r="BHL129" s="2"/>
      <c r="BHN129" s="2"/>
      <c r="BHP129" s="2"/>
      <c r="BHR129" s="2"/>
      <c r="BHT129" s="2"/>
      <c r="BHV129" s="2"/>
      <c r="BHX129" s="2"/>
      <c r="BHZ129" s="2"/>
      <c r="BIB129" s="2"/>
      <c r="BID129" s="2"/>
      <c r="BIF129" s="2"/>
      <c r="BIH129" s="2"/>
      <c r="BIJ129" s="2"/>
      <c r="BIL129" s="2"/>
      <c r="BIN129" s="2"/>
      <c r="BIP129" s="2"/>
      <c r="BIR129" s="2"/>
      <c r="BIT129" s="2"/>
      <c r="BIV129" s="2"/>
      <c r="BIX129" s="2"/>
      <c r="BIZ129" s="2"/>
      <c r="BJB129" s="2"/>
      <c r="BJD129" s="2"/>
      <c r="BJF129" s="2"/>
      <c r="BJH129" s="2"/>
      <c r="BJJ129" s="2"/>
      <c r="BJL129" s="2"/>
      <c r="BJN129" s="2"/>
      <c r="BJP129" s="2"/>
      <c r="BJR129" s="2"/>
      <c r="BJT129" s="2"/>
      <c r="BJV129" s="2"/>
      <c r="BJX129" s="2"/>
      <c r="BJZ129" s="2"/>
      <c r="BKB129" s="2"/>
      <c r="BKD129" s="2"/>
      <c r="BKF129" s="2"/>
      <c r="BKH129" s="2"/>
      <c r="BKJ129" s="2"/>
      <c r="BKL129" s="2"/>
      <c r="BKN129" s="2"/>
      <c r="BKP129" s="2"/>
      <c r="BKR129" s="2"/>
      <c r="BKT129" s="2"/>
      <c r="BKV129" s="2"/>
      <c r="BKX129" s="2"/>
      <c r="BKZ129" s="2"/>
      <c r="BLB129" s="2"/>
      <c r="BLD129" s="2"/>
      <c r="BLF129" s="2"/>
      <c r="BLH129" s="2"/>
      <c r="BLJ129" s="2"/>
      <c r="BLL129" s="2"/>
      <c r="BLN129" s="2"/>
      <c r="BLP129" s="2"/>
      <c r="BLR129" s="2"/>
      <c r="BLT129" s="2"/>
      <c r="BLV129" s="2"/>
      <c r="BLX129" s="2"/>
      <c r="BLZ129" s="2"/>
      <c r="BMB129" s="2"/>
      <c r="BMD129" s="2"/>
      <c r="BMF129" s="2"/>
      <c r="BMH129" s="2"/>
      <c r="BMJ129" s="2"/>
      <c r="BML129" s="2"/>
      <c r="BMN129" s="2"/>
      <c r="BMP129" s="2"/>
      <c r="BMR129" s="2"/>
      <c r="BMT129" s="2"/>
      <c r="BMV129" s="2"/>
      <c r="BMX129" s="2"/>
      <c r="BMZ129" s="2"/>
      <c r="BNB129" s="2"/>
      <c r="BND129" s="2"/>
      <c r="BNF129" s="2"/>
      <c r="BNH129" s="2"/>
      <c r="BNJ129" s="2"/>
      <c r="BNL129" s="2"/>
      <c r="BNN129" s="2"/>
      <c r="BNP129" s="2"/>
      <c r="BNR129" s="2"/>
      <c r="BNT129" s="2"/>
      <c r="BNV129" s="2"/>
      <c r="BNX129" s="2"/>
      <c r="BNZ129" s="2"/>
      <c r="BOB129" s="2"/>
      <c r="BOD129" s="2"/>
      <c r="BOF129" s="2"/>
      <c r="BOH129" s="2"/>
      <c r="BOJ129" s="2"/>
      <c r="BOL129" s="2"/>
      <c r="BON129" s="2"/>
      <c r="BOP129" s="2"/>
      <c r="BOR129" s="2"/>
      <c r="BOT129" s="2"/>
      <c r="BOV129" s="2"/>
      <c r="BOX129" s="2"/>
      <c r="BOZ129" s="2"/>
      <c r="BPB129" s="2"/>
      <c r="BPD129" s="2"/>
      <c r="BPF129" s="2"/>
      <c r="BPH129" s="2"/>
      <c r="BPJ129" s="2"/>
      <c r="BPL129" s="2"/>
      <c r="BPN129" s="2"/>
      <c r="BPP129" s="2"/>
      <c r="BPR129" s="2"/>
      <c r="BPT129" s="2"/>
      <c r="BPV129" s="2"/>
      <c r="BPX129" s="2"/>
      <c r="BPZ129" s="2"/>
      <c r="BQB129" s="2"/>
      <c r="BQD129" s="2"/>
      <c r="BQF129" s="2"/>
      <c r="BQH129" s="2"/>
      <c r="BQJ129" s="2"/>
      <c r="BQL129" s="2"/>
      <c r="BQN129" s="2"/>
      <c r="BQP129" s="2"/>
      <c r="BQR129" s="2"/>
      <c r="BQT129" s="2"/>
      <c r="BQV129" s="2"/>
      <c r="BQX129" s="2"/>
      <c r="BQZ129" s="2"/>
      <c r="BRB129" s="2"/>
      <c r="BRD129" s="2"/>
      <c r="BRF129" s="2"/>
      <c r="BRH129" s="2"/>
      <c r="BRJ129" s="2"/>
      <c r="BRL129" s="2"/>
      <c r="BRN129" s="2"/>
      <c r="BRP129" s="2"/>
      <c r="BRR129" s="2"/>
      <c r="BRT129" s="2"/>
      <c r="BRV129" s="2"/>
      <c r="BRX129" s="2"/>
      <c r="BRZ129" s="2"/>
      <c r="BSB129" s="2"/>
      <c r="BSD129" s="2"/>
      <c r="BSF129" s="2"/>
      <c r="BSH129" s="2"/>
      <c r="BSJ129" s="2"/>
      <c r="BSL129" s="2"/>
      <c r="BSN129" s="2"/>
      <c r="BSP129" s="2"/>
      <c r="BSR129" s="2"/>
      <c r="BST129" s="2"/>
      <c r="BSV129" s="2"/>
      <c r="BSX129" s="2"/>
      <c r="BSZ129" s="2"/>
      <c r="BTB129" s="2"/>
      <c r="BTD129" s="2"/>
      <c r="BTF129" s="2"/>
      <c r="BTH129" s="2"/>
      <c r="BTJ129" s="2"/>
      <c r="BTL129" s="2"/>
      <c r="BTN129" s="2"/>
      <c r="BTP129" s="2"/>
      <c r="BTR129" s="2"/>
      <c r="BTT129" s="2"/>
      <c r="BTV129" s="2"/>
      <c r="BTX129" s="2"/>
      <c r="BTZ129" s="2"/>
      <c r="BUB129" s="2"/>
      <c r="BUD129" s="2"/>
      <c r="BUF129" s="2"/>
      <c r="BUH129" s="2"/>
      <c r="BUJ129" s="2"/>
      <c r="BUL129" s="2"/>
      <c r="BUN129" s="2"/>
      <c r="BUP129" s="2"/>
      <c r="BUR129" s="2"/>
      <c r="BUT129" s="2"/>
      <c r="BUV129" s="2"/>
      <c r="BUX129" s="2"/>
      <c r="BUZ129" s="2"/>
      <c r="BVB129" s="2"/>
      <c r="BVD129" s="2"/>
      <c r="BVF129" s="2"/>
      <c r="BVH129" s="2"/>
      <c r="BVJ129" s="2"/>
      <c r="BVL129" s="2"/>
      <c r="BVN129" s="2"/>
      <c r="BVP129" s="2"/>
      <c r="BVR129" s="2"/>
      <c r="BVT129" s="2"/>
      <c r="BVV129" s="2"/>
      <c r="BVX129" s="2"/>
      <c r="BVZ129" s="2"/>
      <c r="BWB129" s="2"/>
      <c r="BWD129" s="2"/>
      <c r="BWF129" s="2"/>
      <c r="BWH129" s="2"/>
      <c r="BWJ129" s="2"/>
      <c r="BWL129" s="2"/>
      <c r="BWN129" s="2"/>
      <c r="BWP129" s="2"/>
      <c r="BWR129" s="2"/>
      <c r="BWT129" s="2"/>
      <c r="BWV129" s="2"/>
      <c r="BWX129" s="2"/>
      <c r="BWZ129" s="2"/>
      <c r="BXB129" s="2"/>
      <c r="BXD129" s="2"/>
      <c r="BXF129" s="2"/>
      <c r="BXH129" s="2"/>
      <c r="BXJ129" s="2"/>
      <c r="BXL129" s="2"/>
      <c r="BXN129" s="2"/>
      <c r="BXP129" s="2"/>
      <c r="BXR129" s="2"/>
      <c r="BXT129" s="2"/>
      <c r="BXV129" s="2"/>
      <c r="BXX129" s="2"/>
      <c r="BXZ129" s="2"/>
      <c r="BYB129" s="2"/>
      <c r="BYD129" s="2"/>
      <c r="BYF129" s="2"/>
      <c r="BYH129" s="2"/>
      <c r="BYJ129" s="2"/>
      <c r="BYL129" s="2"/>
      <c r="BYN129" s="2"/>
      <c r="BYP129" s="2"/>
      <c r="BYR129" s="2"/>
      <c r="BYT129" s="2"/>
      <c r="BYV129" s="2"/>
      <c r="BYX129" s="2"/>
      <c r="BYZ129" s="2"/>
      <c r="BZB129" s="2"/>
      <c r="BZD129" s="2"/>
      <c r="BZF129" s="2"/>
      <c r="BZH129" s="2"/>
      <c r="BZJ129" s="2"/>
      <c r="BZL129" s="2"/>
      <c r="BZN129" s="2"/>
      <c r="BZP129" s="2"/>
      <c r="BZR129" s="2"/>
      <c r="BZT129" s="2"/>
      <c r="BZV129" s="2"/>
      <c r="BZX129" s="2"/>
      <c r="BZZ129" s="2"/>
      <c r="CAB129" s="2"/>
      <c r="CAD129" s="2"/>
      <c r="CAF129" s="2"/>
      <c r="CAH129" s="2"/>
      <c r="CAJ129" s="2"/>
      <c r="CAL129" s="2"/>
      <c r="CAN129" s="2"/>
      <c r="CAP129" s="2"/>
      <c r="CAR129" s="2"/>
      <c r="CAT129" s="2"/>
      <c r="CAV129" s="2"/>
      <c r="CAX129" s="2"/>
      <c r="CAZ129" s="2"/>
      <c r="CBB129" s="2"/>
      <c r="CBD129" s="2"/>
      <c r="CBF129" s="2"/>
      <c r="CBH129" s="2"/>
      <c r="CBJ129" s="2"/>
      <c r="CBL129" s="2"/>
      <c r="CBN129" s="2"/>
      <c r="CBP129" s="2"/>
      <c r="CBR129" s="2"/>
      <c r="CBT129" s="2"/>
      <c r="CBV129" s="2"/>
      <c r="CBX129" s="2"/>
      <c r="CBZ129" s="2"/>
      <c r="CCB129" s="2"/>
      <c r="CCD129" s="2"/>
      <c r="CCF129" s="2"/>
      <c r="CCH129" s="2"/>
      <c r="CCJ129" s="2"/>
      <c r="CCL129" s="2"/>
      <c r="CCN129" s="2"/>
      <c r="CCP129" s="2"/>
      <c r="CCR129" s="2"/>
      <c r="CCT129" s="2"/>
      <c r="CCV129" s="2"/>
      <c r="CCX129" s="2"/>
      <c r="CCZ129" s="2"/>
      <c r="CDB129" s="2"/>
      <c r="CDD129" s="2"/>
      <c r="CDF129" s="2"/>
      <c r="CDH129" s="2"/>
      <c r="CDJ129" s="2"/>
      <c r="CDL129" s="2"/>
      <c r="CDN129" s="2"/>
      <c r="CDP129" s="2"/>
      <c r="CDR129" s="2"/>
      <c r="CDT129" s="2"/>
      <c r="CDV129" s="2"/>
      <c r="CDX129" s="2"/>
      <c r="CDZ129" s="2"/>
      <c r="CEB129" s="2"/>
      <c r="CED129" s="2"/>
      <c r="CEF129" s="2"/>
      <c r="CEH129" s="2"/>
      <c r="CEJ129" s="2"/>
      <c r="CEL129" s="2"/>
      <c r="CEN129" s="2"/>
      <c r="CEP129" s="2"/>
      <c r="CER129" s="2"/>
      <c r="CET129" s="2"/>
      <c r="CEV129" s="2"/>
      <c r="CEX129" s="2"/>
      <c r="CEZ129" s="2"/>
      <c r="CFB129" s="2"/>
      <c r="CFD129" s="2"/>
      <c r="CFF129" s="2"/>
      <c r="CFH129" s="2"/>
      <c r="CFJ129" s="2"/>
      <c r="CFL129" s="2"/>
      <c r="CFN129" s="2"/>
      <c r="CFP129" s="2"/>
      <c r="CFR129" s="2"/>
      <c r="CFT129" s="2"/>
      <c r="CFV129" s="2"/>
      <c r="CFX129" s="2"/>
      <c r="CFZ129" s="2"/>
      <c r="CGB129" s="2"/>
      <c r="CGD129" s="2"/>
      <c r="CGF129" s="2"/>
      <c r="CGH129" s="2"/>
      <c r="CGJ129" s="2"/>
      <c r="CGL129" s="2"/>
      <c r="CGN129" s="2"/>
      <c r="CGP129" s="2"/>
      <c r="CGR129" s="2"/>
      <c r="CGT129" s="2"/>
      <c r="CGV129" s="2"/>
      <c r="CGX129" s="2"/>
      <c r="CGZ129" s="2"/>
      <c r="CHB129" s="2"/>
      <c r="CHD129" s="2"/>
      <c r="CHF129" s="2"/>
      <c r="CHH129" s="2"/>
      <c r="CHJ129" s="2"/>
      <c r="CHL129" s="2"/>
      <c r="CHN129" s="2"/>
      <c r="CHP129" s="2"/>
      <c r="CHR129" s="2"/>
      <c r="CHT129" s="2"/>
      <c r="CHV129" s="2"/>
      <c r="CHX129" s="2"/>
      <c r="CHZ129" s="2"/>
      <c r="CIB129" s="2"/>
      <c r="CID129" s="2"/>
      <c r="CIF129" s="2"/>
      <c r="CIH129" s="2"/>
      <c r="CIJ129" s="2"/>
      <c r="CIL129" s="2"/>
      <c r="CIN129" s="2"/>
      <c r="CIP129" s="2"/>
      <c r="CIR129" s="2"/>
      <c r="CIT129" s="2"/>
      <c r="CIV129" s="2"/>
      <c r="CIX129" s="2"/>
      <c r="CIZ129" s="2"/>
      <c r="CJB129" s="2"/>
      <c r="CJD129" s="2"/>
      <c r="CJF129" s="2"/>
      <c r="CJH129" s="2"/>
      <c r="CJJ129" s="2"/>
      <c r="CJL129" s="2"/>
      <c r="CJN129" s="2"/>
      <c r="CJP129" s="2"/>
      <c r="CJR129" s="2"/>
      <c r="CJT129" s="2"/>
      <c r="CJV129" s="2"/>
      <c r="CJX129" s="2"/>
      <c r="CJZ129" s="2"/>
      <c r="CKB129" s="2"/>
      <c r="CKD129" s="2"/>
      <c r="CKF129" s="2"/>
      <c r="CKH129" s="2"/>
      <c r="CKJ129" s="2"/>
      <c r="CKL129" s="2"/>
      <c r="CKN129" s="2"/>
      <c r="CKP129" s="2"/>
      <c r="CKR129" s="2"/>
      <c r="CKT129" s="2"/>
      <c r="CKV129" s="2"/>
      <c r="CKX129" s="2"/>
      <c r="CKZ129" s="2"/>
      <c r="CLB129" s="2"/>
      <c r="CLD129" s="2"/>
      <c r="CLF129" s="2"/>
      <c r="CLH129" s="2"/>
      <c r="CLJ129" s="2"/>
      <c r="CLL129" s="2"/>
      <c r="CLN129" s="2"/>
      <c r="CLP129" s="2"/>
      <c r="CLR129" s="2"/>
      <c r="CLT129" s="2"/>
      <c r="CLV129" s="2"/>
      <c r="CLX129" s="2"/>
      <c r="CLZ129" s="2"/>
      <c r="CMB129" s="2"/>
      <c r="CMD129" s="2"/>
      <c r="CMF129" s="2"/>
      <c r="CMH129" s="2"/>
      <c r="CMJ129" s="2"/>
      <c r="CML129" s="2"/>
      <c r="CMN129" s="2"/>
      <c r="CMP129" s="2"/>
      <c r="CMR129" s="2"/>
      <c r="CMT129" s="2"/>
      <c r="CMV129" s="2"/>
      <c r="CMX129" s="2"/>
      <c r="CMZ129" s="2"/>
      <c r="CNB129" s="2"/>
      <c r="CND129" s="2"/>
      <c r="CNF129" s="2"/>
      <c r="CNH129" s="2"/>
      <c r="CNJ129" s="2"/>
      <c r="CNL129" s="2"/>
      <c r="CNN129" s="2"/>
      <c r="CNP129" s="2"/>
      <c r="CNR129" s="2"/>
      <c r="CNT129" s="2"/>
      <c r="CNV129" s="2"/>
      <c r="CNX129" s="2"/>
      <c r="CNZ129" s="2"/>
      <c r="COB129" s="2"/>
      <c r="COD129" s="2"/>
      <c r="COF129" s="2"/>
      <c r="COH129" s="2"/>
      <c r="COJ129" s="2"/>
      <c r="COL129" s="2"/>
      <c r="CON129" s="2"/>
      <c r="COP129" s="2"/>
      <c r="COR129" s="2"/>
      <c r="COT129" s="2"/>
      <c r="COV129" s="2"/>
      <c r="COX129" s="2"/>
      <c r="COZ129" s="2"/>
      <c r="CPB129" s="2"/>
      <c r="CPD129" s="2"/>
      <c r="CPF129" s="2"/>
      <c r="CPH129" s="2"/>
      <c r="CPJ129" s="2"/>
      <c r="CPL129" s="2"/>
      <c r="CPN129" s="2"/>
      <c r="CPP129" s="2"/>
      <c r="CPR129" s="2"/>
      <c r="CPT129" s="2"/>
      <c r="CPV129" s="2"/>
      <c r="CPX129" s="2"/>
      <c r="CPZ129" s="2"/>
      <c r="CQB129" s="2"/>
      <c r="CQD129" s="2"/>
      <c r="CQF129" s="2"/>
      <c r="CQH129" s="2"/>
      <c r="CQJ129" s="2"/>
      <c r="CQL129" s="2"/>
      <c r="CQN129" s="2"/>
      <c r="CQP129" s="2"/>
      <c r="CQR129" s="2"/>
      <c r="CQT129" s="2"/>
      <c r="CQV129" s="2"/>
      <c r="CQX129" s="2"/>
      <c r="CQZ129" s="2"/>
      <c r="CRB129" s="2"/>
      <c r="CRD129" s="2"/>
      <c r="CRF129" s="2"/>
      <c r="CRH129" s="2"/>
      <c r="CRJ129" s="2"/>
      <c r="CRL129" s="2"/>
      <c r="CRN129" s="2"/>
      <c r="CRP129" s="2"/>
      <c r="CRR129" s="2"/>
      <c r="CRT129" s="2"/>
      <c r="CRV129" s="2"/>
      <c r="CRX129" s="2"/>
      <c r="CRZ129" s="2"/>
      <c r="CSB129" s="2"/>
      <c r="CSD129" s="2"/>
      <c r="CSF129" s="2"/>
      <c r="CSH129" s="2"/>
      <c r="CSJ129" s="2"/>
      <c r="CSL129" s="2"/>
      <c r="CSN129" s="2"/>
      <c r="CSP129" s="2"/>
      <c r="CSR129" s="2"/>
      <c r="CST129" s="2"/>
      <c r="CSV129" s="2"/>
      <c r="CSX129" s="2"/>
      <c r="CSZ129" s="2"/>
      <c r="CTB129" s="2"/>
      <c r="CTD129" s="2"/>
      <c r="CTF129" s="2"/>
      <c r="CTH129" s="2"/>
      <c r="CTJ129" s="2"/>
      <c r="CTL129" s="2"/>
      <c r="CTN129" s="2"/>
      <c r="CTP129" s="2"/>
      <c r="CTR129" s="2"/>
      <c r="CTT129" s="2"/>
      <c r="CTV129" s="2"/>
      <c r="CTX129" s="2"/>
      <c r="CTZ129" s="2"/>
      <c r="CUB129" s="2"/>
      <c r="CUD129" s="2"/>
      <c r="CUF129" s="2"/>
      <c r="CUH129" s="2"/>
      <c r="CUJ129" s="2"/>
      <c r="CUL129" s="2"/>
      <c r="CUN129" s="2"/>
      <c r="CUP129" s="2"/>
      <c r="CUR129" s="2"/>
      <c r="CUT129" s="2"/>
      <c r="CUV129" s="2"/>
      <c r="CUX129" s="2"/>
      <c r="CUZ129" s="2"/>
      <c r="CVB129" s="2"/>
      <c r="CVD129" s="2"/>
      <c r="CVF129" s="2"/>
      <c r="CVH129" s="2"/>
      <c r="CVJ129" s="2"/>
      <c r="CVL129" s="2"/>
      <c r="CVN129" s="2"/>
      <c r="CVP129" s="2"/>
      <c r="CVR129" s="2"/>
      <c r="CVT129" s="2"/>
      <c r="CVV129" s="2"/>
      <c r="CVX129" s="2"/>
      <c r="CVZ129" s="2"/>
      <c r="CWB129" s="2"/>
      <c r="CWD129" s="2"/>
      <c r="CWF129" s="2"/>
      <c r="CWH129" s="2"/>
      <c r="CWJ129" s="2"/>
      <c r="CWL129" s="2"/>
      <c r="CWN129" s="2"/>
      <c r="CWP129" s="2"/>
      <c r="CWR129" s="2"/>
      <c r="CWT129" s="2"/>
      <c r="CWV129" s="2"/>
      <c r="CWX129" s="2"/>
      <c r="CWZ129" s="2"/>
      <c r="CXB129" s="2"/>
      <c r="CXD129" s="2"/>
      <c r="CXF129" s="2"/>
      <c r="CXH129" s="2"/>
      <c r="CXJ129" s="2"/>
      <c r="CXL129" s="2"/>
      <c r="CXN129" s="2"/>
      <c r="CXP129" s="2"/>
      <c r="CXR129" s="2"/>
      <c r="CXT129" s="2"/>
      <c r="CXV129" s="2"/>
      <c r="CXX129" s="2"/>
      <c r="CXZ129" s="2"/>
      <c r="CYB129" s="2"/>
      <c r="CYD129" s="2"/>
      <c r="CYF129" s="2"/>
      <c r="CYH129" s="2"/>
      <c r="CYJ129" s="2"/>
      <c r="CYL129" s="2"/>
      <c r="CYN129" s="2"/>
      <c r="CYP129" s="2"/>
      <c r="CYR129" s="2"/>
      <c r="CYT129" s="2"/>
      <c r="CYV129" s="2"/>
      <c r="CYX129" s="2"/>
      <c r="CYZ129" s="2"/>
      <c r="CZB129" s="2"/>
      <c r="CZD129" s="2"/>
      <c r="CZF129" s="2"/>
      <c r="CZH129" s="2"/>
      <c r="CZJ129" s="2"/>
      <c r="CZL129" s="2"/>
      <c r="CZN129" s="2"/>
      <c r="CZP129" s="2"/>
      <c r="CZR129" s="2"/>
      <c r="CZT129" s="2"/>
      <c r="CZV129" s="2"/>
      <c r="CZX129" s="2"/>
      <c r="CZZ129" s="2"/>
      <c r="DAB129" s="2"/>
      <c r="DAD129" s="2"/>
      <c r="DAF129" s="2"/>
      <c r="DAH129" s="2"/>
      <c r="DAJ129" s="2"/>
      <c r="DAL129" s="2"/>
      <c r="DAN129" s="2"/>
      <c r="DAP129" s="2"/>
      <c r="DAR129" s="2"/>
      <c r="DAT129" s="2"/>
      <c r="DAV129" s="2"/>
      <c r="DAX129" s="2"/>
      <c r="DAZ129" s="2"/>
      <c r="DBB129" s="2"/>
      <c r="DBD129" s="2"/>
      <c r="DBF129" s="2"/>
      <c r="DBH129" s="2"/>
      <c r="DBJ129" s="2"/>
      <c r="DBL129" s="2"/>
      <c r="DBN129" s="2"/>
      <c r="DBP129" s="2"/>
      <c r="DBR129" s="2"/>
      <c r="DBT129" s="2"/>
      <c r="DBV129" s="2"/>
      <c r="DBX129" s="2"/>
      <c r="DBZ129" s="2"/>
      <c r="DCB129" s="2"/>
      <c r="DCD129" s="2"/>
      <c r="DCF129" s="2"/>
      <c r="DCH129" s="2"/>
      <c r="DCJ129" s="2"/>
      <c r="DCL129" s="2"/>
      <c r="DCN129" s="2"/>
      <c r="DCP129" s="2"/>
      <c r="DCR129" s="2"/>
      <c r="DCT129" s="2"/>
      <c r="DCV129" s="2"/>
      <c r="DCX129" s="2"/>
      <c r="DCZ129" s="2"/>
      <c r="DDB129" s="2"/>
      <c r="DDD129" s="2"/>
      <c r="DDF129" s="2"/>
      <c r="DDH129" s="2"/>
      <c r="DDJ129" s="2"/>
      <c r="DDL129" s="2"/>
      <c r="DDN129" s="2"/>
      <c r="DDP129" s="2"/>
      <c r="DDR129" s="2"/>
      <c r="DDT129" s="2"/>
      <c r="DDV129" s="2"/>
      <c r="DDX129" s="2"/>
      <c r="DDZ129" s="2"/>
      <c r="DEB129" s="2"/>
      <c r="DED129" s="2"/>
      <c r="DEF129" s="2"/>
      <c r="DEH129" s="2"/>
      <c r="DEJ129" s="2"/>
      <c r="DEL129" s="2"/>
      <c r="DEN129" s="2"/>
      <c r="DEP129" s="2"/>
      <c r="DER129" s="2"/>
      <c r="DET129" s="2"/>
      <c r="DEV129" s="2"/>
      <c r="DEX129" s="2"/>
      <c r="DEZ129" s="2"/>
      <c r="DFB129" s="2"/>
      <c r="DFD129" s="2"/>
      <c r="DFF129" s="2"/>
      <c r="DFH129" s="2"/>
      <c r="DFJ129" s="2"/>
      <c r="DFL129" s="2"/>
      <c r="DFN129" s="2"/>
      <c r="DFP129" s="2"/>
      <c r="DFR129" s="2"/>
      <c r="DFT129" s="2"/>
      <c r="DFV129" s="2"/>
      <c r="DFX129" s="2"/>
      <c r="DFZ129" s="2"/>
      <c r="DGB129" s="2"/>
      <c r="DGD129" s="2"/>
      <c r="DGF129" s="2"/>
      <c r="DGH129" s="2"/>
      <c r="DGJ129" s="2"/>
      <c r="DGL129" s="2"/>
      <c r="DGN129" s="2"/>
      <c r="DGP129" s="2"/>
      <c r="DGR129" s="2"/>
      <c r="DGT129" s="2"/>
      <c r="DGV129" s="2"/>
      <c r="DGX129" s="2"/>
      <c r="DGZ129" s="2"/>
      <c r="DHB129" s="2"/>
      <c r="DHD129" s="2"/>
      <c r="DHF129" s="2"/>
      <c r="DHH129" s="2"/>
      <c r="DHJ129" s="2"/>
      <c r="DHL129" s="2"/>
      <c r="DHN129" s="2"/>
      <c r="DHP129" s="2"/>
      <c r="DHR129" s="2"/>
      <c r="DHT129" s="2"/>
      <c r="DHV129" s="2"/>
      <c r="DHX129" s="2"/>
      <c r="DHZ129" s="2"/>
      <c r="DIB129" s="2"/>
      <c r="DID129" s="2"/>
      <c r="DIF129" s="2"/>
      <c r="DIH129" s="2"/>
      <c r="DIJ129" s="2"/>
      <c r="DIL129" s="2"/>
      <c r="DIN129" s="2"/>
      <c r="DIP129" s="2"/>
      <c r="DIR129" s="2"/>
      <c r="DIT129" s="2"/>
      <c r="DIV129" s="2"/>
      <c r="DIX129" s="2"/>
      <c r="DIZ129" s="2"/>
      <c r="DJB129" s="2"/>
      <c r="DJD129" s="2"/>
      <c r="DJF129" s="2"/>
      <c r="DJH129" s="2"/>
      <c r="DJJ129" s="2"/>
      <c r="DJL129" s="2"/>
      <c r="DJN129" s="2"/>
      <c r="DJP129" s="2"/>
      <c r="DJR129" s="2"/>
      <c r="DJT129" s="2"/>
      <c r="DJV129" s="2"/>
      <c r="DJX129" s="2"/>
      <c r="DJZ129" s="2"/>
      <c r="DKB129" s="2"/>
      <c r="DKD129" s="2"/>
      <c r="DKF129" s="2"/>
      <c r="DKH129" s="2"/>
      <c r="DKJ129" s="2"/>
      <c r="DKL129" s="2"/>
      <c r="DKN129" s="2"/>
      <c r="DKP129" s="2"/>
      <c r="DKR129" s="2"/>
      <c r="DKT129" s="2"/>
      <c r="DKV129" s="2"/>
      <c r="DKX129" s="2"/>
      <c r="DKZ129" s="2"/>
      <c r="DLB129" s="2"/>
      <c r="DLD129" s="2"/>
      <c r="DLF129" s="2"/>
      <c r="DLH129" s="2"/>
      <c r="DLJ129" s="2"/>
      <c r="DLL129" s="2"/>
      <c r="DLN129" s="2"/>
      <c r="DLP129" s="2"/>
      <c r="DLR129" s="2"/>
      <c r="DLT129" s="2"/>
      <c r="DLV129" s="2"/>
      <c r="DLX129" s="2"/>
      <c r="DLZ129" s="2"/>
      <c r="DMB129" s="2"/>
      <c r="DMD129" s="2"/>
      <c r="DMF129" s="2"/>
      <c r="DMH129" s="2"/>
      <c r="DMJ129" s="2"/>
      <c r="DML129" s="2"/>
      <c r="DMN129" s="2"/>
      <c r="DMP129" s="2"/>
      <c r="DMR129" s="2"/>
      <c r="DMT129" s="2"/>
      <c r="DMV129" s="2"/>
      <c r="DMX129" s="2"/>
      <c r="DMZ129" s="2"/>
      <c r="DNB129" s="2"/>
      <c r="DND129" s="2"/>
      <c r="DNF129" s="2"/>
      <c r="DNH129" s="2"/>
      <c r="DNJ129" s="2"/>
      <c r="DNL129" s="2"/>
      <c r="DNN129" s="2"/>
      <c r="DNP129" s="2"/>
      <c r="DNR129" s="2"/>
      <c r="DNT129" s="2"/>
      <c r="DNV129" s="2"/>
      <c r="DNX129" s="2"/>
      <c r="DNZ129" s="2"/>
      <c r="DOB129" s="2"/>
      <c r="DOD129" s="2"/>
      <c r="DOF129" s="2"/>
      <c r="DOH129" s="2"/>
      <c r="DOJ129" s="2"/>
      <c r="DOL129" s="2"/>
      <c r="DON129" s="2"/>
      <c r="DOP129" s="2"/>
      <c r="DOR129" s="2"/>
      <c r="DOT129" s="2"/>
      <c r="DOV129" s="2"/>
      <c r="DOX129" s="2"/>
      <c r="DOZ129" s="2"/>
      <c r="DPB129" s="2"/>
      <c r="DPD129" s="2"/>
      <c r="DPF129" s="2"/>
      <c r="DPH129" s="2"/>
      <c r="DPJ129" s="2"/>
      <c r="DPL129" s="2"/>
      <c r="DPN129" s="2"/>
      <c r="DPP129" s="2"/>
      <c r="DPR129" s="2"/>
      <c r="DPT129" s="2"/>
      <c r="DPV129" s="2"/>
      <c r="DPX129" s="2"/>
      <c r="DPZ129" s="2"/>
      <c r="DQB129" s="2"/>
      <c r="DQD129" s="2"/>
      <c r="DQF129" s="2"/>
      <c r="DQH129" s="2"/>
      <c r="DQJ129" s="2"/>
      <c r="DQL129" s="2"/>
      <c r="DQN129" s="2"/>
      <c r="DQP129" s="2"/>
      <c r="DQR129" s="2"/>
      <c r="DQT129" s="2"/>
      <c r="DQV129" s="2"/>
      <c r="DQX129" s="2"/>
      <c r="DQZ129" s="2"/>
      <c r="DRB129" s="2"/>
      <c r="DRD129" s="2"/>
      <c r="DRF129" s="2"/>
      <c r="DRH129" s="2"/>
      <c r="DRJ129" s="2"/>
      <c r="DRL129" s="2"/>
      <c r="DRN129" s="2"/>
      <c r="DRP129" s="2"/>
      <c r="DRR129" s="2"/>
      <c r="DRT129" s="2"/>
      <c r="DRV129" s="2"/>
      <c r="DRX129" s="2"/>
      <c r="DRZ129" s="2"/>
      <c r="DSB129" s="2"/>
      <c r="DSD129" s="2"/>
      <c r="DSF129" s="2"/>
      <c r="DSH129" s="2"/>
      <c r="DSJ129" s="2"/>
      <c r="DSL129" s="2"/>
      <c r="DSN129" s="2"/>
      <c r="DSP129" s="2"/>
      <c r="DSR129" s="2"/>
      <c r="DST129" s="2"/>
      <c r="DSV129" s="2"/>
      <c r="DSX129" s="2"/>
      <c r="DSZ129" s="2"/>
      <c r="DTB129" s="2"/>
      <c r="DTD129" s="2"/>
      <c r="DTF129" s="2"/>
      <c r="DTH129" s="2"/>
      <c r="DTJ129" s="2"/>
      <c r="DTL129" s="2"/>
      <c r="DTN129" s="2"/>
      <c r="DTP129" s="2"/>
      <c r="DTR129" s="2"/>
      <c r="DTT129" s="2"/>
      <c r="DTV129" s="2"/>
      <c r="DTX129" s="2"/>
      <c r="DTZ129" s="2"/>
      <c r="DUB129" s="2"/>
      <c r="DUD129" s="2"/>
      <c r="DUF129" s="2"/>
      <c r="DUH129" s="2"/>
      <c r="DUJ129" s="2"/>
      <c r="DUL129" s="2"/>
      <c r="DUN129" s="2"/>
      <c r="DUP129" s="2"/>
      <c r="DUR129" s="2"/>
      <c r="DUT129" s="2"/>
      <c r="DUV129" s="2"/>
      <c r="DUX129" s="2"/>
      <c r="DUZ129" s="2"/>
      <c r="DVB129" s="2"/>
      <c r="DVD129" s="2"/>
      <c r="DVF129" s="2"/>
      <c r="DVH129" s="2"/>
      <c r="DVJ129" s="2"/>
      <c r="DVL129" s="2"/>
      <c r="DVN129" s="2"/>
      <c r="DVP129" s="2"/>
      <c r="DVR129" s="2"/>
      <c r="DVT129" s="2"/>
      <c r="DVV129" s="2"/>
      <c r="DVX129" s="2"/>
      <c r="DVZ129" s="2"/>
      <c r="DWB129" s="2"/>
      <c r="DWD129" s="2"/>
      <c r="DWF129" s="2"/>
      <c r="DWH129" s="2"/>
      <c r="DWJ129" s="2"/>
      <c r="DWL129" s="2"/>
      <c r="DWN129" s="2"/>
      <c r="DWP129" s="2"/>
      <c r="DWR129" s="2"/>
      <c r="DWT129" s="2"/>
      <c r="DWV129" s="2"/>
      <c r="DWX129" s="2"/>
      <c r="DWZ129" s="2"/>
      <c r="DXB129" s="2"/>
      <c r="DXD129" s="2"/>
      <c r="DXF129" s="2"/>
      <c r="DXH129" s="2"/>
      <c r="DXJ129" s="2"/>
      <c r="DXL129" s="2"/>
      <c r="DXN129" s="2"/>
      <c r="DXP129" s="2"/>
      <c r="DXR129" s="2"/>
      <c r="DXT129" s="2"/>
      <c r="DXV129" s="2"/>
      <c r="DXX129" s="2"/>
      <c r="DXZ129" s="2"/>
      <c r="DYB129" s="2"/>
      <c r="DYD129" s="2"/>
      <c r="DYF129" s="2"/>
      <c r="DYH129" s="2"/>
      <c r="DYJ129" s="2"/>
      <c r="DYL129" s="2"/>
      <c r="DYN129" s="2"/>
      <c r="DYP129" s="2"/>
      <c r="DYR129" s="2"/>
      <c r="DYT129" s="2"/>
      <c r="DYV129" s="2"/>
      <c r="DYX129" s="2"/>
      <c r="DYZ129" s="2"/>
      <c r="DZB129" s="2"/>
      <c r="DZD129" s="2"/>
      <c r="DZF129" s="2"/>
      <c r="DZH129" s="2"/>
      <c r="DZJ129" s="2"/>
      <c r="DZL129" s="2"/>
      <c r="DZN129" s="2"/>
      <c r="DZP129" s="2"/>
      <c r="DZR129" s="2"/>
      <c r="DZT129" s="2"/>
      <c r="DZV129" s="2"/>
      <c r="DZX129" s="2"/>
      <c r="DZZ129" s="2"/>
      <c r="EAB129" s="2"/>
      <c r="EAD129" s="2"/>
      <c r="EAF129" s="2"/>
      <c r="EAH129" s="2"/>
      <c r="EAJ129" s="2"/>
      <c r="EAL129" s="2"/>
      <c r="EAN129" s="2"/>
      <c r="EAP129" s="2"/>
      <c r="EAR129" s="2"/>
      <c r="EAT129" s="2"/>
      <c r="EAV129" s="2"/>
      <c r="EAX129" s="2"/>
      <c r="EAZ129" s="2"/>
      <c r="EBB129" s="2"/>
      <c r="EBD129" s="2"/>
      <c r="EBF129" s="2"/>
      <c r="EBH129" s="2"/>
      <c r="EBJ129" s="2"/>
      <c r="EBL129" s="2"/>
      <c r="EBN129" s="2"/>
      <c r="EBP129" s="2"/>
      <c r="EBR129" s="2"/>
      <c r="EBT129" s="2"/>
      <c r="EBV129" s="2"/>
      <c r="EBX129" s="2"/>
      <c r="EBZ129" s="2"/>
      <c r="ECB129" s="2"/>
      <c r="ECD129" s="2"/>
      <c r="ECF129" s="2"/>
      <c r="ECH129" s="2"/>
      <c r="ECJ129" s="2"/>
      <c r="ECL129" s="2"/>
      <c r="ECN129" s="2"/>
      <c r="ECP129" s="2"/>
      <c r="ECR129" s="2"/>
      <c r="ECT129" s="2"/>
      <c r="ECV129" s="2"/>
      <c r="ECX129" s="2"/>
      <c r="ECZ129" s="2"/>
      <c r="EDB129" s="2"/>
      <c r="EDD129" s="2"/>
      <c r="EDF129" s="2"/>
      <c r="EDH129" s="2"/>
      <c r="EDJ129" s="2"/>
      <c r="EDL129" s="2"/>
      <c r="EDN129" s="2"/>
      <c r="EDP129" s="2"/>
      <c r="EDR129" s="2"/>
      <c r="EDT129" s="2"/>
      <c r="EDV129" s="2"/>
      <c r="EDX129" s="2"/>
      <c r="EDZ129" s="2"/>
      <c r="EEB129" s="2"/>
      <c r="EED129" s="2"/>
      <c r="EEF129" s="2"/>
      <c r="EEH129" s="2"/>
      <c r="EEJ129" s="2"/>
      <c r="EEL129" s="2"/>
      <c r="EEN129" s="2"/>
      <c r="EEP129" s="2"/>
      <c r="EER129" s="2"/>
      <c r="EET129" s="2"/>
      <c r="EEV129" s="2"/>
      <c r="EEX129" s="2"/>
      <c r="EEZ129" s="2"/>
      <c r="EFB129" s="2"/>
      <c r="EFD129" s="2"/>
      <c r="EFF129" s="2"/>
      <c r="EFH129" s="2"/>
      <c r="EFJ129" s="2"/>
      <c r="EFL129" s="2"/>
      <c r="EFN129" s="2"/>
      <c r="EFP129" s="2"/>
      <c r="EFR129" s="2"/>
      <c r="EFT129" s="2"/>
      <c r="EFV129" s="2"/>
      <c r="EFX129" s="2"/>
      <c r="EFZ129" s="2"/>
      <c r="EGB129" s="2"/>
      <c r="EGD129" s="2"/>
      <c r="EGF129" s="2"/>
      <c r="EGH129" s="2"/>
      <c r="EGJ129" s="2"/>
      <c r="EGL129" s="2"/>
      <c r="EGN129" s="2"/>
      <c r="EGP129" s="2"/>
      <c r="EGR129" s="2"/>
      <c r="EGT129" s="2"/>
      <c r="EGV129" s="2"/>
      <c r="EGX129" s="2"/>
      <c r="EGZ129" s="2"/>
      <c r="EHB129" s="2"/>
      <c r="EHD129" s="2"/>
      <c r="EHF129" s="2"/>
      <c r="EHH129" s="2"/>
      <c r="EHJ129" s="2"/>
      <c r="EHL129" s="2"/>
      <c r="EHN129" s="2"/>
      <c r="EHP129" s="2"/>
      <c r="EHR129" s="2"/>
      <c r="EHT129" s="2"/>
      <c r="EHV129" s="2"/>
      <c r="EHX129" s="2"/>
      <c r="EHZ129" s="2"/>
      <c r="EIB129" s="2"/>
      <c r="EID129" s="2"/>
      <c r="EIF129" s="2"/>
      <c r="EIH129" s="2"/>
      <c r="EIJ129" s="2"/>
      <c r="EIL129" s="2"/>
      <c r="EIN129" s="2"/>
      <c r="EIP129" s="2"/>
      <c r="EIR129" s="2"/>
      <c r="EIT129" s="2"/>
      <c r="EIV129" s="2"/>
      <c r="EIX129" s="2"/>
      <c r="EIZ129" s="2"/>
      <c r="EJB129" s="2"/>
      <c r="EJD129" s="2"/>
      <c r="EJF129" s="2"/>
      <c r="EJH129" s="2"/>
      <c r="EJJ129" s="2"/>
      <c r="EJL129" s="2"/>
      <c r="EJN129" s="2"/>
      <c r="EJP129" s="2"/>
      <c r="EJR129" s="2"/>
      <c r="EJT129" s="2"/>
      <c r="EJV129" s="2"/>
      <c r="EJX129" s="2"/>
      <c r="EJZ129" s="2"/>
      <c r="EKB129" s="2"/>
      <c r="EKD129" s="2"/>
      <c r="EKF129" s="2"/>
      <c r="EKH129" s="2"/>
      <c r="EKJ129" s="2"/>
      <c r="EKL129" s="2"/>
      <c r="EKN129" s="2"/>
      <c r="EKP129" s="2"/>
      <c r="EKR129" s="2"/>
      <c r="EKT129" s="2"/>
      <c r="EKV129" s="2"/>
      <c r="EKX129" s="2"/>
      <c r="EKZ129" s="2"/>
      <c r="ELB129" s="2"/>
      <c r="ELD129" s="2"/>
      <c r="ELF129" s="2"/>
      <c r="ELH129" s="2"/>
      <c r="ELJ129" s="2"/>
      <c r="ELL129" s="2"/>
      <c r="ELN129" s="2"/>
      <c r="ELP129" s="2"/>
      <c r="ELR129" s="2"/>
      <c r="ELT129" s="2"/>
      <c r="ELV129" s="2"/>
      <c r="ELX129" s="2"/>
      <c r="ELZ129" s="2"/>
      <c r="EMB129" s="2"/>
      <c r="EMD129" s="2"/>
      <c r="EMF129" s="2"/>
      <c r="EMH129" s="2"/>
      <c r="EMJ129" s="2"/>
      <c r="EML129" s="2"/>
      <c r="EMN129" s="2"/>
      <c r="EMP129" s="2"/>
      <c r="EMR129" s="2"/>
      <c r="EMT129" s="2"/>
      <c r="EMV129" s="2"/>
      <c r="EMX129" s="2"/>
      <c r="EMZ129" s="2"/>
      <c r="ENB129" s="2"/>
      <c r="END129" s="2"/>
      <c r="ENF129" s="2"/>
      <c r="ENH129" s="2"/>
      <c r="ENJ129" s="2"/>
      <c r="ENL129" s="2"/>
      <c r="ENN129" s="2"/>
      <c r="ENP129" s="2"/>
      <c r="ENR129" s="2"/>
      <c r="ENT129" s="2"/>
      <c r="ENV129" s="2"/>
      <c r="ENX129" s="2"/>
      <c r="ENZ129" s="2"/>
      <c r="EOB129" s="2"/>
      <c r="EOD129" s="2"/>
      <c r="EOF129" s="2"/>
      <c r="EOH129" s="2"/>
      <c r="EOJ129" s="2"/>
      <c r="EOL129" s="2"/>
      <c r="EON129" s="2"/>
      <c r="EOP129" s="2"/>
      <c r="EOR129" s="2"/>
      <c r="EOT129" s="2"/>
      <c r="EOV129" s="2"/>
      <c r="EOX129" s="2"/>
      <c r="EOZ129" s="2"/>
      <c r="EPB129" s="2"/>
      <c r="EPD129" s="2"/>
      <c r="EPF129" s="2"/>
      <c r="EPH129" s="2"/>
      <c r="EPJ129" s="2"/>
      <c r="EPL129" s="2"/>
      <c r="EPN129" s="2"/>
      <c r="EPP129" s="2"/>
      <c r="EPR129" s="2"/>
      <c r="EPT129" s="2"/>
      <c r="EPV129" s="2"/>
      <c r="EPX129" s="2"/>
      <c r="EPZ129" s="2"/>
      <c r="EQB129" s="2"/>
      <c r="EQD129" s="2"/>
      <c r="EQF129" s="2"/>
      <c r="EQH129" s="2"/>
      <c r="EQJ129" s="2"/>
      <c r="EQL129" s="2"/>
      <c r="EQN129" s="2"/>
      <c r="EQP129" s="2"/>
      <c r="EQR129" s="2"/>
      <c r="EQT129" s="2"/>
      <c r="EQV129" s="2"/>
      <c r="EQX129" s="2"/>
      <c r="EQZ129" s="2"/>
      <c r="ERB129" s="2"/>
      <c r="ERD129" s="2"/>
      <c r="ERF129" s="2"/>
      <c r="ERH129" s="2"/>
      <c r="ERJ129" s="2"/>
      <c r="ERL129" s="2"/>
      <c r="ERN129" s="2"/>
      <c r="ERP129" s="2"/>
      <c r="ERR129" s="2"/>
      <c r="ERT129" s="2"/>
      <c r="ERV129" s="2"/>
      <c r="ERX129" s="2"/>
      <c r="ERZ129" s="2"/>
      <c r="ESB129" s="2"/>
      <c r="ESD129" s="2"/>
      <c r="ESF129" s="2"/>
      <c r="ESH129" s="2"/>
      <c r="ESJ129" s="2"/>
      <c r="ESL129" s="2"/>
      <c r="ESN129" s="2"/>
      <c r="ESP129" s="2"/>
      <c r="ESR129" s="2"/>
      <c r="EST129" s="2"/>
      <c r="ESV129" s="2"/>
      <c r="ESX129" s="2"/>
      <c r="ESZ129" s="2"/>
      <c r="ETB129" s="2"/>
      <c r="ETD129" s="2"/>
      <c r="ETF129" s="2"/>
      <c r="ETH129" s="2"/>
      <c r="ETJ129" s="2"/>
      <c r="ETL129" s="2"/>
      <c r="ETN129" s="2"/>
      <c r="ETP129" s="2"/>
      <c r="ETR129" s="2"/>
      <c r="ETT129" s="2"/>
      <c r="ETV129" s="2"/>
      <c r="ETX129" s="2"/>
      <c r="ETZ129" s="2"/>
      <c r="EUB129" s="2"/>
      <c r="EUD129" s="2"/>
      <c r="EUF129" s="2"/>
      <c r="EUH129" s="2"/>
      <c r="EUJ129" s="2"/>
      <c r="EUL129" s="2"/>
      <c r="EUN129" s="2"/>
      <c r="EUP129" s="2"/>
      <c r="EUR129" s="2"/>
      <c r="EUT129" s="2"/>
      <c r="EUV129" s="2"/>
      <c r="EUX129" s="2"/>
      <c r="EUZ129" s="2"/>
      <c r="EVB129" s="2"/>
      <c r="EVD129" s="2"/>
      <c r="EVF129" s="2"/>
      <c r="EVH129" s="2"/>
      <c r="EVJ129" s="2"/>
      <c r="EVL129" s="2"/>
      <c r="EVN129" s="2"/>
      <c r="EVP129" s="2"/>
      <c r="EVR129" s="2"/>
      <c r="EVT129" s="2"/>
      <c r="EVV129" s="2"/>
      <c r="EVX129" s="2"/>
      <c r="EVZ129" s="2"/>
      <c r="EWB129" s="2"/>
      <c r="EWD129" s="2"/>
      <c r="EWF129" s="2"/>
      <c r="EWH129" s="2"/>
      <c r="EWJ129" s="2"/>
      <c r="EWL129" s="2"/>
      <c r="EWN129" s="2"/>
      <c r="EWP129" s="2"/>
      <c r="EWR129" s="2"/>
      <c r="EWT129" s="2"/>
      <c r="EWV129" s="2"/>
      <c r="EWX129" s="2"/>
      <c r="EWZ129" s="2"/>
      <c r="EXB129" s="2"/>
      <c r="EXD129" s="2"/>
      <c r="EXF129" s="2"/>
      <c r="EXH129" s="2"/>
      <c r="EXJ129" s="2"/>
      <c r="EXL129" s="2"/>
      <c r="EXN129" s="2"/>
      <c r="EXP129" s="2"/>
      <c r="EXR129" s="2"/>
      <c r="EXT129" s="2"/>
      <c r="EXV129" s="2"/>
      <c r="EXX129" s="2"/>
      <c r="EXZ129" s="2"/>
      <c r="EYB129" s="2"/>
      <c r="EYD129" s="2"/>
      <c r="EYF129" s="2"/>
      <c r="EYH129" s="2"/>
      <c r="EYJ129" s="2"/>
      <c r="EYL129" s="2"/>
      <c r="EYN129" s="2"/>
      <c r="EYP129" s="2"/>
      <c r="EYR129" s="2"/>
      <c r="EYT129" s="2"/>
      <c r="EYV129" s="2"/>
      <c r="EYX129" s="2"/>
      <c r="EYZ129" s="2"/>
      <c r="EZB129" s="2"/>
      <c r="EZD129" s="2"/>
      <c r="EZF129" s="2"/>
      <c r="EZH129" s="2"/>
      <c r="EZJ129" s="2"/>
      <c r="EZL129" s="2"/>
      <c r="EZN129" s="2"/>
      <c r="EZP129" s="2"/>
      <c r="EZR129" s="2"/>
      <c r="EZT129" s="2"/>
      <c r="EZV129" s="2"/>
      <c r="EZX129" s="2"/>
      <c r="EZZ129" s="2"/>
      <c r="FAB129" s="2"/>
      <c r="FAD129" s="2"/>
      <c r="FAF129" s="2"/>
      <c r="FAH129" s="2"/>
      <c r="FAJ129" s="2"/>
      <c r="FAL129" s="2"/>
      <c r="FAN129" s="2"/>
      <c r="FAP129" s="2"/>
      <c r="FAR129" s="2"/>
      <c r="FAT129" s="2"/>
      <c r="FAV129" s="2"/>
      <c r="FAX129" s="2"/>
      <c r="FAZ129" s="2"/>
      <c r="FBB129" s="2"/>
      <c r="FBD129" s="2"/>
      <c r="FBF129" s="2"/>
      <c r="FBH129" s="2"/>
      <c r="FBJ129" s="2"/>
      <c r="FBL129" s="2"/>
      <c r="FBN129" s="2"/>
      <c r="FBP129" s="2"/>
      <c r="FBR129" s="2"/>
      <c r="FBT129" s="2"/>
      <c r="FBV129" s="2"/>
      <c r="FBX129" s="2"/>
      <c r="FBZ129" s="2"/>
      <c r="FCB129" s="2"/>
      <c r="FCD129" s="2"/>
      <c r="FCF129" s="2"/>
      <c r="FCH129" s="2"/>
      <c r="FCJ129" s="2"/>
      <c r="FCL129" s="2"/>
      <c r="FCN129" s="2"/>
      <c r="FCP129" s="2"/>
      <c r="FCR129" s="2"/>
      <c r="FCT129" s="2"/>
      <c r="FCV129" s="2"/>
      <c r="FCX129" s="2"/>
      <c r="FCZ129" s="2"/>
      <c r="FDB129" s="2"/>
      <c r="FDD129" s="2"/>
      <c r="FDF129" s="2"/>
      <c r="FDH129" s="2"/>
      <c r="FDJ129" s="2"/>
      <c r="FDL129" s="2"/>
      <c r="FDN129" s="2"/>
      <c r="FDP129" s="2"/>
      <c r="FDR129" s="2"/>
      <c r="FDT129" s="2"/>
      <c r="FDV129" s="2"/>
      <c r="FDX129" s="2"/>
      <c r="FDZ129" s="2"/>
      <c r="FEB129" s="2"/>
      <c r="FED129" s="2"/>
      <c r="FEF129" s="2"/>
      <c r="FEH129" s="2"/>
      <c r="FEJ129" s="2"/>
      <c r="FEL129" s="2"/>
      <c r="FEN129" s="2"/>
      <c r="FEP129" s="2"/>
      <c r="FER129" s="2"/>
      <c r="FET129" s="2"/>
      <c r="FEV129" s="2"/>
      <c r="FEX129" s="2"/>
      <c r="FEZ129" s="2"/>
      <c r="FFB129" s="2"/>
      <c r="FFD129" s="2"/>
      <c r="FFF129" s="2"/>
      <c r="FFH129" s="2"/>
      <c r="FFJ129" s="2"/>
      <c r="FFL129" s="2"/>
      <c r="FFN129" s="2"/>
      <c r="FFP129" s="2"/>
      <c r="FFR129" s="2"/>
      <c r="FFT129" s="2"/>
      <c r="FFV129" s="2"/>
      <c r="FFX129" s="2"/>
      <c r="FFZ129" s="2"/>
      <c r="FGB129" s="2"/>
      <c r="FGD129" s="2"/>
      <c r="FGF129" s="2"/>
      <c r="FGH129" s="2"/>
      <c r="FGJ129" s="2"/>
      <c r="FGL129" s="2"/>
      <c r="FGN129" s="2"/>
      <c r="FGP129" s="2"/>
      <c r="FGR129" s="2"/>
      <c r="FGT129" s="2"/>
      <c r="FGV129" s="2"/>
      <c r="FGX129" s="2"/>
      <c r="FGZ129" s="2"/>
      <c r="FHB129" s="2"/>
      <c r="FHD129" s="2"/>
      <c r="FHF129" s="2"/>
      <c r="FHH129" s="2"/>
      <c r="FHJ129" s="2"/>
      <c r="FHL129" s="2"/>
      <c r="FHN129" s="2"/>
      <c r="FHP129" s="2"/>
      <c r="FHR129" s="2"/>
      <c r="FHT129" s="2"/>
      <c r="FHV129" s="2"/>
      <c r="FHX129" s="2"/>
      <c r="FHZ129" s="2"/>
      <c r="FIB129" s="2"/>
      <c r="FID129" s="2"/>
      <c r="FIF129" s="2"/>
      <c r="FIH129" s="2"/>
      <c r="FIJ129" s="2"/>
      <c r="FIL129" s="2"/>
      <c r="FIN129" s="2"/>
      <c r="FIP129" s="2"/>
      <c r="FIR129" s="2"/>
      <c r="FIT129" s="2"/>
      <c r="FIV129" s="2"/>
      <c r="FIX129" s="2"/>
      <c r="FIZ129" s="2"/>
      <c r="FJB129" s="2"/>
      <c r="FJD129" s="2"/>
      <c r="FJF129" s="2"/>
      <c r="FJH129" s="2"/>
      <c r="FJJ129" s="2"/>
      <c r="FJL129" s="2"/>
      <c r="FJN129" s="2"/>
      <c r="FJP129" s="2"/>
      <c r="FJR129" s="2"/>
      <c r="FJT129" s="2"/>
      <c r="FJV129" s="2"/>
      <c r="FJX129" s="2"/>
      <c r="FJZ129" s="2"/>
      <c r="FKB129" s="2"/>
      <c r="FKD129" s="2"/>
      <c r="FKF129" s="2"/>
      <c r="FKH129" s="2"/>
      <c r="FKJ129" s="2"/>
      <c r="FKL129" s="2"/>
      <c r="FKN129" s="2"/>
      <c r="FKP129" s="2"/>
      <c r="FKR129" s="2"/>
      <c r="FKT129" s="2"/>
      <c r="FKV129" s="2"/>
      <c r="FKX129" s="2"/>
      <c r="FKZ129" s="2"/>
      <c r="FLB129" s="2"/>
      <c r="FLD129" s="2"/>
      <c r="FLF129" s="2"/>
      <c r="FLH129" s="2"/>
      <c r="FLJ129" s="2"/>
      <c r="FLL129" s="2"/>
      <c r="FLN129" s="2"/>
      <c r="FLP129" s="2"/>
      <c r="FLR129" s="2"/>
      <c r="FLT129" s="2"/>
      <c r="FLV129" s="2"/>
      <c r="FLX129" s="2"/>
      <c r="FLZ129" s="2"/>
      <c r="FMB129" s="2"/>
      <c r="FMD129" s="2"/>
      <c r="FMF129" s="2"/>
      <c r="FMH129" s="2"/>
      <c r="FMJ129" s="2"/>
      <c r="FML129" s="2"/>
      <c r="FMN129" s="2"/>
      <c r="FMP129" s="2"/>
      <c r="FMR129" s="2"/>
      <c r="FMT129" s="2"/>
      <c r="FMV129" s="2"/>
      <c r="FMX129" s="2"/>
      <c r="FMZ129" s="2"/>
      <c r="FNB129" s="2"/>
      <c r="FND129" s="2"/>
      <c r="FNF129" s="2"/>
      <c r="FNH129" s="2"/>
      <c r="FNJ129" s="2"/>
      <c r="FNL129" s="2"/>
      <c r="FNN129" s="2"/>
      <c r="FNP129" s="2"/>
      <c r="FNR129" s="2"/>
      <c r="FNT129" s="2"/>
      <c r="FNV129" s="2"/>
      <c r="FNX129" s="2"/>
      <c r="FNZ129" s="2"/>
      <c r="FOB129" s="2"/>
      <c r="FOD129" s="2"/>
      <c r="FOF129" s="2"/>
      <c r="FOH129" s="2"/>
      <c r="FOJ129" s="2"/>
      <c r="FOL129" s="2"/>
      <c r="FON129" s="2"/>
      <c r="FOP129" s="2"/>
      <c r="FOR129" s="2"/>
      <c r="FOT129" s="2"/>
      <c r="FOV129" s="2"/>
      <c r="FOX129" s="2"/>
      <c r="FOZ129" s="2"/>
      <c r="FPB129" s="2"/>
      <c r="FPD129" s="2"/>
      <c r="FPF129" s="2"/>
      <c r="FPH129" s="2"/>
      <c r="FPJ129" s="2"/>
      <c r="FPL129" s="2"/>
      <c r="FPN129" s="2"/>
      <c r="FPP129" s="2"/>
      <c r="FPR129" s="2"/>
      <c r="FPT129" s="2"/>
      <c r="FPV129" s="2"/>
      <c r="FPX129" s="2"/>
      <c r="FPZ129" s="2"/>
      <c r="FQB129" s="2"/>
      <c r="FQD129" s="2"/>
      <c r="FQF129" s="2"/>
      <c r="FQH129" s="2"/>
      <c r="FQJ129" s="2"/>
      <c r="FQL129" s="2"/>
      <c r="FQN129" s="2"/>
      <c r="FQP129" s="2"/>
      <c r="FQR129" s="2"/>
      <c r="FQT129" s="2"/>
      <c r="FQV129" s="2"/>
      <c r="FQX129" s="2"/>
      <c r="FQZ129" s="2"/>
      <c r="FRB129" s="2"/>
      <c r="FRD129" s="2"/>
      <c r="FRF129" s="2"/>
      <c r="FRH129" s="2"/>
      <c r="FRJ129" s="2"/>
      <c r="FRL129" s="2"/>
      <c r="FRN129" s="2"/>
      <c r="FRP129" s="2"/>
      <c r="FRR129" s="2"/>
      <c r="FRT129" s="2"/>
      <c r="FRV129" s="2"/>
      <c r="FRX129" s="2"/>
      <c r="FRZ129" s="2"/>
      <c r="FSB129" s="2"/>
      <c r="FSD129" s="2"/>
      <c r="FSF129" s="2"/>
      <c r="FSH129" s="2"/>
      <c r="FSJ129" s="2"/>
      <c r="FSL129" s="2"/>
      <c r="FSN129" s="2"/>
      <c r="FSP129" s="2"/>
      <c r="FSR129" s="2"/>
      <c r="FST129" s="2"/>
      <c r="FSV129" s="2"/>
      <c r="FSX129" s="2"/>
      <c r="FSZ129" s="2"/>
      <c r="FTB129" s="2"/>
      <c r="FTD129" s="2"/>
      <c r="FTF129" s="2"/>
      <c r="FTH129" s="2"/>
      <c r="FTJ129" s="2"/>
      <c r="FTL129" s="2"/>
      <c r="FTN129" s="2"/>
      <c r="FTP129" s="2"/>
      <c r="FTR129" s="2"/>
      <c r="FTT129" s="2"/>
      <c r="FTV129" s="2"/>
      <c r="FTX129" s="2"/>
      <c r="FTZ129" s="2"/>
      <c r="FUB129" s="2"/>
      <c r="FUD129" s="2"/>
      <c r="FUF129" s="2"/>
      <c r="FUH129" s="2"/>
      <c r="FUJ129" s="2"/>
      <c r="FUL129" s="2"/>
      <c r="FUN129" s="2"/>
      <c r="FUP129" s="2"/>
      <c r="FUR129" s="2"/>
      <c r="FUT129" s="2"/>
      <c r="FUV129" s="2"/>
      <c r="FUX129" s="2"/>
      <c r="FUZ129" s="2"/>
      <c r="FVB129" s="2"/>
      <c r="FVD129" s="2"/>
      <c r="FVF129" s="2"/>
      <c r="FVH129" s="2"/>
      <c r="FVJ129" s="2"/>
      <c r="FVL129" s="2"/>
      <c r="FVN129" s="2"/>
      <c r="FVP129" s="2"/>
      <c r="FVR129" s="2"/>
      <c r="FVT129" s="2"/>
      <c r="FVV129" s="2"/>
      <c r="FVX129" s="2"/>
      <c r="FVZ129" s="2"/>
      <c r="FWB129" s="2"/>
      <c r="FWD129" s="2"/>
      <c r="FWF129" s="2"/>
      <c r="FWH129" s="2"/>
      <c r="FWJ129" s="2"/>
      <c r="FWL129" s="2"/>
      <c r="FWN129" s="2"/>
      <c r="FWP129" s="2"/>
      <c r="FWR129" s="2"/>
      <c r="FWT129" s="2"/>
      <c r="FWV129" s="2"/>
      <c r="FWX129" s="2"/>
      <c r="FWZ129" s="2"/>
      <c r="FXB129" s="2"/>
      <c r="FXD129" s="2"/>
      <c r="FXF129" s="2"/>
      <c r="FXH129" s="2"/>
      <c r="FXJ129" s="2"/>
      <c r="FXL129" s="2"/>
      <c r="FXN129" s="2"/>
      <c r="FXP129" s="2"/>
      <c r="FXR129" s="2"/>
      <c r="FXT129" s="2"/>
      <c r="FXV129" s="2"/>
      <c r="FXX129" s="2"/>
      <c r="FXZ129" s="2"/>
      <c r="FYB129" s="2"/>
      <c r="FYD129" s="2"/>
      <c r="FYF129" s="2"/>
      <c r="FYH129" s="2"/>
      <c r="FYJ129" s="2"/>
      <c r="FYL129" s="2"/>
      <c r="FYN129" s="2"/>
      <c r="FYP129" s="2"/>
      <c r="FYR129" s="2"/>
      <c r="FYT129" s="2"/>
      <c r="FYV129" s="2"/>
      <c r="FYX129" s="2"/>
      <c r="FYZ129" s="2"/>
      <c r="FZB129" s="2"/>
      <c r="FZD129" s="2"/>
      <c r="FZF129" s="2"/>
      <c r="FZH129" s="2"/>
      <c r="FZJ129" s="2"/>
      <c r="FZL129" s="2"/>
      <c r="FZN129" s="2"/>
      <c r="FZP129" s="2"/>
      <c r="FZR129" s="2"/>
      <c r="FZT129" s="2"/>
      <c r="FZV129" s="2"/>
      <c r="FZX129" s="2"/>
      <c r="FZZ129" s="2"/>
      <c r="GAB129" s="2"/>
      <c r="GAD129" s="2"/>
      <c r="GAF129" s="2"/>
      <c r="GAH129" s="2"/>
      <c r="GAJ129" s="2"/>
      <c r="GAL129" s="2"/>
      <c r="GAN129" s="2"/>
      <c r="GAP129" s="2"/>
      <c r="GAR129" s="2"/>
      <c r="GAT129" s="2"/>
      <c r="GAV129" s="2"/>
      <c r="GAX129" s="2"/>
      <c r="GAZ129" s="2"/>
      <c r="GBB129" s="2"/>
      <c r="GBD129" s="2"/>
      <c r="GBF129" s="2"/>
      <c r="GBH129" s="2"/>
      <c r="GBJ129" s="2"/>
      <c r="GBL129" s="2"/>
      <c r="GBN129" s="2"/>
      <c r="GBP129" s="2"/>
      <c r="GBR129" s="2"/>
      <c r="GBT129" s="2"/>
      <c r="GBV129" s="2"/>
      <c r="GBX129" s="2"/>
      <c r="GBZ129" s="2"/>
      <c r="GCB129" s="2"/>
      <c r="GCD129" s="2"/>
      <c r="GCF129" s="2"/>
      <c r="GCH129" s="2"/>
      <c r="GCJ129" s="2"/>
      <c r="GCL129" s="2"/>
      <c r="GCN129" s="2"/>
      <c r="GCP129" s="2"/>
      <c r="GCR129" s="2"/>
      <c r="GCT129" s="2"/>
      <c r="GCV129" s="2"/>
      <c r="GCX129" s="2"/>
      <c r="GCZ129" s="2"/>
      <c r="GDB129" s="2"/>
      <c r="GDD129" s="2"/>
      <c r="GDF129" s="2"/>
      <c r="GDH129" s="2"/>
      <c r="GDJ129" s="2"/>
      <c r="GDL129" s="2"/>
      <c r="GDN129" s="2"/>
      <c r="GDP129" s="2"/>
      <c r="GDR129" s="2"/>
      <c r="GDT129" s="2"/>
      <c r="GDV129" s="2"/>
      <c r="GDX129" s="2"/>
      <c r="GDZ129" s="2"/>
      <c r="GEB129" s="2"/>
      <c r="GED129" s="2"/>
      <c r="GEF129" s="2"/>
      <c r="GEH129" s="2"/>
      <c r="GEJ129" s="2"/>
      <c r="GEL129" s="2"/>
      <c r="GEN129" s="2"/>
      <c r="GEP129" s="2"/>
      <c r="GER129" s="2"/>
      <c r="GET129" s="2"/>
      <c r="GEV129" s="2"/>
      <c r="GEX129" s="2"/>
      <c r="GEZ129" s="2"/>
      <c r="GFB129" s="2"/>
      <c r="GFD129" s="2"/>
      <c r="GFF129" s="2"/>
      <c r="GFH129" s="2"/>
      <c r="GFJ129" s="2"/>
      <c r="GFL129" s="2"/>
      <c r="GFN129" s="2"/>
      <c r="GFP129" s="2"/>
      <c r="GFR129" s="2"/>
      <c r="GFT129" s="2"/>
      <c r="GFV129" s="2"/>
      <c r="GFX129" s="2"/>
      <c r="GFZ129" s="2"/>
      <c r="GGB129" s="2"/>
      <c r="GGD129" s="2"/>
      <c r="GGF129" s="2"/>
      <c r="GGH129" s="2"/>
      <c r="GGJ129" s="2"/>
      <c r="GGL129" s="2"/>
      <c r="GGN129" s="2"/>
      <c r="GGP129" s="2"/>
      <c r="GGR129" s="2"/>
      <c r="GGT129" s="2"/>
      <c r="GGV129" s="2"/>
      <c r="GGX129" s="2"/>
      <c r="GGZ129" s="2"/>
      <c r="GHB129" s="2"/>
      <c r="GHD129" s="2"/>
      <c r="GHF129" s="2"/>
      <c r="GHH129" s="2"/>
      <c r="GHJ129" s="2"/>
      <c r="GHL129" s="2"/>
      <c r="GHN129" s="2"/>
      <c r="GHP129" s="2"/>
      <c r="GHR129" s="2"/>
      <c r="GHT129" s="2"/>
      <c r="GHV129" s="2"/>
      <c r="GHX129" s="2"/>
      <c r="GHZ129" s="2"/>
      <c r="GIB129" s="2"/>
      <c r="GID129" s="2"/>
      <c r="GIF129" s="2"/>
      <c r="GIH129" s="2"/>
      <c r="GIJ129" s="2"/>
      <c r="GIL129" s="2"/>
      <c r="GIN129" s="2"/>
      <c r="GIP129" s="2"/>
      <c r="GIR129" s="2"/>
      <c r="GIT129" s="2"/>
      <c r="GIV129" s="2"/>
      <c r="GIX129" s="2"/>
      <c r="GIZ129" s="2"/>
      <c r="GJB129" s="2"/>
      <c r="GJD129" s="2"/>
      <c r="GJF129" s="2"/>
      <c r="GJH129" s="2"/>
      <c r="GJJ129" s="2"/>
      <c r="GJL129" s="2"/>
      <c r="GJN129" s="2"/>
      <c r="GJP129" s="2"/>
      <c r="GJR129" s="2"/>
      <c r="GJT129" s="2"/>
      <c r="GJV129" s="2"/>
      <c r="GJX129" s="2"/>
      <c r="GJZ129" s="2"/>
      <c r="GKB129" s="2"/>
      <c r="GKD129" s="2"/>
      <c r="GKF129" s="2"/>
      <c r="GKH129" s="2"/>
      <c r="GKJ129" s="2"/>
      <c r="GKL129" s="2"/>
      <c r="GKN129" s="2"/>
      <c r="GKP129" s="2"/>
      <c r="GKR129" s="2"/>
      <c r="GKT129" s="2"/>
      <c r="GKV129" s="2"/>
      <c r="GKX129" s="2"/>
      <c r="GKZ129" s="2"/>
      <c r="GLB129" s="2"/>
      <c r="GLD129" s="2"/>
      <c r="GLF129" s="2"/>
      <c r="GLH129" s="2"/>
      <c r="GLJ129" s="2"/>
      <c r="GLL129" s="2"/>
      <c r="GLN129" s="2"/>
      <c r="GLP129" s="2"/>
      <c r="GLR129" s="2"/>
      <c r="GLT129" s="2"/>
      <c r="GLV129" s="2"/>
      <c r="GLX129" s="2"/>
      <c r="GLZ129" s="2"/>
      <c r="GMB129" s="2"/>
      <c r="GMD129" s="2"/>
      <c r="GMF129" s="2"/>
      <c r="GMH129" s="2"/>
      <c r="GMJ129" s="2"/>
      <c r="GML129" s="2"/>
      <c r="GMN129" s="2"/>
      <c r="GMP129" s="2"/>
      <c r="GMR129" s="2"/>
      <c r="GMT129" s="2"/>
      <c r="GMV129" s="2"/>
      <c r="GMX129" s="2"/>
      <c r="GMZ129" s="2"/>
      <c r="GNB129" s="2"/>
      <c r="GND129" s="2"/>
      <c r="GNF129" s="2"/>
      <c r="GNH129" s="2"/>
      <c r="GNJ129" s="2"/>
      <c r="GNL129" s="2"/>
      <c r="GNN129" s="2"/>
      <c r="GNP129" s="2"/>
      <c r="GNR129" s="2"/>
      <c r="GNT129" s="2"/>
      <c r="GNV129" s="2"/>
      <c r="GNX129" s="2"/>
      <c r="GNZ129" s="2"/>
      <c r="GOB129" s="2"/>
      <c r="GOD129" s="2"/>
      <c r="GOF129" s="2"/>
      <c r="GOH129" s="2"/>
      <c r="GOJ129" s="2"/>
      <c r="GOL129" s="2"/>
      <c r="GON129" s="2"/>
      <c r="GOP129" s="2"/>
      <c r="GOR129" s="2"/>
      <c r="GOT129" s="2"/>
      <c r="GOV129" s="2"/>
      <c r="GOX129" s="2"/>
      <c r="GOZ129" s="2"/>
      <c r="GPB129" s="2"/>
      <c r="GPD129" s="2"/>
      <c r="GPF129" s="2"/>
      <c r="GPH129" s="2"/>
      <c r="GPJ129" s="2"/>
      <c r="GPL129" s="2"/>
      <c r="GPN129" s="2"/>
      <c r="GPP129" s="2"/>
      <c r="GPR129" s="2"/>
      <c r="GPT129" s="2"/>
      <c r="GPV129" s="2"/>
      <c r="GPX129" s="2"/>
      <c r="GPZ129" s="2"/>
      <c r="GQB129" s="2"/>
      <c r="GQD129" s="2"/>
      <c r="GQF129" s="2"/>
      <c r="GQH129" s="2"/>
      <c r="GQJ129" s="2"/>
      <c r="GQL129" s="2"/>
      <c r="GQN129" s="2"/>
      <c r="GQP129" s="2"/>
      <c r="GQR129" s="2"/>
      <c r="GQT129" s="2"/>
      <c r="GQV129" s="2"/>
      <c r="GQX129" s="2"/>
      <c r="GQZ129" s="2"/>
      <c r="GRB129" s="2"/>
      <c r="GRD129" s="2"/>
      <c r="GRF129" s="2"/>
      <c r="GRH129" s="2"/>
      <c r="GRJ129" s="2"/>
      <c r="GRL129" s="2"/>
      <c r="GRN129" s="2"/>
      <c r="GRP129" s="2"/>
      <c r="GRR129" s="2"/>
      <c r="GRT129" s="2"/>
      <c r="GRV129" s="2"/>
      <c r="GRX129" s="2"/>
      <c r="GRZ129" s="2"/>
      <c r="GSB129" s="2"/>
      <c r="GSD129" s="2"/>
      <c r="GSF129" s="2"/>
      <c r="GSH129" s="2"/>
      <c r="GSJ129" s="2"/>
      <c r="GSL129" s="2"/>
      <c r="GSN129" s="2"/>
      <c r="GSP129" s="2"/>
      <c r="GSR129" s="2"/>
      <c r="GST129" s="2"/>
      <c r="GSV129" s="2"/>
      <c r="GSX129" s="2"/>
      <c r="GSZ129" s="2"/>
      <c r="GTB129" s="2"/>
      <c r="GTD129" s="2"/>
      <c r="GTF129" s="2"/>
      <c r="GTH129" s="2"/>
      <c r="GTJ129" s="2"/>
      <c r="GTL129" s="2"/>
      <c r="GTN129" s="2"/>
      <c r="GTP129" s="2"/>
      <c r="GTR129" s="2"/>
      <c r="GTT129" s="2"/>
      <c r="GTV129" s="2"/>
      <c r="GTX129" s="2"/>
      <c r="GTZ129" s="2"/>
      <c r="GUB129" s="2"/>
      <c r="GUD129" s="2"/>
      <c r="GUF129" s="2"/>
      <c r="GUH129" s="2"/>
      <c r="GUJ129" s="2"/>
      <c r="GUL129" s="2"/>
      <c r="GUN129" s="2"/>
      <c r="GUP129" s="2"/>
      <c r="GUR129" s="2"/>
      <c r="GUT129" s="2"/>
      <c r="GUV129" s="2"/>
      <c r="GUX129" s="2"/>
      <c r="GUZ129" s="2"/>
      <c r="GVB129" s="2"/>
      <c r="GVD129" s="2"/>
      <c r="GVF129" s="2"/>
      <c r="GVH129" s="2"/>
      <c r="GVJ129" s="2"/>
      <c r="GVL129" s="2"/>
      <c r="GVN129" s="2"/>
      <c r="GVP129" s="2"/>
      <c r="GVR129" s="2"/>
      <c r="GVT129" s="2"/>
      <c r="GVV129" s="2"/>
      <c r="GVX129" s="2"/>
      <c r="GVZ129" s="2"/>
      <c r="GWB129" s="2"/>
      <c r="GWD129" s="2"/>
      <c r="GWF129" s="2"/>
      <c r="GWH129" s="2"/>
      <c r="GWJ129" s="2"/>
      <c r="GWL129" s="2"/>
      <c r="GWN129" s="2"/>
      <c r="GWP129" s="2"/>
      <c r="GWR129" s="2"/>
      <c r="GWT129" s="2"/>
      <c r="GWV129" s="2"/>
      <c r="GWX129" s="2"/>
      <c r="GWZ129" s="2"/>
      <c r="GXB129" s="2"/>
      <c r="GXD129" s="2"/>
      <c r="GXF129" s="2"/>
      <c r="GXH129" s="2"/>
      <c r="GXJ129" s="2"/>
      <c r="GXL129" s="2"/>
      <c r="GXN129" s="2"/>
      <c r="GXP129" s="2"/>
      <c r="GXR129" s="2"/>
      <c r="GXT129" s="2"/>
      <c r="GXV129" s="2"/>
      <c r="GXX129" s="2"/>
      <c r="GXZ129" s="2"/>
      <c r="GYB129" s="2"/>
      <c r="GYD129" s="2"/>
      <c r="GYF129" s="2"/>
      <c r="GYH129" s="2"/>
      <c r="GYJ129" s="2"/>
      <c r="GYL129" s="2"/>
      <c r="GYN129" s="2"/>
      <c r="GYP129" s="2"/>
      <c r="GYR129" s="2"/>
      <c r="GYT129" s="2"/>
      <c r="GYV129" s="2"/>
      <c r="GYX129" s="2"/>
      <c r="GYZ129" s="2"/>
      <c r="GZB129" s="2"/>
      <c r="GZD129" s="2"/>
      <c r="GZF129" s="2"/>
      <c r="GZH129" s="2"/>
      <c r="GZJ129" s="2"/>
      <c r="GZL129" s="2"/>
      <c r="GZN129" s="2"/>
      <c r="GZP129" s="2"/>
      <c r="GZR129" s="2"/>
      <c r="GZT129" s="2"/>
      <c r="GZV129" s="2"/>
      <c r="GZX129" s="2"/>
      <c r="GZZ129" s="2"/>
      <c r="HAB129" s="2"/>
      <c r="HAD129" s="2"/>
      <c r="HAF129" s="2"/>
      <c r="HAH129" s="2"/>
      <c r="HAJ129" s="2"/>
      <c r="HAL129" s="2"/>
      <c r="HAN129" s="2"/>
      <c r="HAP129" s="2"/>
      <c r="HAR129" s="2"/>
      <c r="HAT129" s="2"/>
      <c r="HAV129" s="2"/>
      <c r="HAX129" s="2"/>
      <c r="HAZ129" s="2"/>
      <c r="HBB129" s="2"/>
      <c r="HBD129" s="2"/>
      <c r="HBF129" s="2"/>
      <c r="HBH129" s="2"/>
      <c r="HBJ129" s="2"/>
      <c r="HBL129" s="2"/>
      <c r="HBN129" s="2"/>
      <c r="HBP129" s="2"/>
      <c r="HBR129" s="2"/>
      <c r="HBT129" s="2"/>
      <c r="HBV129" s="2"/>
      <c r="HBX129" s="2"/>
      <c r="HBZ129" s="2"/>
      <c r="HCB129" s="2"/>
      <c r="HCD129" s="2"/>
      <c r="HCF129" s="2"/>
      <c r="HCH129" s="2"/>
      <c r="HCJ129" s="2"/>
      <c r="HCL129" s="2"/>
      <c r="HCN129" s="2"/>
      <c r="HCP129" s="2"/>
      <c r="HCR129" s="2"/>
      <c r="HCT129" s="2"/>
      <c r="HCV129" s="2"/>
      <c r="HCX129" s="2"/>
      <c r="HCZ129" s="2"/>
      <c r="HDB129" s="2"/>
      <c r="HDD129" s="2"/>
      <c r="HDF129" s="2"/>
      <c r="HDH129" s="2"/>
      <c r="HDJ129" s="2"/>
      <c r="HDL129" s="2"/>
      <c r="HDN129" s="2"/>
      <c r="HDP129" s="2"/>
      <c r="HDR129" s="2"/>
      <c r="HDT129" s="2"/>
      <c r="HDV129" s="2"/>
      <c r="HDX129" s="2"/>
      <c r="HDZ129" s="2"/>
      <c r="HEB129" s="2"/>
      <c r="HED129" s="2"/>
      <c r="HEF129" s="2"/>
      <c r="HEH129" s="2"/>
      <c r="HEJ129" s="2"/>
      <c r="HEL129" s="2"/>
      <c r="HEN129" s="2"/>
      <c r="HEP129" s="2"/>
      <c r="HER129" s="2"/>
      <c r="HET129" s="2"/>
      <c r="HEV129" s="2"/>
      <c r="HEX129" s="2"/>
      <c r="HEZ129" s="2"/>
      <c r="HFB129" s="2"/>
      <c r="HFD129" s="2"/>
      <c r="HFF129" s="2"/>
      <c r="HFH129" s="2"/>
      <c r="HFJ129" s="2"/>
      <c r="HFL129" s="2"/>
      <c r="HFN129" s="2"/>
      <c r="HFP129" s="2"/>
      <c r="HFR129" s="2"/>
      <c r="HFT129" s="2"/>
      <c r="HFV129" s="2"/>
      <c r="HFX129" s="2"/>
      <c r="HFZ129" s="2"/>
      <c r="HGB129" s="2"/>
      <c r="HGD129" s="2"/>
      <c r="HGF129" s="2"/>
      <c r="HGH129" s="2"/>
      <c r="HGJ129" s="2"/>
      <c r="HGL129" s="2"/>
      <c r="HGN129" s="2"/>
      <c r="HGP129" s="2"/>
      <c r="HGR129" s="2"/>
      <c r="HGT129" s="2"/>
      <c r="HGV129" s="2"/>
      <c r="HGX129" s="2"/>
      <c r="HGZ129" s="2"/>
      <c r="HHB129" s="2"/>
      <c r="HHD129" s="2"/>
      <c r="HHF129" s="2"/>
      <c r="HHH129" s="2"/>
      <c r="HHJ129" s="2"/>
      <c r="HHL129" s="2"/>
      <c r="HHN129" s="2"/>
      <c r="HHP129" s="2"/>
      <c r="HHR129" s="2"/>
      <c r="HHT129" s="2"/>
      <c r="HHV129" s="2"/>
      <c r="HHX129" s="2"/>
      <c r="HHZ129" s="2"/>
      <c r="HIB129" s="2"/>
      <c r="HID129" s="2"/>
      <c r="HIF129" s="2"/>
      <c r="HIH129" s="2"/>
      <c r="HIJ129" s="2"/>
      <c r="HIL129" s="2"/>
      <c r="HIN129" s="2"/>
      <c r="HIP129" s="2"/>
      <c r="HIR129" s="2"/>
      <c r="HIT129" s="2"/>
      <c r="HIV129" s="2"/>
      <c r="HIX129" s="2"/>
      <c r="HIZ129" s="2"/>
      <c r="HJB129" s="2"/>
      <c r="HJD129" s="2"/>
      <c r="HJF129" s="2"/>
      <c r="HJH129" s="2"/>
      <c r="HJJ129" s="2"/>
      <c r="HJL129" s="2"/>
      <c r="HJN129" s="2"/>
      <c r="HJP129" s="2"/>
      <c r="HJR129" s="2"/>
      <c r="HJT129" s="2"/>
      <c r="HJV129" s="2"/>
      <c r="HJX129" s="2"/>
      <c r="HJZ129" s="2"/>
      <c r="HKB129" s="2"/>
      <c r="HKD129" s="2"/>
      <c r="HKF129" s="2"/>
      <c r="HKH129" s="2"/>
      <c r="HKJ129" s="2"/>
      <c r="HKL129" s="2"/>
      <c r="HKN129" s="2"/>
      <c r="HKP129" s="2"/>
      <c r="HKR129" s="2"/>
      <c r="HKT129" s="2"/>
      <c r="HKV129" s="2"/>
      <c r="HKX129" s="2"/>
      <c r="HKZ129" s="2"/>
      <c r="HLB129" s="2"/>
      <c r="HLD129" s="2"/>
      <c r="HLF129" s="2"/>
      <c r="HLH129" s="2"/>
      <c r="HLJ129" s="2"/>
      <c r="HLL129" s="2"/>
      <c r="HLN129" s="2"/>
      <c r="HLP129" s="2"/>
      <c r="HLR129" s="2"/>
      <c r="HLT129" s="2"/>
      <c r="HLV129" s="2"/>
      <c r="HLX129" s="2"/>
      <c r="HLZ129" s="2"/>
      <c r="HMB129" s="2"/>
      <c r="HMD129" s="2"/>
      <c r="HMF129" s="2"/>
      <c r="HMH129" s="2"/>
      <c r="HMJ129" s="2"/>
      <c r="HML129" s="2"/>
      <c r="HMN129" s="2"/>
      <c r="HMP129" s="2"/>
      <c r="HMR129" s="2"/>
      <c r="HMT129" s="2"/>
      <c r="HMV129" s="2"/>
      <c r="HMX129" s="2"/>
      <c r="HMZ129" s="2"/>
      <c r="HNB129" s="2"/>
      <c r="HND129" s="2"/>
      <c r="HNF129" s="2"/>
      <c r="HNH129" s="2"/>
      <c r="HNJ129" s="2"/>
      <c r="HNL129" s="2"/>
      <c r="HNN129" s="2"/>
      <c r="HNP129" s="2"/>
      <c r="HNR129" s="2"/>
      <c r="HNT129" s="2"/>
      <c r="HNV129" s="2"/>
      <c r="HNX129" s="2"/>
      <c r="HNZ129" s="2"/>
      <c r="HOB129" s="2"/>
      <c r="HOD129" s="2"/>
      <c r="HOF129" s="2"/>
      <c r="HOH129" s="2"/>
      <c r="HOJ129" s="2"/>
      <c r="HOL129" s="2"/>
      <c r="HON129" s="2"/>
      <c r="HOP129" s="2"/>
      <c r="HOR129" s="2"/>
      <c r="HOT129" s="2"/>
      <c r="HOV129" s="2"/>
      <c r="HOX129" s="2"/>
      <c r="HOZ129" s="2"/>
      <c r="HPB129" s="2"/>
      <c r="HPD129" s="2"/>
      <c r="HPF129" s="2"/>
      <c r="HPH129" s="2"/>
      <c r="HPJ129" s="2"/>
      <c r="HPL129" s="2"/>
      <c r="HPN129" s="2"/>
      <c r="HPP129" s="2"/>
      <c r="HPR129" s="2"/>
      <c r="HPT129" s="2"/>
      <c r="HPV129" s="2"/>
      <c r="HPX129" s="2"/>
      <c r="HPZ129" s="2"/>
      <c r="HQB129" s="2"/>
      <c r="HQD129" s="2"/>
      <c r="HQF129" s="2"/>
      <c r="HQH129" s="2"/>
      <c r="HQJ129" s="2"/>
      <c r="HQL129" s="2"/>
      <c r="HQN129" s="2"/>
      <c r="HQP129" s="2"/>
      <c r="HQR129" s="2"/>
      <c r="HQT129" s="2"/>
      <c r="HQV129" s="2"/>
      <c r="HQX129" s="2"/>
      <c r="HQZ129" s="2"/>
      <c r="HRB129" s="2"/>
      <c r="HRD129" s="2"/>
      <c r="HRF129" s="2"/>
      <c r="HRH129" s="2"/>
      <c r="HRJ129" s="2"/>
      <c r="HRL129" s="2"/>
      <c r="HRN129" s="2"/>
      <c r="HRP129" s="2"/>
      <c r="HRR129" s="2"/>
      <c r="HRT129" s="2"/>
      <c r="HRV129" s="2"/>
      <c r="HRX129" s="2"/>
      <c r="HRZ129" s="2"/>
      <c r="HSB129" s="2"/>
      <c r="HSD129" s="2"/>
      <c r="HSF129" s="2"/>
      <c r="HSH129" s="2"/>
      <c r="HSJ129" s="2"/>
      <c r="HSL129" s="2"/>
      <c r="HSN129" s="2"/>
      <c r="HSP129" s="2"/>
      <c r="HSR129" s="2"/>
      <c r="HST129" s="2"/>
      <c r="HSV129" s="2"/>
      <c r="HSX129" s="2"/>
      <c r="HSZ129" s="2"/>
      <c r="HTB129" s="2"/>
      <c r="HTD129" s="2"/>
      <c r="HTF129" s="2"/>
      <c r="HTH129" s="2"/>
      <c r="HTJ129" s="2"/>
      <c r="HTL129" s="2"/>
      <c r="HTN129" s="2"/>
      <c r="HTP129" s="2"/>
      <c r="HTR129" s="2"/>
      <c r="HTT129" s="2"/>
      <c r="HTV129" s="2"/>
      <c r="HTX129" s="2"/>
      <c r="HTZ129" s="2"/>
      <c r="HUB129" s="2"/>
      <c r="HUD129" s="2"/>
      <c r="HUF129" s="2"/>
      <c r="HUH129" s="2"/>
      <c r="HUJ129" s="2"/>
      <c r="HUL129" s="2"/>
      <c r="HUN129" s="2"/>
      <c r="HUP129" s="2"/>
      <c r="HUR129" s="2"/>
      <c r="HUT129" s="2"/>
      <c r="HUV129" s="2"/>
      <c r="HUX129" s="2"/>
      <c r="HUZ129" s="2"/>
      <c r="HVB129" s="2"/>
      <c r="HVD129" s="2"/>
      <c r="HVF129" s="2"/>
      <c r="HVH129" s="2"/>
      <c r="HVJ129" s="2"/>
      <c r="HVL129" s="2"/>
      <c r="HVN129" s="2"/>
      <c r="HVP129" s="2"/>
      <c r="HVR129" s="2"/>
      <c r="HVT129" s="2"/>
      <c r="HVV129" s="2"/>
      <c r="HVX129" s="2"/>
      <c r="HVZ129" s="2"/>
      <c r="HWB129" s="2"/>
      <c r="HWD129" s="2"/>
      <c r="HWF129" s="2"/>
      <c r="HWH129" s="2"/>
      <c r="HWJ129" s="2"/>
      <c r="HWL129" s="2"/>
      <c r="HWN129" s="2"/>
      <c r="HWP129" s="2"/>
      <c r="HWR129" s="2"/>
      <c r="HWT129" s="2"/>
      <c r="HWV129" s="2"/>
      <c r="HWX129" s="2"/>
      <c r="HWZ129" s="2"/>
      <c r="HXB129" s="2"/>
      <c r="HXD129" s="2"/>
      <c r="HXF129" s="2"/>
      <c r="HXH129" s="2"/>
      <c r="HXJ129" s="2"/>
      <c r="HXL129" s="2"/>
      <c r="HXN129" s="2"/>
      <c r="HXP129" s="2"/>
      <c r="HXR129" s="2"/>
      <c r="HXT129" s="2"/>
      <c r="HXV129" s="2"/>
      <c r="HXX129" s="2"/>
      <c r="HXZ129" s="2"/>
      <c r="HYB129" s="2"/>
      <c r="HYD129" s="2"/>
      <c r="HYF129" s="2"/>
      <c r="HYH129" s="2"/>
      <c r="HYJ129" s="2"/>
      <c r="HYL129" s="2"/>
      <c r="HYN129" s="2"/>
      <c r="HYP129" s="2"/>
      <c r="HYR129" s="2"/>
      <c r="HYT129" s="2"/>
      <c r="HYV129" s="2"/>
      <c r="HYX129" s="2"/>
      <c r="HYZ129" s="2"/>
      <c r="HZB129" s="2"/>
      <c r="HZD129" s="2"/>
      <c r="HZF129" s="2"/>
      <c r="HZH129" s="2"/>
      <c r="HZJ129" s="2"/>
      <c r="HZL129" s="2"/>
      <c r="HZN129" s="2"/>
      <c r="HZP129" s="2"/>
      <c r="HZR129" s="2"/>
      <c r="HZT129" s="2"/>
      <c r="HZV129" s="2"/>
      <c r="HZX129" s="2"/>
      <c r="HZZ129" s="2"/>
      <c r="IAB129" s="2"/>
      <c r="IAD129" s="2"/>
      <c r="IAF129" s="2"/>
      <c r="IAH129" s="2"/>
      <c r="IAJ129" s="2"/>
      <c r="IAL129" s="2"/>
      <c r="IAN129" s="2"/>
      <c r="IAP129" s="2"/>
      <c r="IAR129" s="2"/>
      <c r="IAT129" s="2"/>
      <c r="IAV129" s="2"/>
      <c r="IAX129" s="2"/>
      <c r="IAZ129" s="2"/>
      <c r="IBB129" s="2"/>
      <c r="IBD129" s="2"/>
      <c r="IBF129" s="2"/>
      <c r="IBH129" s="2"/>
      <c r="IBJ129" s="2"/>
      <c r="IBL129" s="2"/>
      <c r="IBN129" s="2"/>
      <c r="IBP129" s="2"/>
      <c r="IBR129" s="2"/>
      <c r="IBT129" s="2"/>
      <c r="IBV129" s="2"/>
      <c r="IBX129" s="2"/>
      <c r="IBZ129" s="2"/>
      <c r="ICB129" s="2"/>
      <c r="ICD129" s="2"/>
      <c r="ICF129" s="2"/>
      <c r="ICH129" s="2"/>
      <c r="ICJ129" s="2"/>
      <c r="ICL129" s="2"/>
      <c r="ICN129" s="2"/>
      <c r="ICP129" s="2"/>
      <c r="ICR129" s="2"/>
      <c r="ICT129" s="2"/>
      <c r="ICV129" s="2"/>
      <c r="ICX129" s="2"/>
      <c r="ICZ129" s="2"/>
      <c r="IDB129" s="2"/>
      <c r="IDD129" s="2"/>
      <c r="IDF129" s="2"/>
      <c r="IDH129" s="2"/>
      <c r="IDJ129" s="2"/>
      <c r="IDL129" s="2"/>
      <c r="IDN129" s="2"/>
      <c r="IDP129" s="2"/>
      <c r="IDR129" s="2"/>
      <c r="IDT129" s="2"/>
      <c r="IDV129" s="2"/>
      <c r="IDX129" s="2"/>
      <c r="IDZ129" s="2"/>
      <c r="IEB129" s="2"/>
      <c r="IED129" s="2"/>
      <c r="IEF129" s="2"/>
      <c r="IEH129" s="2"/>
      <c r="IEJ129" s="2"/>
      <c r="IEL129" s="2"/>
      <c r="IEN129" s="2"/>
      <c r="IEP129" s="2"/>
      <c r="IER129" s="2"/>
      <c r="IET129" s="2"/>
      <c r="IEV129" s="2"/>
      <c r="IEX129" s="2"/>
      <c r="IEZ129" s="2"/>
      <c r="IFB129" s="2"/>
      <c r="IFD129" s="2"/>
      <c r="IFF129" s="2"/>
      <c r="IFH129" s="2"/>
      <c r="IFJ129" s="2"/>
      <c r="IFL129" s="2"/>
      <c r="IFN129" s="2"/>
      <c r="IFP129" s="2"/>
      <c r="IFR129" s="2"/>
      <c r="IFT129" s="2"/>
      <c r="IFV129" s="2"/>
      <c r="IFX129" s="2"/>
      <c r="IFZ129" s="2"/>
      <c r="IGB129" s="2"/>
      <c r="IGD129" s="2"/>
      <c r="IGF129" s="2"/>
      <c r="IGH129" s="2"/>
      <c r="IGJ129" s="2"/>
      <c r="IGL129" s="2"/>
      <c r="IGN129" s="2"/>
      <c r="IGP129" s="2"/>
      <c r="IGR129" s="2"/>
      <c r="IGT129" s="2"/>
      <c r="IGV129" s="2"/>
      <c r="IGX129" s="2"/>
      <c r="IGZ129" s="2"/>
      <c r="IHB129" s="2"/>
      <c r="IHD129" s="2"/>
      <c r="IHF129" s="2"/>
      <c r="IHH129" s="2"/>
      <c r="IHJ129" s="2"/>
      <c r="IHL129" s="2"/>
      <c r="IHN129" s="2"/>
      <c r="IHP129" s="2"/>
      <c r="IHR129" s="2"/>
      <c r="IHT129" s="2"/>
      <c r="IHV129" s="2"/>
      <c r="IHX129" s="2"/>
      <c r="IHZ129" s="2"/>
      <c r="IIB129" s="2"/>
      <c r="IID129" s="2"/>
      <c r="IIF129" s="2"/>
      <c r="IIH129" s="2"/>
      <c r="IIJ129" s="2"/>
      <c r="IIL129" s="2"/>
      <c r="IIN129" s="2"/>
      <c r="IIP129" s="2"/>
      <c r="IIR129" s="2"/>
      <c r="IIT129" s="2"/>
      <c r="IIV129" s="2"/>
      <c r="IIX129" s="2"/>
      <c r="IIZ129" s="2"/>
      <c r="IJB129" s="2"/>
      <c r="IJD129" s="2"/>
      <c r="IJF129" s="2"/>
      <c r="IJH129" s="2"/>
      <c r="IJJ129" s="2"/>
      <c r="IJL129" s="2"/>
      <c r="IJN129" s="2"/>
      <c r="IJP129" s="2"/>
      <c r="IJR129" s="2"/>
      <c r="IJT129" s="2"/>
      <c r="IJV129" s="2"/>
      <c r="IJX129" s="2"/>
      <c r="IJZ129" s="2"/>
      <c r="IKB129" s="2"/>
      <c r="IKD129" s="2"/>
      <c r="IKF129" s="2"/>
      <c r="IKH129" s="2"/>
      <c r="IKJ129" s="2"/>
      <c r="IKL129" s="2"/>
      <c r="IKN129" s="2"/>
      <c r="IKP129" s="2"/>
      <c r="IKR129" s="2"/>
      <c r="IKT129" s="2"/>
      <c r="IKV129" s="2"/>
      <c r="IKX129" s="2"/>
      <c r="IKZ129" s="2"/>
      <c r="ILB129" s="2"/>
      <c r="ILD129" s="2"/>
      <c r="ILF129" s="2"/>
      <c r="ILH129" s="2"/>
      <c r="ILJ129" s="2"/>
      <c r="ILL129" s="2"/>
      <c r="ILN129" s="2"/>
      <c r="ILP129" s="2"/>
      <c r="ILR129" s="2"/>
      <c r="ILT129" s="2"/>
      <c r="ILV129" s="2"/>
      <c r="ILX129" s="2"/>
      <c r="ILZ129" s="2"/>
      <c r="IMB129" s="2"/>
      <c r="IMD129" s="2"/>
      <c r="IMF129" s="2"/>
      <c r="IMH129" s="2"/>
      <c r="IMJ129" s="2"/>
      <c r="IML129" s="2"/>
      <c r="IMN129" s="2"/>
      <c r="IMP129" s="2"/>
      <c r="IMR129" s="2"/>
      <c r="IMT129" s="2"/>
      <c r="IMV129" s="2"/>
      <c r="IMX129" s="2"/>
      <c r="IMZ129" s="2"/>
      <c r="INB129" s="2"/>
      <c r="IND129" s="2"/>
      <c r="INF129" s="2"/>
      <c r="INH129" s="2"/>
      <c r="INJ129" s="2"/>
      <c r="INL129" s="2"/>
      <c r="INN129" s="2"/>
      <c r="INP129" s="2"/>
      <c r="INR129" s="2"/>
      <c r="INT129" s="2"/>
      <c r="INV129" s="2"/>
      <c r="INX129" s="2"/>
      <c r="INZ129" s="2"/>
      <c r="IOB129" s="2"/>
      <c r="IOD129" s="2"/>
      <c r="IOF129" s="2"/>
      <c r="IOH129" s="2"/>
      <c r="IOJ129" s="2"/>
      <c r="IOL129" s="2"/>
      <c r="ION129" s="2"/>
      <c r="IOP129" s="2"/>
      <c r="IOR129" s="2"/>
      <c r="IOT129" s="2"/>
      <c r="IOV129" s="2"/>
      <c r="IOX129" s="2"/>
      <c r="IOZ129" s="2"/>
      <c r="IPB129" s="2"/>
      <c r="IPD129" s="2"/>
      <c r="IPF129" s="2"/>
      <c r="IPH129" s="2"/>
      <c r="IPJ129" s="2"/>
      <c r="IPL129" s="2"/>
      <c r="IPN129" s="2"/>
      <c r="IPP129" s="2"/>
      <c r="IPR129" s="2"/>
      <c r="IPT129" s="2"/>
      <c r="IPV129" s="2"/>
      <c r="IPX129" s="2"/>
      <c r="IPZ129" s="2"/>
      <c r="IQB129" s="2"/>
      <c r="IQD129" s="2"/>
      <c r="IQF129" s="2"/>
      <c r="IQH129" s="2"/>
      <c r="IQJ129" s="2"/>
      <c r="IQL129" s="2"/>
      <c r="IQN129" s="2"/>
      <c r="IQP129" s="2"/>
      <c r="IQR129" s="2"/>
      <c r="IQT129" s="2"/>
      <c r="IQV129" s="2"/>
      <c r="IQX129" s="2"/>
      <c r="IQZ129" s="2"/>
      <c r="IRB129" s="2"/>
      <c r="IRD129" s="2"/>
      <c r="IRF129" s="2"/>
      <c r="IRH129" s="2"/>
      <c r="IRJ129" s="2"/>
      <c r="IRL129" s="2"/>
      <c r="IRN129" s="2"/>
      <c r="IRP129" s="2"/>
      <c r="IRR129" s="2"/>
      <c r="IRT129" s="2"/>
      <c r="IRV129" s="2"/>
      <c r="IRX129" s="2"/>
      <c r="IRZ129" s="2"/>
      <c r="ISB129" s="2"/>
      <c r="ISD129" s="2"/>
      <c r="ISF129" s="2"/>
      <c r="ISH129" s="2"/>
      <c r="ISJ129" s="2"/>
      <c r="ISL129" s="2"/>
      <c r="ISN129" s="2"/>
      <c r="ISP129" s="2"/>
      <c r="ISR129" s="2"/>
      <c r="IST129" s="2"/>
      <c r="ISV129" s="2"/>
      <c r="ISX129" s="2"/>
      <c r="ISZ129" s="2"/>
      <c r="ITB129" s="2"/>
      <c r="ITD129" s="2"/>
      <c r="ITF129" s="2"/>
      <c r="ITH129" s="2"/>
      <c r="ITJ129" s="2"/>
      <c r="ITL129" s="2"/>
      <c r="ITN129" s="2"/>
      <c r="ITP129" s="2"/>
      <c r="ITR129" s="2"/>
      <c r="ITT129" s="2"/>
      <c r="ITV129" s="2"/>
      <c r="ITX129" s="2"/>
      <c r="ITZ129" s="2"/>
      <c r="IUB129" s="2"/>
      <c r="IUD129" s="2"/>
      <c r="IUF129" s="2"/>
      <c r="IUH129" s="2"/>
      <c r="IUJ129" s="2"/>
      <c r="IUL129" s="2"/>
      <c r="IUN129" s="2"/>
      <c r="IUP129" s="2"/>
      <c r="IUR129" s="2"/>
      <c r="IUT129" s="2"/>
      <c r="IUV129" s="2"/>
      <c r="IUX129" s="2"/>
      <c r="IUZ129" s="2"/>
      <c r="IVB129" s="2"/>
      <c r="IVD129" s="2"/>
      <c r="IVF129" s="2"/>
      <c r="IVH129" s="2"/>
      <c r="IVJ129" s="2"/>
      <c r="IVL129" s="2"/>
      <c r="IVN129" s="2"/>
      <c r="IVP129" s="2"/>
      <c r="IVR129" s="2"/>
      <c r="IVT129" s="2"/>
      <c r="IVV129" s="2"/>
      <c r="IVX129" s="2"/>
      <c r="IVZ129" s="2"/>
      <c r="IWB129" s="2"/>
      <c r="IWD129" s="2"/>
      <c r="IWF129" s="2"/>
      <c r="IWH129" s="2"/>
      <c r="IWJ129" s="2"/>
      <c r="IWL129" s="2"/>
      <c r="IWN129" s="2"/>
      <c r="IWP129" s="2"/>
      <c r="IWR129" s="2"/>
      <c r="IWT129" s="2"/>
      <c r="IWV129" s="2"/>
      <c r="IWX129" s="2"/>
      <c r="IWZ129" s="2"/>
      <c r="IXB129" s="2"/>
      <c r="IXD129" s="2"/>
      <c r="IXF129" s="2"/>
      <c r="IXH129" s="2"/>
      <c r="IXJ129" s="2"/>
      <c r="IXL129" s="2"/>
      <c r="IXN129" s="2"/>
      <c r="IXP129" s="2"/>
      <c r="IXR129" s="2"/>
      <c r="IXT129" s="2"/>
      <c r="IXV129" s="2"/>
      <c r="IXX129" s="2"/>
      <c r="IXZ129" s="2"/>
      <c r="IYB129" s="2"/>
      <c r="IYD129" s="2"/>
      <c r="IYF129" s="2"/>
      <c r="IYH129" s="2"/>
      <c r="IYJ129" s="2"/>
      <c r="IYL129" s="2"/>
      <c r="IYN129" s="2"/>
      <c r="IYP129" s="2"/>
      <c r="IYR129" s="2"/>
      <c r="IYT129" s="2"/>
      <c r="IYV129" s="2"/>
      <c r="IYX129" s="2"/>
      <c r="IYZ129" s="2"/>
      <c r="IZB129" s="2"/>
      <c r="IZD129" s="2"/>
      <c r="IZF129" s="2"/>
      <c r="IZH129" s="2"/>
      <c r="IZJ129" s="2"/>
      <c r="IZL129" s="2"/>
      <c r="IZN129" s="2"/>
      <c r="IZP129" s="2"/>
      <c r="IZR129" s="2"/>
      <c r="IZT129" s="2"/>
      <c r="IZV129" s="2"/>
      <c r="IZX129" s="2"/>
      <c r="IZZ129" s="2"/>
      <c r="JAB129" s="2"/>
      <c r="JAD129" s="2"/>
      <c r="JAF129" s="2"/>
      <c r="JAH129" s="2"/>
      <c r="JAJ129" s="2"/>
      <c r="JAL129" s="2"/>
      <c r="JAN129" s="2"/>
      <c r="JAP129" s="2"/>
      <c r="JAR129" s="2"/>
      <c r="JAT129" s="2"/>
      <c r="JAV129" s="2"/>
      <c r="JAX129" s="2"/>
      <c r="JAZ129" s="2"/>
      <c r="JBB129" s="2"/>
      <c r="JBD129" s="2"/>
      <c r="JBF129" s="2"/>
      <c r="JBH129" s="2"/>
      <c r="JBJ129" s="2"/>
      <c r="JBL129" s="2"/>
      <c r="JBN129" s="2"/>
      <c r="JBP129" s="2"/>
      <c r="JBR129" s="2"/>
      <c r="JBT129" s="2"/>
      <c r="JBV129" s="2"/>
      <c r="JBX129" s="2"/>
      <c r="JBZ129" s="2"/>
      <c r="JCB129" s="2"/>
      <c r="JCD129" s="2"/>
      <c r="JCF129" s="2"/>
      <c r="JCH129" s="2"/>
      <c r="JCJ129" s="2"/>
      <c r="JCL129" s="2"/>
      <c r="JCN129" s="2"/>
      <c r="JCP129" s="2"/>
      <c r="JCR129" s="2"/>
      <c r="JCT129" s="2"/>
      <c r="JCV129" s="2"/>
      <c r="JCX129" s="2"/>
      <c r="JCZ129" s="2"/>
      <c r="JDB129" s="2"/>
      <c r="JDD129" s="2"/>
      <c r="JDF129" s="2"/>
      <c r="JDH129" s="2"/>
      <c r="JDJ129" s="2"/>
      <c r="JDL129" s="2"/>
      <c r="JDN129" s="2"/>
      <c r="JDP129" s="2"/>
      <c r="JDR129" s="2"/>
      <c r="JDT129" s="2"/>
      <c r="JDV129" s="2"/>
      <c r="JDX129" s="2"/>
      <c r="JDZ129" s="2"/>
      <c r="JEB129" s="2"/>
      <c r="JED129" s="2"/>
      <c r="JEF129" s="2"/>
      <c r="JEH129" s="2"/>
      <c r="JEJ129" s="2"/>
      <c r="JEL129" s="2"/>
      <c r="JEN129" s="2"/>
      <c r="JEP129" s="2"/>
      <c r="JER129" s="2"/>
      <c r="JET129" s="2"/>
      <c r="JEV129" s="2"/>
      <c r="JEX129" s="2"/>
      <c r="JEZ129" s="2"/>
      <c r="JFB129" s="2"/>
      <c r="JFD129" s="2"/>
      <c r="JFF129" s="2"/>
      <c r="JFH129" s="2"/>
      <c r="JFJ129" s="2"/>
      <c r="JFL129" s="2"/>
      <c r="JFN129" s="2"/>
      <c r="JFP129" s="2"/>
      <c r="JFR129" s="2"/>
      <c r="JFT129" s="2"/>
      <c r="JFV129" s="2"/>
      <c r="JFX129" s="2"/>
      <c r="JFZ129" s="2"/>
      <c r="JGB129" s="2"/>
      <c r="JGD129" s="2"/>
      <c r="JGF129" s="2"/>
      <c r="JGH129" s="2"/>
      <c r="JGJ129" s="2"/>
      <c r="JGL129" s="2"/>
      <c r="JGN129" s="2"/>
      <c r="JGP129" s="2"/>
      <c r="JGR129" s="2"/>
      <c r="JGT129" s="2"/>
      <c r="JGV129" s="2"/>
      <c r="JGX129" s="2"/>
      <c r="JGZ129" s="2"/>
      <c r="JHB129" s="2"/>
      <c r="JHD129" s="2"/>
      <c r="JHF129" s="2"/>
      <c r="JHH129" s="2"/>
      <c r="JHJ129" s="2"/>
      <c r="JHL129" s="2"/>
      <c r="JHN129" s="2"/>
      <c r="JHP129" s="2"/>
      <c r="JHR129" s="2"/>
      <c r="JHT129" s="2"/>
      <c r="JHV129" s="2"/>
      <c r="JHX129" s="2"/>
      <c r="JHZ129" s="2"/>
      <c r="JIB129" s="2"/>
      <c r="JID129" s="2"/>
      <c r="JIF129" s="2"/>
      <c r="JIH129" s="2"/>
      <c r="JIJ129" s="2"/>
      <c r="JIL129" s="2"/>
      <c r="JIN129" s="2"/>
      <c r="JIP129" s="2"/>
      <c r="JIR129" s="2"/>
      <c r="JIT129" s="2"/>
      <c r="JIV129" s="2"/>
      <c r="JIX129" s="2"/>
      <c r="JIZ129" s="2"/>
      <c r="JJB129" s="2"/>
      <c r="JJD129" s="2"/>
      <c r="JJF129" s="2"/>
      <c r="JJH129" s="2"/>
      <c r="JJJ129" s="2"/>
      <c r="JJL129" s="2"/>
      <c r="JJN129" s="2"/>
      <c r="JJP129" s="2"/>
      <c r="JJR129" s="2"/>
      <c r="JJT129" s="2"/>
      <c r="JJV129" s="2"/>
      <c r="JJX129" s="2"/>
      <c r="JJZ129" s="2"/>
      <c r="JKB129" s="2"/>
      <c r="JKD129" s="2"/>
      <c r="JKF129" s="2"/>
      <c r="JKH129" s="2"/>
      <c r="JKJ129" s="2"/>
      <c r="JKL129" s="2"/>
      <c r="JKN129" s="2"/>
      <c r="JKP129" s="2"/>
      <c r="JKR129" s="2"/>
      <c r="JKT129" s="2"/>
      <c r="JKV129" s="2"/>
      <c r="JKX129" s="2"/>
      <c r="JKZ129" s="2"/>
      <c r="JLB129" s="2"/>
      <c r="JLD129" s="2"/>
      <c r="JLF129" s="2"/>
      <c r="JLH129" s="2"/>
      <c r="JLJ129" s="2"/>
      <c r="JLL129" s="2"/>
      <c r="JLN129" s="2"/>
      <c r="JLP129" s="2"/>
      <c r="JLR129" s="2"/>
      <c r="JLT129" s="2"/>
      <c r="JLV129" s="2"/>
      <c r="JLX129" s="2"/>
      <c r="JLZ129" s="2"/>
      <c r="JMB129" s="2"/>
      <c r="JMD129" s="2"/>
      <c r="JMF129" s="2"/>
      <c r="JMH129" s="2"/>
      <c r="JMJ129" s="2"/>
      <c r="JML129" s="2"/>
      <c r="JMN129" s="2"/>
      <c r="JMP129" s="2"/>
      <c r="JMR129" s="2"/>
      <c r="JMT129" s="2"/>
      <c r="JMV129" s="2"/>
      <c r="JMX129" s="2"/>
      <c r="JMZ129" s="2"/>
      <c r="JNB129" s="2"/>
      <c r="JND129" s="2"/>
      <c r="JNF129" s="2"/>
      <c r="JNH129" s="2"/>
      <c r="JNJ129" s="2"/>
      <c r="JNL129" s="2"/>
      <c r="JNN129" s="2"/>
      <c r="JNP129" s="2"/>
      <c r="JNR129" s="2"/>
      <c r="JNT129" s="2"/>
      <c r="JNV129" s="2"/>
      <c r="JNX129" s="2"/>
      <c r="JNZ129" s="2"/>
      <c r="JOB129" s="2"/>
      <c r="JOD129" s="2"/>
      <c r="JOF129" s="2"/>
      <c r="JOH129" s="2"/>
      <c r="JOJ129" s="2"/>
      <c r="JOL129" s="2"/>
      <c r="JON129" s="2"/>
      <c r="JOP129" s="2"/>
      <c r="JOR129" s="2"/>
      <c r="JOT129" s="2"/>
      <c r="JOV129" s="2"/>
      <c r="JOX129" s="2"/>
      <c r="JOZ129" s="2"/>
      <c r="JPB129" s="2"/>
      <c r="JPD129" s="2"/>
      <c r="JPF129" s="2"/>
      <c r="JPH129" s="2"/>
      <c r="JPJ129" s="2"/>
      <c r="JPL129" s="2"/>
      <c r="JPN129" s="2"/>
      <c r="JPP129" s="2"/>
      <c r="JPR129" s="2"/>
      <c r="JPT129" s="2"/>
      <c r="JPV129" s="2"/>
      <c r="JPX129" s="2"/>
      <c r="JPZ129" s="2"/>
      <c r="JQB129" s="2"/>
      <c r="JQD129" s="2"/>
      <c r="JQF129" s="2"/>
      <c r="JQH129" s="2"/>
      <c r="JQJ129" s="2"/>
      <c r="JQL129" s="2"/>
      <c r="JQN129" s="2"/>
      <c r="JQP129" s="2"/>
      <c r="JQR129" s="2"/>
      <c r="JQT129" s="2"/>
      <c r="JQV129" s="2"/>
      <c r="JQX129" s="2"/>
      <c r="JQZ129" s="2"/>
      <c r="JRB129" s="2"/>
      <c r="JRD129" s="2"/>
      <c r="JRF129" s="2"/>
      <c r="JRH129" s="2"/>
      <c r="JRJ129" s="2"/>
      <c r="JRL129" s="2"/>
      <c r="JRN129" s="2"/>
      <c r="JRP129" s="2"/>
      <c r="JRR129" s="2"/>
      <c r="JRT129" s="2"/>
      <c r="JRV129" s="2"/>
      <c r="JRX129" s="2"/>
      <c r="JRZ129" s="2"/>
      <c r="JSB129" s="2"/>
      <c r="JSD129" s="2"/>
      <c r="JSF129" s="2"/>
      <c r="JSH129" s="2"/>
      <c r="JSJ129" s="2"/>
      <c r="JSL129" s="2"/>
      <c r="JSN129" s="2"/>
      <c r="JSP129" s="2"/>
      <c r="JSR129" s="2"/>
      <c r="JST129" s="2"/>
      <c r="JSV129" s="2"/>
      <c r="JSX129" s="2"/>
      <c r="JSZ129" s="2"/>
      <c r="JTB129" s="2"/>
      <c r="JTD129" s="2"/>
      <c r="JTF129" s="2"/>
      <c r="JTH129" s="2"/>
      <c r="JTJ129" s="2"/>
      <c r="JTL129" s="2"/>
      <c r="JTN129" s="2"/>
      <c r="JTP129" s="2"/>
      <c r="JTR129" s="2"/>
      <c r="JTT129" s="2"/>
      <c r="JTV129" s="2"/>
      <c r="JTX129" s="2"/>
      <c r="JTZ129" s="2"/>
      <c r="JUB129" s="2"/>
      <c r="JUD129" s="2"/>
      <c r="JUF129" s="2"/>
      <c r="JUH129" s="2"/>
      <c r="JUJ129" s="2"/>
      <c r="JUL129" s="2"/>
      <c r="JUN129" s="2"/>
      <c r="JUP129" s="2"/>
      <c r="JUR129" s="2"/>
      <c r="JUT129" s="2"/>
      <c r="JUV129" s="2"/>
      <c r="JUX129" s="2"/>
      <c r="JUZ129" s="2"/>
      <c r="JVB129" s="2"/>
      <c r="JVD129" s="2"/>
      <c r="JVF129" s="2"/>
      <c r="JVH129" s="2"/>
      <c r="JVJ129" s="2"/>
      <c r="JVL129" s="2"/>
      <c r="JVN129" s="2"/>
      <c r="JVP129" s="2"/>
      <c r="JVR129" s="2"/>
      <c r="JVT129" s="2"/>
      <c r="JVV129" s="2"/>
      <c r="JVX129" s="2"/>
      <c r="JVZ129" s="2"/>
      <c r="JWB129" s="2"/>
      <c r="JWD129" s="2"/>
      <c r="JWF129" s="2"/>
      <c r="JWH129" s="2"/>
      <c r="JWJ129" s="2"/>
      <c r="JWL129" s="2"/>
      <c r="JWN129" s="2"/>
      <c r="JWP129" s="2"/>
      <c r="JWR129" s="2"/>
      <c r="JWT129" s="2"/>
      <c r="JWV129" s="2"/>
      <c r="JWX129" s="2"/>
      <c r="JWZ129" s="2"/>
      <c r="JXB129" s="2"/>
      <c r="JXD129" s="2"/>
      <c r="JXF129" s="2"/>
      <c r="JXH129" s="2"/>
      <c r="JXJ129" s="2"/>
      <c r="JXL129" s="2"/>
      <c r="JXN129" s="2"/>
      <c r="JXP129" s="2"/>
      <c r="JXR129" s="2"/>
      <c r="JXT129" s="2"/>
      <c r="JXV129" s="2"/>
      <c r="JXX129" s="2"/>
      <c r="JXZ129" s="2"/>
      <c r="JYB129" s="2"/>
      <c r="JYD129" s="2"/>
      <c r="JYF129" s="2"/>
      <c r="JYH129" s="2"/>
      <c r="JYJ129" s="2"/>
      <c r="JYL129" s="2"/>
      <c r="JYN129" s="2"/>
      <c r="JYP129" s="2"/>
      <c r="JYR129" s="2"/>
      <c r="JYT129" s="2"/>
      <c r="JYV129" s="2"/>
      <c r="JYX129" s="2"/>
      <c r="JYZ129" s="2"/>
      <c r="JZB129" s="2"/>
      <c r="JZD129" s="2"/>
      <c r="JZF129" s="2"/>
      <c r="JZH129" s="2"/>
      <c r="JZJ129" s="2"/>
      <c r="JZL129" s="2"/>
      <c r="JZN129" s="2"/>
      <c r="JZP129" s="2"/>
      <c r="JZR129" s="2"/>
      <c r="JZT129" s="2"/>
      <c r="JZV129" s="2"/>
      <c r="JZX129" s="2"/>
      <c r="JZZ129" s="2"/>
      <c r="KAB129" s="2"/>
      <c r="KAD129" s="2"/>
      <c r="KAF129" s="2"/>
      <c r="KAH129" s="2"/>
      <c r="KAJ129" s="2"/>
      <c r="KAL129" s="2"/>
      <c r="KAN129" s="2"/>
      <c r="KAP129" s="2"/>
      <c r="KAR129" s="2"/>
      <c r="KAT129" s="2"/>
      <c r="KAV129" s="2"/>
      <c r="KAX129" s="2"/>
      <c r="KAZ129" s="2"/>
      <c r="KBB129" s="2"/>
      <c r="KBD129" s="2"/>
      <c r="KBF129" s="2"/>
      <c r="KBH129" s="2"/>
      <c r="KBJ129" s="2"/>
      <c r="KBL129" s="2"/>
      <c r="KBN129" s="2"/>
      <c r="KBP129" s="2"/>
      <c r="KBR129" s="2"/>
      <c r="KBT129" s="2"/>
      <c r="KBV129" s="2"/>
      <c r="KBX129" s="2"/>
      <c r="KBZ129" s="2"/>
      <c r="KCB129" s="2"/>
      <c r="KCD129" s="2"/>
      <c r="KCF129" s="2"/>
      <c r="KCH129" s="2"/>
      <c r="KCJ129" s="2"/>
      <c r="KCL129" s="2"/>
      <c r="KCN129" s="2"/>
      <c r="KCP129" s="2"/>
      <c r="KCR129" s="2"/>
      <c r="KCT129" s="2"/>
      <c r="KCV129" s="2"/>
      <c r="KCX129" s="2"/>
      <c r="KCZ129" s="2"/>
      <c r="KDB129" s="2"/>
      <c r="KDD129" s="2"/>
      <c r="KDF129" s="2"/>
      <c r="KDH129" s="2"/>
      <c r="KDJ129" s="2"/>
      <c r="KDL129" s="2"/>
      <c r="KDN129" s="2"/>
      <c r="KDP129" s="2"/>
      <c r="KDR129" s="2"/>
      <c r="KDT129" s="2"/>
      <c r="KDV129" s="2"/>
      <c r="KDX129" s="2"/>
      <c r="KDZ129" s="2"/>
      <c r="KEB129" s="2"/>
      <c r="KED129" s="2"/>
      <c r="KEF129" s="2"/>
      <c r="KEH129" s="2"/>
      <c r="KEJ129" s="2"/>
      <c r="KEL129" s="2"/>
      <c r="KEN129" s="2"/>
      <c r="KEP129" s="2"/>
      <c r="KER129" s="2"/>
      <c r="KET129" s="2"/>
      <c r="KEV129" s="2"/>
      <c r="KEX129" s="2"/>
      <c r="KEZ129" s="2"/>
      <c r="KFB129" s="2"/>
      <c r="KFD129" s="2"/>
      <c r="KFF129" s="2"/>
      <c r="KFH129" s="2"/>
      <c r="KFJ129" s="2"/>
      <c r="KFL129" s="2"/>
      <c r="KFN129" s="2"/>
      <c r="KFP129" s="2"/>
      <c r="KFR129" s="2"/>
      <c r="KFT129" s="2"/>
      <c r="KFV129" s="2"/>
      <c r="KFX129" s="2"/>
      <c r="KFZ129" s="2"/>
      <c r="KGB129" s="2"/>
      <c r="KGD129" s="2"/>
      <c r="KGF129" s="2"/>
      <c r="KGH129" s="2"/>
      <c r="KGJ129" s="2"/>
      <c r="KGL129" s="2"/>
      <c r="KGN129" s="2"/>
      <c r="KGP129" s="2"/>
      <c r="KGR129" s="2"/>
      <c r="KGT129" s="2"/>
      <c r="KGV129" s="2"/>
      <c r="KGX129" s="2"/>
      <c r="KGZ129" s="2"/>
      <c r="KHB129" s="2"/>
      <c r="KHD129" s="2"/>
      <c r="KHF129" s="2"/>
      <c r="KHH129" s="2"/>
      <c r="KHJ129" s="2"/>
      <c r="KHL129" s="2"/>
      <c r="KHN129" s="2"/>
      <c r="KHP129" s="2"/>
      <c r="KHR129" s="2"/>
      <c r="KHT129" s="2"/>
      <c r="KHV129" s="2"/>
      <c r="KHX129" s="2"/>
      <c r="KHZ129" s="2"/>
      <c r="KIB129" s="2"/>
      <c r="KID129" s="2"/>
      <c r="KIF129" s="2"/>
      <c r="KIH129" s="2"/>
      <c r="KIJ129" s="2"/>
      <c r="KIL129" s="2"/>
      <c r="KIN129" s="2"/>
      <c r="KIP129" s="2"/>
      <c r="KIR129" s="2"/>
      <c r="KIT129" s="2"/>
      <c r="KIV129" s="2"/>
      <c r="KIX129" s="2"/>
      <c r="KIZ129" s="2"/>
      <c r="KJB129" s="2"/>
      <c r="KJD129" s="2"/>
      <c r="KJF129" s="2"/>
      <c r="KJH129" s="2"/>
      <c r="KJJ129" s="2"/>
      <c r="KJL129" s="2"/>
      <c r="KJN129" s="2"/>
      <c r="KJP129" s="2"/>
      <c r="KJR129" s="2"/>
      <c r="KJT129" s="2"/>
      <c r="KJV129" s="2"/>
      <c r="KJX129" s="2"/>
      <c r="KJZ129" s="2"/>
      <c r="KKB129" s="2"/>
      <c r="KKD129" s="2"/>
      <c r="KKF129" s="2"/>
      <c r="KKH129" s="2"/>
      <c r="KKJ129" s="2"/>
      <c r="KKL129" s="2"/>
      <c r="KKN129" s="2"/>
      <c r="KKP129" s="2"/>
      <c r="KKR129" s="2"/>
      <c r="KKT129" s="2"/>
      <c r="KKV129" s="2"/>
      <c r="KKX129" s="2"/>
      <c r="KKZ129" s="2"/>
      <c r="KLB129" s="2"/>
      <c r="KLD129" s="2"/>
      <c r="KLF129" s="2"/>
      <c r="KLH129" s="2"/>
      <c r="KLJ129" s="2"/>
      <c r="KLL129" s="2"/>
      <c r="KLN129" s="2"/>
      <c r="KLP129" s="2"/>
      <c r="KLR129" s="2"/>
      <c r="KLT129" s="2"/>
      <c r="KLV129" s="2"/>
      <c r="KLX129" s="2"/>
      <c r="KLZ129" s="2"/>
      <c r="KMB129" s="2"/>
      <c r="KMD129" s="2"/>
      <c r="KMF129" s="2"/>
      <c r="KMH129" s="2"/>
      <c r="KMJ129" s="2"/>
      <c r="KML129" s="2"/>
      <c r="KMN129" s="2"/>
      <c r="KMP129" s="2"/>
      <c r="KMR129" s="2"/>
      <c r="KMT129" s="2"/>
      <c r="KMV129" s="2"/>
      <c r="KMX129" s="2"/>
      <c r="KMZ129" s="2"/>
      <c r="KNB129" s="2"/>
      <c r="KND129" s="2"/>
      <c r="KNF129" s="2"/>
      <c r="KNH129" s="2"/>
      <c r="KNJ129" s="2"/>
      <c r="KNL129" s="2"/>
      <c r="KNN129" s="2"/>
      <c r="KNP129" s="2"/>
      <c r="KNR129" s="2"/>
      <c r="KNT129" s="2"/>
      <c r="KNV129" s="2"/>
      <c r="KNX129" s="2"/>
      <c r="KNZ129" s="2"/>
      <c r="KOB129" s="2"/>
      <c r="KOD129" s="2"/>
      <c r="KOF129" s="2"/>
      <c r="KOH129" s="2"/>
      <c r="KOJ129" s="2"/>
      <c r="KOL129" s="2"/>
      <c r="KON129" s="2"/>
      <c r="KOP129" s="2"/>
      <c r="KOR129" s="2"/>
      <c r="KOT129" s="2"/>
      <c r="KOV129" s="2"/>
      <c r="KOX129" s="2"/>
      <c r="KOZ129" s="2"/>
      <c r="KPB129" s="2"/>
      <c r="KPD129" s="2"/>
      <c r="KPF129" s="2"/>
      <c r="KPH129" s="2"/>
      <c r="KPJ129" s="2"/>
      <c r="KPL129" s="2"/>
      <c r="KPN129" s="2"/>
      <c r="KPP129" s="2"/>
      <c r="KPR129" s="2"/>
      <c r="KPT129" s="2"/>
      <c r="KPV129" s="2"/>
      <c r="KPX129" s="2"/>
      <c r="KPZ129" s="2"/>
      <c r="KQB129" s="2"/>
      <c r="KQD129" s="2"/>
      <c r="KQF129" s="2"/>
      <c r="KQH129" s="2"/>
      <c r="KQJ129" s="2"/>
      <c r="KQL129" s="2"/>
      <c r="KQN129" s="2"/>
      <c r="KQP129" s="2"/>
      <c r="KQR129" s="2"/>
      <c r="KQT129" s="2"/>
      <c r="KQV129" s="2"/>
      <c r="KQX129" s="2"/>
      <c r="KQZ129" s="2"/>
      <c r="KRB129" s="2"/>
      <c r="KRD129" s="2"/>
      <c r="KRF129" s="2"/>
      <c r="KRH129" s="2"/>
      <c r="KRJ129" s="2"/>
      <c r="KRL129" s="2"/>
      <c r="KRN129" s="2"/>
      <c r="KRP129" s="2"/>
      <c r="KRR129" s="2"/>
      <c r="KRT129" s="2"/>
      <c r="KRV129" s="2"/>
      <c r="KRX129" s="2"/>
      <c r="KRZ129" s="2"/>
      <c r="KSB129" s="2"/>
      <c r="KSD129" s="2"/>
      <c r="KSF129" s="2"/>
      <c r="KSH129" s="2"/>
      <c r="KSJ129" s="2"/>
      <c r="KSL129" s="2"/>
      <c r="KSN129" s="2"/>
      <c r="KSP129" s="2"/>
      <c r="KSR129" s="2"/>
      <c r="KST129" s="2"/>
      <c r="KSV129" s="2"/>
      <c r="KSX129" s="2"/>
      <c r="KSZ129" s="2"/>
      <c r="KTB129" s="2"/>
      <c r="KTD129" s="2"/>
      <c r="KTF129" s="2"/>
      <c r="KTH129" s="2"/>
      <c r="KTJ129" s="2"/>
      <c r="KTL129" s="2"/>
      <c r="KTN129" s="2"/>
      <c r="KTP129" s="2"/>
      <c r="KTR129" s="2"/>
      <c r="KTT129" s="2"/>
      <c r="KTV129" s="2"/>
      <c r="KTX129" s="2"/>
      <c r="KTZ129" s="2"/>
      <c r="KUB129" s="2"/>
      <c r="KUD129" s="2"/>
      <c r="KUF129" s="2"/>
      <c r="KUH129" s="2"/>
      <c r="KUJ129" s="2"/>
      <c r="KUL129" s="2"/>
      <c r="KUN129" s="2"/>
      <c r="KUP129" s="2"/>
      <c r="KUR129" s="2"/>
      <c r="KUT129" s="2"/>
      <c r="KUV129" s="2"/>
      <c r="KUX129" s="2"/>
      <c r="KUZ129" s="2"/>
      <c r="KVB129" s="2"/>
      <c r="KVD129" s="2"/>
      <c r="KVF129" s="2"/>
      <c r="KVH129" s="2"/>
      <c r="KVJ129" s="2"/>
      <c r="KVL129" s="2"/>
      <c r="KVN129" s="2"/>
      <c r="KVP129" s="2"/>
      <c r="KVR129" s="2"/>
      <c r="KVT129" s="2"/>
      <c r="KVV129" s="2"/>
      <c r="KVX129" s="2"/>
      <c r="KVZ129" s="2"/>
      <c r="KWB129" s="2"/>
      <c r="KWD129" s="2"/>
      <c r="KWF129" s="2"/>
      <c r="KWH129" s="2"/>
      <c r="KWJ129" s="2"/>
      <c r="KWL129" s="2"/>
      <c r="KWN129" s="2"/>
      <c r="KWP129" s="2"/>
      <c r="KWR129" s="2"/>
      <c r="KWT129" s="2"/>
      <c r="KWV129" s="2"/>
      <c r="KWX129" s="2"/>
      <c r="KWZ129" s="2"/>
      <c r="KXB129" s="2"/>
      <c r="KXD129" s="2"/>
      <c r="KXF129" s="2"/>
      <c r="KXH129" s="2"/>
      <c r="KXJ129" s="2"/>
      <c r="KXL129" s="2"/>
      <c r="KXN129" s="2"/>
      <c r="KXP129" s="2"/>
      <c r="KXR129" s="2"/>
      <c r="KXT129" s="2"/>
      <c r="KXV129" s="2"/>
      <c r="KXX129" s="2"/>
      <c r="KXZ129" s="2"/>
      <c r="KYB129" s="2"/>
      <c r="KYD129" s="2"/>
      <c r="KYF129" s="2"/>
      <c r="KYH129" s="2"/>
      <c r="KYJ129" s="2"/>
      <c r="KYL129" s="2"/>
      <c r="KYN129" s="2"/>
      <c r="KYP129" s="2"/>
      <c r="KYR129" s="2"/>
      <c r="KYT129" s="2"/>
      <c r="KYV129" s="2"/>
      <c r="KYX129" s="2"/>
      <c r="KYZ129" s="2"/>
      <c r="KZB129" s="2"/>
      <c r="KZD129" s="2"/>
      <c r="KZF129" s="2"/>
      <c r="KZH129" s="2"/>
      <c r="KZJ129" s="2"/>
      <c r="KZL129" s="2"/>
      <c r="KZN129" s="2"/>
      <c r="KZP129" s="2"/>
      <c r="KZR129" s="2"/>
      <c r="KZT129" s="2"/>
      <c r="KZV129" s="2"/>
      <c r="KZX129" s="2"/>
      <c r="KZZ129" s="2"/>
      <c r="LAB129" s="2"/>
      <c r="LAD129" s="2"/>
      <c r="LAF129" s="2"/>
      <c r="LAH129" s="2"/>
      <c r="LAJ129" s="2"/>
      <c r="LAL129" s="2"/>
      <c r="LAN129" s="2"/>
      <c r="LAP129" s="2"/>
      <c r="LAR129" s="2"/>
      <c r="LAT129" s="2"/>
      <c r="LAV129" s="2"/>
      <c r="LAX129" s="2"/>
      <c r="LAZ129" s="2"/>
      <c r="LBB129" s="2"/>
      <c r="LBD129" s="2"/>
      <c r="LBF129" s="2"/>
      <c r="LBH129" s="2"/>
      <c r="LBJ129" s="2"/>
      <c r="LBL129" s="2"/>
      <c r="LBN129" s="2"/>
      <c r="LBP129" s="2"/>
      <c r="LBR129" s="2"/>
      <c r="LBT129" s="2"/>
      <c r="LBV129" s="2"/>
      <c r="LBX129" s="2"/>
      <c r="LBZ129" s="2"/>
      <c r="LCB129" s="2"/>
      <c r="LCD129" s="2"/>
      <c r="LCF129" s="2"/>
      <c r="LCH129" s="2"/>
      <c r="LCJ129" s="2"/>
      <c r="LCL129" s="2"/>
      <c r="LCN129" s="2"/>
      <c r="LCP129" s="2"/>
      <c r="LCR129" s="2"/>
      <c r="LCT129" s="2"/>
      <c r="LCV129" s="2"/>
      <c r="LCX129" s="2"/>
      <c r="LCZ129" s="2"/>
      <c r="LDB129" s="2"/>
      <c r="LDD129" s="2"/>
      <c r="LDF129" s="2"/>
      <c r="LDH129" s="2"/>
      <c r="LDJ129" s="2"/>
      <c r="LDL129" s="2"/>
      <c r="LDN129" s="2"/>
      <c r="LDP129" s="2"/>
      <c r="LDR129" s="2"/>
      <c r="LDT129" s="2"/>
      <c r="LDV129" s="2"/>
      <c r="LDX129" s="2"/>
      <c r="LDZ129" s="2"/>
      <c r="LEB129" s="2"/>
      <c r="LED129" s="2"/>
      <c r="LEF129" s="2"/>
      <c r="LEH129" s="2"/>
      <c r="LEJ129" s="2"/>
      <c r="LEL129" s="2"/>
      <c r="LEN129" s="2"/>
      <c r="LEP129" s="2"/>
      <c r="LER129" s="2"/>
      <c r="LET129" s="2"/>
      <c r="LEV129" s="2"/>
      <c r="LEX129" s="2"/>
      <c r="LEZ129" s="2"/>
      <c r="LFB129" s="2"/>
      <c r="LFD129" s="2"/>
      <c r="LFF129" s="2"/>
      <c r="LFH129" s="2"/>
      <c r="LFJ129" s="2"/>
      <c r="LFL129" s="2"/>
      <c r="LFN129" s="2"/>
      <c r="LFP129" s="2"/>
      <c r="LFR129" s="2"/>
      <c r="LFT129" s="2"/>
      <c r="LFV129" s="2"/>
      <c r="LFX129" s="2"/>
      <c r="LFZ129" s="2"/>
      <c r="LGB129" s="2"/>
      <c r="LGD129" s="2"/>
      <c r="LGF129" s="2"/>
      <c r="LGH129" s="2"/>
      <c r="LGJ129" s="2"/>
      <c r="LGL129" s="2"/>
      <c r="LGN129" s="2"/>
      <c r="LGP129" s="2"/>
      <c r="LGR129" s="2"/>
      <c r="LGT129" s="2"/>
      <c r="LGV129" s="2"/>
      <c r="LGX129" s="2"/>
      <c r="LGZ129" s="2"/>
      <c r="LHB129" s="2"/>
      <c r="LHD129" s="2"/>
      <c r="LHF129" s="2"/>
      <c r="LHH129" s="2"/>
      <c r="LHJ129" s="2"/>
      <c r="LHL129" s="2"/>
      <c r="LHN129" s="2"/>
      <c r="LHP129" s="2"/>
      <c r="LHR129" s="2"/>
      <c r="LHT129" s="2"/>
      <c r="LHV129" s="2"/>
      <c r="LHX129" s="2"/>
      <c r="LHZ129" s="2"/>
      <c r="LIB129" s="2"/>
      <c r="LID129" s="2"/>
      <c r="LIF129" s="2"/>
      <c r="LIH129" s="2"/>
      <c r="LIJ129" s="2"/>
      <c r="LIL129" s="2"/>
      <c r="LIN129" s="2"/>
      <c r="LIP129" s="2"/>
      <c r="LIR129" s="2"/>
      <c r="LIT129" s="2"/>
      <c r="LIV129" s="2"/>
      <c r="LIX129" s="2"/>
      <c r="LIZ129" s="2"/>
      <c r="LJB129" s="2"/>
      <c r="LJD129" s="2"/>
      <c r="LJF129" s="2"/>
      <c r="LJH129" s="2"/>
      <c r="LJJ129" s="2"/>
      <c r="LJL129" s="2"/>
      <c r="LJN129" s="2"/>
      <c r="LJP129" s="2"/>
      <c r="LJR129" s="2"/>
      <c r="LJT129" s="2"/>
      <c r="LJV129" s="2"/>
      <c r="LJX129" s="2"/>
      <c r="LJZ129" s="2"/>
      <c r="LKB129" s="2"/>
      <c r="LKD129" s="2"/>
      <c r="LKF129" s="2"/>
      <c r="LKH129" s="2"/>
      <c r="LKJ129" s="2"/>
      <c r="LKL129" s="2"/>
      <c r="LKN129" s="2"/>
      <c r="LKP129" s="2"/>
      <c r="LKR129" s="2"/>
      <c r="LKT129" s="2"/>
      <c r="LKV129" s="2"/>
      <c r="LKX129" s="2"/>
      <c r="LKZ129" s="2"/>
      <c r="LLB129" s="2"/>
      <c r="LLD129" s="2"/>
      <c r="LLF129" s="2"/>
      <c r="LLH129" s="2"/>
      <c r="LLJ129" s="2"/>
      <c r="LLL129" s="2"/>
      <c r="LLN129" s="2"/>
      <c r="LLP129" s="2"/>
      <c r="LLR129" s="2"/>
      <c r="LLT129" s="2"/>
      <c r="LLV129" s="2"/>
      <c r="LLX129" s="2"/>
      <c r="LLZ129" s="2"/>
      <c r="LMB129" s="2"/>
      <c r="LMD129" s="2"/>
      <c r="LMF129" s="2"/>
      <c r="LMH129" s="2"/>
      <c r="LMJ129" s="2"/>
      <c r="LML129" s="2"/>
      <c r="LMN129" s="2"/>
      <c r="LMP129" s="2"/>
      <c r="LMR129" s="2"/>
      <c r="LMT129" s="2"/>
      <c r="LMV129" s="2"/>
      <c r="LMX129" s="2"/>
      <c r="LMZ129" s="2"/>
      <c r="LNB129" s="2"/>
      <c r="LND129" s="2"/>
      <c r="LNF129" s="2"/>
      <c r="LNH129" s="2"/>
      <c r="LNJ129" s="2"/>
      <c r="LNL129" s="2"/>
      <c r="LNN129" s="2"/>
      <c r="LNP129" s="2"/>
      <c r="LNR129" s="2"/>
      <c r="LNT129" s="2"/>
      <c r="LNV129" s="2"/>
      <c r="LNX129" s="2"/>
      <c r="LNZ129" s="2"/>
      <c r="LOB129" s="2"/>
      <c r="LOD129" s="2"/>
      <c r="LOF129" s="2"/>
      <c r="LOH129" s="2"/>
      <c r="LOJ129" s="2"/>
      <c r="LOL129" s="2"/>
      <c r="LON129" s="2"/>
      <c r="LOP129" s="2"/>
      <c r="LOR129" s="2"/>
      <c r="LOT129" s="2"/>
      <c r="LOV129" s="2"/>
      <c r="LOX129" s="2"/>
      <c r="LOZ129" s="2"/>
      <c r="LPB129" s="2"/>
      <c r="LPD129" s="2"/>
      <c r="LPF129" s="2"/>
      <c r="LPH129" s="2"/>
      <c r="LPJ129" s="2"/>
      <c r="LPL129" s="2"/>
      <c r="LPN129" s="2"/>
      <c r="LPP129" s="2"/>
      <c r="LPR129" s="2"/>
      <c r="LPT129" s="2"/>
      <c r="LPV129" s="2"/>
      <c r="LPX129" s="2"/>
      <c r="LPZ129" s="2"/>
      <c r="LQB129" s="2"/>
      <c r="LQD129" s="2"/>
      <c r="LQF129" s="2"/>
      <c r="LQH129" s="2"/>
      <c r="LQJ129" s="2"/>
      <c r="LQL129" s="2"/>
      <c r="LQN129" s="2"/>
      <c r="LQP129" s="2"/>
      <c r="LQR129" s="2"/>
      <c r="LQT129" s="2"/>
      <c r="LQV129" s="2"/>
      <c r="LQX129" s="2"/>
      <c r="LQZ129" s="2"/>
      <c r="LRB129" s="2"/>
      <c r="LRD129" s="2"/>
      <c r="LRF129" s="2"/>
      <c r="LRH129" s="2"/>
      <c r="LRJ129" s="2"/>
      <c r="LRL129" s="2"/>
      <c r="LRN129" s="2"/>
      <c r="LRP129" s="2"/>
      <c r="LRR129" s="2"/>
      <c r="LRT129" s="2"/>
      <c r="LRV129" s="2"/>
      <c r="LRX129" s="2"/>
      <c r="LRZ129" s="2"/>
      <c r="LSB129" s="2"/>
      <c r="LSD129" s="2"/>
      <c r="LSF129" s="2"/>
      <c r="LSH129" s="2"/>
      <c r="LSJ129" s="2"/>
      <c r="LSL129" s="2"/>
      <c r="LSN129" s="2"/>
      <c r="LSP129" s="2"/>
      <c r="LSR129" s="2"/>
      <c r="LST129" s="2"/>
      <c r="LSV129" s="2"/>
      <c r="LSX129" s="2"/>
      <c r="LSZ129" s="2"/>
      <c r="LTB129" s="2"/>
      <c r="LTD129" s="2"/>
      <c r="LTF129" s="2"/>
      <c r="LTH129" s="2"/>
      <c r="LTJ129" s="2"/>
      <c r="LTL129" s="2"/>
      <c r="LTN129" s="2"/>
      <c r="LTP129" s="2"/>
      <c r="LTR129" s="2"/>
      <c r="LTT129" s="2"/>
      <c r="LTV129" s="2"/>
      <c r="LTX129" s="2"/>
      <c r="LTZ129" s="2"/>
      <c r="LUB129" s="2"/>
      <c r="LUD129" s="2"/>
      <c r="LUF129" s="2"/>
      <c r="LUH129" s="2"/>
      <c r="LUJ129" s="2"/>
      <c r="LUL129" s="2"/>
      <c r="LUN129" s="2"/>
      <c r="LUP129" s="2"/>
      <c r="LUR129" s="2"/>
      <c r="LUT129" s="2"/>
      <c r="LUV129" s="2"/>
      <c r="LUX129" s="2"/>
      <c r="LUZ129" s="2"/>
      <c r="LVB129" s="2"/>
      <c r="LVD129" s="2"/>
      <c r="LVF129" s="2"/>
      <c r="LVH129" s="2"/>
      <c r="LVJ129" s="2"/>
      <c r="LVL129" s="2"/>
      <c r="LVN129" s="2"/>
      <c r="LVP129" s="2"/>
      <c r="LVR129" s="2"/>
      <c r="LVT129" s="2"/>
      <c r="LVV129" s="2"/>
      <c r="LVX129" s="2"/>
      <c r="LVZ129" s="2"/>
      <c r="LWB129" s="2"/>
      <c r="LWD129" s="2"/>
      <c r="LWF129" s="2"/>
      <c r="LWH129" s="2"/>
      <c r="LWJ129" s="2"/>
      <c r="LWL129" s="2"/>
      <c r="LWN129" s="2"/>
      <c r="LWP129" s="2"/>
      <c r="LWR129" s="2"/>
      <c r="LWT129" s="2"/>
      <c r="LWV129" s="2"/>
      <c r="LWX129" s="2"/>
      <c r="LWZ129" s="2"/>
      <c r="LXB129" s="2"/>
      <c r="LXD129" s="2"/>
      <c r="LXF129" s="2"/>
      <c r="LXH129" s="2"/>
      <c r="LXJ129" s="2"/>
      <c r="LXL129" s="2"/>
      <c r="LXN129" s="2"/>
      <c r="LXP129" s="2"/>
      <c r="LXR129" s="2"/>
      <c r="LXT129" s="2"/>
      <c r="LXV129" s="2"/>
      <c r="LXX129" s="2"/>
      <c r="LXZ129" s="2"/>
      <c r="LYB129" s="2"/>
      <c r="LYD129" s="2"/>
      <c r="LYF129" s="2"/>
      <c r="LYH129" s="2"/>
      <c r="LYJ129" s="2"/>
      <c r="LYL129" s="2"/>
      <c r="LYN129" s="2"/>
      <c r="LYP129" s="2"/>
      <c r="LYR129" s="2"/>
      <c r="LYT129" s="2"/>
      <c r="LYV129" s="2"/>
      <c r="LYX129" s="2"/>
      <c r="LYZ129" s="2"/>
      <c r="LZB129" s="2"/>
      <c r="LZD129" s="2"/>
      <c r="LZF129" s="2"/>
      <c r="LZH129" s="2"/>
      <c r="LZJ129" s="2"/>
      <c r="LZL129" s="2"/>
      <c r="LZN129" s="2"/>
      <c r="LZP129" s="2"/>
      <c r="LZR129" s="2"/>
      <c r="LZT129" s="2"/>
      <c r="LZV129" s="2"/>
      <c r="LZX129" s="2"/>
      <c r="LZZ129" s="2"/>
      <c r="MAB129" s="2"/>
      <c r="MAD129" s="2"/>
      <c r="MAF129" s="2"/>
      <c r="MAH129" s="2"/>
      <c r="MAJ129" s="2"/>
      <c r="MAL129" s="2"/>
      <c r="MAN129" s="2"/>
      <c r="MAP129" s="2"/>
      <c r="MAR129" s="2"/>
      <c r="MAT129" s="2"/>
      <c r="MAV129" s="2"/>
      <c r="MAX129" s="2"/>
      <c r="MAZ129" s="2"/>
      <c r="MBB129" s="2"/>
      <c r="MBD129" s="2"/>
      <c r="MBF129" s="2"/>
      <c r="MBH129" s="2"/>
      <c r="MBJ129" s="2"/>
      <c r="MBL129" s="2"/>
      <c r="MBN129" s="2"/>
      <c r="MBP129" s="2"/>
      <c r="MBR129" s="2"/>
      <c r="MBT129" s="2"/>
      <c r="MBV129" s="2"/>
      <c r="MBX129" s="2"/>
      <c r="MBZ129" s="2"/>
      <c r="MCB129" s="2"/>
      <c r="MCD129" s="2"/>
      <c r="MCF129" s="2"/>
      <c r="MCH129" s="2"/>
      <c r="MCJ129" s="2"/>
      <c r="MCL129" s="2"/>
      <c r="MCN129" s="2"/>
      <c r="MCP129" s="2"/>
      <c r="MCR129" s="2"/>
      <c r="MCT129" s="2"/>
      <c r="MCV129" s="2"/>
      <c r="MCX129" s="2"/>
      <c r="MCZ129" s="2"/>
      <c r="MDB129" s="2"/>
      <c r="MDD129" s="2"/>
      <c r="MDF129" s="2"/>
      <c r="MDH129" s="2"/>
      <c r="MDJ129" s="2"/>
      <c r="MDL129" s="2"/>
      <c r="MDN129" s="2"/>
      <c r="MDP129" s="2"/>
      <c r="MDR129" s="2"/>
      <c r="MDT129" s="2"/>
      <c r="MDV129" s="2"/>
      <c r="MDX129" s="2"/>
      <c r="MDZ129" s="2"/>
      <c r="MEB129" s="2"/>
      <c r="MED129" s="2"/>
      <c r="MEF129" s="2"/>
      <c r="MEH129" s="2"/>
      <c r="MEJ129" s="2"/>
      <c r="MEL129" s="2"/>
      <c r="MEN129" s="2"/>
      <c r="MEP129" s="2"/>
      <c r="MER129" s="2"/>
      <c r="MET129" s="2"/>
      <c r="MEV129" s="2"/>
      <c r="MEX129" s="2"/>
      <c r="MEZ129" s="2"/>
      <c r="MFB129" s="2"/>
      <c r="MFD129" s="2"/>
      <c r="MFF129" s="2"/>
      <c r="MFH129" s="2"/>
      <c r="MFJ129" s="2"/>
      <c r="MFL129" s="2"/>
      <c r="MFN129" s="2"/>
      <c r="MFP129" s="2"/>
      <c r="MFR129" s="2"/>
      <c r="MFT129" s="2"/>
      <c r="MFV129" s="2"/>
      <c r="MFX129" s="2"/>
      <c r="MFZ129" s="2"/>
      <c r="MGB129" s="2"/>
      <c r="MGD129" s="2"/>
      <c r="MGF129" s="2"/>
      <c r="MGH129" s="2"/>
      <c r="MGJ129" s="2"/>
      <c r="MGL129" s="2"/>
      <c r="MGN129" s="2"/>
      <c r="MGP129" s="2"/>
      <c r="MGR129" s="2"/>
      <c r="MGT129" s="2"/>
      <c r="MGV129" s="2"/>
      <c r="MGX129" s="2"/>
      <c r="MGZ129" s="2"/>
      <c r="MHB129" s="2"/>
      <c r="MHD129" s="2"/>
      <c r="MHF129" s="2"/>
      <c r="MHH129" s="2"/>
      <c r="MHJ129" s="2"/>
      <c r="MHL129" s="2"/>
      <c r="MHN129" s="2"/>
      <c r="MHP129" s="2"/>
      <c r="MHR129" s="2"/>
      <c r="MHT129" s="2"/>
      <c r="MHV129" s="2"/>
      <c r="MHX129" s="2"/>
      <c r="MHZ129" s="2"/>
      <c r="MIB129" s="2"/>
      <c r="MID129" s="2"/>
      <c r="MIF129" s="2"/>
      <c r="MIH129" s="2"/>
      <c r="MIJ129" s="2"/>
      <c r="MIL129" s="2"/>
      <c r="MIN129" s="2"/>
      <c r="MIP129" s="2"/>
      <c r="MIR129" s="2"/>
      <c r="MIT129" s="2"/>
      <c r="MIV129" s="2"/>
      <c r="MIX129" s="2"/>
      <c r="MIZ129" s="2"/>
      <c r="MJB129" s="2"/>
      <c r="MJD129" s="2"/>
      <c r="MJF129" s="2"/>
      <c r="MJH129" s="2"/>
      <c r="MJJ129" s="2"/>
      <c r="MJL129" s="2"/>
      <c r="MJN129" s="2"/>
      <c r="MJP129" s="2"/>
      <c r="MJR129" s="2"/>
      <c r="MJT129" s="2"/>
      <c r="MJV129" s="2"/>
      <c r="MJX129" s="2"/>
      <c r="MJZ129" s="2"/>
      <c r="MKB129" s="2"/>
      <c r="MKD129" s="2"/>
      <c r="MKF129" s="2"/>
      <c r="MKH129" s="2"/>
      <c r="MKJ129" s="2"/>
      <c r="MKL129" s="2"/>
      <c r="MKN129" s="2"/>
      <c r="MKP129" s="2"/>
      <c r="MKR129" s="2"/>
      <c r="MKT129" s="2"/>
      <c r="MKV129" s="2"/>
      <c r="MKX129" s="2"/>
      <c r="MKZ129" s="2"/>
      <c r="MLB129" s="2"/>
      <c r="MLD129" s="2"/>
      <c r="MLF129" s="2"/>
      <c r="MLH129" s="2"/>
      <c r="MLJ129" s="2"/>
      <c r="MLL129" s="2"/>
      <c r="MLN129" s="2"/>
      <c r="MLP129" s="2"/>
      <c r="MLR129" s="2"/>
      <c r="MLT129" s="2"/>
      <c r="MLV129" s="2"/>
      <c r="MLX129" s="2"/>
      <c r="MLZ129" s="2"/>
      <c r="MMB129" s="2"/>
      <c r="MMD129" s="2"/>
      <c r="MMF129" s="2"/>
      <c r="MMH129" s="2"/>
      <c r="MMJ129" s="2"/>
      <c r="MML129" s="2"/>
      <c r="MMN129" s="2"/>
      <c r="MMP129" s="2"/>
      <c r="MMR129" s="2"/>
      <c r="MMT129" s="2"/>
      <c r="MMV129" s="2"/>
      <c r="MMX129" s="2"/>
      <c r="MMZ129" s="2"/>
      <c r="MNB129" s="2"/>
      <c r="MND129" s="2"/>
      <c r="MNF129" s="2"/>
      <c r="MNH129" s="2"/>
      <c r="MNJ129" s="2"/>
      <c r="MNL129" s="2"/>
      <c r="MNN129" s="2"/>
      <c r="MNP129" s="2"/>
      <c r="MNR129" s="2"/>
      <c r="MNT129" s="2"/>
      <c r="MNV129" s="2"/>
      <c r="MNX129" s="2"/>
      <c r="MNZ129" s="2"/>
      <c r="MOB129" s="2"/>
      <c r="MOD129" s="2"/>
      <c r="MOF129" s="2"/>
      <c r="MOH129" s="2"/>
      <c r="MOJ129" s="2"/>
      <c r="MOL129" s="2"/>
      <c r="MON129" s="2"/>
      <c r="MOP129" s="2"/>
      <c r="MOR129" s="2"/>
      <c r="MOT129" s="2"/>
      <c r="MOV129" s="2"/>
      <c r="MOX129" s="2"/>
      <c r="MOZ129" s="2"/>
      <c r="MPB129" s="2"/>
      <c r="MPD129" s="2"/>
      <c r="MPF129" s="2"/>
      <c r="MPH129" s="2"/>
      <c r="MPJ129" s="2"/>
      <c r="MPL129" s="2"/>
      <c r="MPN129" s="2"/>
      <c r="MPP129" s="2"/>
      <c r="MPR129" s="2"/>
      <c r="MPT129" s="2"/>
      <c r="MPV129" s="2"/>
      <c r="MPX129" s="2"/>
      <c r="MPZ129" s="2"/>
      <c r="MQB129" s="2"/>
      <c r="MQD129" s="2"/>
      <c r="MQF129" s="2"/>
      <c r="MQH129" s="2"/>
      <c r="MQJ129" s="2"/>
      <c r="MQL129" s="2"/>
      <c r="MQN129" s="2"/>
      <c r="MQP129" s="2"/>
      <c r="MQR129" s="2"/>
      <c r="MQT129" s="2"/>
      <c r="MQV129" s="2"/>
      <c r="MQX129" s="2"/>
      <c r="MQZ129" s="2"/>
      <c r="MRB129" s="2"/>
      <c r="MRD129" s="2"/>
      <c r="MRF129" s="2"/>
      <c r="MRH129" s="2"/>
      <c r="MRJ129" s="2"/>
      <c r="MRL129" s="2"/>
      <c r="MRN129" s="2"/>
      <c r="MRP129" s="2"/>
      <c r="MRR129" s="2"/>
      <c r="MRT129" s="2"/>
      <c r="MRV129" s="2"/>
      <c r="MRX129" s="2"/>
      <c r="MRZ129" s="2"/>
      <c r="MSB129" s="2"/>
      <c r="MSD129" s="2"/>
      <c r="MSF129" s="2"/>
      <c r="MSH129" s="2"/>
      <c r="MSJ129" s="2"/>
      <c r="MSL129" s="2"/>
      <c r="MSN129" s="2"/>
      <c r="MSP129" s="2"/>
      <c r="MSR129" s="2"/>
      <c r="MST129" s="2"/>
      <c r="MSV129" s="2"/>
      <c r="MSX129" s="2"/>
      <c r="MSZ129" s="2"/>
      <c r="MTB129" s="2"/>
      <c r="MTD129" s="2"/>
      <c r="MTF129" s="2"/>
      <c r="MTH129" s="2"/>
      <c r="MTJ129" s="2"/>
      <c r="MTL129" s="2"/>
      <c r="MTN129" s="2"/>
      <c r="MTP129" s="2"/>
      <c r="MTR129" s="2"/>
      <c r="MTT129" s="2"/>
      <c r="MTV129" s="2"/>
      <c r="MTX129" s="2"/>
      <c r="MTZ129" s="2"/>
      <c r="MUB129" s="2"/>
      <c r="MUD129" s="2"/>
      <c r="MUF129" s="2"/>
      <c r="MUH129" s="2"/>
      <c r="MUJ129" s="2"/>
      <c r="MUL129" s="2"/>
      <c r="MUN129" s="2"/>
      <c r="MUP129" s="2"/>
      <c r="MUR129" s="2"/>
      <c r="MUT129" s="2"/>
      <c r="MUV129" s="2"/>
      <c r="MUX129" s="2"/>
      <c r="MUZ129" s="2"/>
      <c r="MVB129" s="2"/>
      <c r="MVD129" s="2"/>
      <c r="MVF129" s="2"/>
      <c r="MVH129" s="2"/>
      <c r="MVJ129" s="2"/>
      <c r="MVL129" s="2"/>
      <c r="MVN129" s="2"/>
      <c r="MVP129" s="2"/>
      <c r="MVR129" s="2"/>
      <c r="MVT129" s="2"/>
      <c r="MVV129" s="2"/>
      <c r="MVX129" s="2"/>
      <c r="MVZ129" s="2"/>
      <c r="MWB129" s="2"/>
      <c r="MWD129" s="2"/>
      <c r="MWF129" s="2"/>
      <c r="MWH129" s="2"/>
      <c r="MWJ129" s="2"/>
      <c r="MWL129" s="2"/>
      <c r="MWN129" s="2"/>
      <c r="MWP129" s="2"/>
      <c r="MWR129" s="2"/>
      <c r="MWT129" s="2"/>
      <c r="MWV129" s="2"/>
      <c r="MWX129" s="2"/>
      <c r="MWZ129" s="2"/>
      <c r="MXB129" s="2"/>
      <c r="MXD129" s="2"/>
      <c r="MXF129" s="2"/>
      <c r="MXH129" s="2"/>
      <c r="MXJ129" s="2"/>
      <c r="MXL129" s="2"/>
      <c r="MXN129" s="2"/>
      <c r="MXP129" s="2"/>
      <c r="MXR129" s="2"/>
      <c r="MXT129" s="2"/>
      <c r="MXV129" s="2"/>
      <c r="MXX129" s="2"/>
      <c r="MXZ129" s="2"/>
      <c r="MYB129" s="2"/>
      <c r="MYD129" s="2"/>
      <c r="MYF129" s="2"/>
      <c r="MYH129" s="2"/>
      <c r="MYJ129" s="2"/>
      <c r="MYL129" s="2"/>
      <c r="MYN129" s="2"/>
      <c r="MYP129" s="2"/>
      <c r="MYR129" s="2"/>
      <c r="MYT129" s="2"/>
      <c r="MYV129" s="2"/>
      <c r="MYX129" s="2"/>
      <c r="MYZ129" s="2"/>
      <c r="MZB129" s="2"/>
      <c r="MZD129" s="2"/>
      <c r="MZF129" s="2"/>
      <c r="MZH129" s="2"/>
      <c r="MZJ129" s="2"/>
      <c r="MZL129" s="2"/>
      <c r="MZN129" s="2"/>
      <c r="MZP129" s="2"/>
      <c r="MZR129" s="2"/>
      <c r="MZT129" s="2"/>
      <c r="MZV129" s="2"/>
      <c r="MZX129" s="2"/>
      <c r="MZZ129" s="2"/>
      <c r="NAB129" s="2"/>
      <c r="NAD129" s="2"/>
      <c r="NAF129" s="2"/>
      <c r="NAH129" s="2"/>
      <c r="NAJ129" s="2"/>
      <c r="NAL129" s="2"/>
      <c r="NAN129" s="2"/>
      <c r="NAP129" s="2"/>
      <c r="NAR129" s="2"/>
      <c r="NAT129" s="2"/>
      <c r="NAV129" s="2"/>
      <c r="NAX129" s="2"/>
      <c r="NAZ129" s="2"/>
      <c r="NBB129" s="2"/>
      <c r="NBD129" s="2"/>
      <c r="NBF129" s="2"/>
      <c r="NBH129" s="2"/>
      <c r="NBJ129" s="2"/>
      <c r="NBL129" s="2"/>
      <c r="NBN129" s="2"/>
      <c r="NBP129" s="2"/>
      <c r="NBR129" s="2"/>
      <c r="NBT129" s="2"/>
      <c r="NBV129" s="2"/>
      <c r="NBX129" s="2"/>
      <c r="NBZ129" s="2"/>
      <c r="NCB129" s="2"/>
      <c r="NCD129" s="2"/>
      <c r="NCF129" s="2"/>
      <c r="NCH129" s="2"/>
      <c r="NCJ129" s="2"/>
      <c r="NCL129" s="2"/>
      <c r="NCN129" s="2"/>
      <c r="NCP129" s="2"/>
      <c r="NCR129" s="2"/>
      <c r="NCT129" s="2"/>
      <c r="NCV129" s="2"/>
      <c r="NCX129" s="2"/>
      <c r="NCZ129" s="2"/>
      <c r="NDB129" s="2"/>
      <c r="NDD129" s="2"/>
      <c r="NDF129" s="2"/>
      <c r="NDH129" s="2"/>
      <c r="NDJ129" s="2"/>
      <c r="NDL129" s="2"/>
      <c r="NDN129" s="2"/>
      <c r="NDP129" s="2"/>
      <c r="NDR129" s="2"/>
      <c r="NDT129" s="2"/>
      <c r="NDV129" s="2"/>
      <c r="NDX129" s="2"/>
      <c r="NDZ129" s="2"/>
      <c r="NEB129" s="2"/>
      <c r="NED129" s="2"/>
      <c r="NEF129" s="2"/>
      <c r="NEH129" s="2"/>
      <c r="NEJ129" s="2"/>
      <c r="NEL129" s="2"/>
      <c r="NEN129" s="2"/>
      <c r="NEP129" s="2"/>
      <c r="NER129" s="2"/>
      <c r="NET129" s="2"/>
      <c r="NEV129" s="2"/>
      <c r="NEX129" s="2"/>
      <c r="NEZ129" s="2"/>
      <c r="NFB129" s="2"/>
      <c r="NFD129" s="2"/>
      <c r="NFF129" s="2"/>
      <c r="NFH129" s="2"/>
      <c r="NFJ129" s="2"/>
      <c r="NFL129" s="2"/>
      <c r="NFN129" s="2"/>
      <c r="NFP129" s="2"/>
      <c r="NFR129" s="2"/>
      <c r="NFT129" s="2"/>
      <c r="NFV129" s="2"/>
      <c r="NFX129" s="2"/>
      <c r="NFZ129" s="2"/>
      <c r="NGB129" s="2"/>
      <c r="NGD129" s="2"/>
      <c r="NGF129" s="2"/>
      <c r="NGH129" s="2"/>
      <c r="NGJ129" s="2"/>
      <c r="NGL129" s="2"/>
      <c r="NGN129" s="2"/>
      <c r="NGP129" s="2"/>
      <c r="NGR129" s="2"/>
      <c r="NGT129" s="2"/>
      <c r="NGV129" s="2"/>
      <c r="NGX129" s="2"/>
      <c r="NGZ129" s="2"/>
      <c r="NHB129" s="2"/>
      <c r="NHD129" s="2"/>
      <c r="NHF129" s="2"/>
      <c r="NHH129" s="2"/>
      <c r="NHJ129" s="2"/>
      <c r="NHL129" s="2"/>
      <c r="NHN129" s="2"/>
      <c r="NHP129" s="2"/>
      <c r="NHR129" s="2"/>
      <c r="NHT129" s="2"/>
      <c r="NHV129" s="2"/>
      <c r="NHX129" s="2"/>
      <c r="NHZ129" s="2"/>
      <c r="NIB129" s="2"/>
      <c r="NID129" s="2"/>
      <c r="NIF129" s="2"/>
      <c r="NIH129" s="2"/>
      <c r="NIJ129" s="2"/>
      <c r="NIL129" s="2"/>
      <c r="NIN129" s="2"/>
      <c r="NIP129" s="2"/>
      <c r="NIR129" s="2"/>
      <c r="NIT129" s="2"/>
      <c r="NIV129" s="2"/>
      <c r="NIX129" s="2"/>
      <c r="NIZ129" s="2"/>
      <c r="NJB129" s="2"/>
      <c r="NJD129" s="2"/>
      <c r="NJF129" s="2"/>
      <c r="NJH129" s="2"/>
      <c r="NJJ129" s="2"/>
      <c r="NJL129" s="2"/>
      <c r="NJN129" s="2"/>
      <c r="NJP129" s="2"/>
      <c r="NJR129" s="2"/>
      <c r="NJT129" s="2"/>
      <c r="NJV129" s="2"/>
      <c r="NJX129" s="2"/>
      <c r="NJZ129" s="2"/>
      <c r="NKB129" s="2"/>
      <c r="NKD129" s="2"/>
      <c r="NKF129" s="2"/>
      <c r="NKH129" s="2"/>
      <c r="NKJ129" s="2"/>
      <c r="NKL129" s="2"/>
      <c r="NKN129" s="2"/>
      <c r="NKP129" s="2"/>
      <c r="NKR129" s="2"/>
      <c r="NKT129" s="2"/>
      <c r="NKV129" s="2"/>
      <c r="NKX129" s="2"/>
      <c r="NKZ129" s="2"/>
      <c r="NLB129" s="2"/>
      <c r="NLD129" s="2"/>
      <c r="NLF129" s="2"/>
      <c r="NLH129" s="2"/>
      <c r="NLJ129" s="2"/>
      <c r="NLL129" s="2"/>
      <c r="NLN129" s="2"/>
      <c r="NLP129" s="2"/>
      <c r="NLR129" s="2"/>
      <c r="NLT129" s="2"/>
      <c r="NLV129" s="2"/>
      <c r="NLX129" s="2"/>
      <c r="NLZ129" s="2"/>
      <c r="NMB129" s="2"/>
      <c r="NMD129" s="2"/>
      <c r="NMF129" s="2"/>
      <c r="NMH129" s="2"/>
      <c r="NMJ129" s="2"/>
      <c r="NML129" s="2"/>
      <c r="NMN129" s="2"/>
      <c r="NMP129" s="2"/>
      <c r="NMR129" s="2"/>
      <c r="NMT129" s="2"/>
      <c r="NMV129" s="2"/>
      <c r="NMX129" s="2"/>
      <c r="NMZ129" s="2"/>
      <c r="NNB129" s="2"/>
      <c r="NND129" s="2"/>
      <c r="NNF129" s="2"/>
      <c r="NNH129" s="2"/>
      <c r="NNJ129" s="2"/>
      <c r="NNL129" s="2"/>
      <c r="NNN129" s="2"/>
      <c r="NNP129" s="2"/>
      <c r="NNR129" s="2"/>
      <c r="NNT129" s="2"/>
      <c r="NNV129" s="2"/>
      <c r="NNX129" s="2"/>
      <c r="NNZ129" s="2"/>
      <c r="NOB129" s="2"/>
      <c r="NOD129" s="2"/>
      <c r="NOF129" s="2"/>
      <c r="NOH129" s="2"/>
      <c r="NOJ129" s="2"/>
      <c r="NOL129" s="2"/>
      <c r="NON129" s="2"/>
      <c r="NOP129" s="2"/>
      <c r="NOR129" s="2"/>
      <c r="NOT129" s="2"/>
      <c r="NOV129" s="2"/>
      <c r="NOX129" s="2"/>
      <c r="NOZ129" s="2"/>
      <c r="NPB129" s="2"/>
      <c r="NPD129" s="2"/>
      <c r="NPF129" s="2"/>
      <c r="NPH129" s="2"/>
      <c r="NPJ129" s="2"/>
      <c r="NPL129" s="2"/>
      <c r="NPN129" s="2"/>
      <c r="NPP129" s="2"/>
      <c r="NPR129" s="2"/>
      <c r="NPT129" s="2"/>
      <c r="NPV129" s="2"/>
      <c r="NPX129" s="2"/>
      <c r="NPZ129" s="2"/>
      <c r="NQB129" s="2"/>
      <c r="NQD129" s="2"/>
      <c r="NQF129" s="2"/>
      <c r="NQH129" s="2"/>
      <c r="NQJ129" s="2"/>
      <c r="NQL129" s="2"/>
      <c r="NQN129" s="2"/>
      <c r="NQP129" s="2"/>
      <c r="NQR129" s="2"/>
      <c r="NQT129" s="2"/>
      <c r="NQV129" s="2"/>
      <c r="NQX129" s="2"/>
      <c r="NQZ129" s="2"/>
      <c r="NRB129" s="2"/>
      <c r="NRD129" s="2"/>
      <c r="NRF129" s="2"/>
      <c r="NRH129" s="2"/>
      <c r="NRJ129" s="2"/>
      <c r="NRL129" s="2"/>
      <c r="NRN129" s="2"/>
      <c r="NRP129" s="2"/>
      <c r="NRR129" s="2"/>
      <c r="NRT129" s="2"/>
      <c r="NRV129" s="2"/>
      <c r="NRX129" s="2"/>
      <c r="NRZ129" s="2"/>
      <c r="NSB129" s="2"/>
      <c r="NSD129" s="2"/>
      <c r="NSF129" s="2"/>
      <c r="NSH129" s="2"/>
      <c r="NSJ129" s="2"/>
      <c r="NSL129" s="2"/>
      <c r="NSN129" s="2"/>
      <c r="NSP129" s="2"/>
      <c r="NSR129" s="2"/>
      <c r="NST129" s="2"/>
      <c r="NSV129" s="2"/>
      <c r="NSX129" s="2"/>
      <c r="NSZ129" s="2"/>
      <c r="NTB129" s="2"/>
      <c r="NTD129" s="2"/>
      <c r="NTF129" s="2"/>
      <c r="NTH129" s="2"/>
      <c r="NTJ129" s="2"/>
      <c r="NTL129" s="2"/>
      <c r="NTN129" s="2"/>
      <c r="NTP129" s="2"/>
      <c r="NTR129" s="2"/>
      <c r="NTT129" s="2"/>
      <c r="NTV129" s="2"/>
      <c r="NTX129" s="2"/>
      <c r="NTZ129" s="2"/>
      <c r="NUB129" s="2"/>
      <c r="NUD129" s="2"/>
      <c r="NUF129" s="2"/>
      <c r="NUH129" s="2"/>
      <c r="NUJ129" s="2"/>
      <c r="NUL129" s="2"/>
      <c r="NUN129" s="2"/>
      <c r="NUP129" s="2"/>
      <c r="NUR129" s="2"/>
      <c r="NUT129" s="2"/>
      <c r="NUV129" s="2"/>
      <c r="NUX129" s="2"/>
      <c r="NUZ129" s="2"/>
      <c r="NVB129" s="2"/>
      <c r="NVD129" s="2"/>
      <c r="NVF129" s="2"/>
      <c r="NVH129" s="2"/>
      <c r="NVJ129" s="2"/>
      <c r="NVL129" s="2"/>
      <c r="NVN129" s="2"/>
      <c r="NVP129" s="2"/>
      <c r="NVR129" s="2"/>
      <c r="NVT129" s="2"/>
      <c r="NVV129" s="2"/>
      <c r="NVX129" s="2"/>
      <c r="NVZ129" s="2"/>
      <c r="NWB129" s="2"/>
      <c r="NWD129" s="2"/>
      <c r="NWF129" s="2"/>
      <c r="NWH129" s="2"/>
      <c r="NWJ129" s="2"/>
      <c r="NWL129" s="2"/>
      <c r="NWN129" s="2"/>
      <c r="NWP129" s="2"/>
      <c r="NWR129" s="2"/>
      <c r="NWT129" s="2"/>
      <c r="NWV129" s="2"/>
      <c r="NWX129" s="2"/>
      <c r="NWZ129" s="2"/>
      <c r="NXB129" s="2"/>
      <c r="NXD129" s="2"/>
      <c r="NXF129" s="2"/>
      <c r="NXH129" s="2"/>
      <c r="NXJ129" s="2"/>
      <c r="NXL129" s="2"/>
      <c r="NXN129" s="2"/>
      <c r="NXP129" s="2"/>
      <c r="NXR129" s="2"/>
      <c r="NXT129" s="2"/>
      <c r="NXV129" s="2"/>
      <c r="NXX129" s="2"/>
      <c r="NXZ129" s="2"/>
      <c r="NYB129" s="2"/>
      <c r="NYD129" s="2"/>
      <c r="NYF129" s="2"/>
      <c r="NYH129" s="2"/>
      <c r="NYJ129" s="2"/>
      <c r="NYL129" s="2"/>
      <c r="NYN129" s="2"/>
      <c r="NYP129" s="2"/>
      <c r="NYR129" s="2"/>
      <c r="NYT129" s="2"/>
      <c r="NYV129" s="2"/>
      <c r="NYX129" s="2"/>
      <c r="NYZ129" s="2"/>
      <c r="NZB129" s="2"/>
      <c r="NZD129" s="2"/>
      <c r="NZF129" s="2"/>
      <c r="NZH129" s="2"/>
      <c r="NZJ129" s="2"/>
      <c r="NZL129" s="2"/>
      <c r="NZN129" s="2"/>
      <c r="NZP129" s="2"/>
      <c r="NZR129" s="2"/>
      <c r="NZT129" s="2"/>
      <c r="NZV129" s="2"/>
      <c r="NZX129" s="2"/>
      <c r="NZZ129" s="2"/>
      <c r="OAB129" s="2"/>
      <c r="OAD129" s="2"/>
      <c r="OAF129" s="2"/>
      <c r="OAH129" s="2"/>
      <c r="OAJ129" s="2"/>
      <c r="OAL129" s="2"/>
      <c r="OAN129" s="2"/>
      <c r="OAP129" s="2"/>
      <c r="OAR129" s="2"/>
      <c r="OAT129" s="2"/>
      <c r="OAV129" s="2"/>
      <c r="OAX129" s="2"/>
      <c r="OAZ129" s="2"/>
      <c r="OBB129" s="2"/>
      <c r="OBD129" s="2"/>
      <c r="OBF129" s="2"/>
      <c r="OBH129" s="2"/>
      <c r="OBJ129" s="2"/>
      <c r="OBL129" s="2"/>
      <c r="OBN129" s="2"/>
      <c r="OBP129" s="2"/>
      <c r="OBR129" s="2"/>
      <c r="OBT129" s="2"/>
      <c r="OBV129" s="2"/>
      <c r="OBX129" s="2"/>
      <c r="OBZ129" s="2"/>
      <c r="OCB129" s="2"/>
      <c r="OCD129" s="2"/>
      <c r="OCF129" s="2"/>
      <c r="OCH129" s="2"/>
      <c r="OCJ129" s="2"/>
      <c r="OCL129" s="2"/>
      <c r="OCN129" s="2"/>
      <c r="OCP129" s="2"/>
      <c r="OCR129" s="2"/>
      <c r="OCT129" s="2"/>
      <c r="OCV129" s="2"/>
      <c r="OCX129" s="2"/>
      <c r="OCZ129" s="2"/>
      <c r="ODB129" s="2"/>
      <c r="ODD129" s="2"/>
      <c r="ODF129" s="2"/>
      <c r="ODH129" s="2"/>
      <c r="ODJ129" s="2"/>
      <c r="ODL129" s="2"/>
      <c r="ODN129" s="2"/>
      <c r="ODP129" s="2"/>
      <c r="ODR129" s="2"/>
      <c r="ODT129" s="2"/>
      <c r="ODV129" s="2"/>
      <c r="ODX129" s="2"/>
      <c r="ODZ129" s="2"/>
      <c r="OEB129" s="2"/>
      <c r="OED129" s="2"/>
      <c r="OEF129" s="2"/>
      <c r="OEH129" s="2"/>
      <c r="OEJ129" s="2"/>
      <c r="OEL129" s="2"/>
      <c r="OEN129" s="2"/>
      <c r="OEP129" s="2"/>
      <c r="OER129" s="2"/>
      <c r="OET129" s="2"/>
      <c r="OEV129" s="2"/>
      <c r="OEX129" s="2"/>
      <c r="OEZ129" s="2"/>
      <c r="OFB129" s="2"/>
      <c r="OFD129" s="2"/>
      <c r="OFF129" s="2"/>
      <c r="OFH129" s="2"/>
      <c r="OFJ129" s="2"/>
      <c r="OFL129" s="2"/>
      <c r="OFN129" s="2"/>
      <c r="OFP129" s="2"/>
      <c r="OFR129" s="2"/>
      <c r="OFT129" s="2"/>
      <c r="OFV129" s="2"/>
      <c r="OFX129" s="2"/>
      <c r="OFZ129" s="2"/>
      <c r="OGB129" s="2"/>
      <c r="OGD129" s="2"/>
      <c r="OGF129" s="2"/>
      <c r="OGH129" s="2"/>
      <c r="OGJ129" s="2"/>
      <c r="OGL129" s="2"/>
      <c r="OGN129" s="2"/>
      <c r="OGP129" s="2"/>
      <c r="OGR129" s="2"/>
      <c r="OGT129" s="2"/>
      <c r="OGV129" s="2"/>
      <c r="OGX129" s="2"/>
      <c r="OGZ129" s="2"/>
      <c r="OHB129" s="2"/>
      <c r="OHD129" s="2"/>
      <c r="OHF129" s="2"/>
      <c r="OHH129" s="2"/>
      <c r="OHJ129" s="2"/>
      <c r="OHL129" s="2"/>
      <c r="OHN129" s="2"/>
      <c r="OHP129" s="2"/>
      <c r="OHR129" s="2"/>
      <c r="OHT129" s="2"/>
      <c r="OHV129" s="2"/>
      <c r="OHX129" s="2"/>
      <c r="OHZ129" s="2"/>
      <c r="OIB129" s="2"/>
      <c r="OID129" s="2"/>
      <c r="OIF129" s="2"/>
      <c r="OIH129" s="2"/>
      <c r="OIJ129" s="2"/>
      <c r="OIL129" s="2"/>
      <c r="OIN129" s="2"/>
      <c r="OIP129" s="2"/>
      <c r="OIR129" s="2"/>
      <c r="OIT129" s="2"/>
      <c r="OIV129" s="2"/>
      <c r="OIX129" s="2"/>
      <c r="OIZ129" s="2"/>
      <c r="OJB129" s="2"/>
      <c r="OJD129" s="2"/>
      <c r="OJF129" s="2"/>
      <c r="OJH129" s="2"/>
      <c r="OJJ129" s="2"/>
      <c r="OJL129" s="2"/>
      <c r="OJN129" s="2"/>
      <c r="OJP129" s="2"/>
      <c r="OJR129" s="2"/>
      <c r="OJT129" s="2"/>
      <c r="OJV129" s="2"/>
      <c r="OJX129" s="2"/>
      <c r="OJZ129" s="2"/>
      <c r="OKB129" s="2"/>
      <c r="OKD129" s="2"/>
      <c r="OKF129" s="2"/>
      <c r="OKH129" s="2"/>
      <c r="OKJ129" s="2"/>
      <c r="OKL129" s="2"/>
      <c r="OKN129" s="2"/>
      <c r="OKP129" s="2"/>
      <c r="OKR129" s="2"/>
      <c r="OKT129" s="2"/>
      <c r="OKV129" s="2"/>
      <c r="OKX129" s="2"/>
      <c r="OKZ129" s="2"/>
      <c r="OLB129" s="2"/>
      <c r="OLD129" s="2"/>
      <c r="OLF129" s="2"/>
      <c r="OLH129" s="2"/>
      <c r="OLJ129" s="2"/>
      <c r="OLL129" s="2"/>
      <c r="OLN129" s="2"/>
      <c r="OLP129" s="2"/>
      <c r="OLR129" s="2"/>
      <c r="OLT129" s="2"/>
      <c r="OLV129" s="2"/>
      <c r="OLX129" s="2"/>
      <c r="OLZ129" s="2"/>
      <c r="OMB129" s="2"/>
      <c r="OMD129" s="2"/>
      <c r="OMF129" s="2"/>
      <c r="OMH129" s="2"/>
      <c r="OMJ129" s="2"/>
      <c r="OML129" s="2"/>
      <c r="OMN129" s="2"/>
      <c r="OMP129" s="2"/>
      <c r="OMR129" s="2"/>
      <c r="OMT129" s="2"/>
      <c r="OMV129" s="2"/>
      <c r="OMX129" s="2"/>
      <c r="OMZ129" s="2"/>
      <c r="ONB129" s="2"/>
      <c r="OND129" s="2"/>
      <c r="ONF129" s="2"/>
      <c r="ONH129" s="2"/>
      <c r="ONJ129" s="2"/>
      <c r="ONL129" s="2"/>
      <c r="ONN129" s="2"/>
      <c r="ONP129" s="2"/>
      <c r="ONR129" s="2"/>
      <c r="ONT129" s="2"/>
      <c r="ONV129" s="2"/>
      <c r="ONX129" s="2"/>
      <c r="ONZ129" s="2"/>
      <c r="OOB129" s="2"/>
      <c r="OOD129" s="2"/>
      <c r="OOF129" s="2"/>
      <c r="OOH129" s="2"/>
      <c r="OOJ129" s="2"/>
      <c r="OOL129" s="2"/>
      <c r="OON129" s="2"/>
      <c r="OOP129" s="2"/>
      <c r="OOR129" s="2"/>
      <c r="OOT129" s="2"/>
      <c r="OOV129" s="2"/>
      <c r="OOX129" s="2"/>
      <c r="OOZ129" s="2"/>
      <c r="OPB129" s="2"/>
      <c r="OPD129" s="2"/>
      <c r="OPF129" s="2"/>
      <c r="OPH129" s="2"/>
      <c r="OPJ129" s="2"/>
      <c r="OPL129" s="2"/>
      <c r="OPN129" s="2"/>
      <c r="OPP129" s="2"/>
      <c r="OPR129" s="2"/>
      <c r="OPT129" s="2"/>
      <c r="OPV129" s="2"/>
      <c r="OPX129" s="2"/>
      <c r="OPZ129" s="2"/>
      <c r="OQB129" s="2"/>
      <c r="OQD129" s="2"/>
      <c r="OQF129" s="2"/>
      <c r="OQH129" s="2"/>
      <c r="OQJ129" s="2"/>
      <c r="OQL129" s="2"/>
      <c r="OQN129" s="2"/>
      <c r="OQP129" s="2"/>
      <c r="OQR129" s="2"/>
      <c r="OQT129" s="2"/>
      <c r="OQV129" s="2"/>
      <c r="OQX129" s="2"/>
      <c r="OQZ129" s="2"/>
      <c r="ORB129" s="2"/>
      <c r="ORD129" s="2"/>
      <c r="ORF129" s="2"/>
      <c r="ORH129" s="2"/>
      <c r="ORJ129" s="2"/>
      <c r="ORL129" s="2"/>
      <c r="ORN129" s="2"/>
      <c r="ORP129" s="2"/>
      <c r="ORR129" s="2"/>
      <c r="ORT129" s="2"/>
      <c r="ORV129" s="2"/>
      <c r="ORX129" s="2"/>
      <c r="ORZ129" s="2"/>
      <c r="OSB129" s="2"/>
      <c r="OSD129" s="2"/>
      <c r="OSF129" s="2"/>
      <c r="OSH129" s="2"/>
      <c r="OSJ129" s="2"/>
      <c r="OSL129" s="2"/>
      <c r="OSN129" s="2"/>
      <c r="OSP129" s="2"/>
      <c r="OSR129" s="2"/>
      <c r="OST129" s="2"/>
      <c r="OSV129" s="2"/>
      <c r="OSX129" s="2"/>
      <c r="OSZ129" s="2"/>
      <c r="OTB129" s="2"/>
      <c r="OTD129" s="2"/>
      <c r="OTF129" s="2"/>
      <c r="OTH129" s="2"/>
      <c r="OTJ129" s="2"/>
      <c r="OTL129" s="2"/>
      <c r="OTN129" s="2"/>
      <c r="OTP129" s="2"/>
      <c r="OTR129" s="2"/>
      <c r="OTT129" s="2"/>
      <c r="OTV129" s="2"/>
      <c r="OTX129" s="2"/>
      <c r="OTZ129" s="2"/>
      <c r="OUB129" s="2"/>
      <c r="OUD129" s="2"/>
      <c r="OUF129" s="2"/>
      <c r="OUH129" s="2"/>
      <c r="OUJ129" s="2"/>
      <c r="OUL129" s="2"/>
      <c r="OUN129" s="2"/>
      <c r="OUP129" s="2"/>
      <c r="OUR129" s="2"/>
      <c r="OUT129" s="2"/>
      <c r="OUV129" s="2"/>
      <c r="OUX129" s="2"/>
      <c r="OUZ129" s="2"/>
      <c r="OVB129" s="2"/>
      <c r="OVD129" s="2"/>
      <c r="OVF129" s="2"/>
      <c r="OVH129" s="2"/>
      <c r="OVJ129" s="2"/>
      <c r="OVL129" s="2"/>
      <c r="OVN129" s="2"/>
      <c r="OVP129" s="2"/>
      <c r="OVR129" s="2"/>
      <c r="OVT129" s="2"/>
      <c r="OVV129" s="2"/>
      <c r="OVX129" s="2"/>
      <c r="OVZ129" s="2"/>
      <c r="OWB129" s="2"/>
      <c r="OWD129" s="2"/>
      <c r="OWF129" s="2"/>
      <c r="OWH129" s="2"/>
      <c r="OWJ129" s="2"/>
      <c r="OWL129" s="2"/>
      <c r="OWN129" s="2"/>
      <c r="OWP129" s="2"/>
      <c r="OWR129" s="2"/>
      <c r="OWT129" s="2"/>
      <c r="OWV129" s="2"/>
      <c r="OWX129" s="2"/>
      <c r="OWZ129" s="2"/>
      <c r="OXB129" s="2"/>
      <c r="OXD129" s="2"/>
      <c r="OXF129" s="2"/>
      <c r="OXH129" s="2"/>
      <c r="OXJ129" s="2"/>
      <c r="OXL129" s="2"/>
      <c r="OXN129" s="2"/>
      <c r="OXP129" s="2"/>
      <c r="OXR129" s="2"/>
      <c r="OXT129" s="2"/>
      <c r="OXV129" s="2"/>
      <c r="OXX129" s="2"/>
      <c r="OXZ129" s="2"/>
      <c r="OYB129" s="2"/>
      <c r="OYD129" s="2"/>
      <c r="OYF129" s="2"/>
      <c r="OYH129" s="2"/>
      <c r="OYJ129" s="2"/>
      <c r="OYL129" s="2"/>
      <c r="OYN129" s="2"/>
      <c r="OYP129" s="2"/>
      <c r="OYR129" s="2"/>
      <c r="OYT129" s="2"/>
      <c r="OYV129" s="2"/>
      <c r="OYX129" s="2"/>
      <c r="OYZ129" s="2"/>
      <c r="OZB129" s="2"/>
      <c r="OZD129" s="2"/>
      <c r="OZF129" s="2"/>
      <c r="OZH129" s="2"/>
      <c r="OZJ129" s="2"/>
      <c r="OZL129" s="2"/>
      <c r="OZN129" s="2"/>
      <c r="OZP129" s="2"/>
      <c r="OZR129" s="2"/>
      <c r="OZT129" s="2"/>
      <c r="OZV129" s="2"/>
      <c r="OZX129" s="2"/>
      <c r="OZZ129" s="2"/>
      <c r="PAB129" s="2"/>
      <c r="PAD129" s="2"/>
      <c r="PAF129" s="2"/>
      <c r="PAH129" s="2"/>
      <c r="PAJ129" s="2"/>
      <c r="PAL129" s="2"/>
      <c r="PAN129" s="2"/>
      <c r="PAP129" s="2"/>
      <c r="PAR129" s="2"/>
      <c r="PAT129" s="2"/>
      <c r="PAV129" s="2"/>
      <c r="PAX129" s="2"/>
      <c r="PAZ129" s="2"/>
      <c r="PBB129" s="2"/>
      <c r="PBD129" s="2"/>
      <c r="PBF129" s="2"/>
      <c r="PBH129" s="2"/>
      <c r="PBJ129" s="2"/>
      <c r="PBL129" s="2"/>
      <c r="PBN129" s="2"/>
      <c r="PBP129" s="2"/>
      <c r="PBR129" s="2"/>
      <c r="PBT129" s="2"/>
      <c r="PBV129" s="2"/>
      <c r="PBX129" s="2"/>
      <c r="PBZ129" s="2"/>
      <c r="PCB129" s="2"/>
      <c r="PCD129" s="2"/>
      <c r="PCF129" s="2"/>
      <c r="PCH129" s="2"/>
      <c r="PCJ129" s="2"/>
      <c r="PCL129" s="2"/>
      <c r="PCN129" s="2"/>
      <c r="PCP129" s="2"/>
      <c r="PCR129" s="2"/>
      <c r="PCT129" s="2"/>
      <c r="PCV129" s="2"/>
      <c r="PCX129" s="2"/>
      <c r="PCZ129" s="2"/>
      <c r="PDB129" s="2"/>
      <c r="PDD129" s="2"/>
      <c r="PDF129" s="2"/>
      <c r="PDH129" s="2"/>
      <c r="PDJ129" s="2"/>
      <c r="PDL129" s="2"/>
      <c r="PDN129" s="2"/>
      <c r="PDP129" s="2"/>
      <c r="PDR129" s="2"/>
      <c r="PDT129" s="2"/>
      <c r="PDV129" s="2"/>
      <c r="PDX129" s="2"/>
      <c r="PDZ129" s="2"/>
      <c r="PEB129" s="2"/>
      <c r="PED129" s="2"/>
      <c r="PEF129" s="2"/>
      <c r="PEH129" s="2"/>
      <c r="PEJ129" s="2"/>
      <c r="PEL129" s="2"/>
      <c r="PEN129" s="2"/>
      <c r="PEP129" s="2"/>
      <c r="PER129" s="2"/>
      <c r="PET129" s="2"/>
      <c r="PEV129" s="2"/>
      <c r="PEX129" s="2"/>
      <c r="PEZ129" s="2"/>
      <c r="PFB129" s="2"/>
      <c r="PFD129" s="2"/>
      <c r="PFF129" s="2"/>
      <c r="PFH129" s="2"/>
      <c r="PFJ129" s="2"/>
      <c r="PFL129" s="2"/>
      <c r="PFN129" s="2"/>
      <c r="PFP129" s="2"/>
      <c r="PFR129" s="2"/>
      <c r="PFT129" s="2"/>
      <c r="PFV129" s="2"/>
      <c r="PFX129" s="2"/>
      <c r="PFZ129" s="2"/>
      <c r="PGB129" s="2"/>
      <c r="PGD129" s="2"/>
      <c r="PGF129" s="2"/>
      <c r="PGH129" s="2"/>
      <c r="PGJ129" s="2"/>
      <c r="PGL129" s="2"/>
      <c r="PGN129" s="2"/>
      <c r="PGP129" s="2"/>
      <c r="PGR129" s="2"/>
      <c r="PGT129" s="2"/>
      <c r="PGV129" s="2"/>
      <c r="PGX129" s="2"/>
      <c r="PGZ129" s="2"/>
      <c r="PHB129" s="2"/>
      <c r="PHD129" s="2"/>
      <c r="PHF129" s="2"/>
      <c r="PHH129" s="2"/>
      <c r="PHJ129" s="2"/>
      <c r="PHL129" s="2"/>
      <c r="PHN129" s="2"/>
      <c r="PHP129" s="2"/>
      <c r="PHR129" s="2"/>
      <c r="PHT129" s="2"/>
      <c r="PHV129" s="2"/>
      <c r="PHX129" s="2"/>
      <c r="PHZ129" s="2"/>
      <c r="PIB129" s="2"/>
      <c r="PID129" s="2"/>
      <c r="PIF129" s="2"/>
      <c r="PIH129" s="2"/>
      <c r="PIJ129" s="2"/>
      <c r="PIL129" s="2"/>
      <c r="PIN129" s="2"/>
      <c r="PIP129" s="2"/>
      <c r="PIR129" s="2"/>
      <c r="PIT129" s="2"/>
      <c r="PIV129" s="2"/>
      <c r="PIX129" s="2"/>
      <c r="PIZ129" s="2"/>
      <c r="PJB129" s="2"/>
      <c r="PJD129" s="2"/>
      <c r="PJF129" s="2"/>
      <c r="PJH129" s="2"/>
      <c r="PJJ129" s="2"/>
      <c r="PJL129" s="2"/>
      <c r="PJN129" s="2"/>
      <c r="PJP129" s="2"/>
      <c r="PJR129" s="2"/>
      <c r="PJT129" s="2"/>
      <c r="PJV129" s="2"/>
      <c r="PJX129" s="2"/>
      <c r="PJZ129" s="2"/>
      <c r="PKB129" s="2"/>
      <c r="PKD129" s="2"/>
      <c r="PKF129" s="2"/>
      <c r="PKH129" s="2"/>
      <c r="PKJ129" s="2"/>
      <c r="PKL129" s="2"/>
      <c r="PKN129" s="2"/>
      <c r="PKP129" s="2"/>
      <c r="PKR129" s="2"/>
      <c r="PKT129" s="2"/>
      <c r="PKV129" s="2"/>
      <c r="PKX129" s="2"/>
      <c r="PKZ129" s="2"/>
      <c r="PLB129" s="2"/>
      <c r="PLD129" s="2"/>
      <c r="PLF129" s="2"/>
      <c r="PLH129" s="2"/>
      <c r="PLJ129" s="2"/>
      <c r="PLL129" s="2"/>
      <c r="PLN129" s="2"/>
      <c r="PLP129" s="2"/>
      <c r="PLR129" s="2"/>
      <c r="PLT129" s="2"/>
      <c r="PLV129" s="2"/>
      <c r="PLX129" s="2"/>
      <c r="PLZ129" s="2"/>
      <c r="PMB129" s="2"/>
      <c r="PMD129" s="2"/>
      <c r="PMF129" s="2"/>
      <c r="PMH129" s="2"/>
      <c r="PMJ129" s="2"/>
      <c r="PML129" s="2"/>
      <c r="PMN129" s="2"/>
      <c r="PMP129" s="2"/>
      <c r="PMR129" s="2"/>
      <c r="PMT129" s="2"/>
      <c r="PMV129" s="2"/>
      <c r="PMX129" s="2"/>
      <c r="PMZ129" s="2"/>
      <c r="PNB129" s="2"/>
      <c r="PND129" s="2"/>
      <c r="PNF129" s="2"/>
      <c r="PNH129" s="2"/>
      <c r="PNJ129" s="2"/>
      <c r="PNL129" s="2"/>
      <c r="PNN129" s="2"/>
      <c r="PNP129" s="2"/>
      <c r="PNR129" s="2"/>
      <c r="PNT129" s="2"/>
      <c r="PNV129" s="2"/>
      <c r="PNX129" s="2"/>
      <c r="PNZ129" s="2"/>
      <c r="POB129" s="2"/>
      <c r="POD129" s="2"/>
      <c r="POF129" s="2"/>
      <c r="POH129" s="2"/>
      <c r="POJ129" s="2"/>
      <c r="POL129" s="2"/>
      <c r="PON129" s="2"/>
      <c r="POP129" s="2"/>
      <c r="POR129" s="2"/>
      <c r="POT129" s="2"/>
      <c r="POV129" s="2"/>
      <c r="POX129" s="2"/>
      <c r="POZ129" s="2"/>
      <c r="PPB129" s="2"/>
      <c r="PPD129" s="2"/>
      <c r="PPF129" s="2"/>
      <c r="PPH129" s="2"/>
      <c r="PPJ129" s="2"/>
      <c r="PPL129" s="2"/>
      <c r="PPN129" s="2"/>
      <c r="PPP129" s="2"/>
      <c r="PPR129" s="2"/>
      <c r="PPT129" s="2"/>
      <c r="PPV129" s="2"/>
      <c r="PPX129" s="2"/>
      <c r="PPZ129" s="2"/>
      <c r="PQB129" s="2"/>
      <c r="PQD129" s="2"/>
      <c r="PQF129" s="2"/>
      <c r="PQH129" s="2"/>
      <c r="PQJ129" s="2"/>
      <c r="PQL129" s="2"/>
      <c r="PQN129" s="2"/>
      <c r="PQP129" s="2"/>
      <c r="PQR129" s="2"/>
      <c r="PQT129" s="2"/>
      <c r="PQV129" s="2"/>
      <c r="PQX129" s="2"/>
      <c r="PQZ129" s="2"/>
      <c r="PRB129" s="2"/>
      <c r="PRD129" s="2"/>
      <c r="PRF129" s="2"/>
      <c r="PRH129" s="2"/>
      <c r="PRJ129" s="2"/>
      <c r="PRL129" s="2"/>
      <c r="PRN129" s="2"/>
      <c r="PRP129" s="2"/>
      <c r="PRR129" s="2"/>
      <c r="PRT129" s="2"/>
      <c r="PRV129" s="2"/>
      <c r="PRX129" s="2"/>
      <c r="PRZ129" s="2"/>
      <c r="PSB129" s="2"/>
      <c r="PSD129" s="2"/>
      <c r="PSF129" s="2"/>
      <c r="PSH129" s="2"/>
      <c r="PSJ129" s="2"/>
      <c r="PSL129" s="2"/>
      <c r="PSN129" s="2"/>
      <c r="PSP129" s="2"/>
      <c r="PSR129" s="2"/>
      <c r="PST129" s="2"/>
      <c r="PSV129" s="2"/>
      <c r="PSX129" s="2"/>
      <c r="PSZ129" s="2"/>
      <c r="PTB129" s="2"/>
      <c r="PTD129" s="2"/>
      <c r="PTF129" s="2"/>
      <c r="PTH129" s="2"/>
      <c r="PTJ129" s="2"/>
      <c r="PTL129" s="2"/>
      <c r="PTN129" s="2"/>
      <c r="PTP129" s="2"/>
      <c r="PTR129" s="2"/>
      <c r="PTT129" s="2"/>
      <c r="PTV129" s="2"/>
      <c r="PTX129" s="2"/>
      <c r="PTZ129" s="2"/>
      <c r="PUB129" s="2"/>
      <c r="PUD129" s="2"/>
      <c r="PUF129" s="2"/>
      <c r="PUH129" s="2"/>
      <c r="PUJ129" s="2"/>
      <c r="PUL129" s="2"/>
      <c r="PUN129" s="2"/>
      <c r="PUP129" s="2"/>
      <c r="PUR129" s="2"/>
      <c r="PUT129" s="2"/>
      <c r="PUV129" s="2"/>
      <c r="PUX129" s="2"/>
      <c r="PUZ129" s="2"/>
      <c r="PVB129" s="2"/>
      <c r="PVD129" s="2"/>
      <c r="PVF129" s="2"/>
      <c r="PVH129" s="2"/>
      <c r="PVJ129" s="2"/>
      <c r="PVL129" s="2"/>
      <c r="PVN129" s="2"/>
      <c r="PVP129" s="2"/>
      <c r="PVR129" s="2"/>
      <c r="PVT129" s="2"/>
      <c r="PVV129" s="2"/>
      <c r="PVX129" s="2"/>
      <c r="PVZ129" s="2"/>
      <c r="PWB129" s="2"/>
      <c r="PWD129" s="2"/>
      <c r="PWF129" s="2"/>
      <c r="PWH129" s="2"/>
      <c r="PWJ129" s="2"/>
      <c r="PWL129" s="2"/>
      <c r="PWN129" s="2"/>
      <c r="PWP129" s="2"/>
      <c r="PWR129" s="2"/>
      <c r="PWT129" s="2"/>
      <c r="PWV129" s="2"/>
      <c r="PWX129" s="2"/>
      <c r="PWZ129" s="2"/>
      <c r="PXB129" s="2"/>
      <c r="PXD129" s="2"/>
      <c r="PXF129" s="2"/>
      <c r="PXH129" s="2"/>
      <c r="PXJ129" s="2"/>
      <c r="PXL129" s="2"/>
      <c r="PXN129" s="2"/>
      <c r="PXP129" s="2"/>
      <c r="PXR129" s="2"/>
      <c r="PXT129" s="2"/>
      <c r="PXV129" s="2"/>
      <c r="PXX129" s="2"/>
      <c r="PXZ129" s="2"/>
      <c r="PYB129" s="2"/>
      <c r="PYD129" s="2"/>
      <c r="PYF129" s="2"/>
      <c r="PYH129" s="2"/>
      <c r="PYJ129" s="2"/>
      <c r="PYL129" s="2"/>
      <c r="PYN129" s="2"/>
      <c r="PYP129" s="2"/>
      <c r="PYR129" s="2"/>
      <c r="PYT129" s="2"/>
      <c r="PYV129" s="2"/>
      <c r="PYX129" s="2"/>
      <c r="PYZ129" s="2"/>
      <c r="PZB129" s="2"/>
      <c r="PZD129" s="2"/>
      <c r="PZF129" s="2"/>
      <c r="PZH129" s="2"/>
      <c r="PZJ129" s="2"/>
      <c r="PZL129" s="2"/>
      <c r="PZN129" s="2"/>
      <c r="PZP129" s="2"/>
      <c r="PZR129" s="2"/>
      <c r="PZT129" s="2"/>
      <c r="PZV129" s="2"/>
      <c r="PZX129" s="2"/>
      <c r="PZZ129" s="2"/>
      <c r="QAB129" s="2"/>
      <c r="QAD129" s="2"/>
      <c r="QAF129" s="2"/>
      <c r="QAH129" s="2"/>
      <c r="QAJ129" s="2"/>
      <c r="QAL129" s="2"/>
      <c r="QAN129" s="2"/>
      <c r="QAP129" s="2"/>
      <c r="QAR129" s="2"/>
      <c r="QAT129" s="2"/>
      <c r="QAV129" s="2"/>
      <c r="QAX129" s="2"/>
      <c r="QAZ129" s="2"/>
      <c r="QBB129" s="2"/>
      <c r="QBD129" s="2"/>
      <c r="QBF129" s="2"/>
      <c r="QBH129" s="2"/>
      <c r="QBJ129" s="2"/>
      <c r="QBL129" s="2"/>
      <c r="QBN129" s="2"/>
      <c r="QBP129" s="2"/>
      <c r="QBR129" s="2"/>
      <c r="QBT129" s="2"/>
      <c r="QBV129" s="2"/>
      <c r="QBX129" s="2"/>
      <c r="QBZ129" s="2"/>
      <c r="QCB129" s="2"/>
      <c r="QCD129" s="2"/>
      <c r="QCF129" s="2"/>
      <c r="QCH129" s="2"/>
      <c r="QCJ129" s="2"/>
      <c r="QCL129" s="2"/>
      <c r="QCN129" s="2"/>
      <c r="QCP129" s="2"/>
      <c r="QCR129" s="2"/>
      <c r="QCT129" s="2"/>
      <c r="QCV129" s="2"/>
      <c r="QCX129" s="2"/>
      <c r="QCZ129" s="2"/>
      <c r="QDB129" s="2"/>
      <c r="QDD129" s="2"/>
      <c r="QDF129" s="2"/>
      <c r="QDH129" s="2"/>
      <c r="QDJ129" s="2"/>
      <c r="QDL129" s="2"/>
      <c r="QDN129" s="2"/>
      <c r="QDP129" s="2"/>
      <c r="QDR129" s="2"/>
      <c r="QDT129" s="2"/>
      <c r="QDV129" s="2"/>
      <c r="QDX129" s="2"/>
      <c r="QDZ129" s="2"/>
      <c r="QEB129" s="2"/>
      <c r="QED129" s="2"/>
      <c r="QEF129" s="2"/>
      <c r="QEH129" s="2"/>
      <c r="QEJ129" s="2"/>
      <c r="QEL129" s="2"/>
      <c r="QEN129" s="2"/>
      <c r="QEP129" s="2"/>
      <c r="QER129" s="2"/>
      <c r="QET129" s="2"/>
      <c r="QEV129" s="2"/>
      <c r="QEX129" s="2"/>
      <c r="QEZ129" s="2"/>
      <c r="QFB129" s="2"/>
      <c r="QFD129" s="2"/>
      <c r="QFF129" s="2"/>
      <c r="QFH129" s="2"/>
      <c r="QFJ129" s="2"/>
      <c r="QFL129" s="2"/>
      <c r="QFN129" s="2"/>
      <c r="QFP129" s="2"/>
      <c r="QFR129" s="2"/>
      <c r="QFT129" s="2"/>
      <c r="QFV129" s="2"/>
      <c r="QFX129" s="2"/>
      <c r="QFZ129" s="2"/>
      <c r="QGB129" s="2"/>
      <c r="QGD129" s="2"/>
      <c r="QGF129" s="2"/>
      <c r="QGH129" s="2"/>
      <c r="QGJ129" s="2"/>
      <c r="QGL129" s="2"/>
      <c r="QGN129" s="2"/>
      <c r="QGP129" s="2"/>
      <c r="QGR129" s="2"/>
      <c r="QGT129" s="2"/>
      <c r="QGV129" s="2"/>
      <c r="QGX129" s="2"/>
      <c r="QGZ129" s="2"/>
      <c r="QHB129" s="2"/>
      <c r="QHD129" s="2"/>
      <c r="QHF129" s="2"/>
      <c r="QHH129" s="2"/>
      <c r="QHJ129" s="2"/>
      <c r="QHL129" s="2"/>
      <c r="QHN129" s="2"/>
      <c r="QHP129" s="2"/>
      <c r="QHR129" s="2"/>
      <c r="QHT129" s="2"/>
      <c r="QHV129" s="2"/>
      <c r="QHX129" s="2"/>
      <c r="QHZ129" s="2"/>
      <c r="QIB129" s="2"/>
      <c r="QID129" s="2"/>
      <c r="QIF129" s="2"/>
      <c r="QIH129" s="2"/>
      <c r="QIJ129" s="2"/>
      <c r="QIL129" s="2"/>
      <c r="QIN129" s="2"/>
      <c r="QIP129" s="2"/>
      <c r="QIR129" s="2"/>
      <c r="QIT129" s="2"/>
      <c r="QIV129" s="2"/>
      <c r="QIX129" s="2"/>
      <c r="QIZ129" s="2"/>
      <c r="QJB129" s="2"/>
      <c r="QJD129" s="2"/>
      <c r="QJF129" s="2"/>
      <c r="QJH129" s="2"/>
      <c r="QJJ129" s="2"/>
      <c r="QJL129" s="2"/>
      <c r="QJN129" s="2"/>
      <c r="QJP129" s="2"/>
      <c r="QJR129" s="2"/>
      <c r="QJT129" s="2"/>
      <c r="QJV129" s="2"/>
      <c r="QJX129" s="2"/>
      <c r="QJZ129" s="2"/>
      <c r="QKB129" s="2"/>
      <c r="QKD129" s="2"/>
      <c r="QKF129" s="2"/>
      <c r="QKH129" s="2"/>
      <c r="QKJ129" s="2"/>
      <c r="QKL129" s="2"/>
      <c r="QKN129" s="2"/>
      <c r="QKP129" s="2"/>
      <c r="QKR129" s="2"/>
      <c r="QKT129" s="2"/>
      <c r="QKV129" s="2"/>
      <c r="QKX129" s="2"/>
      <c r="QKZ129" s="2"/>
      <c r="QLB129" s="2"/>
      <c r="QLD129" s="2"/>
      <c r="QLF129" s="2"/>
      <c r="QLH129" s="2"/>
      <c r="QLJ129" s="2"/>
      <c r="QLL129" s="2"/>
      <c r="QLN129" s="2"/>
      <c r="QLP129" s="2"/>
      <c r="QLR129" s="2"/>
      <c r="QLT129" s="2"/>
      <c r="QLV129" s="2"/>
      <c r="QLX129" s="2"/>
      <c r="QLZ129" s="2"/>
      <c r="QMB129" s="2"/>
      <c r="QMD129" s="2"/>
      <c r="QMF129" s="2"/>
      <c r="QMH129" s="2"/>
      <c r="QMJ129" s="2"/>
      <c r="QML129" s="2"/>
      <c r="QMN129" s="2"/>
      <c r="QMP129" s="2"/>
      <c r="QMR129" s="2"/>
      <c r="QMT129" s="2"/>
      <c r="QMV129" s="2"/>
      <c r="QMX129" s="2"/>
      <c r="QMZ129" s="2"/>
      <c r="QNB129" s="2"/>
      <c r="QND129" s="2"/>
      <c r="QNF129" s="2"/>
      <c r="QNH129" s="2"/>
      <c r="QNJ129" s="2"/>
      <c r="QNL129" s="2"/>
      <c r="QNN129" s="2"/>
      <c r="QNP129" s="2"/>
      <c r="QNR129" s="2"/>
      <c r="QNT129" s="2"/>
      <c r="QNV129" s="2"/>
      <c r="QNX129" s="2"/>
      <c r="QNZ129" s="2"/>
      <c r="QOB129" s="2"/>
      <c r="QOD129" s="2"/>
      <c r="QOF129" s="2"/>
      <c r="QOH129" s="2"/>
      <c r="QOJ129" s="2"/>
      <c r="QOL129" s="2"/>
      <c r="QON129" s="2"/>
      <c r="QOP129" s="2"/>
      <c r="QOR129" s="2"/>
      <c r="QOT129" s="2"/>
      <c r="QOV129" s="2"/>
      <c r="QOX129" s="2"/>
      <c r="QOZ129" s="2"/>
      <c r="QPB129" s="2"/>
      <c r="QPD129" s="2"/>
      <c r="QPF129" s="2"/>
      <c r="QPH129" s="2"/>
      <c r="QPJ129" s="2"/>
      <c r="QPL129" s="2"/>
      <c r="QPN129" s="2"/>
      <c r="QPP129" s="2"/>
      <c r="QPR129" s="2"/>
      <c r="QPT129" s="2"/>
      <c r="QPV129" s="2"/>
      <c r="QPX129" s="2"/>
      <c r="QPZ129" s="2"/>
      <c r="QQB129" s="2"/>
      <c r="QQD129" s="2"/>
      <c r="QQF129" s="2"/>
      <c r="QQH129" s="2"/>
      <c r="QQJ129" s="2"/>
      <c r="QQL129" s="2"/>
      <c r="QQN129" s="2"/>
      <c r="QQP129" s="2"/>
      <c r="QQR129" s="2"/>
      <c r="QQT129" s="2"/>
      <c r="QQV129" s="2"/>
      <c r="QQX129" s="2"/>
      <c r="QQZ129" s="2"/>
      <c r="QRB129" s="2"/>
      <c r="QRD129" s="2"/>
      <c r="QRF129" s="2"/>
      <c r="QRH129" s="2"/>
      <c r="QRJ129" s="2"/>
      <c r="QRL129" s="2"/>
      <c r="QRN129" s="2"/>
      <c r="QRP129" s="2"/>
      <c r="QRR129" s="2"/>
      <c r="QRT129" s="2"/>
      <c r="QRV129" s="2"/>
      <c r="QRX129" s="2"/>
      <c r="QRZ129" s="2"/>
      <c r="QSB129" s="2"/>
      <c r="QSD129" s="2"/>
      <c r="QSF129" s="2"/>
      <c r="QSH129" s="2"/>
      <c r="QSJ129" s="2"/>
      <c r="QSL129" s="2"/>
      <c r="QSN129" s="2"/>
      <c r="QSP129" s="2"/>
      <c r="QSR129" s="2"/>
      <c r="QST129" s="2"/>
      <c r="QSV129" s="2"/>
      <c r="QSX129" s="2"/>
      <c r="QSZ129" s="2"/>
      <c r="QTB129" s="2"/>
      <c r="QTD129" s="2"/>
      <c r="QTF129" s="2"/>
      <c r="QTH129" s="2"/>
      <c r="QTJ129" s="2"/>
      <c r="QTL129" s="2"/>
      <c r="QTN129" s="2"/>
      <c r="QTP129" s="2"/>
      <c r="QTR129" s="2"/>
      <c r="QTT129" s="2"/>
      <c r="QTV129" s="2"/>
      <c r="QTX129" s="2"/>
      <c r="QTZ129" s="2"/>
      <c r="QUB129" s="2"/>
      <c r="QUD129" s="2"/>
      <c r="QUF129" s="2"/>
      <c r="QUH129" s="2"/>
      <c r="QUJ129" s="2"/>
      <c r="QUL129" s="2"/>
      <c r="QUN129" s="2"/>
      <c r="QUP129" s="2"/>
      <c r="QUR129" s="2"/>
      <c r="QUT129" s="2"/>
      <c r="QUV129" s="2"/>
      <c r="QUX129" s="2"/>
      <c r="QUZ129" s="2"/>
      <c r="QVB129" s="2"/>
      <c r="QVD129" s="2"/>
      <c r="QVF129" s="2"/>
      <c r="QVH129" s="2"/>
      <c r="QVJ129" s="2"/>
      <c r="QVL129" s="2"/>
      <c r="QVN129" s="2"/>
      <c r="QVP129" s="2"/>
      <c r="QVR129" s="2"/>
      <c r="QVT129" s="2"/>
      <c r="QVV129" s="2"/>
      <c r="QVX129" s="2"/>
      <c r="QVZ129" s="2"/>
      <c r="QWB129" s="2"/>
      <c r="QWD129" s="2"/>
      <c r="QWF129" s="2"/>
      <c r="QWH129" s="2"/>
      <c r="QWJ129" s="2"/>
      <c r="QWL129" s="2"/>
      <c r="QWN129" s="2"/>
      <c r="QWP129" s="2"/>
      <c r="QWR129" s="2"/>
      <c r="QWT129" s="2"/>
      <c r="QWV129" s="2"/>
      <c r="QWX129" s="2"/>
      <c r="QWZ129" s="2"/>
      <c r="QXB129" s="2"/>
      <c r="QXD129" s="2"/>
      <c r="QXF129" s="2"/>
      <c r="QXH129" s="2"/>
      <c r="QXJ129" s="2"/>
      <c r="QXL129" s="2"/>
      <c r="QXN129" s="2"/>
      <c r="QXP129" s="2"/>
      <c r="QXR129" s="2"/>
      <c r="QXT129" s="2"/>
      <c r="QXV129" s="2"/>
      <c r="QXX129" s="2"/>
      <c r="QXZ129" s="2"/>
      <c r="QYB129" s="2"/>
      <c r="QYD129" s="2"/>
      <c r="QYF129" s="2"/>
      <c r="QYH129" s="2"/>
      <c r="QYJ129" s="2"/>
      <c r="QYL129" s="2"/>
      <c r="QYN129" s="2"/>
      <c r="QYP129" s="2"/>
      <c r="QYR129" s="2"/>
      <c r="QYT129" s="2"/>
      <c r="QYV129" s="2"/>
      <c r="QYX129" s="2"/>
      <c r="QYZ129" s="2"/>
      <c r="QZB129" s="2"/>
      <c r="QZD129" s="2"/>
      <c r="QZF129" s="2"/>
      <c r="QZH129" s="2"/>
      <c r="QZJ129" s="2"/>
      <c r="QZL129" s="2"/>
      <c r="QZN129" s="2"/>
      <c r="QZP129" s="2"/>
      <c r="QZR129" s="2"/>
      <c r="QZT129" s="2"/>
      <c r="QZV129" s="2"/>
      <c r="QZX129" s="2"/>
      <c r="QZZ129" s="2"/>
      <c r="RAB129" s="2"/>
      <c r="RAD129" s="2"/>
      <c r="RAF129" s="2"/>
      <c r="RAH129" s="2"/>
      <c r="RAJ129" s="2"/>
      <c r="RAL129" s="2"/>
      <c r="RAN129" s="2"/>
      <c r="RAP129" s="2"/>
      <c r="RAR129" s="2"/>
      <c r="RAT129" s="2"/>
      <c r="RAV129" s="2"/>
      <c r="RAX129" s="2"/>
      <c r="RAZ129" s="2"/>
      <c r="RBB129" s="2"/>
      <c r="RBD129" s="2"/>
      <c r="RBF129" s="2"/>
      <c r="RBH129" s="2"/>
      <c r="RBJ129" s="2"/>
      <c r="RBL129" s="2"/>
      <c r="RBN129" s="2"/>
      <c r="RBP129" s="2"/>
      <c r="RBR129" s="2"/>
      <c r="RBT129" s="2"/>
      <c r="RBV129" s="2"/>
      <c r="RBX129" s="2"/>
      <c r="RBZ129" s="2"/>
      <c r="RCB129" s="2"/>
      <c r="RCD129" s="2"/>
      <c r="RCF129" s="2"/>
      <c r="RCH129" s="2"/>
      <c r="RCJ129" s="2"/>
      <c r="RCL129" s="2"/>
      <c r="RCN129" s="2"/>
      <c r="RCP129" s="2"/>
      <c r="RCR129" s="2"/>
      <c r="RCT129" s="2"/>
      <c r="RCV129" s="2"/>
      <c r="RCX129" s="2"/>
      <c r="RCZ129" s="2"/>
      <c r="RDB129" s="2"/>
      <c r="RDD129" s="2"/>
      <c r="RDF129" s="2"/>
      <c r="RDH129" s="2"/>
      <c r="RDJ129" s="2"/>
      <c r="RDL129" s="2"/>
      <c r="RDN129" s="2"/>
      <c r="RDP129" s="2"/>
      <c r="RDR129" s="2"/>
      <c r="RDT129" s="2"/>
      <c r="RDV129" s="2"/>
      <c r="RDX129" s="2"/>
      <c r="RDZ129" s="2"/>
      <c r="REB129" s="2"/>
      <c r="RED129" s="2"/>
      <c r="REF129" s="2"/>
      <c r="REH129" s="2"/>
      <c r="REJ129" s="2"/>
      <c r="REL129" s="2"/>
      <c r="REN129" s="2"/>
      <c r="REP129" s="2"/>
      <c r="RER129" s="2"/>
      <c r="RET129" s="2"/>
      <c r="REV129" s="2"/>
      <c r="REX129" s="2"/>
      <c r="REZ129" s="2"/>
      <c r="RFB129" s="2"/>
      <c r="RFD129" s="2"/>
      <c r="RFF129" s="2"/>
      <c r="RFH129" s="2"/>
      <c r="RFJ129" s="2"/>
      <c r="RFL129" s="2"/>
      <c r="RFN129" s="2"/>
      <c r="RFP129" s="2"/>
      <c r="RFR129" s="2"/>
      <c r="RFT129" s="2"/>
      <c r="RFV129" s="2"/>
      <c r="RFX129" s="2"/>
      <c r="RFZ129" s="2"/>
      <c r="RGB129" s="2"/>
      <c r="RGD129" s="2"/>
      <c r="RGF129" s="2"/>
      <c r="RGH129" s="2"/>
      <c r="RGJ129" s="2"/>
      <c r="RGL129" s="2"/>
      <c r="RGN129" s="2"/>
      <c r="RGP129" s="2"/>
      <c r="RGR129" s="2"/>
      <c r="RGT129" s="2"/>
      <c r="RGV129" s="2"/>
      <c r="RGX129" s="2"/>
      <c r="RGZ129" s="2"/>
      <c r="RHB129" s="2"/>
      <c r="RHD129" s="2"/>
      <c r="RHF129" s="2"/>
      <c r="RHH129" s="2"/>
      <c r="RHJ129" s="2"/>
      <c r="RHL129" s="2"/>
      <c r="RHN129" s="2"/>
      <c r="RHP129" s="2"/>
      <c r="RHR129" s="2"/>
      <c r="RHT129" s="2"/>
      <c r="RHV129" s="2"/>
      <c r="RHX129" s="2"/>
      <c r="RHZ129" s="2"/>
      <c r="RIB129" s="2"/>
      <c r="RID129" s="2"/>
      <c r="RIF129" s="2"/>
      <c r="RIH129" s="2"/>
      <c r="RIJ129" s="2"/>
      <c r="RIL129" s="2"/>
      <c r="RIN129" s="2"/>
      <c r="RIP129" s="2"/>
      <c r="RIR129" s="2"/>
      <c r="RIT129" s="2"/>
      <c r="RIV129" s="2"/>
      <c r="RIX129" s="2"/>
      <c r="RIZ129" s="2"/>
      <c r="RJB129" s="2"/>
      <c r="RJD129" s="2"/>
      <c r="RJF129" s="2"/>
      <c r="RJH129" s="2"/>
      <c r="RJJ129" s="2"/>
      <c r="RJL129" s="2"/>
      <c r="RJN129" s="2"/>
      <c r="RJP129" s="2"/>
      <c r="RJR129" s="2"/>
      <c r="RJT129" s="2"/>
      <c r="RJV129" s="2"/>
      <c r="RJX129" s="2"/>
      <c r="RJZ129" s="2"/>
      <c r="RKB129" s="2"/>
      <c r="RKD129" s="2"/>
      <c r="RKF129" s="2"/>
      <c r="RKH129" s="2"/>
      <c r="RKJ129" s="2"/>
      <c r="RKL129" s="2"/>
      <c r="RKN129" s="2"/>
      <c r="RKP129" s="2"/>
      <c r="RKR129" s="2"/>
      <c r="RKT129" s="2"/>
      <c r="RKV129" s="2"/>
      <c r="RKX129" s="2"/>
      <c r="RKZ129" s="2"/>
      <c r="RLB129" s="2"/>
      <c r="RLD129" s="2"/>
      <c r="RLF129" s="2"/>
      <c r="RLH129" s="2"/>
      <c r="RLJ129" s="2"/>
      <c r="RLL129" s="2"/>
      <c r="RLN129" s="2"/>
      <c r="RLP129" s="2"/>
      <c r="RLR129" s="2"/>
      <c r="RLT129" s="2"/>
      <c r="RLV129" s="2"/>
      <c r="RLX129" s="2"/>
      <c r="RLZ129" s="2"/>
      <c r="RMB129" s="2"/>
      <c r="RMD129" s="2"/>
      <c r="RMF129" s="2"/>
      <c r="RMH129" s="2"/>
      <c r="RMJ129" s="2"/>
      <c r="RML129" s="2"/>
      <c r="RMN129" s="2"/>
      <c r="RMP129" s="2"/>
      <c r="RMR129" s="2"/>
      <c r="RMT129" s="2"/>
      <c r="RMV129" s="2"/>
      <c r="RMX129" s="2"/>
      <c r="RMZ129" s="2"/>
      <c r="RNB129" s="2"/>
      <c r="RND129" s="2"/>
      <c r="RNF129" s="2"/>
      <c r="RNH129" s="2"/>
      <c r="RNJ129" s="2"/>
      <c r="RNL129" s="2"/>
      <c r="RNN129" s="2"/>
      <c r="RNP129" s="2"/>
      <c r="RNR129" s="2"/>
      <c r="RNT129" s="2"/>
      <c r="RNV129" s="2"/>
      <c r="RNX129" s="2"/>
      <c r="RNZ129" s="2"/>
      <c r="ROB129" s="2"/>
      <c r="ROD129" s="2"/>
      <c r="ROF129" s="2"/>
      <c r="ROH129" s="2"/>
      <c r="ROJ129" s="2"/>
      <c r="ROL129" s="2"/>
      <c r="RON129" s="2"/>
      <c r="ROP129" s="2"/>
      <c r="ROR129" s="2"/>
      <c r="ROT129" s="2"/>
      <c r="ROV129" s="2"/>
      <c r="ROX129" s="2"/>
      <c r="ROZ129" s="2"/>
      <c r="RPB129" s="2"/>
      <c r="RPD129" s="2"/>
      <c r="RPF129" s="2"/>
      <c r="RPH129" s="2"/>
      <c r="RPJ129" s="2"/>
      <c r="RPL129" s="2"/>
      <c r="RPN129" s="2"/>
      <c r="RPP129" s="2"/>
      <c r="RPR129" s="2"/>
      <c r="RPT129" s="2"/>
      <c r="RPV129" s="2"/>
      <c r="RPX129" s="2"/>
      <c r="RPZ129" s="2"/>
      <c r="RQB129" s="2"/>
      <c r="RQD129" s="2"/>
      <c r="RQF129" s="2"/>
      <c r="RQH129" s="2"/>
      <c r="RQJ129" s="2"/>
      <c r="RQL129" s="2"/>
      <c r="RQN129" s="2"/>
      <c r="RQP129" s="2"/>
      <c r="RQR129" s="2"/>
      <c r="RQT129" s="2"/>
      <c r="RQV129" s="2"/>
      <c r="RQX129" s="2"/>
      <c r="RQZ129" s="2"/>
      <c r="RRB129" s="2"/>
      <c r="RRD129" s="2"/>
      <c r="RRF129" s="2"/>
      <c r="RRH129" s="2"/>
      <c r="RRJ129" s="2"/>
      <c r="RRL129" s="2"/>
      <c r="RRN129" s="2"/>
      <c r="RRP129" s="2"/>
      <c r="RRR129" s="2"/>
      <c r="RRT129" s="2"/>
      <c r="RRV129" s="2"/>
      <c r="RRX129" s="2"/>
      <c r="RRZ129" s="2"/>
      <c r="RSB129" s="2"/>
      <c r="RSD129" s="2"/>
      <c r="RSF129" s="2"/>
      <c r="RSH129" s="2"/>
      <c r="RSJ129" s="2"/>
      <c r="RSL129" s="2"/>
      <c r="RSN129" s="2"/>
      <c r="RSP129" s="2"/>
      <c r="RSR129" s="2"/>
      <c r="RST129" s="2"/>
      <c r="RSV129" s="2"/>
      <c r="RSX129" s="2"/>
      <c r="RSZ129" s="2"/>
      <c r="RTB129" s="2"/>
      <c r="RTD129" s="2"/>
      <c r="RTF129" s="2"/>
      <c r="RTH129" s="2"/>
      <c r="RTJ129" s="2"/>
      <c r="RTL129" s="2"/>
      <c r="RTN129" s="2"/>
      <c r="RTP129" s="2"/>
      <c r="RTR129" s="2"/>
      <c r="RTT129" s="2"/>
      <c r="RTV129" s="2"/>
      <c r="RTX129" s="2"/>
      <c r="RTZ129" s="2"/>
      <c r="RUB129" s="2"/>
      <c r="RUD129" s="2"/>
      <c r="RUF129" s="2"/>
      <c r="RUH129" s="2"/>
      <c r="RUJ129" s="2"/>
      <c r="RUL129" s="2"/>
      <c r="RUN129" s="2"/>
      <c r="RUP129" s="2"/>
      <c r="RUR129" s="2"/>
      <c r="RUT129" s="2"/>
      <c r="RUV129" s="2"/>
      <c r="RUX129" s="2"/>
      <c r="RUZ129" s="2"/>
      <c r="RVB129" s="2"/>
      <c r="RVD129" s="2"/>
      <c r="RVF129" s="2"/>
      <c r="RVH129" s="2"/>
      <c r="RVJ129" s="2"/>
      <c r="RVL129" s="2"/>
      <c r="RVN129" s="2"/>
      <c r="RVP129" s="2"/>
      <c r="RVR129" s="2"/>
      <c r="RVT129" s="2"/>
      <c r="RVV129" s="2"/>
      <c r="RVX129" s="2"/>
      <c r="RVZ129" s="2"/>
      <c r="RWB129" s="2"/>
      <c r="RWD129" s="2"/>
      <c r="RWF129" s="2"/>
      <c r="RWH129" s="2"/>
      <c r="RWJ129" s="2"/>
      <c r="RWL129" s="2"/>
      <c r="RWN129" s="2"/>
      <c r="RWP129" s="2"/>
      <c r="RWR129" s="2"/>
      <c r="RWT129" s="2"/>
      <c r="RWV129" s="2"/>
      <c r="RWX129" s="2"/>
      <c r="RWZ129" s="2"/>
      <c r="RXB129" s="2"/>
      <c r="RXD129" s="2"/>
      <c r="RXF129" s="2"/>
      <c r="RXH129" s="2"/>
      <c r="RXJ129" s="2"/>
      <c r="RXL129" s="2"/>
      <c r="RXN129" s="2"/>
      <c r="RXP129" s="2"/>
      <c r="RXR129" s="2"/>
      <c r="RXT129" s="2"/>
      <c r="RXV129" s="2"/>
      <c r="RXX129" s="2"/>
      <c r="RXZ129" s="2"/>
      <c r="RYB129" s="2"/>
      <c r="RYD129" s="2"/>
      <c r="RYF129" s="2"/>
      <c r="RYH129" s="2"/>
      <c r="RYJ129" s="2"/>
      <c r="RYL129" s="2"/>
      <c r="RYN129" s="2"/>
      <c r="RYP129" s="2"/>
      <c r="RYR129" s="2"/>
      <c r="RYT129" s="2"/>
      <c r="RYV129" s="2"/>
      <c r="RYX129" s="2"/>
      <c r="RYZ129" s="2"/>
      <c r="RZB129" s="2"/>
      <c r="RZD129" s="2"/>
      <c r="RZF129" s="2"/>
      <c r="RZH129" s="2"/>
      <c r="RZJ129" s="2"/>
      <c r="RZL129" s="2"/>
      <c r="RZN129" s="2"/>
      <c r="RZP129" s="2"/>
      <c r="RZR129" s="2"/>
      <c r="RZT129" s="2"/>
      <c r="RZV129" s="2"/>
      <c r="RZX129" s="2"/>
      <c r="RZZ129" s="2"/>
      <c r="SAB129" s="2"/>
      <c r="SAD129" s="2"/>
      <c r="SAF129" s="2"/>
      <c r="SAH129" s="2"/>
      <c r="SAJ129" s="2"/>
      <c r="SAL129" s="2"/>
      <c r="SAN129" s="2"/>
      <c r="SAP129" s="2"/>
      <c r="SAR129" s="2"/>
      <c r="SAT129" s="2"/>
      <c r="SAV129" s="2"/>
      <c r="SAX129" s="2"/>
      <c r="SAZ129" s="2"/>
      <c r="SBB129" s="2"/>
      <c r="SBD129" s="2"/>
      <c r="SBF129" s="2"/>
      <c r="SBH129" s="2"/>
      <c r="SBJ129" s="2"/>
      <c r="SBL129" s="2"/>
      <c r="SBN129" s="2"/>
      <c r="SBP129" s="2"/>
      <c r="SBR129" s="2"/>
      <c r="SBT129" s="2"/>
      <c r="SBV129" s="2"/>
      <c r="SBX129" s="2"/>
      <c r="SBZ129" s="2"/>
      <c r="SCB129" s="2"/>
      <c r="SCD129" s="2"/>
      <c r="SCF129" s="2"/>
      <c r="SCH129" s="2"/>
      <c r="SCJ129" s="2"/>
      <c r="SCL129" s="2"/>
      <c r="SCN129" s="2"/>
      <c r="SCP129" s="2"/>
      <c r="SCR129" s="2"/>
      <c r="SCT129" s="2"/>
      <c r="SCV129" s="2"/>
      <c r="SCX129" s="2"/>
      <c r="SCZ129" s="2"/>
      <c r="SDB129" s="2"/>
      <c r="SDD129" s="2"/>
      <c r="SDF129" s="2"/>
      <c r="SDH129" s="2"/>
      <c r="SDJ129" s="2"/>
      <c r="SDL129" s="2"/>
      <c r="SDN129" s="2"/>
      <c r="SDP129" s="2"/>
      <c r="SDR129" s="2"/>
      <c r="SDT129" s="2"/>
      <c r="SDV129" s="2"/>
      <c r="SDX129" s="2"/>
      <c r="SDZ129" s="2"/>
      <c r="SEB129" s="2"/>
      <c r="SED129" s="2"/>
      <c r="SEF129" s="2"/>
      <c r="SEH129" s="2"/>
      <c r="SEJ129" s="2"/>
      <c r="SEL129" s="2"/>
      <c r="SEN129" s="2"/>
      <c r="SEP129" s="2"/>
      <c r="SER129" s="2"/>
      <c r="SET129" s="2"/>
      <c r="SEV129" s="2"/>
      <c r="SEX129" s="2"/>
      <c r="SEZ129" s="2"/>
      <c r="SFB129" s="2"/>
      <c r="SFD129" s="2"/>
      <c r="SFF129" s="2"/>
      <c r="SFH129" s="2"/>
      <c r="SFJ129" s="2"/>
      <c r="SFL129" s="2"/>
      <c r="SFN129" s="2"/>
      <c r="SFP129" s="2"/>
      <c r="SFR129" s="2"/>
      <c r="SFT129" s="2"/>
      <c r="SFV129" s="2"/>
      <c r="SFX129" s="2"/>
      <c r="SFZ129" s="2"/>
      <c r="SGB129" s="2"/>
      <c r="SGD129" s="2"/>
      <c r="SGF129" s="2"/>
      <c r="SGH129" s="2"/>
      <c r="SGJ129" s="2"/>
      <c r="SGL129" s="2"/>
      <c r="SGN129" s="2"/>
      <c r="SGP129" s="2"/>
      <c r="SGR129" s="2"/>
      <c r="SGT129" s="2"/>
      <c r="SGV129" s="2"/>
      <c r="SGX129" s="2"/>
      <c r="SGZ129" s="2"/>
      <c r="SHB129" s="2"/>
      <c r="SHD129" s="2"/>
      <c r="SHF129" s="2"/>
      <c r="SHH129" s="2"/>
      <c r="SHJ129" s="2"/>
      <c r="SHL129" s="2"/>
      <c r="SHN129" s="2"/>
      <c r="SHP129" s="2"/>
      <c r="SHR129" s="2"/>
      <c r="SHT129" s="2"/>
      <c r="SHV129" s="2"/>
      <c r="SHX129" s="2"/>
      <c r="SHZ129" s="2"/>
      <c r="SIB129" s="2"/>
      <c r="SID129" s="2"/>
      <c r="SIF129" s="2"/>
      <c r="SIH129" s="2"/>
      <c r="SIJ129" s="2"/>
      <c r="SIL129" s="2"/>
      <c r="SIN129" s="2"/>
      <c r="SIP129" s="2"/>
      <c r="SIR129" s="2"/>
      <c r="SIT129" s="2"/>
      <c r="SIV129" s="2"/>
      <c r="SIX129" s="2"/>
      <c r="SIZ129" s="2"/>
      <c r="SJB129" s="2"/>
      <c r="SJD129" s="2"/>
      <c r="SJF129" s="2"/>
      <c r="SJH129" s="2"/>
      <c r="SJJ129" s="2"/>
      <c r="SJL129" s="2"/>
      <c r="SJN129" s="2"/>
      <c r="SJP129" s="2"/>
      <c r="SJR129" s="2"/>
      <c r="SJT129" s="2"/>
      <c r="SJV129" s="2"/>
      <c r="SJX129" s="2"/>
      <c r="SJZ129" s="2"/>
      <c r="SKB129" s="2"/>
      <c r="SKD129" s="2"/>
      <c r="SKF129" s="2"/>
      <c r="SKH129" s="2"/>
      <c r="SKJ129" s="2"/>
      <c r="SKL129" s="2"/>
      <c r="SKN129" s="2"/>
      <c r="SKP129" s="2"/>
      <c r="SKR129" s="2"/>
      <c r="SKT129" s="2"/>
      <c r="SKV129" s="2"/>
      <c r="SKX129" s="2"/>
      <c r="SKZ129" s="2"/>
      <c r="SLB129" s="2"/>
      <c r="SLD129" s="2"/>
      <c r="SLF129" s="2"/>
      <c r="SLH129" s="2"/>
      <c r="SLJ129" s="2"/>
      <c r="SLL129" s="2"/>
      <c r="SLN129" s="2"/>
      <c r="SLP129" s="2"/>
      <c r="SLR129" s="2"/>
      <c r="SLT129" s="2"/>
      <c r="SLV129" s="2"/>
      <c r="SLX129" s="2"/>
      <c r="SLZ129" s="2"/>
      <c r="SMB129" s="2"/>
      <c r="SMD129" s="2"/>
      <c r="SMF129" s="2"/>
      <c r="SMH129" s="2"/>
      <c r="SMJ129" s="2"/>
      <c r="SML129" s="2"/>
      <c r="SMN129" s="2"/>
      <c r="SMP129" s="2"/>
      <c r="SMR129" s="2"/>
      <c r="SMT129" s="2"/>
      <c r="SMV129" s="2"/>
      <c r="SMX129" s="2"/>
      <c r="SMZ129" s="2"/>
      <c r="SNB129" s="2"/>
      <c r="SND129" s="2"/>
      <c r="SNF129" s="2"/>
      <c r="SNH129" s="2"/>
      <c r="SNJ129" s="2"/>
      <c r="SNL129" s="2"/>
      <c r="SNN129" s="2"/>
      <c r="SNP129" s="2"/>
      <c r="SNR129" s="2"/>
      <c r="SNT129" s="2"/>
      <c r="SNV129" s="2"/>
      <c r="SNX129" s="2"/>
      <c r="SNZ129" s="2"/>
      <c r="SOB129" s="2"/>
      <c r="SOD129" s="2"/>
      <c r="SOF129" s="2"/>
      <c r="SOH129" s="2"/>
      <c r="SOJ129" s="2"/>
      <c r="SOL129" s="2"/>
      <c r="SON129" s="2"/>
      <c r="SOP129" s="2"/>
      <c r="SOR129" s="2"/>
      <c r="SOT129" s="2"/>
      <c r="SOV129" s="2"/>
      <c r="SOX129" s="2"/>
      <c r="SOZ129" s="2"/>
      <c r="SPB129" s="2"/>
      <c r="SPD129" s="2"/>
      <c r="SPF129" s="2"/>
      <c r="SPH129" s="2"/>
      <c r="SPJ129" s="2"/>
      <c r="SPL129" s="2"/>
      <c r="SPN129" s="2"/>
      <c r="SPP129" s="2"/>
      <c r="SPR129" s="2"/>
      <c r="SPT129" s="2"/>
      <c r="SPV129" s="2"/>
      <c r="SPX129" s="2"/>
      <c r="SPZ129" s="2"/>
      <c r="SQB129" s="2"/>
      <c r="SQD129" s="2"/>
      <c r="SQF129" s="2"/>
      <c r="SQH129" s="2"/>
      <c r="SQJ129" s="2"/>
      <c r="SQL129" s="2"/>
      <c r="SQN129" s="2"/>
      <c r="SQP129" s="2"/>
      <c r="SQR129" s="2"/>
      <c r="SQT129" s="2"/>
      <c r="SQV129" s="2"/>
      <c r="SQX129" s="2"/>
      <c r="SQZ129" s="2"/>
      <c r="SRB129" s="2"/>
      <c r="SRD129" s="2"/>
      <c r="SRF129" s="2"/>
      <c r="SRH129" s="2"/>
      <c r="SRJ129" s="2"/>
      <c r="SRL129" s="2"/>
      <c r="SRN129" s="2"/>
      <c r="SRP129" s="2"/>
      <c r="SRR129" s="2"/>
      <c r="SRT129" s="2"/>
      <c r="SRV129" s="2"/>
      <c r="SRX129" s="2"/>
      <c r="SRZ129" s="2"/>
      <c r="SSB129" s="2"/>
      <c r="SSD129" s="2"/>
      <c r="SSF129" s="2"/>
      <c r="SSH129" s="2"/>
      <c r="SSJ129" s="2"/>
      <c r="SSL129" s="2"/>
      <c r="SSN129" s="2"/>
      <c r="SSP129" s="2"/>
      <c r="SSR129" s="2"/>
      <c r="SST129" s="2"/>
      <c r="SSV129" s="2"/>
      <c r="SSX129" s="2"/>
      <c r="SSZ129" s="2"/>
      <c r="STB129" s="2"/>
      <c r="STD129" s="2"/>
      <c r="STF129" s="2"/>
      <c r="STH129" s="2"/>
      <c r="STJ129" s="2"/>
      <c r="STL129" s="2"/>
      <c r="STN129" s="2"/>
      <c r="STP129" s="2"/>
      <c r="STR129" s="2"/>
      <c r="STT129" s="2"/>
      <c r="STV129" s="2"/>
      <c r="STX129" s="2"/>
      <c r="STZ129" s="2"/>
      <c r="SUB129" s="2"/>
      <c r="SUD129" s="2"/>
      <c r="SUF129" s="2"/>
      <c r="SUH129" s="2"/>
      <c r="SUJ129" s="2"/>
      <c r="SUL129" s="2"/>
      <c r="SUN129" s="2"/>
      <c r="SUP129" s="2"/>
      <c r="SUR129" s="2"/>
      <c r="SUT129" s="2"/>
      <c r="SUV129" s="2"/>
      <c r="SUX129" s="2"/>
      <c r="SUZ129" s="2"/>
      <c r="SVB129" s="2"/>
      <c r="SVD129" s="2"/>
      <c r="SVF129" s="2"/>
      <c r="SVH129" s="2"/>
      <c r="SVJ129" s="2"/>
      <c r="SVL129" s="2"/>
      <c r="SVN129" s="2"/>
      <c r="SVP129" s="2"/>
      <c r="SVR129" s="2"/>
      <c r="SVT129" s="2"/>
      <c r="SVV129" s="2"/>
      <c r="SVX129" s="2"/>
      <c r="SVZ129" s="2"/>
      <c r="SWB129" s="2"/>
      <c r="SWD129" s="2"/>
      <c r="SWF129" s="2"/>
      <c r="SWH129" s="2"/>
      <c r="SWJ129" s="2"/>
      <c r="SWL129" s="2"/>
      <c r="SWN129" s="2"/>
      <c r="SWP129" s="2"/>
      <c r="SWR129" s="2"/>
      <c r="SWT129" s="2"/>
      <c r="SWV129" s="2"/>
      <c r="SWX129" s="2"/>
      <c r="SWZ129" s="2"/>
      <c r="SXB129" s="2"/>
      <c r="SXD129" s="2"/>
      <c r="SXF129" s="2"/>
      <c r="SXH129" s="2"/>
      <c r="SXJ129" s="2"/>
      <c r="SXL129" s="2"/>
      <c r="SXN129" s="2"/>
      <c r="SXP129" s="2"/>
      <c r="SXR129" s="2"/>
      <c r="SXT129" s="2"/>
      <c r="SXV129" s="2"/>
      <c r="SXX129" s="2"/>
      <c r="SXZ129" s="2"/>
      <c r="SYB129" s="2"/>
      <c r="SYD129" s="2"/>
      <c r="SYF129" s="2"/>
      <c r="SYH129" s="2"/>
      <c r="SYJ129" s="2"/>
      <c r="SYL129" s="2"/>
      <c r="SYN129" s="2"/>
      <c r="SYP129" s="2"/>
      <c r="SYR129" s="2"/>
      <c r="SYT129" s="2"/>
      <c r="SYV129" s="2"/>
      <c r="SYX129" s="2"/>
      <c r="SYZ129" s="2"/>
      <c r="SZB129" s="2"/>
      <c r="SZD129" s="2"/>
      <c r="SZF129" s="2"/>
      <c r="SZH129" s="2"/>
      <c r="SZJ129" s="2"/>
      <c r="SZL129" s="2"/>
      <c r="SZN129" s="2"/>
      <c r="SZP129" s="2"/>
      <c r="SZR129" s="2"/>
      <c r="SZT129" s="2"/>
      <c r="SZV129" s="2"/>
      <c r="SZX129" s="2"/>
      <c r="SZZ129" s="2"/>
      <c r="TAB129" s="2"/>
      <c r="TAD129" s="2"/>
      <c r="TAF129" s="2"/>
      <c r="TAH129" s="2"/>
      <c r="TAJ129" s="2"/>
      <c r="TAL129" s="2"/>
      <c r="TAN129" s="2"/>
      <c r="TAP129" s="2"/>
      <c r="TAR129" s="2"/>
      <c r="TAT129" s="2"/>
      <c r="TAV129" s="2"/>
      <c r="TAX129" s="2"/>
      <c r="TAZ129" s="2"/>
      <c r="TBB129" s="2"/>
      <c r="TBD129" s="2"/>
      <c r="TBF129" s="2"/>
      <c r="TBH129" s="2"/>
      <c r="TBJ129" s="2"/>
      <c r="TBL129" s="2"/>
      <c r="TBN129" s="2"/>
      <c r="TBP129" s="2"/>
      <c r="TBR129" s="2"/>
      <c r="TBT129" s="2"/>
      <c r="TBV129" s="2"/>
      <c r="TBX129" s="2"/>
      <c r="TBZ129" s="2"/>
      <c r="TCB129" s="2"/>
      <c r="TCD129" s="2"/>
      <c r="TCF129" s="2"/>
      <c r="TCH129" s="2"/>
      <c r="TCJ129" s="2"/>
      <c r="TCL129" s="2"/>
      <c r="TCN129" s="2"/>
      <c r="TCP129" s="2"/>
      <c r="TCR129" s="2"/>
      <c r="TCT129" s="2"/>
      <c r="TCV129" s="2"/>
      <c r="TCX129" s="2"/>
      <c r="TCZ129" s="2"/>
      <c r="TDB129" s="2"/>
      <c r="TDD129" s="2"/>
      <c r="TDF129" s="2"/>
      <c r="TDH129" s="2"/>
      <c r="TDJ129" s="2"/>
      <c r="TDL129" s="2"/>
      <c r="TDN129" s="2"/>
      <c r="TDP129" s="2"/>
      <c r="TDR129" s="2"/>
      <c r="TDT129" s="2"/>
      <c r="TDV129" s="2"/>
      <c r="TDX129" s="2"/>
      <c r="TDZ129" s="2"/>
      <c r="TEB129" s="2"/>
      <c r="TED129" s="2"/>
      <c r="TEF129" s="2"/>
      <c r="TEH129" s="2"/>
      <c r="TEJ129" s="2"/>
      <c r="TEL129" s="2"/>
      <c r="TEN129" s="2"/>
      <c r="TEP129" s="2"/>
      <c r="TER129" s="2"/>
      <c r="TET129" s="2"/>
      <c r="TEV129" s="2"/>
      <c r="TEX129" s="2"/>
      <c r="TEZ129" s="2"/>
      <c r="TFB129" s="2"/>
      <c r="TFD129" s="2"/>
      <c r="TFF129" s="2"/>
      <c r="TFH129" s="2"/>
      <c r="TFJ129" s="2"/>
      <c r="TFL129" s="2"/>
      <c r="TFN129" s="2"/>
      <c r="TFP129" s="2"/>
      <c r="TFR129" s="2"/>
      <c r="TFT129" s="2"/>
      <c r="TFV129" s="2"/>
      <c r="TFX129" s="2"/>
      <c r="TFZ129" s="2"/>
      <c r="TGB129" s="2"/>
      <c r="TGD129" s="2"/>
      <c r="TGF129" s="2"/>
      <c r="TGH129" s="2"/>
      <c r="TGJ129" s="2"/>
      <c r="TGL129" s="2"/>
      <c r="TGN129" s="2"/>
      <c r="TGP129" s="2"/>
      <c r="TGR129" s="2"/>
      <c r="TGT129" s="2"/>
      <c r="TGV129" s="2"/>
      <c r="TGX129" s="2"/>
      <c r="TGZ129" s="2"/>
      <c r="THB129" s="2"/>
      <c r="THD129" s="2"/>
      <c r="THF129" s="2"/>
      <c r="THH129" s="2"/>
      <c r="THJ129" s="2"/>
      <c r="THL129" s="2"/>
      <c r="THN129" s="2"/>
      <c r="THP129" s="2"/>
      <c r="THR129" s="2"/>
      <c r="THT129" s="2"/>
      <c r="THV129" s="2"/>
      <c r="THX129" s="2"/>
      <c r="THZ129" s="2"/>
      <c r="TIB129" s="2"/>
      <c r="TID129" s="2"/>
      <c r="TIF129" s="2"/>
      <c r="TIH129" s="2"/>
      <c r="TIJ129" s="2"/>
      <c r="TIL129" s="2"/>
      <c r="TIN129" s="2"/>
      <c r="TIP129" s="2"/>
      <c r="TIR129" s="2"/>
      <c r="TIT129" s="2"/>
      <c r="TIV129" s="2"/>
      <c r="TIX129" s="2"/>
      <c r="TIZ129" s="2"/>
      <c r="TJB129" s="2"/>
      <c r="TJD129" s="2"/>
      <c r="TJF129" s="2"/>
      <c r="TJH129" s="2"/>
      <c r="TJJ129" s="2"/>
      <c r="TJL129" s="2"/>
      <c r="TJN129" s="2"/>
      <c r="TJP129" s="2"/>
      <c r="TJR129" s="2"/>
      <c r="TJT129" s="2"/>
      <c r="TJV129" s="2"/>
      <c r="TJX129" s="2"/>
      <c r="TJZ129" s="2"/>
      <c r="TKB129" s="2"/>
      <c r="TKD129" s="2"/>
      <c r="TKF129" s="2"/>
      <c r="TKH129" s="2"/>
      <c r="TKJ129" s="2"/>
      <c r="TKL129" s="2"/>
      <c r="TKN129" s="2"/>
      <c r="TKP129" s="2"/>
      <c r="TKR129" s="2"/>
      <c r="TKT129" s="2"/>
      <c r="TKV129" s="2"/>
      <c r="TKX129" s="2"/>
      <c r="TKZ129" s="2"/>
      <c r="TLB129" s="2"/>
      <c r="TLD129" s="2"/>
      <c r="TLF129" s="2"/>
      <c r="TLH129" s="2"/>
      <c r="TLJ129" s="2"/>
      <c r="TLL129" s="2"/>
      <c r="TLN129" s="2"/>
      <c r="TLP129" s="2"/>
      <c r="TLR129" s="2"/>
      <c r="TLT129" s="2"/>
      <c r="TLV129" s="2"/>
      <c r="TLX129" s="2"/>
      <c r="TLZ129" s="2"/>
      <c r="TMB129" s="2"/>
      <c r="TMD129" s="2"/>
      <c r="TMF129" s="2"/>
      <c r="TMH129" s="2"/>
      <c r="TMJ129" s="2"/>
      <c r="TML129" s="2"/>
      <c r="TMN129" s="2"/>
      <c r="TMP129" s="2"/>
      <c r="TMR129" s="2"/>
      <c r="TMT129" s="2"/>
      <c r="TMV129" s="2"/>
      <c r="TMX129" s="2"/>
      <c r="TMZ129" s="2"/>
      <c r="TNB129" s="2"/>
      <c r="TND129" s="2"/>
      <c r="TNF129" s="2"/>
      <c r="TNH129" s="2"/>
      <c r="TNJ129" s="2"/>
      <c r="TNL129" s="2"/>
      <c r="TNN129" s="2"/>
      <c r="TNP129" s="2"/>
      <c r="TNR129" s="2"/>
      <c r="TNT129" s="2"/>
      <c r="TNV129" s="2"/>
      <c r="TNX129" s="2"/>
      <c r="TNZ129" s="2"/>
      <c r="TOB129" s="2"/>
      <c r="TOD129" s="2"/>
      <c r="TOF129" s="2"/>
      <c r="TOH129" s="2"/>
      <c r="TOJ129" s="2"/>
      <c r="TOL129" s="2"/>
      <c r="TON129" s="2"/>
      <c r="TOP129" s="2"/>
      <c r="TOR129" s="2"/>
      <c r="TOT129" s="2"/>
      <c r="TOV129" s="2"/>
      <c r="TOX129" s="2"/>
      <c r="TOZ129" s="2"/>
      <c r="TPB129" s="2"/>
      <c r="TPD129" s="2"/>
      <c r="TPF129" s="2"/>
      <c r="TPH129" s="2"/>
      <c r="TPJ129" s="2"/>
      <c r="TPL129" s="2"/>
      <c r="TPN129" s="2"/>
      <c r="TPP129" s="2"/>
      <c r="TPR129" s="2"/>
      <c r="TPT129" s="2"/>
      <c r="TPV129" s="2"/>
      <c r="TPX129" s="2"/>
      <c r="TPZ129" s="2"/>
      <c r="TQB129" s="2"/>
      <c r="TQD129" s="2"/>
      <c r="TQF129" s="2"/>
      <c r="TQH129" s="2"/>
      <c r="TQJ129" s="2"/>
      <c r="TQL129" s="2"/>
      <c r="TQN129" s="2"/>
      <c r="TQP129" s="2"/>
      <c r="TQR129" s="2"/>
      <c r="TQT129" s="2"/>
      <c r="TQV129" s="2"/>
      <c r="TQX129" s="2"/>
      <c r="TQZ129" s="2"/>
      <c r="TRB129" s="2"/>
      <c r="TRD129" s="2"/>
      <c r="TRF129" s="2"/>
      <c r="TRH129" s="2"/>
      <c r="TRJ129" s="2"/>
      <c r="TRL129" s="2"/>
      <c r="TRN129" s="2"/>
      <c r="TRP129" s="2"/>
      <c r="TRR129" s="2"/>
      <c r="TRT129" s="2"/>
      <c r="TRV129" s="2"/>
      <c r="TRX129" s="2"/>
      <c r="TRZ129" s="2"/>
      <c r="TSB129" s="2"/>
      <c r="TSD129" s="2"/>
      <c r="TSF129" s="2"/>
      <c r="TSH129" s="2"/>
      <c r="TSJ129" s="2"/>
      <c r="TSL129" s="2"/>
      <c r="TSN129" s="2"/>
      <c r="TSP129" s="2"/>
      <c r="TSR129" s="2"/>
      <c r="TST129" s="2"/>
      <c r="TSV129" s="2"/>
      <c r="TSX129" s="2"/>
      <c r="TSZ129" s="2"/>
      <c r="TTB129" s="2"/>
      <c r="TTD129" s="2"/>
      <c r="TTF129" s="2"/>
      <c r="TTH129" s="2"/>
      <c r="TTJ129" s="2"/>
      <c r="TTL129" s="2"/>
      <c r="TTN129" s="2"/>
      <c r="TTP129" s="2"/>
      <c r="TTR129" s="2"/>
      <c r="TTT129" s="2"/>
      <c r="TTV129" s="2"/>
      <c r="TTX129" s="2"/>
      <c r="TTZ129" s="2"/>
      <c r="TUB129" s="2"/>
      <c r="TUD129" s="2"/>
      <c r="TUF129" s="2"/>
      <c r="TUH129" s="2"/>
      <c r="TUJ129" s="2"/>
      <c r="TUL129" s="2"/>
      <c r="TUN129" s="2"/>
      <c r="TUP129" s="2"/>
      <c r="TUR129" s="2"/>
      <c r="TUT129" s="2"/>
      <c r="TUV129" s="2"/>
      <c r="TUX129" s="2"/>
      <c r="TUZ129" s="2"/>
      <c r="TVB129" s="2"/>
      <c r="TVD129" s="2"/>
      <c r="TVF129" s="2"/>
      <c r="TVH129" s="2"/>
      <c r="TVJ129" s="2"/>
      <c r="TVL129" s="2"/>
      <c r="TVN129" s="2"/>
      <c r="TVP129" s="2"/>
      <c r="TVR129" s="2"/>
      <c r="TVT129" s="2"/>
      <c r="TVV129" s="2"/>
      <c r="TVX129" s="2"/>
      <c r="TVZ129" s="2"/>
      <c r="TWB129" s="2"/>
      <c r="TWD129" s="2"/>
      <c r="TWF129" s="2"/>
      <c r="TWH129" s="2"/>
      <c r="TWJ129" s="2"/>
      <c r="TWL129" s="2"/>
      <c r="TWN129" s="2"/>
      <c r="TWP129" s="2"/>
      <c r="TWR129" s="2"/>
      <c r="TWT129" s="2"/>
      <c r="TWV129" s="2"/>
      <c r="TWX129" s="2"/>
      <c r="TWZ129" s="2"/>
      <c r="TXB129" s="2"/>
      <c r="TXD129" s="2"/>
      <c r="TXF129" s="2"/>
      <c r="TXH129" s="2"/>
      <c r="TXJ129" s="2"/>
      <c r="TXL129" s="2"/>
      <c r="TXN129" s="2"/>
      <c r="TXP129" s="2"/>
      <c r="TXR129" s="2"/>
      <c r="TXT129" s="2"/>
      <c r="TXV129" s="2"/>
      <c r="TXX129" s="2"/>
      <c r="TXZ129" s="2"/>
      <c r="TYB129" s="2"/>
      <c r="TYD129" s="2"/>
      <c r="TYF129" s="2"/>
      <c r="TYH129" s="2"/>
      <c r="TYJ129" s="2"/>
      <c r="TYL129" s="2"/>
      <c r="TYN129" s="2"/>
      <c r="TYP129" s="2"/>
      <c r="TYR129" s="2"/>
      <c r="TYT129" s="2"/>
      <c r="TYV129" s="2"/>
      <c r="TYX129" s="2"/>
      <c r="TYZ129" s="2"/>
      <c r="TZB129" s="2"/>
      <c r="TZD129" s="2"/>
      <c r="TZF129" s="2"/>
      <c r="TZH129" s="2"/>
      <c r="TZJ129" s="2"/>
      <c r="TZL129" s="2"/>
      <c r="TZN129" s="2"/>
      <c r="TZP129" s="2"/>
      <c r="TZR129" s="2"/>
      <c r="TZT129" s="2"/>
      <c r="TZV129" s="2"/>
      <c r="TZX129" s="2"/>
      <c r="TZZ129" s="2"/>
      <c r="UAB129" s="2"/>
      <c r="UAD129" s="2"/>
      <c r="UAF129" s="2"/>
      <c r="UAH129" s="2"/>
      <c r="UAJ129" s="2"/>
      <c r="UAL129" s="2"/>
      <c r="UAN129" s="2"/>
      <c r="UAP129" s="2"/>
      <c r="UAR129" s="2"/>
      <c r="UAT129" s="2"/>
      <c r="UAV129" s="2"/>
      <c r="UAX129" s="2"/>
      <c r="UAZ129" s="2"/>
      <c r="UBB129" s="2"/>
      <c r="UBD129" s="2"/>
      <c r="UBF129" s="2"/>
      <c r="UBH129" s="2"/>
      <c r="UBJ129" s="2"/>
      <c r="UBL129" s="2"/>
      <c r="UBN129" s="2"/>
      <c r="UBP129" s="2"/>
      <c r="UBR129" s="2"/>
      <c r="UBT129" s="2"/>
      <c r="UBV129" s="2"/>
      <c r="UBX129" s="2"/>
      <c r="UBZ129" s="2"/>
      <c r="UCB129" s="2"/>
      <c r="UCD129" s="2"/>
      <c r="UCF129" s="2"/>
      <c r="UCH129" s="2"/>
      <c r="UCJ129" s="2"/>
      <c r="UCL129" s="2"/>
      <c r="UCN129" s="2"/>
      <c r="UCP129" s="2"/>
      <c r="UCR129" s="2"/>
      <c r="UCT129" s="2"/>
      <c r="UCV129" s="2"/>
      <c r="UCX129" s="2"/>
      <c r="UCZ129" s="2"/>
      <c r="UDB129" s="2"/>
      <c r="UDD129" s="2"/>
      <c r="UDF129" s="2"/>
      <c r="UDH129" s="2"/>
      <c r="UDJ129" s="2"/>
      <c r="UDL129" s="2"/>
      <c r="UDN129" s="2"/>
      <c r="UDP129" s="2"/>
      <c r="UDR129" s="2"/>
      <c r="UDT129" s="2"/>
      <c r="UDV129" s="2"/>
      <c r="UDX129" s="2"/>
      <c r="UDZ129" s="2"/>
      <c r="UEB129" s="2"/>
      <c r="UED129" s="2"/>
      <c r="UEF129" s="2"/>
      <c r="UEH129" s="2"/>
      <c r="UEJ129" s="2"/>
      <c r="UEL129" s="2"/>
      <c r="UEN129" s="2"/>
      <c r="UEP129" s="2"/>
      <c r="UER129" s="2"/>
      <c r="UET129" s="2"/>
      <c r="UEV129" s="2"/>
      <c r="UEX129" s="2"/>
      <c r="UEZ129" s="2"/>
      <c r="UFB129" s="2"/>
      <c r="UFD129" s="2"/>
      <c r="UFF129" s="2"/>
      <c r="UFH129" s="2"/>
      <c r="UFJ129" s="2"/>
      <c r="UFL129" s="2"/>
      <c r="UFN129" s="2"/>
      <c r="UFP129" s="2"/>
      <c r="UFR129" s="2"/>
      <c r="UFT129" s="2"/>
      <c r="UFV129" s="2"/>
      <c r="UFX129" s="2"/>
      <c r="UFZ129" s="2"/>
      <c r="UGB129" s="2"/>
      <c r="UGD129" s="2"/>
      <c r="UGF129" s="2"/>
      <c r="UGH129" s="2"/>
      <c r="UGJ129" s="2"/>
      <c r="UGL129" s="2"/>
      <c r="UGN129" s="2"/>
      <c r="UGP129" s="2"/>
      <c r="UGR129" s="2"/>
      <c r="UGT129" s="2"/>
      <c r="UGV129" s="2"/>
      <c r="UGX129" s="2"/>
      <c r="UGZ129" s="2"/>
      <c r="UHB129" s="2"/>
      <c r="UHD129" s="2"/>
      <c r="UHF129" s="2"/>
      <c r="UHH129" s="2"/>
      <c r="UHJ129" s="2"/>
      <c r="UHL129" s="2"/>
      <c r="UHN129" s="2"/>
      <c r="UHP129" s="2"/>
      <c r="UHR129" s="2"/>
      <c r="UHT129" s="2"/>
      <c r="UHV129" s="2"/>
      <c r="UHX129" s="2"/>
      <c r="UHZ129" s="2"/>
      <c r="UIB129" s="2"/>
      <c r="UID129" s="2"/>
      <c r="UIF129" s="2"/>
      <c r="UIH129" s="2"/>
      <c r="UIJ129" s="2"/>
      <c r="UIL129" s="2"/>
      <c r="UIN129" s="2"/>
      <c r="UIP129" s="2"/>
      <c r="UIR129" s="2"/>
      <c r="UIT129" s="2"/>
      <c r="UIV129" s="2"/>
      <c r="UIX129" s="2"/>
      <c r="UIZ129" s="2"/>
      <c r="UJB129" s="2"/>
      <c r="UJD129" s="2"/>
      <c r="UJF129" s="2"/>
      <c r="UJH129" s="2"/>
      <c r="UJJ129" s="2"/>
      <c r="UJL129" s="2"/>
      <c r="UJN129" s="2"/>
      <c r="UJP129" s="2"/>
      <c r="UJR129" s="2"/>
      <c r="UJT129" s="2"/>
      <c r="UJV129" s="2"/>
      <c r="UJX129" s="2"/>
      <c r="UJZ129" s="2"/>
      <c r="UKB129" s="2"/>
      <c r="UKD129" s="2"/>
      <c r="UKF129" s="2"/>
      <c r="UKH129" s="2"/>
      <c r="UKJ129" s="2"/>
      <c r="UKL129" s="2"/>
      <c r="UKN129" s="2"/>
      <c r="UKP129" s="2"/>
      <c r="UKR129" s="2"/>
      <c r="UKT129" s="2"/>
      <c r="UKV129" s="2"/>
      <c r="UKX129" s="2"/>
      <c r="UKZ129" s="2"/>
      <c r="ULB129" s="2"/>
      <c r="ULD129" s="2"/>
      <c r="ULF129" s="2"/>
      <c r="ULH129" s="2"/>
      <c r="ULJ129" s="2"/>
      <c r="ULL129" s="2"/>
      <c r="ULN129" s="2"/>
      <c r="ULP129" s="2"/>
      <c r="ULR129" s="2"/>
      <c r="ULT129" s="2"/>
      <c r="ULV129" s="2"/>
      <c r="ULX129" s="2"/>
      <c r="ULZ129" s="2"/>
      <c r="UMB129" s="2"/>
      <c r="UMD129" s="2"/>
      <c r="UMF129" s="2"/>
      <c r="UMH129" s="2"/>
      <c r="UMJ129" s="2"/>
      <c r="UML129" s="2"/>
      <c r="UMN129" s="2"/>
      <c r="UMP129" s="2"/>
      <c r="UMR129" s="2"/>
      <c r="UMT129" s="2"/>
      <c r="UMV129" s="2"/>
      <c r="UMX129" s="2"/>
      <c r="UMZ129" s="2"/>
      <c r="UNB129" s="2"/>
      <c r="UND129" s="2"/>
      <c r="UNF129" s="2"/>
      <c r="UNH129" s="2"/>
      <c r="UNJ129" s="2"/>
      <c r="UNL129" s="2"/>
      <c r="UNN129" s="2"/>
      <c r="UNP129" s="2"/>
      <c r="UNR129" s="2"/>
      <c r="UNT129" s="2"/>
      <c r="UNV129" s="2"/>
      <c r="UNX129" s="2"/>
      <c r="UNZ129" s="2"/>
      <c r="UOB129" s="2"/>
      <c r="UOD129" s="2"/>
      <c r="UOF129" s="2"/>
      <c r="UOH129" s="2"/>
      <c r="UOJ129" s="2"/>
      <c r="UOL129" s="2"/>
      <c r="UON129" s="2"/>
      <c r="UOP129" s="2"/>
      <c r="UOR129" s="2"/>
      <c r="UOT129" s="2"/>
      <c r="UOV129" s="2"/>
      <c r="UOX129" s="2"/>
      <c r="UOZ129" s="2"/>
      <c r="UPB129" s="2"/>
      <c r="UPD129" s="2"/>
      <c r="UPF129" s="2"/>
      <c r="UPH129" s="2"/>
      <c r="UPJ129" s="2"/>
      <c r="UPL129" s="2"/>
      <c r="UPN129" s="2"/>
      <c r="UPP129" s="2"/>
      <c r="UPR129" s="2"/>
      <c r="UPT129" s="2"/>
      <c r="UPV129" s="2"/>
      <c r="UPX129" s="2"/>
      <c r="UPZ129" s="2"/>
      <c r="UQB129" s="2"/>
      <c r="UQD129" s="2"/>
      <c r="UQF129" s="2"/>
      <c r="UQH129" s="2"/>
      <c r="UQJ129" s="2"/>
      <c r="UQL129" s="2"/>
      <c r="UQN129" s="2"/>
      <c r="UQP129" s="2"/>
      <c r="UQR129" s="2"/>
      <c r="UQT129" s="2"/>
      <c r="UQV129" s="2"/>
      <c r="UQX129" s="2"/>
      <c r="UQZ129" s="2"/>
      <c r="URB129" s="2"/>
      <c r="URD129" s="2"/>
      <c r="URF129" s="2"/>
      <c r="URH129" s="2"/>
      <c r="URJ129" s="2"/>
      <c r="URL129" s="2"/>
      <c r="URN129" s="2"/>
      <c r="URP129" s="2"/>
      <c r="URR129" s="2"/>
      <c r="URT129" s="2"/>
      <c r="URV129" s="2"/>
      <c r="URX129" s="2"/>
      <c r="URZ129" s="2"/>
      <c r="USB129" s="2"/>
      <c r="USD129" s="2"/>
      <c r="USF129" s="2"/>
      <c r="USH129" s="2"/>
      <c r="USJ129" s="2"/>
      <c r="USL129" s="2"/>
      <c r="USN129" s="2"/>
      <c r="USP129" s="2"/>
      <c r="USR129" s="2"/>
      <c r="UST129" s="2"/>
      <c r="USV129" s="2"/>
      <c r="USX129" s="2"/>
      <c r="USZ129" s="2"/>
      <c r="UTB129" s="2"/>
      <c r="UTD129" s="2"/>
      <c r="UTF129" s="2"/>
      <c r="UTH129" s="2"/>
      <c r="UTJ129" s="2"/>
      <c r="UTL129" s="2"/>
      <c r="UTN129" s="2"/>
      <c r="UTP129" s="2"/>
      <c r="UTR129" s="2"/>
      <c r="UTT129" s="2"/>
      <c r="UTV129" s="2"/>
      <c r="UTX129" s="2"/>
      <c r="UTZ129" s="2"/>
      <c r="UUB129" s="2"/>
      <c r="UUD129" s="2"/>
      <c r="UUF129" s="2"/>
      <c r="UUH129" s="2"/>
      <c r="UUJ129" s="2"/>
      <c r="UUL129" s="2"/>
      <c r="UUN129" s="2"/>
      <c r="UUP129" s="2"/>
      <c r="UUR129" s="2"/>
      <c r="UUT129" s="2"/>
      <c r="UUV129" s="2"/>
      <c r="UUX129" s="2"/>
      <c r="UUZ129" s="2"/>
      <c r="UVB129" s="2"/>
      <c r="UVD129" s="2"/>
      <c r="UVF129" s="2"/>
      <c r="UVH129" s="2"/>
      <c r="UVJ129" s="2"/>
      <c r="UVL129" s="2"/>
      <c r="UVN129" s="2"/>
      <c r="UVP129" s="2"/>
      <c r="UVR129" s="2"/>
      <c r="UVT129" s="2"/>
      <c r="UVV129" s="2"/>
      <c r="UVX129" s="2"/>
      <c r="UVZ129" s="2"/>
      <c r="UWB129" s="2"/>
      <c r="UWD129" s="2"/>
      <c r="UWF129" s="2"/>
      <c r="UWH129" s="2"/>
      <c r="UWJ129" s="2"/>
      <c r="UWL129" s="2"/>
      <c r="UWN129" s="2"/>
      <c r="UWP129" s="2"/>
      <c r="UWR129" s="2"/>
      <c r="UWT129" s="2"/>
      <c r="UWV129" s="2"/>
      <c r="UWX129" s="2"/>
      <c r="UWZ129" s="2"/>
      <c r="UXB129" s="2"/>
      <c r="UXD129" s="2"/>
      <c r="UXF129" s="2"/>
      <c r="UXH129" s="2"/>
      <c r="UXJ129" s="2"/>
      <c r="UXL129" s="2"/>
      <c r="UXN129" s="2"/>
      <c r="UXP129" s="2"/>
      <c r="UXR129" s="2"/>
      <c r="UXT129" s="2"/>
      <c r="UXV129" s="2"/>
      <c r="UXX129" s="2"/>
      <c r="UXZ129" s="2"/>
      <c r="UYB129" s="2"/>
      <c r="UYD129" s="2"/>
      <c r="UYF129" s="2"/>
      <c r="UYH129" s="2"/>
      <c r="UYJ129" s="2"/>
      <c r="UYL129" s="2"/>
      <c r="UYN129" s="2"/>
      <c r="UYP129" s="2"/>
      <c r="UYR129" s="2"/>
      <c r="UYT129" s="2"/>
      <c r="UYV129" s="2"/>
      <c r="UYX129" s="2"/>
      <c r="UYZ129" s="2"/>
      <c r="UZB129" s="2"/>
      <c r="UZD129" s="2"/>
      <c r="UZF129" s="2"/>
      <c r="UZH129" s="2"/>
      <c r="UZJ129" s="2"/>
      <c r="UZL129" s="2"/>
      <c r="UZN129" s="2"/>
      <c r="UZP129" s="2"/>
      <c r="UZR129" s="2"/>
      <c r="UZT129" s="2"/>
      <c r="UZV129" s="2"/>
      <c r="UZX129" s="2"/>
      <c r="UZZ129" s="2"/>
      <c r="VAB129" s="2"/>
      <c r="VAD129" s="2"/>
      <c r="VAF129" s="2"/>
      <c r="VAH129" s="2"/>
      <c r="VAJ129" s="2"/>
      <c r="VAL129" s="2"/>
      <c r="VAN129" s="2"/>
      <c r="VAP129" s="2"/>
      <c r="VAR129" s="2"/>
      <c r="VAT129" s="2"/>
      <c r="VAV129" s="2"/>
      <c r="VAX129" s="2"/>
      <c r="VAZ129" s="2"/>
      <c r="VBB129" s="2"/>
      <c r="VBD129" s="2"/>
      <c r="VBF129" s="2"/>
      <c r="VBH129" s="2"/>
      <c r="VBJ129" s="2"/>
      <c r="VBL129" s="2"/>
      <c r="VBN129" s="2"/>
      <c r="VBP129" s="2"/>
      <c r="VBR129" s="2"/>
      <c r="VBT129" s="2"/>
      <c r="VBV129" s="2"/>
      <c r="VBX129" s="2"/>
      <c r="VBZ129" s="2"/>
      <c r="VCB129" s="2"/>
      <c r="VCD129" s="2"/>
      <c r="VCF129" s="2"/>
      <c r="VCH129" s="2"/>
      <c r="VCJ129" s="2"/>
      <c r="VCL129" s="2"/>
      <c r="VCN129" s="2"/>
      <c r="VCP129" s="2"/>
      <c r="VCR129" s="2"/>
      <c r="VCT129" s="2"/>
      <c r="VCV129" s="2"/>
      <c r="VCX129" s="2"/>
      <c r="VCZ129" s="2"/>
      <c r="VDB129" s="2"/>
      <c r="VDD129" s="2"/>
      <c r="VDF129" s="2"/>
      <c r="VDH129" s="2"/>
      <c r="VDJ129" s="2"/>
      <c r="VDL129" s="2"/>
      <c r="VDN129" s="2"/>
      <c r="VDP129" s="2"/>
      <c r="VDR129" s="2"/>
      <c r="VDT129" s="2"/>
      <c r="VDV129" s="2"/>
      <c r="VDX129" s="2"/>
      <c r="VDZ129" s="2"/>
      <c r="VEB129" s="2"/>
      <c r="VED129" s="2"/>
      <c r="VEF129" s="2"/>
      <c r="VEH129" s="2"/>
      <c r="VEJ129" s="2"/>
      <c r="VEL129" s="2"/>
      <c r="VEN129" s="2"/>
      <c r="VEP129" s="2"/>
      <c r="VER129" s="2"/>
      <c r="VET129" s="2"/>
      <c r="VEV129" s="2"/>
      <c r="VEX129" s="2"/>
      <c r="VEZ129" s="2"/>
      <c r="VFB129" s="2"/>
      <c r="VFD129" s="2"/>
      <c r="VFF129" s="2"/>
      <c r="VFH129" s="2"/>
      <c r="VFJ129" s="2"/>
      <c r="VFL129" s="2"/>
      <c r="VFN129" s="2"/>
      <c r="VFP129" s="2"/>
      <c r="VFR129" s="2"/>
      <c r="VFT129" s="2"/>
      <c r="VFV129" s="2"/>
      <c r="VFX129" s="2"/>
      <c r="VFZ129" s="2"/>
      <c r="VGB129" s="2"/>
      <c r="VGD129" s="2"/>
      <c r="VGF129" s="2"/>
      <c r="VGH129" s="2"/>
      <c r="VGJ129" s="2"/>
      <c r="VGL129" s="2"/>
      <c r="VGN129" s="2"/>
      <c r="VGP129" s="2"/>
      <c r="VGR129" s="2"/>
      <c r="VGT129" s="2"/>
      <c r="VGV129" s="2"/>
      <c r="VGX129" s="2"/>
      <c r="VGZ129" s="2"/>
      <c r="VHB129" s="2"/>
      <c r="VHD129" s="2"/>
      <c r="VHF129" s="2"/>
      <c r="VHH129" s="2"/>
      <c r="VHJ129" s="2"/>
      <c r="VHL129" s="2"/>
      <c r="VHN129" s="2"/>
      <c r="VHP129" s="2"/>
      <c r="VHR129" s="2"/>
      <c r="VHT129" s="2"/>
      <c r="VHV129" s="2"/>
      <c r="VHX129" s="2"/>
      <c r="VHZ129" s="2"/>
      <c r="VIB129" s="2"/>
      <c r="VID129" s="2"/>
      <c r="VIF129" s="2"/>
      <c r="VIH129" s="2"/>
      <c r="VIJ129" s="2"/>
      <c r="VIL129" s="2"/>
      <c r="VIN129" s="2"/>
      <c r="VIP129" s="2"/>
      <c r="VIR129" s="2"/>
      <c r="VIT129" s="2"/>
      <c r="VIV129" s="2"/>
      <c r="VIX129" s="2"/>
      <c r="VIZ129" s="2"/>
      <c r="VJB129" s="2"/>
      <c r="VJD129" s="2"/>
      <c r="VJF129" s="2"/>
      <c r="VJH129" s="2"/>
      <c r="VJJ129" s="2"/>
      <c r="VJL129" s="2"/>
      <c r="VJN129" s="2"/>
      <c r="VJP129" s="2"/>
      <c r="VJR129" s="2"/>
      <c r="VJT129" s="2"/>
      <c r="VJV129" s="2"/>
      <c r="VJX129" s="2"/>
      <c r="VJZ129" s="2"/>
      <c r="VKB129" s="2"/>
      <c r="VKD129" s="2"/>
      <c r="VKF129" s="2"/>
      <c r="VKH129" s="2"/>
      <c r="VKJ129" s="2"/>
      <c r="VKL129" s="2"/>
      <c r="VKN129" s="2"/>
      <c r="VKP129" s="2"/>
      <c r="VKR129" s="2"/>
      <c r="VKT129" s="2"/>
      <c r="VKV129" s="2"/>
      <c r="VKX129" s="2"/>
      <c r="VKZ129" s="2"/>
      <c r="VLB129" s="2"/>
      <c r="VLD129" s="2"/>
      <c r="VLF129" s="2"/>
      <c r="VLH129" s="2"/>
      <c r="VLJ129" s="2"/>
      <c r="VLL129" s="2"/>
      <c r="VLN129" s="2"/>
      <c r="VLP129" s="2"/>
      <c r="VLR129" s="2"/>
      <c r="VLT129" s="2"/>
      <c r="VLV129" s="2"/>
      <c r="VLX129" s="2"/>
      <c r="VLZ129" s="2"/>
      <c r="VMB129" s="2"/>
      <c r="VMD129" s="2"/>
      <c r="VMF129" s="2"/>
      <c r="VMH129" s="2"/>
      <c r="VMJ129" s="2"/>
      <c r="VML129" s="2"/>
      <c r="VMN129" s="2"/>
      <c r="VMP129" s="2"/>
      <c r="VMR129" s="2"/>
      <c r="VMT129" s="2"/>
      <c r="VMV129" s="2"/>
      <c r="VMX129" s="2"/>
      <c r="VMZ129" s="2"/>
      <c r="VNB129" s="2"/>
      <c r="VND129" s="2"/>
      <c r="VNF129" s="2"/>
      <c r="VNH129" s="2"/>
      <c r="VNJ129" s="2"/>
      <c r="VNL129" s="2"/>
      <c r="VNN129" s="2"/>
      <c r="VNP129" s="2"/>
      <c r="VNR129" s="2"/>
      <c r="VNT129" s="2"/>
      <c r="VNV129" s="2"/>
      <c r="VNX129" s="2"/>
      <c r="VNZ129" s="2"/>
      <c r="VOB129" s="2"/>
      <c r="VOD129" s="2"/>
      <c r="VOF129" s="2"/>
      <c r="VOH129" s="2"/>
      <c r="VOJ129" s="2"/>
      <c r="VOL129" s="2"/>
      <c r="VON129" s="2"/>
      <c r="VOP129" s="2"/>
      <c r="VOR129" s="2"/>
      <c r="VOT129" s="2"/>
      <c r="VOV129" s="2"/>
      <c r="VOX129" s="2"/>
      <c r="VOZ129" s="2"/>
      <c r="VPB129" s="2"/>
      <c r="VPD129" s="2"/>
      <c r="VPF129" s="2"/>
      <c r="VPH129" s="2"/>
      <c r="VPJ129" s="2"/>
      <c r="VPL129" s="2"/>
      <c r="VPN129" s="2"/>
      <c r="VPP129" s="2"/>
      <c r="VPR129" s="2"/>
      <c r="VPT129" s="2"/>
      <c r="VPV129" s="2"/>
      <c r="VPX129" s="2"/>
      <c r="VPZ129" s="2"/>
      <c r="VQB129" s="2"/>
      <c r="VQD129" s="2"/>
      <c r="VQF129" s="2"/>
      <c r="VQH129" s="2"/>
      <c r="VQJ129" s="2"/>
      <c r="VQL129" s="2"/>
      <c r="VQN129" s="2"/>
      <c r="VQP129" s="2"/>
      <c r="VQR129" s="2"/>
      <c r="VQT129" s="2"/>
      <c r="VQV129" s="2"/>
      <c r="VQX129" s="2"/>
      <c r="VQZ129" s="2"/>
      <c r="VRB129" s="2"/>
      <c r="VRD129" s="2"/>
      <c r="VRF129" s="2"/>
      <c r="VRH129" s="2"/>
      <c r="VRJ129" s="2"/>
      <c r="VRL129" s="2"/>
      <c r="VRN129" s="2"/>
      <c r="VRP129" s="2"/>
      <c r="VRR129" s="2"/>
      <c r="VRT129" s="2"/>
      <c r="VRV129" s="2"/>
      <c r="VRX129" s="2"/>
      <c r="VRZ129" s="2"/>
      <c r="VSB129" s="2"/>
      <c r="VSD129" s="2"/>
      <c r="VSF129" s="2"/>
      <c r="VSH129" s="2"/>
      <c r="VSJ129" s="2"/>
      <c r="VSL129" s="2"/>
      <c r="VSN129" s="2"/>
      <c r="VSP129" s="2"/>
      <c r="VSR129" s="2"/>
      <c r="VST129" s="2"/>
      <c r="VSV129" s="2"/>
      <c r="VSX129" s="2"/>
      <c r="VSZ129" s="2"/>
      <c r="VTB129" s="2"/>
      <c r="VTD129" s="2"/>
      <c r="VTF129" s="2"/>
      <c r="VTH129" s="2"/>
      <c r="VTJ129" s="2"/>
      <c r="VTL129" s="2"/>
      <c r="VTN129" s="2"/>
      <c r="VTP129" s="2"/>
      <c r="VTR129" s="2"/>
      <c r="VTT129" s="2"/>
      <c r="VTV129" s="2"/>
      <c r="VTX129" s="2"/>
      <c r="VTZ129" s="2"/>
      <c r="VUB129" s="2"/>
      <c r="VUD129" s="2"/>
      <c r="VUF129" s="2"/>
      <c r="VUH129" s="2"/>
      <c r="VUJ129" s="2"/>
      <c r="VUL129" s="2"/>
      <c r="VUN129" s="2"/>
      <c r="VUP129" s="2"/>
      <c r="VUR129" s="2"/>
      <c r="VUT129" s="2"/>
      <c r="VUV129" s="2"/>
      <c r="VUX129" s="2"/>
      <c r="VUZ129" s="2"/>
      <c r="VVB129" s="2"/>
      <c r="VVD129" s="2"/>
      <c r="VVF129" s="2"/>
      <c r="VVH129" s="2"/>
      <c r="VVJ129" s="2"/>
      <c r="VVL129" s="2"/>
      <c r="VVN129" s="2"/>
      <c r="VVP129" s="2"/>
      <c r="VVR129" s="2"/>
      <c r="VVT129" s="2"/>
      <c r="VVV129" s="2"/>
      <c r="VVX129" s="2"/>
      <c r="VVZ129" s="2"/>
      <c r="VWB129" s="2"/>
      <c r="VWD129" s="2"/>
      <c r="VWF129" s="2"/>
      <c r="VWH129" s="2"/>
      <c r="VWJ129" s="2"/>
      <c r="VWL129" s="2"/>
      <c r="VWN129" s="2"/>
      <c r="VWP129" s="2"/>
      <c r="VWR129" s="2"/>
      <c r="VWT129" s="2"/>
      <c r="VWV129" s="2"/>
      <c r="VWX129" s="2"/>
      <c r="VWZ129" s="2"/>
      <c r="VXB129" s="2"/>
      <c r="VXD129" s="2"/>
      <c r="VXF129" s="2"/>
      <c r="VXH129" s="2"/>
      <c r="VXJ129" s="2"/>
      <c r="VXL129" s="2"/>
      <c r="VXN129" s="2"/>
      <c r="VXP129" s="2"/>
      <c r="VXR129" s="2"/>
      <c r="VXT129" s="2"/>
      <c r="VXV129" s="2"/>
      <c r="VXX129" s="2"/>
      <c r="VXZ129" s="2"/>
      <c r="VYB129" s="2"/>
      <c r="VYD129" s="2"/>
      <c r="VYF129" s="2"/>
      <c r="VYH129" s="2"/>
      <c r="VYJ129" s="2"/>
      <c r="VYL129" s="2"/>
      <c r="VYN129" s="2"/>
      <c r="VYP129" s="2"/>
      <c r="VYR129" s="2"/>
      <c r="VYT129" s="2"/>
      <c r="VYV129" s="2"/>
      <c r="VYX129" s="2"/>
      <c r="VYZ129" s="2"/>
      <c r="VZB129" s="2"/>
      <c r="VZD129" s="2"/>
      <c r="VZF129" s="2"/>
      <c r="VZH129" s="2"/>
      <c r="VZJ129" s="2"/>
      <c r="VZL129" s="2"/>
      <c r="VZN129" s="2"/>
      <c r="VZP129" s="2"/>
      <c r="VZR129" s="2"/>
      <c r="VZT129" s="2"/>
      <c r="VZV129" s="2"/>
      <c r="VZX129" s="2"/>
      <c r="VZZ129" s="2"/>
      <c r="WAB129" s="2"/>
      <c r="WAD129" s="2"/>
      <c r="WAF129" s="2"/>
      <c r="WAH129" s="2"/>
      <c r="WAJ129" s="2"/>
      <c r="WAL129" s="2"/>
      <c r="WAN129" s="2"/>
      <c r="WAP129" s="2"/>
      <c r="WAR129" s="2"/>
      <c r="WAT129" s="2"/>
      <c r="WAV129" s="2"/>
      <c r="WAX129" s="2"/>
      <c r="WAZ129" s="2"/>
      <c r="WBB129" s="2"/>
      <c r="WBD129" s="2"/>
      <c r="WBF129" s="2"/>
      <c r="WBH129" s="2"/>
      <c r="WBJ129" s="2"/>
      <c r="WBL129" s="2"/>
      <c r="WBN129" s="2"/>
      <c r="WBP129" s="2"/>
      <c r="WBR129" s="2"/>
      <c r="WBT129" s="2"/>
      <c r="WBV129" s="2"/>
      <c r="WBX129" s="2"/>
      <c r="WBZ129" s="2"/>
      <c r="WCB129" s="2"/>
      <c r="WCD129" s="2"/>
      <c r="WCF129" s="2"/>
      <c r="WCH129" s="2"/>
      <c r="WCJ129" s="2"/>
      <c r="WCL129" s="2"/>
      <c r="WCN129" s="2"/>
      <c r="WCP129" s="2"/>
      <c r="WCR129" s="2"/>
      <c r="WCT129" s="2"/>
      <c r="WCV129" s="2"/>
      <c r="WCX129" s="2"/>
      <c r="WCZ129" s="2"/>
      <c r="WDB129" s="2"/>
      <c r="WDD129" s="2"/>
      <c r="WDF129" s="2"/>
      <c r="WDH129" s="2"/>
      <c r="WDJ129" s="2"/>
      <c r="WDL129" s="2"/>
      <c r="WDN129" s="2"/>
      <c r="WDP129" s="2"/>
      <c r="WDR129" s="2"/>
      <c r="WDT129" s="2"/>
      <c r="WDV129" s="2"/>
      <c r="WDX129" s="2"/>
      <c r="WDZ129" s="2"/>
      <c r="WEB129" s="2"/>
      <c r="WED129" s="2"/>
      <c r="WEF129" s="2"/>
      <c r="WEH129" s="2"/>
      <c r="WEJ129" s="2"/>
      <c r="WEL129" s="2"/>
      <c r="WEN129" s="2"/>
      <c r="WEP129" s="2"/>
      <c r="WER129" s="2"/>
      <c r="WET129" s="2"/>
      <c r="WEV129" s="2"/>
      <c r="WEX129" s="2"/>
      <c r="WEZ129" s="2"/>
      <c r="WFB129" s="2"/>
      <c r="WFD129" s="2"/>
      <c r="WFF129" s="2"/>
      <c r="WFH129" s="2"/>
      <c r="WFJ129" s="2"/>
      <c r="WFL129" s="2"/>
      <c r="WFN129" s="2"/>
      <c r="WFP129" s="2"/>
      <c r="WFR129" s="2"/>
      <c r="WFT129" s="2"/>
      <c r="WFV129" s="2"/>
      <c r="WFX129" s="2"/>
      <c r="WFZ129" s="2"/>
      <c r="WGB129" s="2"/>
      <c r="WGD129" s="2"/>
      <c r="WGF129" s="2"/>
      <c r="WGH129" s="2"/>
      <c r="WGJ129" s="2"/>
      <c r="WGL129" s="2"/>
      <c r="WGN129" s="2"/>
      <c r="WGP129" s="2"/>
      <c r="WGR129" s="2"/>
      <c r="WGT129" s="2"/>
      <c r="WGV129" s="2"/>
      <c r="WGX129" s="2"/>
      <c r="WGZ129" s="2"/>
      <c r="WHB129" s="2"/>
      <c r="WHD129" s="2"/>
      <c r="WHF129" s="2"/>
      <c r="WHH129" s="2"/>
      <c r="WHJ129" s="2"/>
      <c r="WHL129" s="2"/>
      <c r="WHN129" s="2"/>
      <c r="WHP129" s="2"/>
      <c r="WHR129" s="2"/>
      <c r="WHT129" s="2"/>
      <c r="WHV129" s="2"/>
      <c r="WHX129" s="2"/>
      <c r="WHZ129" s="2"/>
      <c r="WIB129" s="2"/>
      <c r="WID129" s="2"/>
      <c r="WIF129" s="2"/>
      <c r="WIH129" s="2"/>
      <c r="WIJ129" s="2"/>
      <c r="WIL129" s="2"/>
      <c r="WIN129" s="2"/>
      <c r="WIP129" s="2"/>
      <c r="WIR129" s="2"/>
      <c r="WIT129" s="2"/>
      <c r="WIV129" s="2"/>
      <c r="WIX129" s="2"/>
      <c r="WIZ129" s="2"/>
      <c r="WJB129" s="2"/>
      <c r="WJD129" s="2"/>
      <c r="WJF129" s="2"/>
      <c r="WJH129" s="2"/>
      <c r="WJJ129" s="2"/>
      <c r="WJL129" s="2"/>
      <c r="WJN129" s="2"/>
      <c r="WJP129" s="2"/>
      <c r="WJR129" s="2"/>
      <c r="WJT129" s="2"/>
      <c r="WJV129" s="2"/>
      <c r="WJX129" s="2"/>
      <c r="WJZ129" s="2"/>
      <c r="WKB129" s="2"/>
      <c r="WKD129" s="2"/>
      <c r="WKF129" s="2"/>
      <c r="WKH129" s="2"/>
      <c r="WKJ129" s="2"/>
      <c r="WKL129" s="2"/>
      <c r="WKN129" s="2"/>
      <c r="WKP129" s="2"/>
      <c r="WKR129" s="2"/>
      <c r="WKT129" s="2"/>
      <c r="WKV129" s="2"/>
      <c r="WKX129" s="2"/>
      <c r="WKZ129" s="2"/>
      <c r="WLB129" s="2"/>
      <c r="WLD129" s="2"/>
      <c r="WLF129" s="2"/>
      <c r="WLH129" s="2"/>
      <c r="WLJ129" s="2"/>
      <c r="WLL129" s="2"/>
      <c r="WLN129" s="2"/>
      <c r="WLP129" s="2"/>
      <c r="WLR129" s="2"/>
      <c r="WLT129" s="2"/>
      <c r="WLV129" s="2"/>
      <c r="WLX129" s="2"/>
      <c r="WLZ129" s="2"/>
      <c r="WMB129" s="2"/>
      <c r="WMD129" s="2"/>
      <c r="WMF129" s="2"/>
      <c r="WMH129" s="2"/>
      <c r="WMJ129" s="2"/>
      <c r="WML129" s="2"/>
      <c r="WMN129" s="2"/>
      <c r="WMP129" s="2"/>
      <c r="WMR129" s="2"/>
      <c r="WMT129" s="2"/>
      <c r="WMV129" s="2"/>
      <c r="WMX129" s="2"/>
      <c r="WMZ129" s="2"/>
      <c r="WNB129" s="2"/>
      <c r="WND129" s="2"/>
      <c r="WNF129" s="2"/>
      <c r="WNH129" s="2"/>
      <c r="WNJ129" s="2"/>
      <c r="WNL129" s="2"/>
      <c r="WNN129" s="2"/>
      <c r="WNP129" s="2"/>
      <c r="WNR129" s="2"/>
      <c r="WNT129" s="2"/>
      <c r="WNV129" s="2"/>
      <c r="WNX129" s="2"/>
      <c r="WNZ129" s="2"/>
      <c r="WOB129" s="2"/>
      <c r="WOD129" s="2"/>
      <c r="WOF129" s="2"/>
      <c r="WOH129" s="2"/>
      <c r="WOJ129" s="2"/>
      <c r="WOL129" s="2"/>
      <c r="WON129" s="2"/>
      <c r="WOP129" s="2"/>
      <c r="WOR129" s="2"/>
      <c r="WOT129" s="2"/>
      <c r="WOV129" s="2"/>
      <c r="WOX129" s="2"/>
      <c r="WOZ129" s="2"/>
      <c r="WPB129" s="2"/>
      <c r="WPD129" s="2"/>
      <c r="WPF129" s="2"/>
      <c r="WPH129" s="2"/>
      <c r="WPJ129" s="2"/>
      <c r="WPL129" s="2"/>
      <c r="WPN129" s="2"/>
      <c r="WPP129" s="2"/>
      <c r="WPR129" s="2"/>
      <c r="WPT129" s="2"/>
      <c r="WPV129" s="2"/>
      <c r="WPX129" s="2"/>
      <c r="WPZ129" s="2"/>
      <c r="WQB129" s="2"/>
      <c r="WQD129" s="2"/>
      <c r="WQF129" s="2"/>
      <c r="WQH129" s="2"/>
      <c r="WQJ129" s="2"/>
      <c r="WQL129" s="2"/>
      <c r="WQN129" s="2"/>
      <c r="WQP129" s="2"/>
      <c r="WQR129" s="2"/>
      <c r="WQT129" s="2"/>
      <c r="WQV129" s="2"/>
      <c r="WQX129" s="2"/>
      <c r="WQZ129" s="2"/>
      <c r="WRB129" s="2"/>
      <c r="WRD129" s="2"/>
      <c r="WRF129" s="2"/>
      <c r="WRH129" s="2"/>
      <c r="WRJ129" s="2"/>
      <c r="WRL129" s="2"/>
      <c r="WRN129" s="2"/>
      <c r="WRP129" s="2"/>
      <c r="WRR129" s="2"/>
      <c r="WRT129" s="2"/>
      <c r="WRV129" s="2"/>
      <c r="WRX129" s="2"/>
      <c r="WRZ129" s="2"/>
      <c r="WSB129" s="2"/>
      <c r="WSD129" s="2"/>
      <c r="WSF129" s="2"/>
      <c r="WSH129" s="2"/>
      <c r="WSJ129" s="2"/>
      <c r="WSL129" s="2"/>
      <c r="WSN129" s="2"/>
      <c r="WSP129" s="2"/>
      <c r="WSR129" s="2"/>
      <c r="WST129" s="2"/>
      <c r="WSV129" s="2"/>
      <c r="WSX129" s="2"/>
      <c r="WSZ129" s="2"/>
      <c r="WTB129" s="2"/>
      <c r="WTD129" s="2"/>
      <c r="WTF129" s="2"/>
      <c r="WTH129" s="2"/>
      <c r="WTJ129" s="2"/>
      <c r="WTL129" s="2"/>
      <c r="WTN129" s="2"/>
      <c r="WTP129" s="2"/>
      <c r="WTR129" s="2"/>
      <c r="WTT129" s="2"/>
      <c r="WTV129" s="2"/>
      <c r="WTX129" s="2"/>
      <c r="WTZ129" s="2"/>
      <c r="WUB129" s="2"/>
      <c r="WUD129" s="2"/>
      <c r="WUF129" s="2"/>
      <c r="WUH129" s="2"/>
      <c r="WUJ129" s="2"/>
      <c r="WUL129" s="2"/>
      <c r="WUN129" s="2"/>
      <c r="WUP129" s="2"/>
      <c r="WUR129" s="2"/>
      <c r="WUT129" s="2"/>
      <c r="WUV129" s="2"/>
      <c r="WUX129" s="2"/>
      <c r="WUZ129" s="2"/>
      <c r="WVB129" s="2"/>
      <c r="WVD129" s="2"/>
      <c r="WVF129" s="2"/>
      <c r="WVH129" s="2"/>
      <c r="WVJ129" s="2"/>
      <c r="WVL129" s="2"/>
      <c r="WVN129" s="2"/>
      <c r="WVP129" s="2"/>
      <c r="WVR129" s="2"/>
      <c r="WVT129" s="2"/>
      <c r="WVV129" s="2"/>
      <c r="WVX129" s="2"/>
      <c r="WVZ129" s="2"/>
      <c r="WWB129" s="2"/>
      <c r="WWD129" s="2"/>
      <c r="WWF129" s="2"/>
      <c r="WWH129" s="2"/>
      <c r="WWJ129" s="2"/>
      <c r="WWL129" s="2"/>
      <c r="WWN129" s="2"/>
      <c r="WWP129" s="2"/>
      <c r="WWR129" s="2"/>
      <c r="WWT129" s="2"/>
      <c r="WWV129" s="2"/>
      <c r="WWX129" s="2"/>
      <c r="WWZ129" s="2"/>
      <c r="WXB129" s="2"/>
      <c r="WXD129" s="2"/>
      <c r="WXF129" s="2"/>
      <c r="WXH129" s="2"/>
      <c r="WXJ129" s="2"/>
      <c r="WXL129" s="2"/>
      <c r="WXN129" s="2"/>
      <c r="WXP129" s="2"/>
      <c r="WXR129" s="2"/>
      <c r="WXT129" s="2"/>
      <c r="WXV129" s="2"/>
      <c r="WXX129" s="2"/>
      <c r="WXZ129" s="2"/>
      <c r="WYB129" s="2"/>
      <c r="WYD129" s="2"/>
      <c r="WYF129" s="2"/>
      <c r="WYH129" s="2"/>
      <c r="WYJ129" s="2"/>
      <c r="WYL129" s="2"/>
      <c r="WYN129" s="2"/>
      <c r="WYP129" s="2"/>
      <c r="WYR129" s="2"/>
      <c r="WYT129" s="2"/>
      <c r="WYV129" s="2"/>
      <c r="WYX129" s="2"/>
      <c r="WYZ129" s="2"/>
      <c r="WZB129" s="2"/>
      <c r="WZD129" s="2"/>
      <c r="WZF129" s="2"/>
      <c r="WZH129" s="2"/>
      <c r="WZJ129" s="2"/>
      <c r="WZL129" s="2"/>
      <c r="WZN129" s="2"/>
      <c r="WZP129" s="2"/>
      <c r="WZR129" s="2"/>
      <c r="WZT129" s="2"/>
      <c r="WZV129" s="2"/>
      <c r="WZX129" s="2"/>
      <c r="WZZ129" s="2"/>
      <c r="XAB129" s="2"/>
      <c r="XAD129" s="2"/>
      <c r="XAF129" s="2"/>
      <c r="XAH129" s="2"/>
      <c r="XAJ129" s="2"/>
      <c r="XAL129" s="2"/>
      <c r="XAN129" s="2"/>
      <c r="XAP129" s="2"/>
      <c r="XAR129" s="2"/>
      <c r="XAT129" s="2"/>
      <c r="XAV129" s="2"/>
      <c r="XAX129" s="2"/>
      <c r="XAZ129" s="2"/>
      <c r="XBB129" s="2"/>
      <c r="XBD129" s="2"/>
      <c r="XBF129" s="2"/>
      <c r="XBH129" s="2"/>
      <c r="XBJ129" s="2"/>
      <c r="XBL129" s="2"/>
      <c r="XBN129" s="2"/>
      <c r="XBP129" s="2"/>
      <c r="XBR129" s="2"/>
      <c r="XBT129" s="2"/>
      <c r="XBV129" s="2"/>
      <c r="XBX129" s="2"/>
      <c r="XBZ129" s="2"/>
      <c r="XCB129" s="2"/>
      <c r="XCD129" s="2"/>
      <c r="XCF129" s="2"/>
      <c r="XCH129" s="2"/>
      <c r="XCJ129" s="2"/>
      <c r="XCL129" s="2"/>
      <c r="XCN129" s="2"/>
      <c r="XCP129" s="2"/>
      <c r="XCR129" s="2"/>
      <c r="XCT129" s="2"/>
      <c r="XCV129" s="2"/>
      <c r="XCX129" s="2"/>
      <c r="XCZ129" s="2"/>
      <c r="XDB129" s="2"/>
      <c r="XDD129" s="2"/>
      <c r="XDF129" s="2"/>
      <c r="XDH129" s="2"/>
      <c r="XDJ129" s="2"/>
      <c r="XDL129" s="2"/>
      <c r="XDN129" s="2"/>
      <c r="XDP129" s="2"/>
      <c r="XDR129" s="2"/>
      <c r="XDT129" s="2"/>
      <c r="XDV129" s="2"/>
      <c r="XDX129" s="2"/>
      <c r="XDZ129" s="2"/>
      <c r="XEB129" s="2"/>
      <c r="XED129" s="2"/>
      <c r="XEF129" s="2"/>
      <c r="XEH129" s="2"/>
      <c r="XEJ129" s="2"/>
      <c r="XEL129" s="2"/>
      <c r="XEN129" s="2"/>
      <c r="XEP129" s="2"/>
      <c r="XER129" s="2"/>
      <c r="XET129" s="2"/>
      <c r="XEV129" s="2"/>
      <c r="XEX129" s="2"/>
      <c r="XEZ129" s="2"/>
      <c r="XFB129" s="2"/>
    </row>
    <row r="130" spans="1:1024 1026:2048 2050:3072 3074:4096 4098:5120 5122:6144 6146:7168 7170:8192 8194:9216 9218:10240 10242:11264 11266:12288 12290:13312 13314:14336 14338:15360 15362:16382">
      <c r="A130" s="1" t="s">
        <v>38</v>
      </c>
      <c r="B130" s="1">
        <v>5017002503</v>
      </c>
      <c r="C130" s="1" t="s">
        <v>2589</v>
      </c>
      <c r="D130" s="1">
        <v>4</v>
      </c>
      <c r="E130" s="257" t="s">
        <v>717</v>
      </c>
      <c r="F130" s="1">
        <v>20240401</v>
      </c>
      <c r="G130" s="1">
        <v>20240604</v>
      </c>
      <c r="H130" s="159">
        <v>10</v>
      </c>
      <c r="K130" s="12" t="s">
        <v>1083</v>
      </c>
      <c r="L130" s="12" t="s">
        <v>1250</v>
      </c>
      <c r="M130" s="1" t="s">
        <v>2444</v>
      </c>
      <c r="N130" s="12" t="s">
        <v>2477</v>
      </c>
      <c r="O130" s="28">
        <v>2224</v>
      </c>
      <c r="P130" s="28">
        <f t="shared" si="24"/>
        <v>1668</v>
      </c>
      <c r="Q130" s="28">
        <f t="shared" si="20"/>
        <v>6672</v>
      </c>
    </row>
    <row r="131" spans="1:1024 1026:2048 2050:3072 3074:4096 4098:5120 5122:6144 6146:7168 7170:8192 8194:9216 9218:10240 10242:11264 11266:12288 12290:13312 13314:14336 14338:15360 15362:16382" s="6" customFormat="1">
      <c r="A131" s="6" t="s">
        <v>38</v>
      </c>
      <c r="B131" s="186">
        <v>3010002522</v>
      </c>
      <c r="C131" s="96" t="s">
        <v>2571</v>
      </c>
      <c r="D131" s="271">
        <v>21</v>
      </c>
      <c r="E131" s="261" t="s">
        <v>717</v>
      </c>
      <c r="F131" s="235">
        <v>20240515</v>
      </c>
      <c r="G131" s="235">
        <v>20240821</v>
      </c>
      <c r="H131" s="162" t="s">
        <v>699</v>
      </c>
      <c r="I131" s="247"/>
      <c r="J131" s="12"/>
      <c r="K131" s="12" t="s">
        <v>1039</v>
      </c>
      <c r="L131" s="12" t="s">
        <v>1097</v>
      </c>
      <c r="M131" s="6" t="s">
        <v>2555</v>
      </c>
      <c r="N131" s="12"/>
      <c r="O131" s="28">
        <v>2340</v>
      </c>
      <c r="P131" s="28">
        <f t="shared" si="24"/>
        <v>1755</v>
      </c>
      <c r="Q131" s="28">
        <f t="shared" ref="Q131:Q159" si="25">D131*P131</f>
        <v>36855</v>
      </c>
      <c r="R131" s="28"/>
      <c r="S131" s="12"/>
    </row>
    <row r="132" spans="1:1024 1026:2048 2050:3072 3074:4096 4098:5120 5122:6144 6146:7168 7170:8192 8194:9216 9218:10240 10242:11264 11266:12288 12290:13312 13314:14336 14338:15360 15362:16382" s="12" customFormat="1">
      <c r="A132" s="4" t="s">
        <v>38</v>
      </c>
      <c r="B132" s="115">
        <v>3013002501</v>
      </c>
      <c r="C132" s="115" t="s">
        <v>2580</v>
      </c>
      <c r="D132" s="115">
        <v>77</v>
      </c>
      <c r="E132" s="257" t="s">
        <v>717</v>
      </c>
      <c r="F132" s="4">
        <v>20201015</v>
      </c>
      <c r="G132" s="4">
        <v>20201215</v>
      </c>
      <c r="H132" s="159" t="s">
        <v>699</v>
      </c>
      <c r="I132" s="191"/>
      <c r="J132" s="66"/>
      <c r="K132" s="12" t="s">
        <v>1232</v>
      </c>
      <c r="L132" s="12" t="s">
        <v>1231</v>
      </c>
      <c r="N132" s="12" t="s">
        <v>990</v>
      </c>
      <c r="O132" s="28">
        <v>1265</v>
      </c>
      <c r="P132" s="28">
        <f t="shared" ref="P132:P150" si="26">O132*0.75</f>
        <v>948.75</v>
      </c>
      <c r="Q132" s="28">
        <f t="shared" si="25"/>
        <v>73053.75</v>
      </c>
      <c r="R132" s="28"/>
    </row>
    <row r="133" spans="1:1024 1026:2048 2050:3072 3074:4096 4098:5120 5122:6144 6146:7168 7170:8192 8194:9216 9218:10240 10242:11264 11266:12288 12290:13312 13314:14336 14338:15360 15362:16382">
      <c r="A133" s="1" t="s">
        <v>38</v>
      </c>
      <c r="B133" s="1">
        <v>6014002502</v>
      </c>
      <c r="C133" s="12" t="s">
        <v>2580</v>
      </c>
      <c r="D133" s="1">
        <v>3</v>
      </c>
      <c r="E133" s="257"/>
      <c r="F133" s="1">
        <v>20230816</v>
      </c>
      <c r="G133" s="1">
        <v>20231214</v>
      </c>
      <c r="H133" s="159">
        <v>10</v>
      </c>
      <c r="K133" s="12" t="s">
        <v>1138</v>
      </c>
      <c r="L133" s="12" t="s">
        <v>1229</v>
      </c>
      <c r="M133" s="1" t="s">
        <v>2163</v>
      </c>
      <c r="N133" s="12" t="s">
        <v>870</v>
      </c>
      <c r="O133" s="28">
        <v>11500</v>
      </c>
      <c r="P133" s="28">
        <f t="shared" si="26"/>
        <v>8625</v>
      </c>
      <c r="Q133" s="28">
        <f t="shared" si="25"/>
        <v>25875</v>
      </c>
    </row>
    <row r="134" spans="1:1024 1026:2048 2050:3072 3074:4096 4098:5120 5122:6144 6146:7168 7170:8192 8194:9216 9218:10240 10242:11264 11266:12288 12290:13312 13314:14336 14338:15360 15362:16382">
      <c r="A134" s="1" t="s">
        <v>38</v>
      </c>
      <c r="B134" s="1">
        <v>1047002500</v>
      </c>
      <c r="C134" s="12" t="s">
        <v>2580</v>
      </c>
      <c r="D134" s="1">
        <v>24</v>
      </c>
      <c r="E134" s="257"/>
      <c r="F134" s="1">
        <v>20221009</v>
      </c>
      <c r="G134" s="1">
        <v>20221209</v>
      </c>
      <c r="H134" s="159" t="s">
        <v>699</v>
      </c>
      <c r="J134" s="4" t="s">
        <v>811</v>
      </c>
      <c r="K134" s="12" t="s">
        <v>1113</v>
      </c>
      <c r="L134" s="12" t="s">
        <v>1114</v>
      </c>
      <c r="M134" s="1" t="s">
        <v>802</v>
      </c>
      <c r="N134" s="12" t="s">
        <v>806</v>
      </c>
      <c r="O134" s="28">
        <v>1950</v>
      </c>
      <c r="P134" s="28">
        <f t="shared" si="26"/>
        <v>1462.5</v>
      </c>
      <c r="Q134" s="28">
        <f t="shared" si="25"/>
        <v>35100</v>
      </c>
    </row>
    <row r="135" spans="1:1024 1026:2048 2050:3072 3074:4096 4098:5120 5122:6144 6146:7168 7170:8192 8194:9216 9218:10240 10242:11264 11266:12288 12290:13312 13314:14336 14338:15360 15362:16382" s="6" customFormat="1">
      <c r="A135" s="6" t="s">
        <v>38</v>
      </c>
      <c r="B135" s="6">
        <v>5004002511</v>
      </c>
      <c r="C135" s="6" t="s">
        <v>2579</v>
      </c>
      <c r="D135" s="12">
        <v>2</v>
      </c>
      <c r="E135" s="258" t="s">
        <v>1008</v>
      </c>
      <c r="G135" s="6">
        <v>20240516</v>
      </c>
      <c r="H135" s="159" t="s">
        <v>699</v>
      </c>
      <c r="I135" s="197"/>
      <c r="J135" s="12"/>
      <c r="K135" s="12" t="s">
        <v>1039</v>
      </c>
      <c r="L135" s="12" t="s">
        <v>1120</v>
      </c>
      <c r="M135" s="6" t="s">
        <v>2552</v>
      </c>
      <c r="N135" s="12" t="s">
        <v>2063</v>
      </c>
      <c r="O135" s="28">
        <v>1906</v>
      </c>
      <c r="P135" s="28">
        <f>O135*0.75</f>
        <v>1429.5</v>
      </c>
      <c r="Q135" s="28">
        <f t="shared" si="25"/>
        <v>2859</v>
      </c>
      <c r="R135" s="28"/>
    </row>
    <row r="136" spans="1:1024 1026:2048 2050:3072 3074:4096 4098:5120 5122:6144 6146:7168 7170:8192 8194:9216 9218:10240 10242:11264 11266:12288 12290:13312 13314:14336 14338:15360 15362:16382" ht="32.4">
      <c r="A136" s="1" t="s">
        <v>38</v>
      </c>
      <c r="B136" s="15">
        <v>6026002503</v>
      </c>
      <c r="C136" s="264" t="s">
        <v>2727</v>
      </c>
      <c r="D136" s="56">
        <v>19</v>
      </c>
      <c r="E136" s="257"/>
      <c r="F136" s="1">
        <v>20200417</v>
      </c>
      <c r="G136" s="1">
        <v>20220617</v>
      </c>
      <c r="H136" s="159" t="s">
        <v>699</v>
      </c>
      <c r="I136" s="204" t="s">
        <v>2165</v>
      </c>
      <c r="J136" s="12"/>
      <c r="K136" s="12" t="s">
        <v>1116</v>
      </c>
      <c r="L136" s="12" t="s">
        <v>1252</v>
      </c>
      <c r="O136" s="28">
        <v>0</v>
      </c>
      <c r="P136" s="28">
        <f>O136*0.75</f>
        <v>0</v>
      </c>
      <c r="Q136" s="28">
        <f t="shared" si="25"/>
        <v>0</v>
      </c>
      <c r="R136" s="205" t="s">
        <v>2211</v>
      </c>
      <c r="S136" s="12"/>
    </row>
    <row r="137" spans="1:1024 1026:2048 2050:3072 3074:4096 4098:5120 5122:6144 6146:7168 7170:8192 8194:9216 9218:10240 10242:11264 11266:12288 12290:13312 13314:14336 14338:15360 15362:16382">
      <c r="A137" s="1" t="s">
        <v>38</v>
      </c>
      <c r="B137" s="1">
        <v>3006002542</v>
      </c>
      <c r="C137" s="1" t="s">
        <v>2389</v>
      </c>
      <c r="D137" s="1">
        <v>20</v>
      </c>
      <c r="E137" s="257" t="s">
        <v>2317</v>
      </c>
      <c r="F137" s="1">
        <v>20230628</v>
      </c>
      <c r="G137" s="1">
        <v>20231226</v>
      </c>
      <c r="H137" s="159" t="s">
        <v>699</v>
      </c>
      <c r="J137" s="4" t="s">
        <v>2785</v>
      </c>
      <c r="K137" s="12" t="s">
        <v>1083</v>
      </c>
      <c r="L137" s="12" t="s">
        <v>1237</v>
      </c>
      <c r="M137" s="1" t="s">
        <v>2178</v>
      </c>
      <c r="O137" s="28">
        <v>1412</v>
      </c>
      <c r="P137" s="28">
        <f>O137*0.75</f>
        <v>1059</v>
      </c>
      <c r="Q137" s="28">
        <f t="shared" si="25"/>
        <v>21180</v>
      </c>
    </row>
    <row r="138" spans="1:1024 1026:2048 2050:3072 3074:4096 4098:5120 5122:6144 6146:7168 7170:8192 8194:9216 9218:10240 10242:11264 11266:12288 12290:13312 13314:14336 14338:15360 15362:16382">
      <c r="A138" s="1" t="s">
        <v>38</v>
      </c>
      <c r="B138" s="1">
        <v>1047002500</v>
      </c>
      <c r="C138" s="1" t="s">
        <v>2389</v>
      </c>
      <c r="D138" s="1">
        <v>12</v>
      </c>
      <c r="E138" s="257"/>
      <c r="F138" s="1">
        <v>20220317</v>
      </c>
      <c r="G138" s="1">
        <v>20220517</v>
      </c>
      <c r="H138" s="159" t="s">
        <v>699</v>
      </c>
      <c r="J138" s="12" t="s">
        <v>810</v>
      </c>
      <c r="K138" s="12" t="s">
        <v>1113</v>
      </c>
      <c r="L138" s="12" t="s">
        <v>1114</v>
      </c>
      <c r="O138" s="28">
        <v>1950</v>
      </c>
      <c r="P138" s="28">
        <f t="shared" si="26"/>
        <v>1462.5</v>
      </c>
      <c r="Q138" s="28">
        <f t="shared" si="25"/>
        <v>17550</v>
      </c>
      <c r="S138" s="12"/>
    </row>
    <row r="139" spans="1:1024 1026:2048 2050:3072 3074:4096 4098:5120 5122:6144 6146:7168 7170:8192 8194:9216 9218:10240 10242:11264 11266:12288 12290:13312 13314:14336 14338:15360 15362:16382">
      <c r="A139" s="1" t="s">
        <v>38</v>
      </c>
      <c r="B139" s="1" t="s">
        <v>3078</v>
      </c>
      <c r="C139" s="1" t="s">
        <v>3079</v>
      </c>
      <c r="D139" s="1">
        <v>4</v>
      </c>
      <c r="E139" s="257"/>
      <c r="F139" s="1">
        <v>20220529</v>
      </c>
      <c r="G139" s="1">
        <v>20220729</v>
      </c>
      <c r="H139" s="159" t="s">
        <v>699</v>
      </c>
      <c r="K139" s="12" t="s">
        <v>1119</v>
      </c>
      <c r="L139" s="12" t="s">
        <v>1234</v>
      </c>
      <c r="M139" s="1" t="s">
        <v>895</v>
      </c>
      <c r="N139" s="12" t="s">
        <v>894</v>
      </c>
      <c r="O139" s="28">
        <v>3630</v>
      </c>
      <c r="P139" s="28">
        <f t="shared" si="26"/>
        <v>2722.5</v>
      </c>
      <c r="Q139" s="28">
        <f t="shared" si="25"/>
        <v>10890</v>
      </c>
    </row>
    <row r="140" spans="1:1024 1026:2048 2050:3072 3074:4096 4098:5120 5122:6144 6146:7168 7170:8192 8194:9216 9218:10240 10242:11264 11266:12288 12290:13312 13314:14336 14338:15360 15362:16382">
      <c r="A140" s="1" t="s">
        <v>38</v>
      </c>
      <c r="B140" s="15">
        <v>5033002512</v>
      </c>
      <c r="C140" s="13" t="s">
        <v>2389</v>
      </c>
      <c r="D140" s="56">
        <v>3</v>
      </c>
      <c r="E140" s="257" t="s">
        <v>1007</v>
      </c>
      <c r="F140" s="1">
        <v>20230804</v>
      </c>
      <c r="G140" s="1">
        <v>20231129</v>
      </c>
      <c r="H140" s="159">
        <v>10</v>
      </c>
      <c r="J140" s="4" t="s">
        <v>2549</v>
      </c>
      <c r="K140" s="12" t="s">
        <v>1083</v>
      </c>
      <c r="L140" s="12" t="s">
        <v>1238</v>
      </c>
      <c r="M140" s="1" t="s">
        <v>2092</v>
      </c>
      <c r="N140" s="12" t="s">
        <v>2091</v>
      </c>
      <c r="O140" s="28">
        <v>2250</v>
      </c>
      <c r="P140" s="28">
        <f t="shared" si="26"/>
        <v>1687.5</v>
      </c>
      <c r="Q140" s="28">
        <f t="shared" si="25"/>
        <v>5062.5</v>
      </c>
    </row>
    <row r="141" spans="1:1024 1026:2048 2050:3072 3074:4096 4098:5120 5122:6144 6146:7168 7170:8192 8194:9216 9218:10240 10242:11264 11266:12288 12290:13312 13314:14336 14338:15360 15362:16382">
      <c r="A141" s="1" t="s">
        <v>38</v>
      </c>
      <c r="B141" s="17">
        <v>5033002512</v>
      </c>
      <c r="C141" s="14" t="s">
        <v>2389</v>
      </c>
      <c r="D141" s="40">
        <v>8</v>
      </c>
      <c r="E141" s="257" t="s">
        <v>1008</v>
      </c>
      <c r="F141" s="1">
        <v>20231101</v>
      </c>
      <c r="G141" s="1">
        <v>20240123</v>
      </c>
      <c r="H141" s="159">
        <v>10</v>
      </c>
      <c r="K141" s="12" t="s">
        <v>1083</v>
      </c>
      <c r="L141" s="12" t="s">
        <v>1238</v>
      </c>
      <c r="M141" s="1" t="s">
        <v>2092</v>
      </c>
      <c r="N141" s="12" t="s">
        <v>2090</v>
      </c>
      <c r="O141" s="28">
        <v>2250</v>
      </c>
      <c r="P141" s="28">
        <f t="shared" si="26"/>
        <v>1687.5</v>
      </c>
      <c r="Q141" s="28">
        <f t="shared" si="25"/>
        <v>13500</v>
      </c>
    </row>
    <row r="142" spans="1:1024 1026:2048 2050:3072 3074:4096 4098:5120 5122:6144 6146:7168 7170:8192 8194:9216 9218:10240 10242:11264 11266:12288 12290:13312 13314:14336 14338:15360 15362:16382">
      <c r="A142" s="1" t="s">
        <v>38</v>
      </c>
      <c r="B142" s="1">
        <v>3042002580</v>
      </c>
      <c r="C142" s="1" t="s">
        <v>2389</v>
      </c>
      <c r="D142" s="6">
        <v>20</v>
      </c>
      <c r="E142" s="257"/>
      <c r="F142" s="1">
        <v>20230504</v>
      </c>
      <c r="G142" s="1">
        <v>20230901</v>
      </c>
      <c r="H142" s="159" t="s">
        <v>699</v>
      </c>
      <c r="J142" s="12"/>
      <c r="K142" s="12" t="s">
        <v>1030</v>
      </c>
      <c r="L142" s="12" t="s">
        <v>1266</v>
      </c>
      <c r="M142" s="1" t="s">
        <v>1265</v>
      </c>
      <c r="N142" s="12" t="s">
        <v>1271</v>
      </c>
      <c r="O142" s="28">
        <v>1306</v>
      </c>
      <c r="P142" s="28">
        <f t="shared" si="26"/>
        <v>979.5</v>
      </c>
      <c r="Q142" s="28">
        <f t="shared" si="25"/>
        <v>19590</v>
      </c>
    </row>
    <row r="143" spans="1:1024 1026:2048 2050:3072 3074:4096 4098:5120 5122:6144 6146:7168 7170:8192 8194:9216 9218:10240 10242:11264 11266:12288 12290:13312 13314:14336 14338:15360 15362:16382">
      <c r="A143" s="1" t="s">
        <v>38</v>
      </c>
      <c r="B143" s="1">
        <v>5005002503</v>
      </c>
      <c r="C143" s="1" t="s">
        <v>2389</v>
      </c>
      <c r="D143" s="6">
        <v>1</v>
      </c>
      <c r="E143" s="257"/>
      <c r="F143" s="1">
        <v>20250211</v>
      </c>
      <c r="G143" s="1">
        <v>20260114</v>
      </c>
      <c r="H143" s="159">
        <v>10</v>
      </c>
      <c r="J143" s="12"/>
      <c r="K143" s="12" t="s">
        <v>1030</v>
      </c>
      <c r="L143" s="12" t="s">
        <v>3125</v>
      </c>
      <c r="M143" s="1" t="s">
        <v>3126</v>
      </c>
      <c r="O143" s="28">
        <v>1520</v>
      </c>
      <c r="P143" s="28">
        <f t="shared" si="26"/>
        <v>1140</v>
      </c>
      <c r="Q143" s="28">
        <f t="shared" si="25"/>
        <v>1140</v>
      </c>
    </row>
    <row r="144" spans="1:1024 1026:2048 2050:3072 3074:4096 4098:5120 5122:6144 6146:7168 7170:8192 8194:9216 9218:10240 10242:11264 11266:12288 12290:13312 13314:14336 14338:15360 15362:16382">
      <c r="A144" s="80" t="s">
        <v>38</v>
      </c>
      <c r="B144" s="1">
        <v>1003012531</v>
      </c>
      <c r="C144" s="1" t="s">
        <v>2390</v>
      </c>
      <c r="D144" s="1">
        <v>27</v>
      </c>
      <c r="E144" s="257"/>
      <c r="F144" s="1">
        <v>20221001</v>
      </c>
      <c r="G144" s="1">
        <v>20221201</v>
      </c>
      <c r="H144" s="159" t="s">
        <v>699</v>
      </c>
      <c r="K144" s="12" t="s">
        <v>1030</v>
      </c>
      <c r="L144" s="12" t="s">
        <v>1240</v>
      </c>
      <c r="O144" s="28">
        <v>1076</v>
      </c>
      <c r="P144" s="28">
        <f t="shared" si="26"/>
        <v>807</v>
      </c>
      <c r="Q144" s="28">
        <f t="shared" si="25"/>
        <v>21789</v>
      </c>
    </row>
    <row r="145" spans="1:19">
      <c r="A145" s="80" t="s">
        <v>38</v>
      </c>
      <c r="B145" s="15" t="s">
        <v>791</v>
      </c>
      <c r="C145" s="368" t="s">
        <v>2391</v>
      </c>
      <c r="D145" s="96">
        <v>7</v>
      </c>
      <c r="E145" s="370"/>
      <c r="F145" s="13">
        <v>20221001</v>
      </c>
      <c r="G145" s="13">
        <v>20221201</v>
      </c>
      <c r="H145" s="160" t="s">
        <v>699</v>
      </c>
      <c r="I145" s="366" t="s">
        <v>865</v>
      </c>
      <c r="J145" s="1"/>
      <c r="K145" s="12" t="s">
        <v>1117</v>
      </c>
      <c r="L145" s="12" t="s">
        <v>1118</v>
      </c>
      <c r="N145" s="361" t="s">
        <v>793</v>
      </c>
      <c r="O145" s="28">
        <v>2860</v>
      </c>
      <c r="P145" s="28">
        <f t="shared" si="26"/>
        <v>2145</v>
      </c>
      <c r="Q145" s="28">
        <f t="shared" si="25"/>
        <v>15015</v>
      </c>
    </row>
    <row r="146" spans="1:19">
      <c r="A146" s="80" t="s">
        <v>38</v>
      </c>
      <c r="B146" s="139" t="s">
        <v>64</v>
      </c>
      <c r="C146" s="369"/>
      <c r="D146" s="64">
        <v>7</v>
      </c>
      <c r="E146" s="371"/>
      <c r="F146" s="14">
        <v>20221001</v>
      </c>
      <c r="G146" s="14">
        <v>20221201</v>
      </c>
      <c r="H146" s="161" t="s">
        <v>699</v>
      </c>
      <c r="I146" s="367"/>
      <c r="J146" s="1"/>
      <c r="K146" s="12" t="s">
        <v>1121</v>
      </c>
      <c r="L146" s="12" t="s">
        <v>1241</v>
      </c>
      <c r="N146" s="361"/>
      <c r="O146" s="28">
        <v>1777</v>
      </c>
      <c r="P146" s="28">
        <f t="shared" si="26"/>
        <v>1332.75</v>
      </c>
      <c r="Q146" s="28">
        <f t="shared" si="25"/>
        <v>9329.25</v>
      </c>
    </row>
    <row r="147" spans="1:19">
      <c r="A147" s="80" t="s">
        <v>38</v>
      </c>
      <c r="B147" s="1">
        <v>5020002522</v>
      </c>
      <c r="C147" s="1" t="s">
        <v>2390</v>
      </c>
      <c r="D147" s="1">
        <v>29</v>
      </c>
      <c r="E147" s="257"/>
      <c r="F147" s="1">
        <v>20221001</v>
      </c>
      <c r="G147" s="1">
        <v>20221201</v>
      </c>
      <c r="H147" s="159" t="s">
        <v>699</v>
      </c>
      <c r="K147" s="12" t="s">
        <v>1220</v>
      </c>
      <c r="L147" s="12" t="s">
        <v>1245</v>
      </c>
      <c r="M147" s="1" t="s">
        <v>792</v>
      </c>
      <c r="O147" s="28">
        <v>1892</v>
      </c>
      <c r="P147" s="28">
        <f t="shared" si="26"/>
        <v>1419</v>
      </c>
      <c r="Q147" s="28">
        <f t="shared" si="25"/>
        <v>41151</v>
      </c>
    </row>
    <row r="148" spans="1:19">
      <c r="A148" s="1" t="s">
        <v>38</v>
      </c>
      <c r="B148" s="1" t="s">
        <v>2414</v>
      </c>
      <c r="C148" s="1" t="s">
        <v>2390</v>
      </c>
      <c r="D148" s="1">
        <v>4</v>
      </c>
      <c r="E148" s="257"/>
      <c r="F148" s="1">
        <v>20240314</v>
      </c>
      <c r="G148" s="1">
        <v>20240604</v>
      </c>
      <c r="H148" s="159">
        <v>10</v>
      </c>
      <c r="K148" s="12" t="s">
        <v>2415</v>
      </c>
      <c r="L148" s="12" t="s">
        <v>2416</v>
      </c>
      <c r="M148" s="1" t="s">
        <v>2417</v>
      </c>
      <c r="N148" s="12" t="s">
        <v>2420</v>
      </c>
      <c r="O148" s="28">
        <v>4600</v>
      </c>
      <c r="P148" s="28">
        <f t="shared" si="26"/>
        <v>3450</v>
      </c>
      <c r="Q148" s="28">
        <f t="shared" si="25"/>
        <v>13800</v>
      </c>
    </row>
    <row r="149" spans="1:19">
      <c r="A149" s="1" t="s">
        <v>38</v>
      </c>
      <c r="B149" s="1" t="s">
        <v>2418</v>
      </c>
      <c r="C149" s="1" t="s">
        <v>2390</v>
      </c>
      <c r="D149" s="1">
        <v>3</v>
      </c>
      <c r="E149" s="257"/>
      <c r="F149" s="1">
        <v>20240305</v>
      </c>
      <c r="G149" s="1">
        <v>20240604</v>
      </c>
      <c r="H149" s="159">
        <v>10</v>
      </c>
      <c r="K149" s="12" t="s">
        <v>2415</v>
      </c>
      <c r="L149" s="12" t="s">
        <v>2421</v>
      </c>
      <c r="M149" s="1" t="s">
        <v>2419</v>
      </c>
      <c r="N149" s="12" t="s">
        <v>2420</v>
      </c>
      <c r="O149" s="28">
        <v>9400</v>
      </c>
      <c r="P149" s="28">
        <f t="shared" si="26"/>
        <v>7050</v>
      </c>
      <c r="Q149" s="28">
        <f t="shared" si="25"/>
        <v>21150</v>
      </c>
    </row>
    <row r="150" spans="1:19">
      <c r="A150" s="1" t="s">
        <v>2073</v>
      </c>
      <c r="B150" s="4">
        <v>3011012533</v>
      </c>
      <c r="C150" s="1" t="s">
        <v>2606</v>
      </c>
      <c r="D150" s="1">
        <v>20</v>
      </c>
      <c r="E150" s="257" t="s">
        <v>1008</v>
      </c>
      <c r="F150" s="1">
        <v>20240719</v>
      </c>
      <c r="G150" s="1">
        <v>20240927</v>
      </c>
      <c r="H150" s="159" t="s">
        <v>790</v>
      </c>
      <c r="J150" s="12"/>
      <c r="K150" s="12" t="s">
        <v>1030</v>
      </c>
      <c r="L150" s="12" t="s">
        <v>1206</v>
      </c>
      <c r="M150" s="1" t="s">
        <v>2627</v>
      </c>
      <c r="N150" s="12" t="s">
        <v>2085</v>
      </c>
      <c r="O150" s="28">
        <v>2040</v>
      </c>
      <c r="P150" s="28">
        <f t="shared" si="26"/>
        <v>1530</v>
      </c>
      <c r="Q150" s="28">
        <f t="shared" si="25"/>
        <v>30600</v>
      </c>
      <c r="R150" s="74"/>
      <c r="S150" s="12"/>
    </row>
    <row r="151" spans="1:19">
      <c r="A151" s="1" t="s">
        <v>38</v>
      </c>
      <c r="B151" s="209">
        <v>5015002504</v>
      </c>
      <c r="C151" s="209" t="s">
        <v>2739</v>
      </c>
      <c r="D151" s="209">
        <v>2</v>
      </c>
      <c r="E151" s="265"/>
      <c r="F151" s="209">
        <v>20210310</v>
      </c>
      <c r="G151" s="209">
        <v>20210510</v>
      </c>
      <c r="H151" s="237" t="s">
        <v>699</v>
      </c>
      <c r="I151" s="263"/>
      <c r="J151" s="12"/>
      <c r="K151" s="12" t="s">
        <v>1143</v>
      </c>
      <c r="L151" s="12" t="s">
        <v>1185</v>
      </c>
      <c r="O151" s="28">
        <v>1950</v>
      </c>
      <c r="P151" s="28">
        <f>O151*0.75</f>
        <v>1462.5</v>
      </c>
      <c r="Q151" s="28">
        <f>D151*P151</f>
        <v>2925</v>
      </c>
    </row>
    <row r="152" spans="1:19">
      <c r="A152" s="1" t="s">
        <v>38</v>
      </c>
      <c r="B152" s="1">
        <v>2904002521</v>
      </c>
      <c r="C152" s="6" t="s">
        <v>2739</v>
      </c>
      <c r="D152" s="1">
        <v>1</v>
      </c>
      <c r="E152" s="257"/>
      <c r="F152" s="1">
        <v>20230130</v>
      </c>
      <c r="G152" s="1">
        <v>20230330</v>
      </c>
      <c r="H152" s="159" t="s">
        <v>699</v>
      </c>
      <c r="K152" s="12" t="s">
        <v>1199</v>
      </c>
      <c r="L152" s="12" t="s">
        <v>1200</v>
      </c>
      <c r="M152" s="1" t="s">
        <v>883</v>
      </c>
      <c r="O152" s="28">
        <v>1800</v>
      </c>
      <c r="P152" s="28">
        <f t="shared" ref="P152:P153" si="27">O152*0.75</f>
        <v>1350</v>
      </c>
      <c r="Q152" s="28">
        <f t="shared" ref="Q152:Q153" si="28">D152*P152</f>
        <v>1350</v>
      </c>
    </row>
    <row r="153" spans="1:19">
      <c r="A153" s="1" t="s">
        <v>38</v>
      </c>
      <c r="B153" s="1">
        <v>3015002512</v>
      </c>
      <c r="C153" s="6" t="s">
        <v>2739</v>
      </c>
      <c r="D153" s="1">
        <v>2</v>
      </c>
      <c r="E153" s="257"/>
      <c r="F153" s="1">
        <v>20230221</v>
      </c>
      <c r="G153" s="1">
        <v>20230421</v>
      </c>
      <c r="H153" s="159" t="s">
        <v>699</v>
      </c>
      <c r="K153" s="12" t="s">
        <v>1143</v>
      </c>
      <c r="L153" s="12" t="s">
        <v>1207</v>
      </c>
      <c r="M153" s="1" t="s">
        <v>891</v>
      </c>
      <c r="O153" s="28">
        <v>1960</v>
      </c>
      <c r="P153" s="28">
        <f t="shared" si="27"/>
        <v>1470</v>
      </c>
      <c r="Q153" s="28">
        <f t="shared" si="28"/>
        <v>2940</v>
      </c>
    </row>
    <row r="154" spans="1:19" s="6" customFormat="1">
      <c r="A154" s="6" t="s">
        <v>38</v>
      </c>
      <c r="B154" s="6">
        <v>1051002500</v>
      </c>
      <c r="C154" s="6" t="s">
        <v>2739</v>
      </c>
      <c r="D154" s="6">
        <v>1</v>
      </c>
      <c r="E154" s="7"/>
      <c r="F154" s="6">
        <v>20241213</v>
      </c>
      <c r="G154" s="6">
        <v>20250204</v>
      </c>
      <c r="H154" s="159" t="s">
        <v>699</v>
      </c>
      <c r="I154" s="195"/>
      <c r="K154" s="12" t="s">
        <v>1047</v>
      </c>
      <c r="L154" s="12" t="s">
        <v>1196</v>
      </c>
      <c r="M154" s="6" t="s">
        <v>2824</v>
      </c>
      <c r="N154" s="6" t="s">
        <v>2825</v>
      </c>
      <c r="O154" s="28">
        <v>1780</v>
      </c>
      <c r="P154" s="28">
        <f t="shared" ref="P154:P158" si="29">O154*0.75</f>
        <v>1335</v>
      </c>
      <c r="Q154" s="28">
        <f t="shared" ref="Q154:Q158" si="30">D154*P154</f>
        <v>1335</v>
      </c>
    </row>
    <row r="155" spans="1:19">
      <c r="A155" s="1" t="s">
        <v>79</v>
      </c>
      <c r="B155" s="1">
        <v>1029002530</v>
      </c>
      <c r="C155" s="6" t="s">
        <v>7</v>
      </c>
      <c r="D155" s="1">
        <v>1</v>
      </c>
      <c r="E155" s="257"/>
      <c r="F155" s="1">
        <v>20220901</v>
      </c>
      <c r="G155" s="1">
        <v>20221101</v>
      </c>
      <c r="H155" s="159" t="s">
        <v>699</v>
      </c>
      <c r="I155" s="189" t="s">
        <v>774</v>
      </c>
      <c r="K155" s="12" t="s">
        <v>1034</v>
      </c>
      <c r="L155" s="12" t="s">
        <v>1107</v>
      </c>
      <c r="M155" s="1" t="s">
        <v>773</v>
      </c>
      <c r="O155" s="28">
        <v>2310</v>
      </c>
      <c r="P155" s="28">
        <f t="shared" si="29"/>
        <v>1732.5</v>
      </c>
      <c r="Q155" s="28">
        <f t="shared" si="30"/>
        <v>1732.5</v>
      </c>
    </row>
    <row r="156" spans="1:19">
      <c r="A156" s="1" t="s">
        <v>38</v>
      </c>
      <c r="B156" s="1">
        <v>1024005400</v>
      </c>
      <c r="C156" s="1" t="s">
        <v>7</v>
      </c>
      <c r="D156" s="4">
        <v>1</v>
      </c>
      <c r="E156" s="257"/>
      <c r="F156" s="1">
        <v>20210703</v>
      </c>
      <c r="G156" s="1">
        <v>20210903</v>
      </c>
      <c r="H156" s="159" t="s">
        <v>699</v>
      </c>
      <c r="J156" s="12"/>
      <c r="K156" s="12" t="s">
        <v>1111</v>
      </c>
      <c r="L156" s="12" t="s">
        <v>1112</v>
      </c>
      <c r="O156" s="28">
        <v>1450</v>
      </c>
      <c r="P156" s="28">
        <f t="shared" si="29"/>
        <v>1087.5</v>
      </c>
      <c r="Q156" s="28">
        <f t="shared" si="30"/>
        <v>1087.5</v>
      </c>
      <c r="S156" s="12"/>
    </row>
    <row r="157" spans="1:19">
      <c r="A157" s="1" t="s">
        <v>38</v>
      </c>
      <c r="B157" s="1">
        <v>1047002500</v>
      </c>
      <c r="C157" s="1" t="s">
        <v>7</v>
      </c>
      <c r="D157" s="4">
        <v>1</v>
      </c>
      <c r="E157" s="257" t="s">
        <v>717</v>
      </c>
      <c r="F157" s="1">
        <v>20210915</v>
      </c>
      <c r="G157" s="1">
        <v>20211115</v>
      </c>
      <c r="H157" s="159" t="s">
        <v>699</v>
      </c>
      <c r="J157" s="12" t="s">
        <v>812</v>
      </c>
      <c r="K157" s="12" t="s">
        <v>1113</v>
      </c>
      <c r="L157" s="12" t="s">
        <v>1114</v>
      </c>
      <c r="O157" s="28">
        <v>1950</v>
      </c>
      <c r="P157" s="28">
        <f t="shared" si="29"/>
        <v>1462.5</v>
      </c>
      <c r="Q157" s="28">
        <f t="shared" si="30"/>
        <v>1462.5</v>
      </c>
      <c r="S157" s="12"/>
    </row>
    <row r="158" spans="1:19">
      <c r="A158" s="1" t="s">
        <v>2073</v>
      </c>
      <c r="B158" s="170">
        <v>3011012533</v>
      </c>
      <c r="C158" s="1" t="s">
        <v>2481</v>
      </c>
      <c r="D158" s="1">
        <v>3</v>
      </c>
      <c r="E158" s="257" t="s">
        <v>1007</v>
      </c>
      <c r="F158" s="1">
        <v>20230713</v>
      </c>
      <c r="G158" s="1">
        <v>20231120</v>
      </c>
      <c r="H158" s="159" t="s">
        <v>790</v>
      </c>
      <c r="J158" s="12" t="s">
        <v>2605</v>
      </c>
      <c r="K158" s="12" t="s">
        <v>1030</v>
      </c>
      <c r="L158" s="12" t="s">
        <v>1206</v>
      </c>
      <c r="M158" s="1" t="s">
        <v>2079</v>
      </c>
      <c r="N158" s="12" t="s">
        <v>2085</v>
      </c>
      <c r="O158" s="28">
        <v>2040</v>
      </c>
      <c r="P158" s="28">
        <f t="shared" si="29"/>
        <v>1530</v>
      </c>
      <c r="Q158" s="28">
        <f t="shared" si="30"/>
        <v>4590</v>
      </c>
      <c r="R158" s="74"/>
      <c r="S158" s="12"/>
    </row>
    <row r="159" spans="1:19">
      <c r="A159" s="1" t="s">
        <v>38</v>
      </c>
      <c r="B159" s="1">
        <v>3020002512</v>
      </c>
      <c r="C159" s="1" t="s">
        <v>8</v>
      </c>
      <c r="D159" s="1">
        <v>8</v>
      </c>
      <c r="E159" s="257"/>
      <c r="G159" s="1">
        <v>20191122</v>
      </c>
      <c r="H159" s="159" t="s">
        <v>699</v>
      </c>
      <c r="J159" s="12"/>
      <c r="K159" s="12" t="s">
        <v>1034</v>
      </c>
      <c r="L159" s="12" t="s">
        <v>1259</v>
      </c>
      <c r="O159" s="28">
        <v>1540</v>
      </c>
      <c r="P159" s="28">
        <f t="shared" ref="P159:P186" si="31">O159*0.75</f>
        <v>1155</v>
      </c>
      <c r="Q159" s="28">
        <f t="shared" si="25"/>
        <v>9240</v>
      </c>
    </row>
    <row r="160" spans="1:19">
      <c r="A160" s="1" t="s">
        <v>38</v>
      </c>
      <c r="B160" s="1">
        <v>3020002580</v>
      </c>
      <c r="C160" s="1" t="s">
        <v>8</v>
      </c>
      <c r="D160" s="1">
        <v>3</v>
      </c>
      <c r="E160" s="257"/>
      <c r="G160" s="1">
        <v>20200315</v>
      </c>
      <c r="H160" s="159" t="s">
        <v>699</v>
      </c>
      <c r="J160" s="12"/>
      <c r="K160" s="12" t="s">
        <v>1220</v>
      </c>
      <c r="L160" s="12" t="s">
        <v>1260</v>
      </c>
      <c r="O160" s="28">
        <v>1900</v>
      </c>
      <c r="P160" s="28">
        <f t="shared" si="31"/>
        <v>1425</v>
      </c>
      <c r="Q160" s="28">
        <f t="shared" ref="Q160:Q189" si="32">D160*P160</f>
        <v>4275</v>
      </c>
    </row>
    <row r="161" spans="1:19">
      <c r="A161" s="1" t="s">
        <v>38</v>
      </c>
      <c r="B161" s="1">
        <v>3046002580</v>
      </c>
      <c r="C161" s="1" t="s">
        <v>8</v>
      </c>
      <c r="D161" s="4">
        <v>1</v>
      </c>
      <c r="E161" s="257"/>
      <c r="G161" s="1">
        <v>20200315</v>
      </c>
      <c r="H161" s="159" t="s">
        <v>699</v>
      </c>
      <c r="I161" s="193"/>
      <c r="J161" s="12"/>
      <c r="K161" s="12" t="s">
        <v>1030</v>
      </c>
      <c r="L161" s="12" t="s">
        <v>1630</v>
      </c>
      <c r="O161" s="28">
        <v>0</v>
      </c>
      <c r="P161" s="28">
        <f t="shared" si="31"/>
        <v>0</v>
      </c>
      <c r="Q161" s="28">
        <f t="shared" si="32"/>
        <v>0</v>
      </c>
      <c r="R161" s="205" t="s">
        <v>2211</v>
      </c>
    </row>
    <row r="162" spans="1:19">
      <c r="A162" s="1" t="s">
        <v>38</v>
      </c>
      <c r="B162" s="1">
        <v>3004002570</v>
      </c>
      <c r="C162" s="1" t="s">
        <v>2452</v>
      </c>
      <c r="D162" s="4">
        <v>2</v>
      </c>
      <c r="E162" s="257"/>
      <c r="F162" s="1">
        <v>20240319</v>
      </c>
      <c r="G162" s="1">
        <v>20240604</v>
      </c>
      <c r="H162" s="159">
        <v>10</v>
      </c>
      <c r="I162" s="193"/>
      <c r="J162" s="12"/>
      <c r="K162" s="12" t="s">
        <v>2453</v>
      </c>
      <c r="L162" s="12" t="s">
        <v>2454</v>
      </c>
      <c r="M162" s="1" t="s">
        <v>2455</v>
      </c>
      <c r="O162" s="28">
        <v>1750</v>
      </c>
      <c r="P162" s="28">
        <f t="shared" si="31"/>
        <v>1312.5</v>
      </c>
      <c r="Q162" s="28">
        <f t="shared" si="32"/>
        <v>2625</v>
      </c>
      <c r="R162" s="205"/>
    </row>
    <row r="163" spans="1:19">
      <c r="A163" s="1" t="s">
        <v>38</v>
      </c>
      <c r="B163" s="1">
        <v>2005002520</v>
      </c>
      <c r="C163" s="1" t="s">
        <v>9</v>
      </c>
      <c r="D163" s="1">
        <v>1</v>
      </c>
      <c r="E163" s="257"/>
      <c r="G163" s="1">
        <v>20200304</v>
      </c>
      <c r="H163" s="159" t="s">
        <v>699</v>
      </c>
      <c r="J163" s="12"/>
      <c r="K163" s="12" t="s">
        <v>1039</v>
      </c>
      <c r="L163" s="12" t="s">
        <v>1598</v>
      </c>
      <c r="O163" s="28">
        <v>0</v>
      </c>
      <c r="P163" s="28">
        <f t="shared" si="31"/>
        <v>0</v>
      </c>
      <c r="Q163" s="28">
        <f t="shared" si="32"/>
        <v>0</v>
      </c>
      <c r="R163" s="205" t="s">
        <v>2211</v>
      </c>
    </row>
    <row r="164" spans="1:19">
      <c r="A164" s="1" t="s">
        <v>38</v>
      </c>
      <c r="B164" s="1">
        <v>2005002530</v>
      </c>
      <c r="C164" s="1" t="s">
        <v>9</v>
      </c>
      <c r="D164" s="1">
        <v>1</v>
      </c>
      <c r="E164" s="257"/>
      <c r="G164" s="1">
        <v>20200304</v>
      </c>
      <c r="H164" s="159" t="s">
        <v>699</v>
      </c>
      <c r="J164" s="12"/>
      <c r="K164" s="12" t="s">
        <v>1129</v>
      </c>
      <c r="L164" s="12" t="s">
        <v>1599</v>
      </c>
      <c r="O164" s="28">
        <v>0</v>
      </c>
      <c r="P164" s="28">
        <f t="shared" si="31"/>
        <v>0</v>
      </c>
      <c r="Q164" s="28">
        <f t="shared" si="32"/>
        <v>0</v>
      </c>
      <c r="R164" s="205" t="s">
        <v>2211</v>
      </c>
    </row>
    <row r="165" spans="1:19">
      <c r="A165" s="1" t="s">
        <v>38</v>
      </c>
      <c r="B165" s="1">
        <v>3018002580</v>
      </c>
      <c r="C165" s="1" t="s">
        <v>9</v>
      </c>
      <c r="D165" s="1">
        <v>12</v>
      </c>
      <c r="E165" s="257"/>
      <c r="G165" s="1">
        <v>20200304</v>
      </c>
      <c r="H165" s="159" t="s">
        <v>699</v>
      </c>
      <c r="J165" s="12"/>
      <c r="K165" s="12" t="s">
        <v>1594</v>
      </c>
      <c r="L165" s="12" t="s">
        <v>1602</v>
      </c>
      <c r="O165" s="28">
        <v>1817</v>
      </c>
      <c r="P165" s="28">
        <f t="shared" si="31"/>
        <v>1362.75</v>
      </c>
      <c r="Q165" s="28">
        <f t="shared" si="32"/>
        <v>16353</v>
      </c>
    </row>
    <row r="166" spans="1:19">
      <c r="A166" s="1" t="s">
        <v>38</v>
      </c>
      <c r="B166" s="1">
        <v>3018002511</v>
      </c>
      <c r="C166" s="1" t="s">
        <v>9</v>
      </c>
      <c r="D166" s="1">
        <v>10</v>
      </c>
      <c r="E166" s="257"/>
      <c r="G166" s="1">
        <v>20200304</v>
      </c>
      <c r="H166" s="159" t="s">
        <v>699</v>
      </c>
      <c r="J166" s="12"/>
      <c r="K166" s="12" t="s">
        <v>1594</v>
      </c>
      <c r="L166" s="12" t="s">
        <v>1593</v>
      </c>
      <c r="O166" s="28">
        <v>1053</v>
      </c>
      <c r="P166" s="28">
        <f t="shared" si="31"/>
        <v>789.75</v>
      </c>
      <c r="Q166" s="28">
        <f t="shared" si="32"/>
        <v>7897.5</v>
      </c>
    </row>
    <row r="167" spans="1:19">
      <c r="A167" s="1" t="s">
        <v>38</v>
      </c>
      <c r="B167" s="1">
        <v>3018002521</v>
      </c>
      <c r="C167" s="1" t="s">
        <v>9</v>
      </c>
      <c r="D167" s="1">
        <v>10</v>
      </c>
      <c r="E167" s="257"/>
      <c r="G167" s="1">
        <v>20200304</v>
      </c>
      <c r="H167" s="159" t="s">
        <v>699</v>
      </c>
      <c r="J167" s="12"/>
      <c r="K167" s="12" t="s">
        <v>1595</v>
      </c>
      <c r="L167" s="12" t="s">
        <v>1600</v>
      </c>
      <c r="O167" s="28">
        <v>1080</v>
      </c>
      <c r="P167" s="28">
        <f t="shared" si="31"/>
        <v>810</v>
      </c>
      <c r="Q167" s="28">
        <f t="shared" si="32"/>
        <v>8100</v>
      </c>
    </row>
    <row r="168" spans="1:19">
      <c r="A168" s="1" t="s">
        <v>38</v>
      </c>
      <c r="B168" s="1">
        <v>3018002531</v>
      </c>
      <c r="C168" s="1" t="s">
        <v>9</v>
      </c>
      <c r="D168" s="1">
        <v>7</v>
      </c>
      <c r="E168" s="257"/>
      <c r="G168" s="1">
        <v>20191106</v>
      </c>
      <c r="H168" s="159" t="s">
        <v>699</v>
      </c>
      <c r="J168" s="12"/>
      <c r="K168" s="12" t="s">
        <v>1595</v>
      </c>
      <c r="L168" s="12" t="s">
        <v>1601</v>
      </c>
      <c r="O168" s="28">
        <v>1098</v>
      </c>
      <c r="P168" s="28">
        <f t="shared" si="31"/>
        <v>823.5</v>
      </c>
      <c r="Q168" s="28">
        <f t="shared" si="32"/>
        <v>5764.5</v>
      </c>
    </row>
    <row r="169" spans="1:19">
      <c r="A169" s="1" t="s">
        <v>38</v>
      </c>
      <c r="B169" s="1">
        <v>5008042501</v>
      </c>
      <c r="C169" s="12" t="s">
        <v>10</v>
      </c>
      <c r="D169" s="1">
        <v>1</v>
      </c>
      <c r="E169" s="257"/>
      <c r="F169" s="1">
        <v>20221009</v>
      </c>
      <c r="G169" s="1">
        <v>20221209</v>
      </c>
      <c r="H169" s="159" t="s">
        <v>699</v>
      </c>
      <c r="J169" s="4" t="s">
        <v>3247</v>
      </c>
      <c r="K169" s="12" t="s">
        <v>1220</v>
      </c>
      <c r="L169" s="12" t="s">
        <v>1230</v>
      </c>
      <c r="N169" s="12" t="s">
        <v>2085</v>
      </c>
      <c r="O169" s="28">
        <v>825</v>
      </c>
      <c r="P169" s="28">
        <f>O169*0.75</f>
        <v>618.75</v>
      </c>
      <c r="Q169" s="28">
        <f>D169*P169</f>
        <v>618.75</v>
      </c>
    </row>
    <row r="170" spans="1:19">
      <c r="A170" s="1" t="s">
        <v>38</v>
      </c>
      <c r="B170" s="1">
        <v>3052002521</v>
      </c>
      <c r="C170" s="1" t="s">
        <v>10</v>
      </c>
      <c r="D170" s="6">
        <v>2</v>
      </c>
      <c r="E170" s="257"/>
      <c r="G170" s="1">
        <v>20200925</v>
      </c>
      <c r="H170" s="159" t="s">
        <v>699</v>
      </c>
      <c r="J170" s="12"/>
      <c r="K170" s="12" t="s">
        <v>1030</v>
      </c>
      <c r="L170" s="12" t="s">
        <v>1125</v>
      </c>
      <c r="O170" s="28">
        <v>1550</v>
      </c>
      <c r="P170" s="28">
        <f t="shared" si="31"/>
        <v>1162.5</v>
      </c>
      <c r="Q170" s="28">
        <f t="shared" si="32"/>
        <v>2325</v>
      </c>
    </row>
    <row r="171" spans="1:19">
      <c r="A171" s="1" t="s">
        <v>38</v>
      </c>
      <c r="B171" s="1">
        <v>6006002540</v>
      </c>
      <c r="C171" s="1" t="s">
        <v>10</v>
      </c>
      <c r="D171" s="1">
        <v>19</v>
      </c>
      <c r="E171" s="257"/>
      <c r="G171" s="1">
        <v>20200821</v>
      </c>
      <c r="H171" s="159" t="s">
        <v>699</v>
      </c>
      <c r="J171" s="12"/>
      <c r="K171" s="12" t="s">
        <v>1115</v>
      </c>
      <c r="L171" s="12" t="s">
        <v>1256</v>
      </c>
      <c r="O171" s="28">
        <v>0</v>
      </c>
      <c r="P171" s="28">
        <f t="shared" si="31"/>
        <v>0</v>
      </c>
      <c r="Q171" s="28">
        <f t="shared" si="32"/>
        <v>0</v>
      </c>
      <c r="R171" s="205" t="s">
        <v>2211</v>
      </c>
    </row>
    <row r="172" spans="1:19" s="6" customFormat="1">
      <c r="A172" s="6" t="s">
        <v>38</v>
      </c>
      <c r="B172" s="6">
        <v>1015002512</v>
      </c>
      <c r="C172" s="6" t="s">
        <v>10</v>
      </c>
      <c r="D172" s="6">
        <v>1</v>
      </c>
      <c r="E172" s="258" t="s">
        <v>1007</v>
      </c>
      <c r="F172" s="6">
        <v>20230107</v>
      </c>
      <c r="G172" s="6">
        <v>20230307</v>
      </c>
      <c r="H172" s="159" t="s">
        <v>699</v>
      </c>
      <c r="I172" s="195"/>
      <c r="J172" s="113" t="s">
        <v>450</v>
      </c>
      <c r="K172" s="12" t="s">
        <v>1047</v>
      </c>
      <c r="L172" s="12" t="s">
        <v>1164</v>
      </c>
      <c r="M172" s="6" t="s">
        <v>861</v>
      </c>
      <c r="N172" s="12"/>
      <c r="O172" s="28">
        <v>3971</v>
      </c>
      <c r="P172" s="28">
        <f>O172*0.75</f>
        <v>2978.25</v>
      </c>
      <c r="Q172" s="28">
        <f>D172*P172</f>
        <v>2978.25</v>
      </c>
      <c r="R172" s="28"/>
    </row>
    <row r="173" spans="1:19">
      <c r="A173" s="1" t="s">
        <v>38</v>
      </c>
      <c r="B173" s="1">
        <v>5033002561</v>
      </c>
      <c r="C173" s="1" t="s">
        <v>11</v>
      </c>
      <c r="D173" s="1">
        <v>1</v>
      </c>
      <c r="E173" s="257"/>
      <c r="G173" s="1">
        <v>20191202</v>
      </c>
      <c r="H173" s="159" t="s">
        <v>699</v>
      </c>
      <c r="J173" s="12"/>
      <c r="K173" s="12" t="s">
        <v>1122</v>
      </c>
      <c r="L173" s="12" t="s">
        <v>1248</v>
      </c>
      <c r="O173" s="28">
        <v>6100</v>
      </c>
      <c r="P173" s="28">
        <f t="shared" si="31"/>
        <v>4575</v>
      </c>
      <c r="Q173" s="28">
        <f t="shared" si="32"/>
        <v>4575</v>
      </c>
      <c r="S173" s="12"/>
    </row>
    <row r="174" spans="1:19">
      <c r="A174" s="1" t="s">
        <v>38</v>
      </c>
      <c r="B174" s="12">
        <v>6043002510</v>
      </c>
      <c r="C174" s="6" t="s">
        <v>11</v>
      </c>
      <c r="D174" s="6">
        <v>1</v>
      </c>
      <c r="E174" s="257"/>
      <c r="G174" s="1">
        <v>20200308</v>
      </c>
      <c r="H174" s="159" t="s">
        <v>699</v>
      </c>
      <c r="J174" s="12"/>
      <c r="K174" s="12" t="s">
        <v>1122</v>
      </c>
      <c r="L174" s="12" t="s">
        <v>1126</v>
      </c>
      <c r="O174" s="28">
        <v>5115</v>
      </c>
      <c r="P174" s="28">
        <f t="shared" si="31"/>
        <v>3836.25</v>
      </c>
      <c r="Q174" s="28">
        <f t="shared" si="32"/>
        <v>3836.25</v>
      </c>
    </row>
    <row r="175" spans="1:19">
      <c r="A175" s="1" t="s">
        <v>38</v>
      </c>
      <c r="B175" s="1">
        <v>6006002550</v>
      </c>
      <c r="C175" s="6" t="s">
        <v>11</v>
      </c>
      <c r="D175" s="1">
        <v>1</v>
      </c>
      <c r="E175" s="257"/>
      <c r="G175" s="1">
        <v>20201119</v>
      </c>
      <c r="H175" s="159" t="s">
        <v>699</v>
      </c>
      <c r="J175" s="12"/>
      <c r="K175" s="12" t="s">
        <v>1105</v>
      </c>
      <c r="L175" s="145" t="s">
        <v>1634</v>
      </c>
      <c r="O175" s="28">
        <v>0</v>
      </c>
      <c r="P175" s="28">
        <f t="shared" si="31"/>
        <v>0</v>
      </c>
      <c r="Q175" s="28">
        <f t="shared" si="32"/>
        <v>0</v>
      </c>
      <c r="R175" s="205" t="s">
        <v>2211</v>
      </c>
    </row>
    <row r="176" spans="1:19">
      <c r="A176" s="1" t="s">
        <v>38</v>
      </c>
      <c r="B176" s="1">
        <v>5069002511</v>
      </c>
      <c r="C176" s="1" t="s">
        <v>12</v>
      </c>
      <c r="D176" s="1">
        <v>1</v>
      </c>
      <c r="E176" s="257"/>
      <c r="G176" s="1">
        <v>20200315</v>
      </c>
      <c r="H176" s="159" t="s">
        <v>699</v>
      </c>
      <c r="J176" s="12"/>
      <c r="K176" s="12" t="s">
        <v>1122</v>
      </c>
      <c r="L176" s="12" t="s">
        <v>1254</v>
      </c>
      <c r="O176" s="28">
        <v>5300</v>
      </c>
      <c r="P176" s="28">
        <f t="shared" si="31"/>
        <v>3975</v>
      </c>
      <c r="Q176" s="28">
        <f t="shared" si="32"/>
        <v>3975</v>
      </c>
      <c r="S176" s="12"/>
    </row>
    <row r="177" spans="1:19">
      <c r="A177" s="1" t="s">
        <v>38</v>
      </c>
      <c r="B177" s="1">
        <v>5033002570</v>
      </c>
      <c r="C177" s="1" t="s">
        <v>12</v>
      </c>
      <c r="D177" s="1">
        <v>1</v>
      </c>
      <c r="E177" s="257"/>
      <c r="G177" s="1">
        <v>20200315</v>
      </c>
      <c r="H177" s="159" t="s">
        <v>699</v>
      </c>
      <c r="J177" s="12"/>
      <c r="K177" s="12" t="s">
        <v>1632</v>
      </c>
      <c r="L177" s="12" t="s">
        <v>1633</v>
      </c>
      <c r="O177" s="28">
        <v>0</v>
      </c>
      <c r="P177" s="28">
        <f t="shared" si="31"/>
        <v>0</v>
      </c>
      <c r="Q177" s="28">
        <f t="shared" si="32"/>
        <v>0</v>
      </c>
      <c r="R177" s="206" t="s">
        <v>2211</v>
      </c>
      <c r="S177" s="12"/>
    </row>
    <row r="178" spans="1:19">
      <c r="A178" s="1" t="s">
        <v>38</v>
      </c>
      <c r="B178" s="4">
        <v>7003002550</v>
      </c>
      <c r="C178" s="1" t="s">
        <v>12</v>
      </c>
      <c r="D178" s="1">
        <v>1</v>
      </c>
      <c r="E178" s="257"/>
      <c r="G178" s="1">
        <v>20200304</v>
      </c>
      <c r="H178" s="159" t="s">
        <v>699</v>
      </c>
      <c r="I178" s="213"/>
      <c r="K178" s="12" t="s">
        <v>1024</v>
      </c>
      <c r="L178" s="12" t="s">
        <v>2226</v>
      </c>
      <c r="O178" s="28">
        <v>0</v>
      </c>
      <c r="P178" s="28">
        <f t="shared" si="31"/>
        <v>0</v>
      </c>
      <c r="Q178" s="28">
        <f t="shared" si="32"/>
        <v>0</v>
      </c>
      <c r="R178" s="206" t="s">
        <v>2211</v>
      </c>
    </row>
    <row r="179" spans="1:19">
      <c r="A179" s="1" t="s">
        <v>38</v>
      </c>
      <c r="B179" s="1">
        <v>7018002541</v>
      </c>
      <c r="C179" s="1" t="s">
        <v>12</v>
      </c>
      <c r="D179" s="1">
        <v>1</v>
      </c>
      <c r="E179" s="257"/>
      <c r="G179" s="1">
        <v>20200304</v>
      </c>
      <c r="H179" s="159" t="s">
        <v>699</v>
      </c>
      <c r="J179" s="12"/>
      <c r="K179" s="12" t="s">
        <v>1131</v>
      </c>
      <c r="L179" s="12" t="s">
        <v>1132</v>
      </c>
      <c r="O179" s="28">
        <v>0</v>
      </c>
      <c r="P179" s="28">
        <f t="shared" si="31"/>
        <v>0</v>
      </c>
      <c r="Q179" s="28">
        <f t="shared" si="32"/>
        <v>0</v>
      </c>
      <c r="R179" s="206" t="s">
        <v>2211</v>
      </c>
    </row>
    <row r="180" spans="1:19">
      <c r="A180" s="1" t="s">
        <v>38</v>
      </c>
      <c r="B180" s="1">
        <v>7018002551</v>
      </c>
      <c r="C180" s="1" t="s">
        <v>12</v>
      </c>
      <c r="D180" s="1">
        <v>1</v>
      </c>
      <c r="E180" s="257"/>
      <c r="G180" s="1">
        <v>20200304</v>
      </c>
      <c r="H180" s="159" t="s">
        <v>699</v>
      </c>
      <c r="J180" s="12"/>
      <c r="K180" s="12" t="s">
        <v>1133</v>
      </c>
      <c r="L180" s="12" t="s">
        <v>1134</v>
      </c>
      <c r="O180" s="28">
        <v>0</v>
      </c>
      <c r="P180" s="28">
        <f t="shared" si="31"/>
        <v>0</v>
      </c>
      <c r="Q180" s="28">
        <f t="shared" si="32"/>
        <v>0</v>
      </c>
      <c r="R180" s="206" t="s">
        <v>2211</v>
      </c>
    </row>
    <row r="181" spans="1:19">
      <c r="A181" s="1" t="s">
        <v>38</v>
      </c>
      <c r="B181" s="1">
        <v>7018002561</v>
      </c>
      <c r="C181" s="1" t="s">
        <v>12</v>
      </c>
      <c r="D181" s="1">
        <v>1</v>
      </c>
      <c r="E181" s="257"/>
      <c r="G181" s="1">
        <v>20200304</v>
      </c>
      <c r="H181" s="159" t="s">
        <v>699</v>
      </c>
      <c r="J181" s="12"/>
      <c r="K181" s="12" t="s">
        <v>1131</v>
      </c>
      <c r="L181" s="12" t="s">
        <v>1135</v>
      </c>
      <c r="O181" s="28">
        <v>0</v>
      </c>
      <c r="P181" s="28">
        <f t="shared" si="31"/>
        <v>0</v>
      </c>
      <c r="Q181" s="28">
        <f t="shared" si="32"/>
        <v>0</v>
      </c>
      <c r="R181" s="206" t="s">
        <v>2211</v>
      </c>
    </row>
    <row r="182" spans="1:19">
      <c r="A182" s="1" t="s">
        <v>89</v>
      </c>
      <c r="B182" s="1">
        <v>7018002570</v>
      </c>
      <c r="C182" s="1" t="s">
        <v>12</v>
      </c>
      <c r="D182" s="1">
        <v>1</v>
      </c>
      <c r="E182" s="257"/>
      <c r="G182" s="1">
        <v>20200304</v>
      </c>
      <c r="H182" s="159" t="s">
        <v>699</v>
      </c>
      <c r="J182" s="12"/>
      <c r="K182" s="12" t="s">
        <v>1133</v>
      </c>
      <c r="L182" s="12" t="s">
        <v>1636</v>
      </c>
      <c r="O182" s="28">
        <v>0</v>
      </c>
      <c r="P182" s="28">
        <f t="shared" si="31"/>
        <v>0</v>
      </c>
      <c r="Q182" s="28">
        <f t="shared" si="32"/>
        <v>0</v>
      </c>
      <c r="R182" s="205" t="s">
        <v>2211</v>
      </c>
    </row>
    <row r="183" spans="1:19">
      <c r="A183" s="1" t="s">
        <v>38</v>
      </c>
      <c r="B183" s="1">
        <v>5069002501</v>
      </c>
      <c r="C183" s="1" t="s">
        <v>2</v>
      </c>
      <c r="D183" s="1">
        <v>1</v>
      </c>
      <c r="E183" s="257"/>
      <c r="G183" s="1">
        <v>20200315</v>
      </c>
      <c r="H183" s="159" t="s">
        <v>699</v>
      </c>
      <c r="J183" s="12"/>
      <c r="K183" s="12" t="s">
        <v>1122</v>
      </c>
      <c r="L183" s="12" t="s">
        <v>1253</v>
      </c>
      <c r="O183" s="28">
        <v>7400</v>
      </c>
      <c r="P183" s="28">
        <f t="shared" si="31"/>
        <v>5550</v>
      </c>
      <c r="Q183" s="28">
        <f t="shared" si="32"/>
        <v>5550</v>
      </c>
      <c r="S183" s="12"/>
    </row>
    <row r="184" spans="1:19" s="6" customFormat="1">
      <c r="A184" s="6" t="s">
        <v>38</v>
      </c>
      <c r="B184" s="6">
        <v>1003022513</v>
      </c>
      <c r="C184" s="6" t="s">
        <v>4</v>
      </c>
      <c r="D184" s="6">
        <v>1</v>
      </c>
      <c r="E184" s="7"/>
      <c r="F184" s="6">
        <v>20241108</v>
      </c>
      <c r="G184" s="6">
        <v>20250103</v>
      </c>
      <c r="H184" s="159" t="s">
        <v>699</v>
      </c>
      <c r="I184" s="195"/>
      <c r="J184" s="12"/>
      <c r="K184" s="12" t="s">
        <v>1047</v>
      </c>
      <c r="L184" s="12" t="s">
        <v>1189</v>
      </c>
      <c r="M184" s="6" t="s">
        <v>2768</v>
      </c>
      <c r="N184" s="12" t="s">
        <v>2769</v>
      </c>
      <c r="O184" s="74">
        <v>1381</v>
      </c>
      <c r="P184" s="28">
        <f>O184*0.75</f>
        <v>1035.75</v>
      </c>
      <c r="Q184" s="28">
        <f t="shared" ref="Q184" si="33">D184*P184</f>
        <v>1035.75</v>
      </c>
      <c r="R184" s="74"/>
      <c r="S184" s="12"/>
    </row>
    <row r="185" spans="1:19">
      <c r="A185" s="1" t="s">
        <v>38</v>
      </c>
      <c r="B185" s="1">
        <v>3019002550</v>
      </c>
      <c r="C185" s="1" t="s">
        <v>4</v>
      </c>
      <c r="D185" s="1">
        <v>1</v>
      </c>
      <c r="E185" s="257"/>
      <c r="G185" s="1">
        <v>20200315</v>
      </c>
      <c r="H185" s="159" t="s">
        <v>699</v>
      </c>
      <c r="J185" s="12"/>
      <c r="K185" s="12" t="s">
        <v>1262</v>
      </c>
      <c r="L185" s="12" t="s">
        <v>1261</v>
      </c>
      <c r="O185" s="28">
        <v>0</v>
      </c>
      <c r="P185" s="28">
        <f t="shared" si="31"/>
        <v>0</v>
      </c>
      <c r="Q185" s="28">
        <f t="shared" si="32"/>
        <v>0</v>
      </c>
      <c r="R185" s="205" t="s">
        <v>2211</v>
      </c>
    </row>
    <row r="186" spans="1:19">
      <c r="A186" s="1" t="s">
        <v>38</v>
      </c>
      <c r="B186" s="1">
        <v>3019002570</v>
      </c>
      <c r="C186" s="1" t="s">
        <v>4</v>
      </c>
      <c r="D186" s="1">
        <v>1</v>
      </c>
      <c r="E186" s="257"/>
      <c r="G186" s="1">
        <v>20200315</v>
      </c>
      <c r="H186" s="159" t="s">
        <v>699</v>
      </c>
      <c r="J186" s="12"/>
      <c r="K186" s="12" t="s">
        <v>1034</v>
      </c>
      <c r="L186" s="12" t="s">
        <v>1625</v>
      </c>
      <c r="O186" s="28">
        <v>0</v>
      </c>
      <c r="P186" s="28">
        <f t="shared" si="31"/>
        <v>0</v>
      </c>
      <c r="Q186" s="28">
        <f t="shared" si="32"/>
        <v>0</v>
      </c>
      <c r="R186" s="205" t="s">
        <v>2211</v>
      </c>
    </row>
    <row r="187" spans="1:19">
      <c r="A187" s="1" t="s">
        <v>38</v>
      </c>
      <c r="B187" s="1">
        <v>3019002591</v>
      </c>
      <c r="C187" s="1" t="s">
        <v>4</v>
      </c>
      <c r="D187" s="1">
        <v>1</v>
      </c>
      <c r="E187" s="257"/>
      <c r="G187" s="1">
        <v>20200315</v>
      </c>
      <c r="H187" s="159" t="s">
        <v>699</v>
      </c>
      <c r="J187" s="12"/>
      <c r="K187" s="12" t="s">
        <v>1030</v>
      </c>
      <c r="L187" s="12" t="s">
        <v>1626</v>
      </c>
      <c r="O187" s="28">
        <v>0</v>
      </c>
      <c r="P187" s="28">
        <f t="shared" ref="P187:P198" si="34">O187*0.75</f>
        <v>0</v>
      </c>
      <c r="Q187" s="28">
        <f t="shared" si="32"/>
        <v>0</v>
      </c>
      <c r="R187" s="205" t="s">
        <v>2211</v>
      </c>
    </row>
    <row r="188" spans="1:19">
      <c r="A188" s="1" t="s">
        <v>38</v>
      </c>
      <c r="B188" s="1">
        <v>3046002540</v>
      </c>
      <c r="C188" s="1" t="s">
        <v>4</v>
      </c>
      <c r="D188" s="1">
        <v>1</v>
      </c>
      <c r="E188" s="257"/>
      <c r="G188" s="1">
        <v>20200315</v>
      </c>
      <c r="H188" s="159" t="s">
        <v>699</v>
      </c>
      <c r="J188" s="12"/>
      <c r="K188" s="12" t="s">
        <v>1628</v>
      </c>
      <c r="L188" s="12" t="s">
        <v>1629</v>
      </c>
      <c r="O188" s="28">
        <v>0</v>
      </c>
      <c r="P188" s="28">
        <f t="shared" si="34"/>
        <v>0</v>
      </c>
      <c r="Q188" s="28">
        <f t="shared" si="32"/>
        <v>0</v>
      </c>
      <c r="R188" s="205" t="s">
        <v>2211</v>
      </c>
    </row>
    <row r="189" spans="1:19">
      <c r="A189" s="1" t="s">
        <v>38</v>
      </c>
      <c r="B189" s="1">
        <v>3046012500</v>
      </c>
      <c r="C189" s="1" t="s">
        <v>4</v>
      </c>
      <c r="D189" s="1">
        <v>1</v>
      </c>
      <c r="E189" s="257"/>
      <c r="G189" s="1">
        <v>20200315</v>
      </c>
      <c r="H189" s="159" t="s">
        <v>699</v>
      </c>
      <c r="J189" s="12"/>
      <c r="K189" s="12" t="s">
        <v>1030</v>
      </c>
      <c r="L189" s="12" t="s">
        <v>1127</v>
      </c>
      <c r="O189" s="28">
        <v>0</v>
      </c>
      <c r="P189" s="28">
        <f t="shared" si="34"/>
        <v>0</v>
      </c>
      <c r="Q189" s="28">
        <f t="shared" si="32"/>
        <v>0</v>
      </c>
      <c r="R189" s="205" t="s">
        <v>2211</v>
      </c>
    </row>
    <row r="190" spans="1:19">
      <c r="A190" s="1" t="s">
        <v>38</v>
      </c>
      <c r="B190" s="1">
        <v>3011012510</v>
      </c>
      <c r="C190" s="1" t="s">
        <v>4</v>
      </c>
      <c r="D190" s="1">
        <v>2</v>
      </c>
      <c r="E190" s="257"/>
      <c r="G190" s="1">
        <v>20200304</v>
      </c>
      <c r="H190" s="159" t="s">
        <v>699</v>
      </c>
      <c r="J190" s="12"/>
      <c r="K190" s="12" t="s">
        <v>1030</v>
      </c>
      <c r="L190" s="12" t="s">
        <v>1130</v>
      </c>
      <c r="O190" s="28">
        <v>0</v>
      </c>
      <c r="P190" s="28">
        <f t="shared" si="34"/>
        <v>0</v>
      </c>
      <c r="Q190" s="28">
        <f t="shared" ref="Q190:Q201" si="35">D190*P190</f>
        <v>0</v>
      </c>
      <c r="R190" s="205" t="s">
        <v>2211</v>
      </c>
    </row>
    <row r="191" spans="1:19">
      <c r="A191" s="1" t="s">
        <v>38</v>
      </c>
      <c r="B191" s="1">
        <v>3014002560</v>
      </c>
      <c r="C191" s="1" t="s">
        <v>4</v>
      </c>
      <c r="D191" s="1">
        <v>1</v>
      </c>
      <c r="E191" s="257"/>
      <c r="F191" s="1">
        <v>20240515</v>
      </c>
      <c r="G191" s="1">
        <v>20240715</v>
      </c>
      <c r="H191" s="163">
        <v>10</v>
      </c>
      <c r="K191" s="4" t="s">
        <v>2507</v>
      </c>
      <c r="L191" s="12" t="s">
        <v>2508</v>
      </c>
      <c r="N191" s="12" t="s">
        <v>2506</v>
      </c>
      <c r="O191" s="28">
        <v>2050</v>
      </c>
      <c r="P191" s="28">
        <f t="shared" si="34"/>
        <v>1537.5</v>
      </c>
      <c r="Q191" s="28">
        <f t="shared" si="35"/>
        <v>1537.5</v>
      </c>
    </row>
    <row r="192" spans="1:19">
      <c r="A192" s="1" t="s">
        <v>38</v>
      </c>
      <c r="B192" s="1">
        <v>5003022510</v>
      </c>
      <c r="C192" s="1" t="s">
        <v>1797</v>
      </c>
      <c r="D192" s="1">
        <v>1</v>
      </c>
      <c r="E192" s="257"/>
      <c r="G192" s="1">
        <v>20200315</v>
      </c>
      <c r="H192" s="159" t="s">
        <v>699</v>
      </c>
      <c r="J192" s="12"/>
      <c r="K192" s="12" t="s">
        <v>1030</v>
      </c>
      <c r="L192" s="12" t="s">
        <v>1631</v>
      </c>
      <c r="O192" s="28">
        <v>0</v>
      </c>
      <c r="P192" s="28">
        <f t="shared" si="34"/>
        <v>0</v>
      </c>
      <c r="Q192" s="28">
        <f t="shared" si="35"/>
        <v>0</v>
      </c>
      <c r="R192" s="205" t="s">
        <v>2211</v>
      </c>
      <c r="S192" s="12"/>
    </row>
    <row r="193" spans="1:20">
      <c r="A193" s="1" t="s">
        <v>38</v>
      </c>
      <c r="B193" s="6">
        <v>5007002501</v>
      </c>
      <c r="C193" s="1" t="s">
        <v>1797</v>
      </c>
      <c r="D193" s="6">
        <v>8</v>
      </c>
      <c r="E193" s="258" t="s">
        <v>717</v>
      </c>
      <c r="G193" s="6">
        <v>20200821</v>
      </c>
      <c r="H193" s="159" t="s">
        <v>699</v>
      </c>
      <c r="J193" s="1" t="s">
        <v>816</v>
      </c>
      <c r="K193" s="12" t="s">
        <v>1034</v>
      </c>
      <c r="L193" s="12" t="s">
        <v>1183</v>
      </c>
      <c r="O193" s="28">
        <v>1400</v>
      </c>
      <c r="P193" s="28">
        <f t="shared" si="34"/>
        <v>1050</v>
      </c>
      <c r="Q193" s="28">
        <f t="shared" si="35"/>
        <v>8400</v>
      </c>
      <c r="S193" s="12"/>
      <c r="T193" s="6"/>
    </row>
    <row r="194" spans="1:20">
      <c r="A194" s="1" t="s">
        <v>38</v>
      </c>
      <c r="B194" s="1">
        <v>3004000001</v>
      </c>
      <c r="C194" s="1" t="s">
        <v>1797</v>
      </c>
      <c r="D194" s="1">
        <v>3</v>
      </c>
      <c r="E194" s="257" t="s">
        <v>728</v>
      </c>
      <c r="F194" s="1">
        <v>20210423</v>
      </c>
      <c r="G194" s="1">
        <v>20210623</v>
      </c>
      <c r="H194" s="159" t="s">
        <v>699</v>
      </c>
      <c r="I194" s="193"/>
      <c r="J194" s="12"/>
      <c r="K194" s="12" t="s">
        <v>1030</v>
      </c>
      <c r="L194" s="12" t="s">
        <v>1108</v>
      </c>
      <c r="O194" s="28">
        <v>1650</v>
      </c>
      <c r="P194" s="28">
        <f t="shared" si="34"/>
        <v>1237.5</v>
      </c>
      <c r="Q194" s="28">
        <f t="shared" si="35"/>
        <v>3712.5</v>
      </c>
    </row>
    <row r="195" spans="1:20">
      <c r="A195" s="1" t="s">
        <v>38</v>
      </c>
      <c r="B195" s="1">
        <v>1003022580</v>
      </c>
      <c r="C195" s="1" t="s">
        <v>1797</v>
      </c>
      <c r="D195" s="1">
        <v>29</v>
      </c>
      <c r="E195" s="257"/>
      <c r="G195" s="1">
        <v>20200315</v>
      </c>
      <c r="H195" s="159" t="s">
        <v>699</v>
      </c>
      <c r="J195" s="12"/>
      <c r="K195" s="12" t="s">
        <v>1030</v>
      </c>
      <c r="L195" s="12" t="s">
        <v>1124</v>
      </c>
      <c r="O195" s="28">
        <v>0</v>
      </c>
      <c r="P195" s="28">
        <f t="shared" si="34"/>
        <v>0</v>
      </c>
      <c r="Q195" s="28">
        <f t="shared" si="35"/>
        <v>0</v>
      </c>
      <c r="R195" s="205" t="s">
        <v>2211</v>
      </c>
    </row>
    <row r="196" spans="1:20">
      <c r="A196" s="1" t="s">
        <v>38</v>
      </c>
      <c r="B196" s="1">
        <v>1003012531</v>
      </c>
      <c r="C196" s="1" t="s">
        <v>1795</v>
      </c>
      <c r="D196" s="1">
        <v>5</v>
      </c>
      <c r="E196" s="257"/>
      <c r="G196" s="1">
        <v>20200304</v>
      </c>
      <c r="H196" s="159" t="s">
        <v>699</v>
      </c>
      <c r="J196" s="12"/>
      <c r="K196" s="12" t="s">
        <v>1030</v>
      </c>
      <c r="L196" s="12" t="s">
        <v>1240</v>
      </c>
      <c r="O196" s="28">
        <v>1076</v>
      </c>
      <c r="P196" s="28">
        <f t="shared" si="34"/>
        <v>807</v>
      </c>
      <c r="Q196" s="28">
        <f t="shared" si="35"/>
        <v>4035</v>
      </c>
    </row>
    <row r="197" spans="1:20">
      <c r="A197" s="1" t="s">
        <v>38</v>
      </c>
      <c r="B197" s="6">
        <v>1027002500</v>
      </c>
      <c r="C197" s="1" t="s">
        <v>1795</v>
      </c>
      <c r="D197" s="6">
        <v>1</v>
      </c>
      <c r="E197" s="257"/>
      <c r="G197" s="1">
        <v>20200520</v>
      </c>
      <c r="H197" s="159" t="s">
        <v>699</v>
      </c>
      <c r="J197" s="12"/>
      <c r="K197" s="12" t="s">
        <v>1034</v>
      </c>
      <c r="L197" s="12" t="s">
        <v>1128</v>
      </c>
      <c r="O197" s="28">
        <v>1570</v>
      </c>
      <c r="P197" s="28">
        <f t="shared" si="34"/>
        <v>1177.5</v>
      </c>
      <c r="Q197" s="28">
        <f t="shared" si="35"/>
        <v>1177.5</v>
      </c>
    </row>
    <row r="198" spans="1:20">
      <c r="A198" s="1" t="s">
        <v>38</v>
      </c>
      <c r="B198" s="1">
        <v>3019012500</v>
      </c>
      <c r="C198" s="1" t="s">
        <v>1795</v>
      </c>
      <c r="D198" s="1">
        <v>8</v>
      </c>
      <c r="E198" s="257"/>
      <c r="G198" s="1">
        <v>20200304</v>
      </c>
      <c r="H198" s="159" t="s">
        <v>699</v>
      </c>
      <c r="K198" s="12" t="s">
        <v>1628</v>
      </c>
      <c r="L198" s="12" t="s">
        <v>1627</v>
      </c>
      <c r="O198" s="28">
        <v>0</v>
      </c>
      <c r="P198" s="28">
        <f t="shared" si="34"/>
        <v>0</v>
      </c>
      <c r="Q198" s="28">
        <f t="shared" si="35"/>
        <v>0</v>
      </c>
      <c r="R198" s="205" t="s">
        <v>2211</v>
      </c>
    </row>
    <row r="199" spans="1:20">
      <c r="A199" s="1" t="s">
        <v>38</v>
      </c>
      <c r="B199" s="4">
        <v>3011012543</v>
      </c>
      <c r="C199" s="1" t="s">
        <v>1794</v>
      </c>
      <c r="D199" s="1">
        <v>8</v>
      </c>
      <c r="E199" s="257"/>
      <c r="F199" s="1">
        <v>20210201</v>
      </c>
      <c r="G199" s="1">
        <v>20210401</v>
      </c>
      <c r="H199" s="159" t="s">
        <v>699</v>
      </c>
      <c r="J199" s="12"/>
      <c r="K199" s="12" t="s">
        <v>1030</v>
      </c>
      <c r="L199" s="12" t="s">
        <v>1603</v>
      </c>
      <c r="N199" s="12" t="s">
        <v>2176</v>
      </c>
      <c r="O199" s="28">
        <v>2035</v>
      </c>
      <c r="P199" s="28">
        <f>O199*0.75</f>
        <v>1526.25</v>
      </c>
      <c r="Q199" s="28">
        <f>D199*P199</f>
        <v>12210</v>
      </c>
      <c r="R199" s="74"/>
    </row>
    <row r="200" spans="1:20">
      <c r="A200" s="1" t="s">
        <v>2073</v>
      </c>
      <c r="B200" s="4">
        <v>1008002521</v>
      </c>
      <c r="C200" s="1" t="s">
        <v>2578</v>
      </c>
      <c r="D200" s="1">
        <v>17</v>
      </c>
      <c r="E200" s="257" t="s">
        <v>2505</v>
      </c>
      <c r="F200" s="1">
        <v>20240328</v>
      </c>
      <c r="G200" s="1">
        <v>20240628</v>
      </c>
      <c r="H200" s="159">
        <v>10</v>
      </c>
      <c r="I200" s="193" t="s">
        <v>2505</v>
      </c>
      <c r="J200" s="12"/>
      <c r="K200" s="12" t="s">
        <v>2500</v>
      </c>
      <c r="L200" s="12" t="s">
        <v>2501</v>
      </c>
      <c r="M200" s="1" t="s">
        <v>2502</v>
      </c>
      <c r="N200" s="66" t="s">
        <v>2503</v>
      </c>
      <c r="O200" s="28">
        <v>1533</v>
      </c>
      <c r="P200" s="28">
        <f t="shared" ref="P200:P201" si="36">O200*0.75</f>
        <v>1149.75</v>
      </c>
      <c r="Q200" s="28">
        <f t="shared" si="35"/>
        <v>19545.75</v>
      </c>
      <c r="R200" s="74"/>
    </row>
    <row r="201" spans="1:20">
      <c r="A201" s="1" t="s">
        <v>2073</v>
      </c>
      <c r="B201" s="4">
        <v>6009002561</v>
      </c>
      <c r="C201" s="1" t="s">
        <v>3006</v>
      </c>
      <c r="D201" s="1">
        <v>20</v>
      </c>
      <c r="E201" s="257"/>
      <c r="F201" s="1">
        <v>20240322</v>
      </c>
      <c r="G201" s="1">
        <v>20240729</v>
      </c>
      <c r="H201" s="159">
        <v>10</v>
      </c>
      <c r="I201" s="194" t="s">
        <v>2544</v>
      </c>
      <c r="J201" s="12"/>
      <c r="K201" s="12" t="s">
        <v>2520</v>
      </c>
      <c r="L201" s="12" t="s">
        <v>1246</v>
      </c>
      <c r="M201" s="1" t="s">
        <v>2519</v>
      </c>
      <c r="N201" s="12" t="s">
        <v>870</v>
      </c>
      <c r="O201" s="28">
        <v>17600</v>
      </c>
      <c r="P201" s="28">
        <f t="shared" si="36"/>
        <v>13200</v>
      </c>
      <c r="Q201" s="28">
        <f t="shared" si="35"/>
        <v>264000</v>
      </c>
      <c r="R201" s="74"/>
    </row>
    <row r="202" spans="1:20">
      <c r="A202" s="1" t="s">
        <v>2073</v>
      </c>
      <c r="B202" s="4">
        <v>6009002014</v>
      </c>
      <c r="C202" s="1" t="s">
        <v>3206</v>
      </c>
      <c r="D202" s="1">
        <v>20</v>
      </c>
      <c r="E202" s="257"/>
      <c r="F202" s="1">
        <v>20250321</v>
      </c>
      <c r="G202" s="1">
        <v>20260114</v>
      </c>
      <c r="H202" s="159">
        <v>10</v>
      </c>
      <c r="I202" s="193"/>
      <c r="J202" s="12"/>
      <c r="K202" s="12" t="s">
        <v>3156</v>
      </c>
      <c r="L202" s="153" t="s">
        <v>3157</v>
      </c>
      <c r="M202" s="1" t="s">
        <v>3158</v>
      </c>
      <c r="N202" s="66" t="s">
        <v>2503</v>
      </c>
      <c r="O202" s="28">
        <v>13414</v>
      </c>
      <c r="P202" s="28">
        <f>O202*0.75</f>
        <v>10060.5</v>
      </c>
      <c r="Q202" s="28">
        <f>D202*P202</f>
        <v>201210</v>
      </c>
      <c r="R202" s="74"/>
    </row>
    <row r="203" spans="1:20">
      <c r="D203" s="104">
        <f ca="1">SUM(D4:D266)</f>
        <v>1635</v>
      </c>
      <c r="E203" s="132">
        <f>ROW()-4</f>
        <v>199</v>
      </c>
      <c r="Q203" s="28">
        <f ca="1">SUM(Q4:Q266)</f>
        <v>2713116</v>
      </c>
    </row>
    <row r="207" spans="1:20">
      <c r="H207" s="159"/>
    </row>
    <row r="208" spans="1:20">
      <c r="A208" s="38"/>
      <c r="B208" s="38" t="s">
        <v>321</v>
      </c>
      <c r="C208" s="46"/>
      <c r="D208" s="46"/>
      <c r="E208" s="131"/>
      <c r="F208" s="46"/>
      <c r="G208" s="46"/>
      <c r="H208" s="165"/>
      <c r="I208" s="196"/>
      <c r="J208" s="78"/>
      <c r="K208" s="78"/>
      <c r="L208" s="78"/>
      <c r="M208" s="78"/>
      <c r="N208" s="78"/>
      <c r="O208" s="47"/>
      <c r="P208" s="47"/>
      <c r="Q208" s="47"/>
      <c r="R208" s="47"/>
      <c r="S208" s="46"/>
      <c r="T208" s="46"/>
    </row>
    <row r="209" spans="1:19">
      <c r="A209" s="1" t="s">
        <v>3073</v>
      </c>
      <c r="B209" s="275">
        <v>6009002013</v>
      </c>
      <c r="C209" s="276" t="s">
        <v>2183</v>
      </c>
      <c r="D209" s="68">
        <v>0</v>
      </c>
      <c r="E209" s="256" t="s">
        <v>717</v>
      </c>
      <c r="F209" s="14">
        <v>20211007</v>
      </c>
      <c r="G209" s="14">
        <v>20211207</v>
      </c>
      <c r="H209" s="161" t="s">
        <v>699</v>
      </c>
      <c r="I209" s="249" t="s">
        <v>2490</v>
      </c>
      <c r="J209" s="113"/>
      <c r="K209" s="12" t="s">
        <v>1137</v>
      </c>
      <c r="L209" s="12" t="s">
        <v>1136</v>
      </c>
      <c r="N209" s="12" t="s">
        <v>870</v>
      </c>
      <c r="O209" s="28">
        <v>13414</v>
      </c>
      <c r="P209" s="28">
        <f t="shared" ref="P209:P216" si="37">O209*0.75</f>
        <v>10060.5</v>
      </c>
      <c r="Q209" s="28">
        <f t="shared" ref="Q209:Q216" si="38">D209*P209</f>
        <v>0</v>
      </c>
    </row>
    <row r="210" spans="1:19">
      <c r="A210" s="1" t="s">
        <v>38</v>
      </c>
      <c r="B210" s="65">
        <v>6009002013</v>
      </c>
      <c r="C210" s="101" t="s">
        <v>813</v>
      </c>
      <c r="D210" s="65">
        <v>0</v>
      </c>
      <c r="E210" s="257" t="s">
        <v>717</v>
      </c>
      <c r="F210" s="1">
        <v>20211007</v>
      </c>
      <c r="G210" s="1">
        <v>20211207</v>
      </c>
      <c r="H210" s="159" t="s">
        <v>699</v>
      </c>
      <c r="J210" s="113" t="s">
        <v>2548</v>
      </c>
      <c r="K210" s="12" t="s">
        <v>1137</v>
      </c>
      <c r="L210" s="12" t="s">
        <v>1136</v>
      </c>
      <c r="N210" s="12" t="s">
        <v>870</v>
      </c>
      <c r="O210" s="28">
        <v>13414</v>
      </c>
      <c r="P210" s="28">
        <f t="shared" si="37"/>
        <v>10060.5</v>
      </c>
      <c r="Q210" s="28">
        <f t="shared" si="38"/>
        <v>0</v>
      </c>
    </row>
    <row r="211" spans="1:19" s="6" customFormat="1">
      <c r="A211" s="6" t="s">
        <v>38</v>
      </c>
      <c r="B211" s="101">
        <v>1003022530</v>
      </c>
      <c r="C211" s="65" t="s">
        <v>2381</v>
      </c>
      <c r="D211" s="65">
        <v>0</v>
      </c>
      <c r="E211" s="7"/>
      <c r="F211" s="6">
        <v>20250213</v>
      </c>
      <c r="G211" s="6">
        <v>20250326</v>
      </c>
      <c r="H211" s="159">
        <v>10</v>
      </c>
      <c r="I211" s="195"/>
      <c r="J211" s="12"/>
      <c r="K211" s="12" t="s">
        <v>1083</v>
      </c>
      <c r="L211" s="12" t="s">
        <v>2878</v>
      </c>
      <c r="M211" s="6" t="s">
        <v>2879</v>
      </c>
      <c r="N211" s="12" t="s">
        <v>2880</v>
      </c>
      <c r="O211" s="28">
        <v>850</v>
      </c>
      <c r="P211" s="28">
        <f t="shared" si="37"/>
        <v>637.5</v>
      </c>
      <c r="Q211" s="28">
        <f t="shared" si="38"/>
        <v>0</v>
      </c>
      <c r="R211" s="28"/>
      <c r="S211" s="12"/>
    </row>
    <row r="212" spans="1:19" ht="32.4">
      <c r="A212" s="1" t="s">
        <v>38</v>
      </c>
      <c r="B212" s="8">
        <v>5008002503</v>
      </c>
      <c r="C212" s="8" t="s">
        <v>2385</v>
      </c>
      <c r="D212" s="282">
        <v>0</v>
      </c>
      <c r="E212" s="257"/>
      <c r="F212" s="1">
        <v>20230217</v>
      </c>
      <c r="G212" s="1">
        <v>20230417</v>
      </c>
      <c r="H212" s="159" t="s">
        <v>699</v>
      </c>
      <c r="K212" s="12" t="s">
        <v>1220</v>
      </c>
      <c r="L212" s="12" t="s">
        <v>1161</v>
      </c>
      <c r="M212" s="1" t="s">
        <v>892</v>
      </c>
      <c r="N212" s="66" t="s">
        <v>2318</v>
      </c>
      <c r="O212" s="28">
        <v>2173</v>
      </c>
      <c r="P212" s="28">
        <f t="shared" si="37"/>
        <v>1629.75</v>
      </c>
      <c r="Q212" s="28">
        <f t="shared" si="38"/>
        <v>0</v>
      </c>
    </row>
    <row r="213" spans="1:19">
      <c r="A213" s="1" t="s">
        <v>38</v>
      </c>
      <c r="B213" s="8">
        <v>3019012560</v>
      </c>
      <c r="C213" s="8" t="s">
        <v>998</v>
      </c>
      <c r="D213" s="65">
        <v>0</v>
      </c>
      <c r="E213" s="257"/>
      <c r="F213" s="1">
        <v>20221008</v>
      </c>
      <c r="G213" s="1">
        <v>20221208</v>
      </c>
      <c r="H213" s="159" t="s">
        <v>699</v>
      </c>
      <c r="K213" s="12" t="s">
        <v>1143</v>
      </c>
      <c r="L213" s="12" t="s">
        <v>1612</v>
      </c>
      <c r="M213" s="1" t="s">
        <v>800</v>
      </c>
      <c r="O213" s="28">
        <v>1750</v>
      </c>
      <c r="P213" s="28">
        <f t="shared" si="37"/>
        <v>1312.5</v>
      </c>
      <c r="Q213" s="28">
        <f t="shared" si="38"/>
        <v>0</v>
      </c>
    </row>
    <row r="214" spans="1:19">
      <c r="A214" s="1" t="s">
        <v>38</v>
      </c>
      <c r="B214" s="8">
        <v>1015002512</v>
      </c>
      <c r="C214" s="8" t="s">
        <v>2603</v>
      </c>
      <c r="D214" s="65">
        <v>0</v>
      </c>
      <c r="E214" s="257"/>
      <c r="F214" s="1">
        <v>20240812</v>
      </c>
      <c r="G214" s="1">
        <v>20240927</v>
      </c>
      <c r="H214" s="159" t="s">
        <v>699</v>
      </c>
      <c r="J214" s="91" t="s">
        <v>10</v>
      </c>
      <c r="K214" s="12" t="s">
        <v>1047</v>
      </c>
      <c r="L214" s="12" t="s">
        <v>1164</v>
      </c>
      <c r="M214" s="1" t="s">
        <v>2604</v>
      </c>
      <c r="O214" s="28">
        <v>3971</v>
      </c>
      <c r="P214" s="28">
        <f t="shared" si="37"/>
        <v>2978.25</v>
      </c>
      <c r="Q214" s="28">
        <f t="shared" si="38"/>
        <v>0</v>
      </c>
    </row>
    <row r="215" spans="1:19">
      <c r="A215" s="1" t="s">
        <v>38</v>
      </c>
      <c r="B215" s="101">
        <v>1004002501</v>
      </c>
      <c r="C215" s="65" t="s">
        <v>10</v>
      </c>
      <c r="D215" s="65">
        <v>0</v>
      </c>
      <c r="E215" s="258" t="s">
        <v>717</v>
      </c>
      <c r="F215" s="6">
        <v>20220324</v>
      </c>
      <c r="G215" s="6">
        <v>20220524</v>
      </c>
      <c r="H215" s="159" t="s">
        <v>699</v>
      </c>
      <c r="I215" s="195"/>
      <c r="J215" s="12" t="s">
        <v>809</v>
      </c>
      <c r="K215" s="12" t="s">
        <v>1099</v>
      </c>
      <c r="L215" s="12" t="s">
        <v>1179</v>
      </c>
      <c r="O215" s="28">
        <v>950</v>
      </c>
      <c r="P215" s="28">
        <f t="shared" si="37"/>
        <v>712.5</v>
      </c>
      <c r="Q215" s="28">
        <f t="shared" si="38"/>
        <v>0</v>
      </c>
      <c r="S215" s="12"/>
    </row>
    <row r="216" spans="1:19">
      <c r="A216" s="1" t="s">
        <v>38</v>
      </c>
      <c r="B216" s="65">
        <v>6001002530</v>
      </c>
      <c r="C216" s="65" t="s">
        <v>11</v>
      </c>
      <c r="D216" s="65">
        <v>0</v>
      </c>
      <c r="E216" s="257"/>
      <c r="G216" s="1">
        <v>20200315</v>
      </c>
      <c r="H216" s="159" t="s">
        <v>699</v>
      </c>
      <c r="J216" s="12"/>
      <c r="K216" s="12" t="s">
        <v>1220</v>
      </c>
      <c r="L216" s="12" t="s">
        <v>1258</v>
      </c>
      <c r="M216" s="12"/>
      <c r="O216" s="28">
        <v>1750</v>
      </c>
      <c r="P216" s="28">
        <f t="shared" si="37"/>
        <v>1312.5</v>
      </c>
      <c r="Q216" s="28">
        <f t="shared" si="38"/>
        <v>0</v>
      </c>
    </row>
    <row r="217" spans="1:19">
      <c r="A217" s="1" t="s">
        <v>38</v>
      </c>
      <c r="B217" s="8">
        <v>5007002511</v>
      </c>
      <c r="C217" s="8" t="s">
        <v>2390</v>
      </c>
      <c r="D217" s="65">
        <v>0</v>
      </c>
      <c r="E217" s="257"/>
      <c r="F217" s="1">
        <v>20221221</v>
      </c>
      <c r="G217" s="1">
        <v>20230221</v>
      </c>
      <c r="H217" s="159" t="s">
        <v>699</v>
      </c>
      <c r="K217" s="12" t="s">
        <v>1242</v>
      </c>
      <c r="L217" s="12" t="s">
        <v>1243</v>
      </c>
      <c r="M217" s="1" t="s">
        <v>855</v>
      </c>
      <c r="O217" s="28">
        <v>1590</v>
      </c>
      <c r="P217" s="28">
        <f t="shared" ref="P217:P225" si="39">O217*0.75</f>
        <v>1192.5</v>
      </c>
      <c r="Q217" s="28">
        <f t="shared" ref="Q217:Q225" si="40">D217*P217</f>
        <v>0</v>
      </c>
    </row>
    <row r="218" spans="1:19" s="6" customFormat="1">
      <c r="A218" s="6" t="s">
        <v>38</v>
      </c>
      <c r="B218" s="65">
        <v>3024012503</v>
      </c>
      <c r="C218" s="65" t="s">
        <v>2387</v>
      </c>
      <c r="D218" s="65">
        <v>0</v>
      </c>
      <c r="E218" s="258"/>
      <c r="F218" s="6">
        <v>20240516</v>
      </c>
      <c r="G218" s="6">
        <v>20240715</v>
      </c>
      <c r="H218" s="159" t="s">
        <v>699</v>
      </c>
      <c r="I218" s="195"/>
      <c r="J218" s="12"/>
      <c r="K218" s="12" t="s">
        <v>1047</v>
      </c>
      <c r="L218" s="12" t="s">
        <v>1211</v>
      </c>
      <c r="M218" s="6" t="s">
        <v>2517</v>
      </c>
      <c r="N218" s="12" t="s">
        <v>2518</v>
      </c>
      <c r="O218" s="28">
        <v>2530</v>
      </c>
      <c r="P218" s="28">
        <f t="shared" si="39"/>
        <v>1897.5</v>
      </c>
      <c r="Q218" s="28">
        <f t="shared" si="40"/>
        <v>0</v>
      </c>
      <c r="R218" s="28"/>
    </row>
    <row r="219" spans="1:19">
      <c r="A219" s="1" t="s">
        <v>38</v>
      </c>
      <c r="B219" s="8">
        <v>3019012520</v>
      </c>
      <c r="C219" s="8" t="s">
        <v>1797</v>
      </c>
      <c r="D219" s="65">
        <v>0</v>
      </c>
      <c r="E219" s="257"/>
      <c r="G219" s="1">
        <v>20200304</v>
      </c>
      <c r="H219" s="159" t="s">
        <v>699</v>
      </c>
      <c r="J219" s="12"/>
      <c r="K219" s="12" t="s">
        <v>1595</v>
      </c>
      <c r="L219" s="12" t="s">
        <v>1604</v>
      </c>
      <c r="O219" s="28">
        <v>1800</v>
      </c>
      <c r="P219" s="28">
        <f t="shared" si="39"/>
        <v>1350</v>
      </c>
      <c r="Q219" s="28">
        <f t="shared" si="40"/>
        <v>0</v>
      </c>
    </row>
    <row r="220" spans="1:19" s="6" customFormat="1">
      <c r="A220" s="6" t="s">
        <v>38</v>
      </c>
      <c r="B220" s="275">
        <v>3006022501</v>
      </c>
      <c r="C220" s="68" t="s">
        <v>2382</v>
      </c>
      <c r="D220" s="292">
        <v>0</v>
      </c>
      <c r="E220" s="288" t="s">
        <v>1008</v>
      </c>
      <c r="F220" s="64">
        <v>20240216</v>
      </c>
      <c r="G220" s="64">
        <v>20240805</v>
      </c>
      <c r="H220" s="161">
        <v>10</v>
      </c>
      <c r="I220" s="294"/>
      <c r="J220" s="12"/>
      <c r="K220" s="12" t="s">
        <v>1083</v>
      </c>
      <c r="L220" s="12" t="s">
        <v>2423</v>
      </c>
      <c r="M220" s="6" t="s">
        <v>2528</v>
      </c>
      <c r="N220" s="12" t="s">
        <v>2529</v>
      </c>
      <c r="O220" s="28">
        <v>2000</v>
      </c>
      <c r="P220" s="28">
        <f t="shared" si="39"/>
        <v>1500</v>
      </c>
      <c r="Q220" s="28">
        <f t="shared" si="40"/>
        <v>0</v>
      </c>
      <c r="R220" s="28"/>
    </row>
    <row r="221" spans="1:19">
      <c r="A221" s="1" t="s">
        <v>38</v>
      </c>
      <c r="B221" s="282">
        <v>6006002590</v>
      </c>
      <c r="C221" s="65" t="s">
        <v>998</v>
      </c>
      <c r="D221" s="65">
        <v>0</v>
      </c>
      <c r="E221" s="257"/>
      <c r="F221" s="1">
        <v>20250205</v>
      </c>
      <c r="G221" s="1">
        <v>20250326</v>
      </c>
      <c r="H221" s="159">
        <v>10</v>
      </c>
      <c r="I221" s="193" t="s">
        <v>2887</v>
      </c>
      <c r="J221" s="12"/>
      <c r="K221" s="12" t="s">
        <v>2884</v>
      </c>
      <c r="L221" s="12" t="s">
        <v>2885</v>
      </c>
      <c r="M221" s="1" t="s">
        <v>2886</v>
      </c>
      <c r="O221" s="28">
        <v>1694</v>
      </c>
      <c r="P221" s="28">
        <f t="shared" si="39"/>
        <v>1270.5</v>
      </c>
      <c r="Q221" s="28">
        <f t="shared" si="40"/>
        <v>0</v>
      </c>
    </row>
    <row r="222" spans="1:19" s="6" customFormat="1">
      <c r="A222" s="6" t="s">
        <v>38</v>
      </c>
      <c r="B222" s="65">
        <v>5003002521</v>
      </c>
      <c r="C222" s="65" t="s">
        <v>2382</v>
      </c>
      <c r="D222" s="65">
        <v>0</v>
      </c>
      <c r="E222" s="258" t="s">
        <v>1007</v>
      </c>
      <c r="F222" s="6">
        <v>20240125</v>
      </c>
      <c r="G222" s="6">
        <v>20240514</v>
      </c>
      <c r="H222" s="159" t="s">
        <v>699</v>
      </c>
      <c r="I222" s="195"/>
      <c r="J222" s="12"/>
      <c r="K222" s="12" t="s">
        <v>1168</v>
      </c>
      <c r="L222" s="12" t="s">
        <v>1169</v>
      </c>
      <c r="M222" s="12" t="s">
        <v>2392</v>
      </c>
      <c r="N222" s="6" t="s">
        <v>2404</v>
      </c>
      <c r="O222" s="32">
        <v>1320</v>
      </c>
      <c r="P222" s="32">
        <f t="shared" si="39"/>
        <v>990</v>
      </c>
      <c r="Q222" s="32">
        <f t="shared" si="40"/>
        <v>0</v>
      </c>
      <c r="R222" s="32"/>
    </row>
    <row r="223" spans="1:19" s="171" customFormat="1">
      <c r="A223" s="170" t="s">
        <v>38</v>
      </c>
      <c r="B223" s="295">
        <v>3007002513</v>
      </c>
      <c r="C223" s="296" t="s">
        <v>2164</v>
      </c>
      <c r="D223" s="297">
        <v>0</v>
      </c>
      <c r="E223" s="260" t="s">
        <v>1007</v>
      </c>
      <c r="F223" s="171">
        <v>20230517</v>
      </c>
      <c r="G223" s="171">
        <v>20230717</v>
      </c>
      <c r="H223" s="237" t="s">
        <v>699</v>
      </c>
      <c r="I223" s="213"/>
      <c r="J223" s="170" t="s">
        <v>2890</v>
      </c>
      <c r="K223" s="209" t="s">
        <v>1143</v>
      </c>
      <c r="L223" s="209" t="s">
        <v>1180</v>
      </c>
      <c r="M223" s="171" t="s">
        <v>981</v>
      </c>
      <c r="N223" s="209" t="s">
        <v>2882</v>
      </c>
      <c r="O223" s="207">
        <v>858</v>
      </c>
      <c r="P223" s="207">
        <f t="shared" si="39"/>
        <v>643.5</v>
      </c>
      <c r="Q223" s="207">
        <f t="shared" si="40"/>
        <v>0</v>
      </c>
      <c r="R223" s="207"/>
    </row>
    <row r="224" spans="1:19">
      <c r="A224" s="1" t="s">
        <v>38</v>
      </c>
      <c r="B224" s="65">
        <v>5007042501</v>
      </c>
      <c r="C224" s="65" t="s">
        <v>2382</v>
      </c>
      <c r="D224" s="65">
        <v>0</v>
      </c>
      <c r="E224" s="257" t="s">
        <v>717</v>
      </c>
      <c r="F224" s="1">
        <v>20201010</v>
      </c>
      <c r="G224" s="1">
        <v>20201210</v>
      </c>
      <c r="H224" s="159" t="s">
        <v>699</v>
      </c>
      <c r="J224" s="12"/>
      <c r="K224" s="12" t="s">
        <v>1143</v>
      </c>
      <c r="L224" s="12" t="s">
        <v>1160</v>
      </c>
      <c r="O224" s="28">
        <v>1530</v>
      </c>
      <c r="P224" s="28">
        <f t="shared" si="39"/>
        <v>1147.5</v>
      </c>
      <c r="Q224" s="28">
        <f t="shared" si="40"/>
        <v>0</v>
      </c>
    </row>
    <row r="225" spans="1:19">
      <c r="A225" s="1" t="s">
        <v>38</v>
      </c>
      <c r="B225" s="8">
        <v>1000002563</v>
      </c>
      <c r="C225" s="8" t="s">
        <v>2164</v>
      </c>
      <c r="D225" s="65">
        <v>0</v>
      </c>
      <c r="E225" s="257" t="s">
        <v>1008</v>
      </c>
      <c r="F225" s="1">
        <v>20230511</v>
      </c>
      <c r="G225" s="1">
        <v>20230821</v>
      </c>
      <c r="H225" s="159" t="s">
        <v>699</v>
      </c>
      <c r="K225" s="12" t="s">
        <v>1143</v>
      </c>
      <c r="L225" s="12" t="s">
        <v>1098</v>
      </c>
      <c r="M225" s="1" t="s">
        <v>1006</v>
      </c>
      <c r="O225" s="28">
        <v>1430</v>
      </c>
      <c r="P225" s="28">
        <f t="shared" si="39"/>
        <v>1072.5</v>
      </c>
      <c r="Q225" s="28">
        <f t="shared" si="40"/>
        <v>0</v>
      </c>
    </row>
    <row r="226" spans="1:19">
      <c r="A226" s="1" t="s">
        <v>38</v>
      </c>
      <c r="B226" s="299">
        <v>3015002544</v>
      </c>
      <c r="C226" s="65" t="s">
        <v>2387</v>
      </c>
      <c r="D226" s="65">
        <v>0</v>
      </c>
      <c r="E226" s="257" t="s">
        <v>717</v>
      </c>
      <c r="F226" s="1">
        <v>20221130</v>
      </c>
      <c r="G226" s="1">
        <v>20230131</v>
      </c>
      <c r="H226" s="159" t="s">
        <v>699</v>
      </c>
      <c r="I226" s="189" t="s">
        <v>2185</v>
      </c>
      <c r="J226" s="4" t="s">
        <v>857</v>
      </c>
      <c r="K226" s="12" t="s">
        <v>1143</v>
      </c>
      <c r="L226" s="12" t="s">
        <v>1151</v>
      </c>
      <c r="O226" s="28">
        <v>1595</v>
      </c>
      <c r="P226" s="28">
        <f t="shared" ref="P226:P232" si="41">O226*0.75</f>
        <v>1196.25</v>
      </c>
      <c r="Q226" s="28">
        <f t="shared" ref="Q226:Q236" si="42">D226*P226</f>
        <v>0</v>
      </c>
    </row>
    <row r="227" spans="1:19">
      <c r="A227" s="80" t="s">
        <v>38</v>
      </c>
      <c r="B227" s="8">
        <v>1015002522</v>
      </c>
      <c r="C227" s="8" t="s">
        <v>2606</v>
      </c>
      <c r="D227" s="65">
        <v>0</v>
      </c>
      <c r="E227" s="257"/>
      <c r="F227" s="1">
        <v>20240812</v>
      </c>
      <c r="G227" s="1">
        <v>20240927</v>
      </c>
      <c r="H227" s="159" t="s">
        <v>699</v>
      </c>
      <c r="K227" s="12" t="s">
        <v>1047</v>
      </c>
      <c r="L227" s="12" t="s">
        <v>1142</v>
      </c>
      <c r="M227" s="1" t="s">
        <v>2626</v>
      </c>
      <c r="O227" s="28">
        <v>5788</v>
      </c>
      <c r="P227" s="28">
        <f t="shared" si="41"/>
        <v>4341</v>
      </c>
      <c r="Q227" s="28">
        <f t="shared" si="42"/>
        <v>0</v>
      </c>
    </row>
    <row r="228" spans="1:19">
      <c r="A228" s="1" t="s">
        <v>38</v>
      </c>
      <c r="B228" s="101">
        <v>3004002530</v>
      </c>
      <c r="C228" s="65" t="s">
        <v>998</v>
      </c>
      <c r="D228" s="101">
        <v>0</v>
      </c>
      <c r="E228" s="257"/>
      <c r="F228" s="1">
        <v>20210305</v>
      </c>
      <c r="G228" s="1">
        <v>20210505</v>
      </c>
      <c r="H228" s="159" t="s">
        <v>699</v>
      </c>
      <c r="J228" s="12"/>
      <c r="K228" s="12" t="s">
        <v>1030</v>
      </c>
      <c r="L228" s="12" t="s">
        <v>1102</v>
      </c>
      <c r="M228" s="1" t="s">
        <v>2397</v>
      </c>
      <c r="O228" s="28">
        <v>1880</v>
      </c>
      <c r="P228" s="28">
        <f t="shared" si="41"/>
        <v>1410</v>
      </c>
      <c r="Q228" s="28">
        <f t="shared" si="42"/>
        <v>0</v>
      </c>
      <c r="S228" s="12"/>
    </row>
    <row r="229" spans="1:19">
      <c r="A229" s="1" t="s">
        <v>38</v>
      </c>
      <c r="B229" s="300">
        <v>1007002514</v>
      </c>
      <c r="C229" s="300" t="s">
        <v>2590</v>
      </c>
      <c r="D229" s="68">
        <v>0</v>
      </c>
      <c r="E229" s="257" t="s">
        <v>1007</v>
      </c>
      <c r="F229" s="1">
        <v>20231120</v>
      </c>
      <c r="G229" s="1">
        <v>20240123</v>
      </c>
      <c r="H229" s="159" t="s">
        <v>699</v>
      </c>
      <c r="I229" s="189" t="s">
        <v>2206</v>
      </c>
      <c r="K229" s="12" t="s">
        <v>1047</v>
      </c>
      <c r="L229" s="12" t="s">
        <v>1159</v>
      </c>
      <c r="M229" s="1" t="s">
        <v>2292</v>
      </c>
      <c r="N229" s="12" t="s">
        <v>2207</v>
      </c>
      <c r="O229" s="28">
        <v>1252</v>
      </c>
      <c r="P229" s="28">
        <f t="shared" si="41"/>
        <v>939</v>
      </c>
      <c r="Q229" s="28">
        <f t="shared" si="42"/>
        <v>0</v>
      </c>
    </row>
    <row r="230" spans="1:19">
      <c r="A230" s="1" t="s">
        <v>38</v>
      </c>
      <c r="B230" s="8">
        <v>5008002523</v>
      </c>
      <c r="C230" s="8" t="s">
        <v>10</v>
      </c>
      <c r="D230" s="65">
        <v>0</v>
      </c>
      <c r="E230" s="257" t="s">
        <v>2179</v>
      </c>
      <c r="F230" s="1">
        <v>20240125</v>
      </c>
      <c r="G230" s="1">
        <v>20240514</v>
      </c>
      <c r="H230" s="159">
        <v>10</v>
      </c>
      <c r="K230" s="1" t="s">
        <v>1034</v>
      </c>
      <c r="L230" s="12" t="s">
        <v>1239</v>
      </c>
      <c r="M230" s="12" t="s">
        <v>2393</v>
      </c>
      <c r="N230" s="3" t="s">
        <v>2482</v>
      </c>
      <c r="O230" s="28">
        <v>1505</v>
      </c>
      <c r="P230" s="28">
        <f t="shared" si="41"/>
        <v>1128.75</v>
      </c>
      <c r="Q230" s="28">
        <f t="shared" si="42"/>
        <v>0</v>
      </c>
    </row>
    <row r="231" spans="1:19">
      <c r="A231" s="1" t="s">
        <v>38</v>
      </c>
      <c r="B231" s="8">
        <v>5008002533</v>
      </c>
      <c r="C231" s="8" t="s">
        <v>2590</v>
      </c>
      <c r="D231" s="65">
        <v>0</v>
      </c>
      <c r="E231" s="254"/>
      <c r="F231" s="1">
        <v>20230120</v>
      </c>
      <c r="G231" s="1">
        <v>20230320</v>
      </c>
      <c r="H231" s="159" t="s">
        <v>699</v>
      </c>
      <c r="I231" s="189" t="s">
        <v>1742</v>
      </c>
      <c r="J231" s="140">
        <v>37258</v>
      </c>
      <c r="K231" s="12" t="s">
        <v>1220</v>
      </c>
      <c r="L231" s="12" t="s">
        <v>1181</v>
      </c>
      <c r="M231" s="1" t="s">
        <v>869</v>
      </c>
      <c r="N231" s="12" t="s">
        <v>996</v>
      </c>
      <c r="O231" s="28">
        <v>2437</v>
      </c>
      <c r="P231" s="28">
        <f t="shared" si="41"/>
        <v>1827.75</v>
      </c>
      <c r="Q231" s="28">
        <f t="shared" si="42"/>
        <v>0</v>
      </c>
    </row>
    <row r="232" spans="1:19">
      <c r="A232" s="1" t="s">
        <v>38</v>
      </c>
      <c r="B232" s="303">
        <v>5033002531</v>
      </c>
      <c r="C232" s="304" t="s">
        <v>2383</v>
      </c>
      <c r="D232" s="305">
        <v>0</v>
      </c>
      <c r="E232" s="257" t="s">
        <v>1008</v>
      </c>
      <c r="F232" s="1">
        <v>20230705</v>
      </c>
      <c r="G232" s="1">
        <v>20230901</v>
      </c>
      <c r="H232" s="159" t="s">
        <v>699</v>
      </c>
      <c r="K232" s="12" t="s">
        <v>1154</v>
      </c>
      <c r="L232" s="12" t="s">
        <v>1155</v>
      </c>
      <c r="M232" s="1" t="s">
        <v>1267</v>
      </c>
      <c r="N232" s="12" t="s">
        <v>1270</v>
      </c>
      <c r="O232" s="28">
        <v>2090</v>
      </c>
      <c r="P232" s="28">
        <f t="shared" si="41"/>
        <v>1567.5</v>
      </c>
      <c r="Q232" s="28">
        <f t="shared" si="42"/>
        <v>0</v>
      </c>
    </row>
    <row r="233" spans="1:19" s="6" customFormat="1">
      <c r="A233" s="6" t="s">
        <v>38</v>
      </c>
      <c r="B233" s="65">
        <v>6010002504</v>
      </c>
      <c r="C233" s="65" t="s">
        <v>2616</v>
      </c>
      <c r="D233" s="65">
        <v>0</v>
      </c>
      <c r="F233" s="6">
        <v>20240904</v>
      </c>
      <c r="G233" s="6">
        <v>20241106</v>
      </c>
      <c r="H233" s="159" t="s">
        <v>699</v>
      </c>
      <c r="I233" s="195"/>
      <c r="J233" s="12"/>
      <c r="K233" s="12" t="s">
        <v>1083</v>
      </c>
      <c r="L233" s="12" t="s">
        <v>1624</v>
      </c>
      <c r="M233" s="6" t="s">
        <v>2736</v>
      </c>
      <c r="N233" s="12" t="s">
        <v>2475</v>
      </c>
      <c r="O233" s="28">
        <v>2068</v>
      </c>
      <c r="P233" s="28">
        <f t="shared" ref="P233" si="43">O233*0.75</f>
        <v>1551</v>
      </c>
      <c r="Q233" s="28">
        <f t="shared" si="42"/>
        <v>0</v>
      </c>
      <c r="R233" s="28"/>
    </row>
    <row r="234" spans="1:19">
      <c r="A234" s="1" t="s">
        <v>38</v>
      </c>
      <c r="B234" s="65">
        <v>7003002522</v>
      </c>
      <c r="C234" s="65" t="s">
        <v>2635</v>
      </c>
      <c r="D234" s="65">
        <v>0</v>
      </c>
      <c r="E234" s="257" t="s">
        <v>1008</v>
      </c>
      <c r="F234" s="1">
        <v>20240111</v>
      </c>
      <c r="G234" s="1">
        <v>20240604</v>
      </c>
      <c r="H234" s="159">
        <v>10</v>
      </c>
      <c r="J234" s="12"/>
      <c r="K234" s="12" t="s">
        <v>1083</v>
      </c>
      <c r="L234" s="12" t="s">
        <v>1217</v>
      </c>
      <c r="M234" s="1" t="s">
        <v>2467</v>
      </c>
      <c r="O234" s="28">
        <v>3465</v>
      </c>
      <c r="P234" s="28">
        <f t="shared" ref="P234:P239" si="44">O234*0.75</f>
        <v>2598.75</v>
      </c>
      <c r="Q234" s="28">
        <f t="shared" si="42"/>
        <v>0</v>
      </c>
    </row>
    <row r="235" spans="1:19" s="6" customFormat="1">
      <c r="A235" s="6" t="s">
        <v>38</v>
      </c>
      <c r="B235" s="65">
        <v>6010002513</v>
      </c>
      <c r="C235" s="65" t="s">
        <v>10</v>
      </c>
      <c r="D235" s="65">
        <v>0</v>
      </c>
      <c r="E235" s="7"/>
      <c r="F235" s="6">
        <v>20240910</v>
      </c>
      <c r="G235" s="6">
        <v>20241113</v>
      </c>
      <c r="H235" s="159" t="s">
        <v>699</v>
      </c>
      <c r="I235" s="195"/>
      <c r="J235" s="12"/>
      <c r="K235" s="12" t="s">
        <v>1047</v>
      </c>
      <c r="L235" s="12" t="s">
        <v>1221</v>
      </c>
      <c r="M235" s="6" t="s">
        <v>2740</v>
      </c>
      <c r="N235" s="12" t="s">
        <v>2741</v>
      </c>
      <c r="O235" s="28">
        <v>1133</v>
      </c>
      <c r="P235" s="28">
        <f t="shared" si="44"/>
        <v>849.75</v>
      </c>
      <c r="Q235" s="28">
        <f t="shared" si="42"/>
        <v>0</v>
      </c>
      <c r="R235" s="28"/>
    </row>
    <row r="236" spans="1:19">
      <c r="A236" s="1" t="s">
        <v>38</v>
      </c>
      <c r="B236" s="65">
        <v>1017002500</v>
      </c>
      <c r="C236" s="65" t="s">
        <v>2387</v>
      </c>
      <c r="D236" s="65">
        <v>0</v>
      </c>
      <c r="E236" s="257"/>
      <c r="F236" s="1">
        <v>20220707</v>
      </c>
      <c r="G236" s="1">
        <v>20220907</v>
      </c>
      <c r="H236" s="159" t="s">
        <v>699</v>
      </c>
      <c r="K236" s="12" t="s">
        <v>1152</v>
      </c>
      <c r="L236" s="12" t="s">
        <v>1193</v>
      </c>
      <c r="M236" s="1" t="s">
        <v>751</v>
      </c>
      <c r="O236" s="28">
        <v>1386</v>
      </c>
      <c r="P236" s="28">
        <f t="shared" si="44"/>
        <v>1039.5</v>
      </c>
      <c r="Q236" s="28">
        <f t="shared" si="42"/>
        <v>0</v>
      </c>
    </row>
    <row r="237" spans="1:19" s="6" customFormat="1">
      <c r="A237" s="6" t="s">
        <v>38</v>
      </c>
      <c r="B237" s="65">
        <v>6009002505</v>
      </c>
      <c r="C237" s="101" t="s">
        <v>813</v>
      </c>
      <c r="D237" s="65">
        <v>0</v>
      </c>
      <c r="E237" s="258" t="s">
        <v>2748</v>
      </c>
      <c r="F237" s="6">
        <v>20240523</v>
      </c>
      <c r="G237" s="6">
        <v>20241113</v>
      </c>
      <c r="H237" s="159">
        <v>10</v>
      </c>
      <c r="I237" s="195"/>
      <c r="J237" s="113"/>
      <c r="K237" s="12" t="s">
        <v>1138</v>
      </c>
      <c r="L237" s="12" t="s">
        <v>2700</v>
      </c>
      <c r="M237" s="6" t="s">
        <v>2743</v>
      </c>
      <c r="N237" s="12" t="s">
        <v>870</v>
      </c>
      <c r="O237" s="28">
        <v>15000</v>
      </c>
      <c r="P237" s="28">
        <f t="shared" si="44"/>
        <v>11250</v>
      </c>
      <c r="Q237" s="28">
        <f t="shared" ref="Q237" si="45">D237*P237</f>
        <v>0</v>
      </c>
      <c r="R237" s="28"/>
    </row>
    <row r="238" spans="1:19">
      <c r="A238" s="1" t="s">
        <v>38</v>
      </c>
      <c r="B238" s="8">
        <v>1006002591</v>
      </c>
      <c r="C238" s="8" t="s">
        <v>1795</v>
      </c>
      <c r="D238" s="65">
        <v>0</v>
      </c>
      <c r="E238" s="257"/>
      <c r="F238" s="1">
        <v>20240216</v>
      </c>
      <c r="G238" s="1">
        <v>20240514</v>
      </c>
      <c r="H238" s="159">
        <v>10</v>
      </c>
      <c r="K238" s="12" t="s">
        <v>2369</v>
      </c>
      <c r="L238" s="12" t="s">
        <v>2395</v>
      </c>
      <c r="M238" s="1" t="s">
        <v>2396</v>
      </c>
      <c r="N238" s="12" t="s">
        <v>2376</v>
      </c>
      <c r="O238" s="28">
        <v>1150</v>
      </c>
      <c r="P238" s="28">
        <f t="shared" si="44"/>
        <v>862.5</v>
      </c>
      <c r="Q238" s="28">
        <f>D238*P238</f>
        <v>0</v>
      </c>
      <c r="R238" s="205"/>
    </row>
    <row r="239" spans="1:19">
      <c r="A239" s="1" t="s">
        <v>38</v>
      </c>
      <c r="B239" s="309">
        <v>6007002530</v>
      </c>
      <c r="C239" s="65" t="s">
        <v>2387</v>
      </c>
      <c r="D239" s="65">
        <v>0</v>
      </c>
      <c r="E239" s="257" t="s">
        <v>2808</v>
      </c>
      <c r="F239" s="1">
        <v>20220416</v>
      </c>
      <c r="G239" s="1">
        <v>20220616</v>
      </c>
      <c r="H239" s="159" t="s">
        <v>699</v>
      </c>
      <c r="J239" s="12"/>
      <c r="K239" s="12" t="s">
        <v>1215</v>
      </c>
      <c r="L239" s="145" t="s">
        <v>1219</v>
      </c>
      <c r="M239" s="1" t="s">
        <v>689</v>
      </c>
      <c r="O239" s="28">
        <v>1465</v>
      </c>
      <c r="P239" s="28">
        <f t="shared" si="44"/>
        <v>1098.75</v>
      </c>
      <c r="Q239" s="28">
        <f>D239*P239</f>
        <v>0</v>
      </c>
    </row>
    <row r="240" spans="1:19">
      <c r="A240" s="1" t="s">
        <v>2073</v>
      </c>
      <c r="B240" s="310">
        <v>6007002530</v>
      </c>
      <c r="C240" s="65" t="s">
        <v>2387</v>
      </c>
      <c r="D240" s="65">
        <v>0</v>
      </c>
      <c r="E240" s="257" t="s">
        <v>2809</v>
      </c>
      <c r="F240" s="1">
        <v>20220416</v>
      </c>
      <c r="G240" s="1">
        <v>20220616</v>
      </c>
      <c r="H240" s="159" t="s">
        <v>790</v>
      </c>
      <c r="J240" s="12"/>
      <c r="K240" s="12" t="s">
        <v>1894</v>
      </c>
      <c r="L240" s="145" t="s">
        <v>2319</v>
      </c>
      <c r="M240" s="1" t="s">
        <v>2320</v>
      </c>
      <c r="O240" s="28">
        <v>1465</v>
      </c>
      <c r="P240" s="28">
        <v>1098.75</v>
      </c>
      <c r="Q240" s="28">
        <v>8790</v>
      </c>
    </row>
    <row r="241" spans="1:19">
      <c r="A241" s="1" t="s">
        <v>38</v>
      </c>
      <c r="B241" s="290">
        <v>3006002542</v>
      </c>
      <c r="C241" s="291" t="s">
        <v>2784</v>
      </c>
      <c r="D241" s="305">
        <v>0</v>
      </c>
      <c r="E241" s="257"/>
      <c r="F241" s="1">
        <v>20230628</v>
      </c>
      <c r="G241" s="1">
        <v>20231226</v>
      </c>
      <c r="H241" s="159" t="s">
        <v>699</v>
      </c>
      <c r="J241" s="73" t="s">
        <v>2786</v>
      </c>
      <c r="K241" s="12" t="s">
        <v>1083</v>
      </c>
      <c r="L241" s="12" t="s">
        <v>1237</v>
      </c>
      <c r="M241" s="1" t="s">
        <v>2178</v>
      </c>
      <c r="N241" s="12" t="s">
        <v>2987</v>
      </c>
      <c r="O241" s="28">
        <v>1412</v>
      </c>
      <c r="P241" s="28">
        <f t="shared" ref="P241:P247" si="46">O241*0.75</f>
        <v>1059</v>
      </c>
      <c r="Q241" s="28">
        <f>D241*P241</f>
        <v>0</v>
      </c>
    </row>
    <row r="242" spans="1:19">
      <c r="A242" s="1" t="s">
        <v>38</v>
      </c>
      <c r="B242" s="275">
        <v>3006002542</v>
      </c>
      <c r="C242" s="68" t="s">
        <v>2784</v>
      </c>
      <c r="D242" s="313">
        <v>0</v>
      </c>
      <c r="E242" s="257"/>
      <c r="G242" s="1">
        <v>20250514</v>
      </c>
      <c r="H242" s="159" t="s">
        <v>699</v>
      </c>
      <c r="J242" s="73" t="s">
        <v>2786</v>
      </c>
      <c r="K242" s="12" t="s">
        <v>1083</v>
      </c>
      <c r="L242" s="12" t="s">
        <v>1237</v>
      </c>
      <c r="N242" s="12" t="s">
        <v>2986</v>
      </c>
      <c r="O242" s="28">
        <v>1412</v>
      </c>
      <c r="P242" s="28">
        <f t="shared" si="46"/>
        <v>1059</v>
      </c>
      <c r="Q242" s="28">
        <f>D242*P242</f>
        <v>0</v>
      </c>
    </row>
    <row r="243" spans="1:19">
      <c r="A243" s="1" t="s">
        <v>38</v>
      </c>
      <c r="B243" s="8">
        <v>6006002560</v>
      </c>
      <c r="C243" s="8" t="s">
        <v>2388</v>
      </c>
      <c r="D243" s="65">
        <v>0</v>
      </c>
      <c r="E243" s="257"/>
      <c r="F243" s="1">
        <v>20220211</v>
      </c>
      <c r="G243" s="1">
        <v>20220411</v>
      </c>
      <c r="H243" s="159" t="s">
        <v>699</v>
      </c>
      <c r="J243" s="12"/>
      <c r="K243" s="12" t="s">
        <v>1110</v>
      </c>
      <c r="L243" s="145" t="s">
        <v>1225</v>
      </c>
      <c r="O243" s="28">
        <v>1155</v>
      </c>
      <c r="P243" s="28">
        <f t="shared" si="46"/>
        <v>866.25</v>
      </c>
      <c r="Q243" s="28">
        <f>D243*P243</f>
        <v>0</v>
      </c>
      <c r="S243" s="12"/>
    </row>
    <row r="244" spans="1:19">
      <c r="A244" s="4" t="s">
        <v>38</v>
      </c>
      <c r="B244" s="8">
        <v>3006002532</v>
      </c>
      <c r="C244" s="8" t="s">
        <v>998</v>
      </c>
      <c r="D244" s="65">
        <v>0</v>
      </c>
      <c r="E244" s="257"/>
      <c r="F244" s="1">
        <v>20230608</v>
      </c>
      <c r="G244" s="1">
        <v>20230821</v>
      </c>
      <c r="H244" s="159" t="s">
        <v>699</v>
      </c>
      <c r="K244" s="12" t="s">
        <v>1030</v>
      </c>
      <c r="L244" s="12" t="s">
        <v>1103</v>
      </c>
      <c r="M244" s="1" t="s">
        <v>1005</v>
      </c>
      <c r="O244" s="28">
        <v>1900</v>
      </c>
      <c r="P244" s="28">
        <f t="shared" si="46"/>
        <v>1425</v>
      </c>
      <c r="Q244" s="28">
        <f>D244*P244</f>
        <v>0</v>
      </c>
    </row>
    <row r="245" spans="1:19" s="171" customFormat="1">
      <c r="A245" s="170" t="s">
        <v>38</v>
      </c>
      <c r="B245" s="295">
        <v>3007002513</v>
      </c>
      <c r="C245" s="296" t="s">
        <v>998</v>
      </c>
      <c r="D245" s="297">
        <v>0</v>
      </c>
      <c r="E245" s="260" t="s">
        <v>1008</v>
      </c>
      <c r="F245" s="171">
        <v>20241202</v>
      </c>
      <c r="G245" s="171">
        <v>20250326</v>
      </c>
      <c r="H245" s="237" t="s">
        <v>699</v>
      </c>
      <c r="I245" s="213"/>
      <c r="J245" s="170"/>
      <c r="K245" s="209" t="s">
        <v>1047</v>
      </c>
      <c r="L245" s="209" t="s">
        <v>1180</v>
      </c>
      <c r="M245" s="171" t="s">
        <v>2891</v>
      </c>
      <c r="N245" s="209" t="s">
        <v>2892</v>
      </c>
      <c r="O245" s="207">
        <v>858</v>
      </c>
      <c r="P245" s="207">
        <f t="shared" si="46"/>
        <v>643.5</v>
      </c>
      <c r="Q245" s="207">
        <f t="shared" ref="Q245" si="47">D245*P245</f>
        <v>0</v>
      </c>
      <c r="R245" s="207"/>
    </row>
    <row r="246" spans="1:19" s="6" customFormat="1">
      <c r="A246" s="6" t="s">
        <v>38</v>
      </c>
      <c r="B246" s="101">
        <v>5004002524</v>
      </c>
      <c r="C246" s="65" t="s">
        <v>2387</v>
      </c>
      <c r="D246" s="65">
        <v>0</v>
      </c>
      <c r="E246" s="7"/>
      <c r="G246" s="6">
        <v>20250609</v>
      </c>
      <c r="H246" s="159">
        <v>10</v>
      </c>
      <c r="I246" s="195"/>
      <c r="J246" s="12"/>
      <c r="K246" s="12" t="s">
        <v>3052</v>
      </c>
      <c r="L246" s="12" t="s">
        <v>3024</v>
      </c>
      <c r="N246" s="12" t="s">
        <v>3053</v>
      </c>
      <c r="O246" s="28">
        <v>2057</v>
      </c>
      <c r="P246" s="28">
        <f t="shared" si="46"/>
        <v>1542.75</v>
      </c>
      <c r="Q246" s="28">
        <f>D246*P246</f>
        <v>0</v>
      </c>
      <c r="R246" s="205"/>
      <c r="S246" s="12"/>
    </row>
    <row r="247" spans="1:19">
      <c r="A247" s="6" t="s">
        <v>38</v>
      </c>
      <c r="B247" s="65">
        <v>6010002504</v>
      </c>
      <c r="C247" s="65" t="s">
        <v>10</v>
      </c>
      <c r="D247" s="65">
        <v>0</v>
      </c>
      <c r="E247" s="6"/>
      <c r="F247" s="6">
        <v>20240904</v>
      </c>
      <c r="G247" s="6">
        <v>20241106</v>
      </c>
      <c r="H247" s="159" t="s">
        <v>699</v>
      </c>
      <c r="I247" s="195"/>
      <c r="J247" s="12"/>
      <c r="K247" s="12" t="s">
        <v>1083</v>
      </c>
      <c r="L247" s="12" t="s">
        <v>1624</v>
      </c>
      <c r="M247" s="6" t="s">
        <v>2736</v>
      </c>
      <c r="N247" s="12" t="s">
        <v>2063</v>
      </c>
      <c r="O247" s="28">
        <v>2068</v>
      </c>
      <c r="P247" s="28">
        <f t="shared" si="46"/>
        <v>1551</v>
      </c>
      <c r="Q247" s="28">
        <f t="shared" ref="Q247" si="48">D247*P247</f>
        <v>0</v>
      </c>
    </row>
    <row r="248" spans="1:19">
      <c r="A248" s="4" t="s">
        <v>38</v>
      </c>
      <c r="B248" s="101">
        <v>3003012590</v>
      </c>
      <c r="C248" s="334" t="s">
        <v>104</v>
      </c>
      <c r="D248" s="12">
        <v>0</v>
      </c>
      <c r="E248" s="257"/>
      <c r="F248" s="1">
        <v>20230616</v>
      </c>
      <c r="G248" s="1">
        <v>20230821</v>
      </c>
      <c r="H248" s="159" t="s">
        <v>1012</v>
      </c>
      <c r="J248" s="12"/>
      <c r="K248" s="12" t="s">
        <v>1146</v>
      </c>
      <c r="L248" s="12" t="s">
        <v>1150</v>
      </c>
      <c r="M248" s="1" t="s">
        <v>1015</v>
      </c>
      <c r="O248" s="28">
        <v>2110</v>
      </c>
      <c r="P248" s="28">
        <f t="shared" ref="P248:P253" si="49">O248*0.75</f>
        <v>1582.5</v>
      </c>
      <c r="Q248" s="28">
        <f t="shared" ref="Q248:Q253" si="50">D248*P248</f>
        <v>0</v>
      </c>
      <c r="S248" s="12"/>
    </row>
    <row r="249" spans="1:19" s="6" customFormat="1" ht="32.4">
      <c r="A249" s="6" t="s">
        <v>38</v>
      </c>
      <c r="B249" s="335">
        <v>6001002501</v>
      </c>
      <c r="C249" s="65" t="s">
        <v>2853</v>
      </c>
      <c r="D249" s="6">
        <v>0</v>
      </c>
      <c r="E249" s="258" t="s">
        <v>2894</v>
      </c>
      <c r="F249" s="6">
        <v>20240904</v>
      </c>
      <c r="G249" s="6">
        <v>20250103</v>
      </c>
      <c r="H249" s="159" t="s">
        <v>699</v>
      </c>
      <c r="I249" s="195"/>
      <c r="J249" s="12"/>
      <c r="K249" s="12" t="s">
        <v>1083</v>
      </c>
      <c r="L249" s="12" t="s">
        <v>1228</v>
      </c>
      <c r="M249" s="6" t="s">
        <v>2770</v>
      </c>
      <c r="N249" s="66" t="s">
        <v>2834</v>
      </c>
      <c r="O249" s="28">
        <v>1716</v>
      </c>
      <c r="P249" s="28">
        <f t="shared" si="49"/>
        <v>1287</v>
      </c>
      <c r="Q249" s="28">
        <f t="shared" si="50"/>
        <v>0</v>
      </c>
      <c r="R249" s="28"/>
      <c r="S249" s="12"/>
    </row>
    <row r="250" spans="1:19">
      <c r="A250" s="1" t="s">
        <v>38</v>
      </c>
      <c r="B250" s="336">
        <v>6001002513</v>
      </c>
      <c r="C250" s="300" t="s">
        <v>2591</v>
      </c>
      <c r="D250" s="262">
        <v>0</v>
      </c>
      <c r="E250" s="257" t="s">
        <v>2275</v>
      </c>
      <c r="F250" s="1">
        <v>20231207</v>
      </c>
      <c r="G250" s="1">
        <v>20240229</v>
      </c>
      <c r="H250" s="159">
        <v>10</v>
      </c>
      <c r="I250" s="203"/>
      <c r="J250" s="142"/>
      <c r="K250" s="12" t="s">
        <v>1047</v>
      </c>
      <c r="L250" s="12" t="s">
        <v>2224</v>
      </c>
      <c r="M250" s="1" t="s">
        <v>2285</v>
      </c>
      <c r="N250" s="12" t="s">
        <v>2286</v>
      </c>
      <c r="O250" s="28">
        <v>1210</v>
      </c>
      <c r="P250" s="28">
        <f t="shared" si="49"/>
        <v>907.5</v>
      </c>
      <c r="Q250" s="28">
        <f t="shared" si="50"/>
        <v>0</v>
      </c>
    </row>
    <row r="251" spans="1:19" s="6" customFormat="1">
      <c r="A251" s="6" t="s">
        <v>38</v>
      </c>
      <c r="B251" s="299">
        <v>3017002533</v>
      </c>
      <c r="C251" s="65" t="s">
        <v>2386</v>
      </c>
      <c r="D251" s="65">
        <v>0</v>
      </c>
      <c r="E251" s="258"/>
      <c r="F251" s="6">
        <v>20230825</v>
      </c>
      <c r="G251" s="6">
        <v>20231226</v>
      </c>
      <c r="H251" s="159" t="s">
        <v>699</v>
      </c>
      <c r="I251" s="197" t="s">
        <v>3081</v>
      </c>
      <c r="J251" s="12"/>
      <c r="K251" s="12" t="s">
        <v>1083</v>
      </c>
      <c r="L251" s="12" t="s">
        <v>1622</v>
      </c>
      <c r="M251" s="6" t="s">
        <v>2177</v>
      </c>
      <c r="N251" s="12"/>
      <c r="O251" s="28">
        <v>2400</v>
      </c>
      <c r="P251" s="28">
        <f t="shared" si="49"/>
        <v>1800</v>
      </c>
      <c r="Q251" s="28">
        <f t="shared" si="50"/>
        <v>0</v>
      </c>
      <c r="R251" s="28"/>
    </row>
    <row r="252" spans="1:19">
      <c r="A252" s="1" t="s">
        <v>38</v>
      </c>
      <c r="B252" s="8">
        <v>3019002560</v>
      </c>
      <c r="C252" s="8" t="s">
        <v>7</v>
      </c>
      <c r="D252" s="65">
        <v>0</v>
      </c>
      <c r="E252" s="257"/>
      <c r="F252" s="1">
        <v>20210109</v>
      </c>
      <c r="G252" s="1">
        <v>20210309</v>
      </c>
      <c r="H252" s="159" t="s">
        <v>699</v>
      </c>
      <c r="J252" s="12"/>
      <c r="K252" s="12" t="s">
        <v>1039</v>
      </c>
      <c r="L252" s="12" t="s">
        <v>1212</v>
      </c>
      <c r="N252" s="12" t="s">
        <v>527</v>
      </c>
      <c r="O252" s="28">
        <v>2017</v>
      </c>
      <c r="P252" s="28">
        <f t="shared" si="49"/>
        <v>1512.75</v>
      </c>
      <c r="Q252" s="28">
        <f t="shared" si="50"/>
        <v>0</v>
      </c>
      <c r="R252" s="74"/>
      <c r="S252" s="12"/>
    </row>
    <row r="253" spans="1:19">
      <c r="A253" s="1" t="s">
        <v>38</v>
      </c>
      <c r="B253" s="8">
        <v>1007002543</v>
      </c>
      <c r="C253" s="8" t="s">
        <v>2606</v>
      </c>
      <c r="D253" s="65">
        <v>0</v>
      </c>
      <c r="E253" s="257" t="s">
        <v>1008</v>
      </c>
      <c r="F253" s="1">
        <v>20240503</v>
      </c>
      <c r="G253" s="1">
        <v>20240927</v>
      </c>
      <c r="H253" s="159" t="s">
        <v>699</v>
      </c>
      <c r="I253" s="4" t="s">
        <v>1018</v>
      </c>
      <c r="J253" s="114"/>
      <c r="K253" s="12" t="s">
        <v>1047</v>
      </c>
      <c r="L253" s="12" t="s">
        <v>1251</v>
      </c>
      <c r="M253" s="1" t="s">
        <v>2607</v>
      </c>
      <c r="O253" s="28">
        <v>953</v>
      </c>
      <c r="P253" s="28">
        <f t="shared" si="49"/>
        <v>714.75</v>
      </c>
      <c r="Q253" s="28">
        <f t="shared" si="50"/>
        <v>0</v>
      </c>
    </row>
    <row r="254" spans="1:19" s="6" customFormat="1">
      <c r="A254" s="6" t="s">
        <v>38</v>
      </c>
      <c r="B254" s="65">
        <v>1003002522</v>
      </c>
      <c r="C254" s="65" t="s">
        <v>438</v>
      </c>
      <c r="D254" s="65">
        <v>0</v>
      </c>
      <c r="E254" s="7"/>
      <c r="F254" s="6">
        <v>20241202</v>
      </c>
      <c r="G254" s="6">
        <v>20250210</v>
      </c>
      <c r="H254" s="159" t="s">
        <v>699</v>
      </c>
      <c r="I254" s="195"/>
      <c r="J254" s="12"/>
      <c r="K254" s="12" t="s">
        <v>1047</v>
      </c>
      <c r="L254" s="12" t="s">
        <v>1145</v>
      </c>
      <c r="M254" s="6" t="s">
        <v>2840</v>
      </c>
      <c r="N254" s="12" t="s">
        <v>2841</v>
      </c>
      <c r="O254" s="28">
        <v>858</v>
      </c>
      <c r="P254" s="28">
        <f t="shared" ref="P254:P261" si="51">O254*0.75</f>
        <v>643.5</v>
      </c>
      <c r="Q254" s="28">
        <f t="shared" ref="Q254:Q261" si="52">D254*P254</f>
        <v>0</v>
      </c>
      <c r="R254" s="28"/>
    </row>
    <row r="255" spans="1:19" ht="32.4">
      <c r="A255" s="1" t="s">
        <v>38</v>
      </c>
      <c r="B255" s="336">
        <v>6026002503</v>
      </c>
      <c r="C255" s="347" t="s">
        <v>2727</v>
      </c>
      <c r="D255" s="313">
        <v>2</v>
      </c>
      <c r="E255" s="257" t="s">
        <v>717</v>
      </c>
      <c r="F255" s="1">
        <v>20200417</v>
      </c>
      <c r="G255" s="1">
        <v>20220617</v>
      </c>
      <c r="H255" s="159" t="s">
        <v>699</v>
      </c>
      <c r="I255" s="204" t="s">
        <v>2165</v>
      </c>
      <c r="J255" s="12"/>
      <c r="K255" s="12" t="s">
        <v>1116</v>
      </c>
      <c r="L255" s="12" t="s">
        <v>1252</v>
      </c>
      <c r="N255" s="92" t="s">
        <v>588</v>
      </c>
      <c r="O255" s="28">
        <v>0</v>
      </c>
      <c r="P255" s="28">
        <f t="shared" si="51"/>
        <v>0</v>
      </c>
      <c r="Q255" s="28">
        <f t="shared" si="52"/>
        <v>0</v>
      </c>
      <c r="R255" s="205" t="s">
        <v>2211</v>
      </c>
      <c r="S255" s="12"/>
    </row>
    <row r="256" spans="1:19">
      <c r="A256" s="1" t="s">
        <v>79</v>
      </c>
      <c r="B256" s="290">
        <v>3006012560</v>
      </c>
      <c r="C256" s="291" t="s">
        <v>2387</v>
      </c>
      <c r="D256" s="305">
        <v>0</v>
      </c>
      <c r="E256" s="257" t="s">
        <v>3170</v>
      </c>
      <c r="F256" s="1">
        <v>20220618</v>
      </c>
      <c r="G256" s="1">
        <v>20220818</v>
      </c>
      <c r="H256" s="159" t="s">
        <v>699</v>
      </c>
      <c r="J256" s="12"/>
      <c r="K256" s="12" t="s">
        <v>1143</v>
      </c>
      <c r="L256" s="12" t="s">
        <v>1205</v>
      </c>
      <c r="M256" s="1" t="s">
        <v>737</v>
      </c>
      <c r="N256" s="12" t="s">
        <v>3182</v>
      </c>
      <c r="O256" s="28">
        <v>1550</v>
      </c>
      <c r="P256" s="28">
        <f t="shared" si="51"/>
        <v>1162.5</v>
      </c>
      <c r="Q256" s="28">
        <f t="shared" si="52"/>
        <v>0</v>
      </c>
    </row>
    <row r="257" spans="1:19" s="6" customFormat="1">
      <c r="A257" s="6" t="s">
        <v>38</v>
      </c>
      <c r="B257" s="65">
        <v>1000002563</v>
      </c>
      <c r="C257" s="65" t="s">
        <v>2387</v>
      </c>
      <c r="D257" s="65">
        <v>1</v>
      </c>
      <c r="E257" s="258"/>
      <c r="F257" s="6">
        <v>20250331</v>
      </c>
      <c r="G257" s="6">
        <v>20260115</v>
      </c>
      <c r="H257" s="159" t="s">
        <v>699</v>
      </c>
      <c r="I257" s="195"/>
      <c r="J257" s="12"/>
      <c r="K257" s="12" t="s">
        <v>1047</v>
      </c>
      <c r="L257" s="12" t="s">
        <v>1098</v>
      </c>
      <c r="M257" s="6" t="s">
        <v>3200</v>
      </c>
      <c r="N257" s="12" t="s">
        <v>3199</v>
      </c>
      <c r="O257" s="28">
        <v>1430</v>
      </c>
      <c r="P257" s="28">
        <f t="shared" si="51"/>
        <v>1072.5</v>
      </c>
      <c r="Q257" s="28">
        <f t="shared" si="52"/>
        <v>1072.5</v>
      </c>
      <c r="R257" s="28"/>
    </row>
    <row r="258" spans="1:19" s="6" customFormat="1">
      <c r="A258" s="6" t="s">
        <v>38</v>
      </c>
      <c r="B258" s="101">
        <v>1003022530</v>
      </c>
      <c r="C258" s="65" t="s">
        <v>2387</v>
      </c>
      <c r="D258" s="65">
        <v>6</v>
      </c>
      <c r="E258" s="7"/>
      <c r="F258" s="6">
        <v>20250709</v>
      </c>
      <c r="G258" s="6">
        <v>20260115</v>
      </c>
      <c r="H258" s="159">
        <v>10</v>
      </c>
      <c r="I258" s="195"/>
      <c r="J258" s="12"/>
      <c r="K258" s="12" t="s">
        <v>1083</v>
      </c>
      <c r="L258" s="12" t="s">
        <v>2878</v>
      </c>
      <c r="M258" s="6" t="s">
        <v>3213</v>
      </c>
      <c r="N258" s="12" t="s">
        <v>2769</v>
      </c>
      <c r="O258" s="28">
        <v>850</v>
      </c>
      <c r="P258" s="28">
        <f t="shared" si="51"/>
        <v>637.5</v>
      </c>
      <c r="Q258" s="28">
        <f t="shared" si="52"/>
        <v>3825</v>
      </c>
      <c r="R258" s="28"/>
      <c r="S258" s="12"/>
    </row>
    <row r="259" spans="1:19" s="6" customFormat="1">
      <c r="A259" s="6" t="s">
        <v>38</v>
      </c>
      <c r="B259" s="65">
        <v>1003002522</v>
      </c>
      <c r="C259" s="65" t="s">
        <v>2389</v>
      </c>
      <c r="D259" s="65">
        <v>5</v>
      </c>
      <c r="E259" s="7"/>
      <c r="F259" s="6">
        <v>20250421</v>
      </c>
      <c r="G259" s="6">
        <v>20260114</v>
      </c>
      <c r="H259" s="159" t="s">
        <v>699</v>
      </c>
      <c r="I259" s="195"/>
      <c r="J259" s="12"/>
      <c r="K259" s="12" t="s">
        <v>1047</v>
      </c>
      <c r="L259" s="12" t="s">
        <v>1145</v>
      </c>
      <c r="M259" s="6" t="s">
        <v>3155</v>
      </c>
      <c r="N259" s="12" t="s">
        <v>1270</v>
      </c>
      <c r="O259" s="28">
        <v>858</v>
      </c>
      <c r="P259" s="28">
        <f t="shared" si="51"/>
        <v>643.5</v>
      </c>
      <c r="Q259" s="28">
        <f t="shared" si="52"/>
        <v>3217.5</v>
      </c>
      <c r="R259" s="28"/>
    </row>
    <row r="260" spans="1:19">
      <c r="A260" s="1" t="s">
        <v>38</v>
      </c>
      <c r="B260" s="302">
        <v>3003012580</v>
      </c>
      <c r="C260" s="8" t="s">
        <v>11</v>
      </c>
      <c r="D260" s="65">
        <v>3</v>
      </c>
      <c r="E260" s="258"/>
      <c r="F260" s="6">
        <v>20210117</v>
      </c>
      <c r="G260" s="6">
        <v>20210317</v>
      </c>
      <c r="H260" s="159" t="s">
        <v>699</v>
      </c>
      <c r="J260" s="12"/>
      <c r="K260" s="12" t="s">
        <v>1220</v>
      </c>
      <c r="L260" s="12" t="s">
        <v>1257</v>
      </c>
      <c r="O260" s="28">
        <v>1520</v>
      </c>
      <c r="P260" s="28">
        <f t="shared" si="51"/>
        <v>1140</v>
      </c>
      <c r="Q260" s="28">
        <f t="shared" si="52"/>
        <v>3420</v>
      </c>
    </row>
    <row r="261" spans="1:19">
      <c r="A261" s="1" t="s">
        <v>38</v>
      </c>
      <c r="B261" s="8">
        <v>1006002592</v>
      </c>
      <c r="C261" s="8" t="s">
        <v>2739</v>
      </c>
      <c r="D261" s="65">
        <v>2</v>
      </c>
      <c r="E261" s="257" t="s">
        <v>3170</v>
      </c>
      <c r="F261" s="1">
        <v>20230302</v>
      </c>
      <c r="G261" s="1">
        <v>20230502</v>
      </c>
      <c r="H261" s="159" t="s">
        <v>699</v>
      </c>
      <c r="J261" s="4" t="s">
        <v>3165</v>
      </c>
      <c r="K261" s="12" t="s">
        <v>1143</v>
      </c>
      <c r="L261" s="12" t="s">
        <v>1201</v>
      </c>
      <c r="M261" s="1" t="s">
        <v>899</v>
      </c>
      <c r="O261" s="28">
        <v>1265</v>
      </c>
      <c r="P261" s="28">
        <f t="shared" si="51"/>
        <v>948.75</v>
      </c>
      <c r="Q261" s="28">
        <f t="shared" si="52"/>
        <v>1897.5</v>
      </c>
    </row>
    <row r="262" spans="1:19">
      <c r="A262" s="1" t="s">
        <v>38</v>
      </c>
      <c r="B262" s="8">
        <v>3004002544</v>
      </c>
      <c r="C262" s="8" t="s">
        <v>2386</v>
      </c>
      <c r="D262" s="65">
        <v>1</v>
      </c>
      <c r="E262" s="257" t="s">
        <v>717</v>
      </c>
      <c r="F262" s="1">
        <v>20231227</v>
      </c>
      <c r="G262" s="1">
        <v>20240604</v>
      </c>
      <c r="H262" s="159">
        <v>10</v>
      </c>
      <c r="K262" s="12" t="s">
        <v>1047</v>
      </c>
      <c r="L262" s="12" t="s">
        <v>2034</v>
      </c>
      <c r="M262" s="1" t="s">
        <v>2456</v>
      </c>
      <c r="N262" s="12" t="s">
        <v>2457</v>
      </c>
      <c r="O262" s="28">
        <v>2100</v>
      </c>
      <c r="P262" s="28">
        <f>O262*0.75</f>
        <v>1575</v>
      </c>
      <c r="Q262" s="28">
        <f>D262*P262</f>
        <v>1575</v>
      </c>
    </row>
    <row r="263" spans="1:19" s="6" customFormat="1">
      <c r="A263" s="6" t="s">
        <v>38</v>
      </c>
      <c r="B263" s="299">
        <v>5019002501</v>
      </c>
      <c r="C263" s="65" t="s">
        <v>2387</v>
      </c>
      <c r="D263" s="65">
        <v>5</v>
      </c>
      <c r="E263" s="258" t="s">
        <v>1008</v>
      </c>
      <c r="G263" s="6">
        <v>20260115</v>
      </c>
      <c r="H263" s="159" t="s">
        <v>699</v>
      </c>
      <c r="I263" s="195"/>
      <c r="J263" s="12"/>
      <c r="K263" s="12" t="s">
        <v>1083</v>
      </c>
      <c r="L263" s="12" t="s">
        <v>1244</v>
      </c>
      <c r="N263" s="12" t="s">
        <v>3214</v>
      </c>
      <c r="O263" s="28">
        <v>891</v>
      </c>
      <c r="P263" s="28">
        <f>O263*0.75</f>
        <v>668.25</v>
      </c>
      <c r="Q263" s="28">
        <f t="shared" ref="Q263" si="53">D263*P263</f>
        <v>3341.25</v>
      </c>
      <c r="R263" s="28"/>
    </row>
    <row r="264" spans="1:19" s="6" customFormat="1">
      <c r="A264" s="6" t="s">
        <v>38</v>
      </c>
      <c r="B264" s="335">
        <v>6001002501</v>
      </c>
      <c r="C264" s="65" t="s">
        <v>3244</v>
      </c>
      <c r="D264" s="65">
        <v>3</v>
      </c>
      <c r="E264" s="258" t="s">
        <v>2893</v>
      </c>
      <c r="F264" s="6">
        <v>20240904</v>
      </c>
      <c r="G264" s="6">
        <v>20250103</v>
      </c>
      <c r="H264" s="159" t="s">
        <v>699</v>
      </c>
      <c r="I264" s="195"/>
      <c r="J264" s="12"/>
      <c r="K264" s="12" t="s">
        <v>1083</v>
      </c>
      <c r="L264" s="12" t="s">
        <v>1228</v>
      </c>
      <c r="M264" s="6" t="s">
        <v>2895</v>
      </c>
      <c r="N264" s="66" t="s">
        <v>2062</v>
      </c>
      <c r="O264" s="28">
        <v>1716</v>
      </c>
      <c r="P264" s="28">
        <f>O264*0.75</f>
        <v>1287</v>
      </c>
      <c r="Q264" s="28">
        <f>D264*P264</f>
        <v>3861</v>
      </c>
      <c r="R264" s="28"/>
      <c r="S264" s="12"/>
    </row>
    <row r="265" spans="1:19" s="4" customFormat="1">
      <c r="A265" s="4" t="s">
        <v>38</v>
      </c>
      <c r="B265" s="277">
        <v>6003002513</v>
      </c>
      <c r="C265" s="283" t="s">
        <v>3206</v>
      </c>
      <c r="D265" s="278">
        <v>6</v>
      </c>
      <c r="E265" s="287"/>
      <c r="F265" s="115">
        <v>20230511</v>
      </c>
      <c r="G265" s="115">
        <v>20230711</v>
      </c>
      <c r="H265" s="160" t="s">
        <v>699</v>
      </c>
      <c r="I265" s="346" t="s">
        <v>3251</v>
      </c>
      <c r="J265" s="155" t="s">
        <v>3207</v>
      </c>
      <c r="K265" s="12" t="s">
        <v>1605</v>
      </c>
      <c r="L265" s="12" t="s">
        <v>1606</v>
      </c>
      <c r="M265" s="1" t="s">
        <v>966</v>
      </c>
      <c r="N265" s="12" t="s">
        <v>870</v>
      </c>
      <c r="O265" s="28">
        <v>11980</v>
      </c>
      <c r="P265" s="28">
        <f>O265*0.75</f>
        <v>8985</v>
      </c>
      <c r="Q265" s="28">
        <f>D265*P265</f>
        <v>53910</v>
      </c>
      <c r="R265" s="28"/>
      <c r="S265" s="12"/>
    </row>
    <row r="266" spans="1:19" s="4" customFormat="1">
      <c r="A266" s="4" t="s">
        <v>38</v>
      </c>
      <c r="B266" s="280">
        <v>6009002505</v>
      </c>
      <c r="C266" s="68" t="s">
        <v>3206</v>
      </c>
      <c r="D266" s="276">
        <v>5</v>
      </c>
      <c r="E266" s="288"/>
      <c r="F266" s="88">
        <v>20250609</v>
      </c>
      <c r="G266" s="88">
        <v>20260115</v>
      </c>
      <c r="H266" s="161">
        <v>10</v>
      </c>
      <c r="I266" s="345"/>
      <c r="J266" s="124" t="s">
        <v>3240</v>
      </c>
      <c r="K266" s="12" t="s">
        <v>3241</v>
      </c>
      <c r="L266" s="12" t="s">
        <v>1247</v>
      </c>
      <c r="M266" s="1" t="s">
        <v>3242</v>
      </c>
      <c r="N266" s="12" t="s">
        <v>870</v>
      </c>
      <c r="O266" s="28">
        <v>15000</v>
      </c>
      <c r="P266" s="28">
        <f>O266*0.75</f>
        <v>11250</v>
      </c>
      <c r="Q266" s="28">
        <f>D266*P266</f>
        <v>56250</v>
      </c>
      <c r="R266" s="28"/>
      <c r="S266" s="12"/>
    </row>
    <row r="267" spans="1:19">
      <c r="A267" s="4" t="s">
        <v>38</v>
      </c>
      <c r="B267" s="101">
        <v>3010002511</v>
      </c>
      <c r="C267" s="65" t="s">
        <v>2579</v>
      </c>
      <c r="D267" s="101">
        <v>2</v>
      </c>
      <c r="E267" s="257"/>
      <c r="F267" s="1">
        <v>20240523</v>
      </c>
      <c r="G267" s="1">
        <v>20240821</v>
      </c>
      <c r="H267" s="159" t="s">
        <v>699</v>
      </c>
      <c r="I267" s="197"/>
      <c r="J267" s="12"/>
      <c r="K267" s="12" t="s">
        <v>1083</v>
      </c>
      <c r="L267" s="12" t="s">
        <v>1621</v>
      </c>
      <c r="M267" s="1" t="s">
        <v>2551</v>
      </c>
      <c r="O267" s="28">
        <v>1059</v>
      </c>
      <c r="P267" s="28">
        <f t="shared" ref="P267" si="54">O267*0.75</f>
        <v>794.25</v>
      </c>
      <c r="Q267" s="28">
        <f>D267*P267</f>
        <v>1588.5</v>
      </c>
    </row>
    <row r="268" spans="1:19" s="6" customFormat="1">
      <c r="A268" s="6" t="s">
        <v>38</v>
      </c>
      <c r="B268" s="65">
        <v>5008002503</v>
      </c>
      <c r="C268" s="65" t="s">
        <v>2381</v>
      </c>
      <c r="D268" s="101">
        <v>4</v>
      </c>
      <c r="E268" s="258"/>
      <c r="G268" s="6">
        <v>20260128</v>
      </c>
      <c r="H268" s="159" t="s">
        <v>699</v>
      </c>
      <c r="I268" s="195"/>
      <c r="J268" s="12"/>
      <c r="K268" s="12" t="s">
        <v>1047</v>
      </c>
      <c r="L268" s="12" t="s">
        <v>1161</v>
      </c>
      <c r="N268" s="66" t="s">
        <v>1901</v>
      </c>
      <c r="O268" s="28">
        <v>2173</v>
      </c>
      <c r="P268" s="28">
        <f t="shared" ref="P268" si="55">O268*0.75</f>
        <v>1629.75</v>
      </c>
      <c r="Q268" s="28">
        <f t="shared" ref="Q268" si="56">D268*P268</f>
        <v>6519</v>
      </c>
      <c r="R268" s="28"/>
    </row>
    <row r="269" spans="1:19" s="6" customFormat="1">
      <c r="A269" s="6" t="s">
        <v>38</v>
      </c>
      <c r="B269" s="101">
        <v>3004002500</v>
      </c>
      <c r="C269" s="65" t="s">
        <v>4</v>
      </c>
      <c r="D269" s="65">
        <v>3</v>
      </c>
      <c r="E269" s="7"/>
      <c r="F269" s="6">
        <v>20241111</v>
      </c>
      <c r="G269" s="6">
        <v>20250116</v>
      </c>
      <c r="H269" s="159" t="s">
        <v>699</v>
      </c>
      <c r="I269" s="195"/>
      <c r="J269" s="12" t="s">
        <v>2877</v>
      </c>
      <c r="K269" s="12" t="s">
        <v>1146</v>
      </c>
      <c r="L269" s="12" t="s">
        <v>1203</v>
      </c>
      <c r="M269" s="6" t="s">
        <v>2814</v>
      </c>
      <c r="N269" s="12" t="s">
        <v>2815</v>
      </c>
      <c r="O269" s="28">
        <v>1142</v>
      </c>
      <c r="P269" s="28">
        <f>O269*0.75</f>
        <v>856.5</v>
      </c>
      <c r="Q269" s="28">
        <f>D269*P269</f>
        <v>2569.5</v>
      </c>
      <c r="R269" s="28"/>
      <c r="S269" s="12"/>
    </row>
    <row r="270" spans="1:19" s="6" customFormat="1">
      <c r="A270" s="6" t="s">
        <v>38</v>
      </c>
      <c r="B270" s="299">
        <v>5019002501</v>
      </c>
      <c r="C270" s="65" t="s">
        <v>2388</v>
      </c>
      <c r="D270" s="65">
        <v>2</v>
      </c>
      <c r="E270" s="258" t="s">
        <v>1007</v>
      </c>
      <c r="G270" s="6">
        <v>20240604</v>
      </c>
      <c r="H270" s="159" t="s">
        <v>699</v>
      </c>
      <c r="I270" s="195"/>
      <c r="J270" s="12"/>
      <c r="K270" s="12" t="s">
        <v>1083</v>
      </c>
      <c r="L270" s="12" t="s">
        <v>1244</v>
      </c>
      <c r="N270" s="12"/>
      <c r="O270" s="28">
        <v>891</v>
      </c>
      <c r="P270" s="28">
        <f>O270*0.75</f>
        <v>668.25</v>
      </c>
      <c r="Q270" s="28">
        <f>D270*P270</f>
        <v>1336.5</v>
      </c>
      <c r="R270" s="28"/>
    </row>
    <row r="271" spans="1:19" s="6" customFormat="1">
      <c r="A271" s="6" t="s">
        <v>38</v>
      </c>
      <c r="B271" s="101">
        <v>6001002514</v>
      </c>
      <c r="C271" s="65" t="s">
        <v>2387</v>
      </c>
      <c r="D271" s="65">
        <v>3</v>
      </c>
      <c r="E271" s="7"/>
      <c r="F271" s="6">
        <v>20250923</v>
      </c>
      <c r="G271" s="6">
        <v>20260115</v>
      </c>
      <c r="H271" s="159">
        <v>10</v>
      </c>
      <c r="I271" s="195"/>
      <c r="J271" s="12"/>
      <c r="K271" s="12" t="s">
        <v>3225</v>
      </c>
      <c r="L271" s="12" t="s">
        <v>3226</v>
      </c>
      <c r="M271" s="6" t="s">
        <v>3227</v>
      </c>
      <c r="N271" s="12" t="s">
        <v>3228</v>
      </c>
      <c r="O271" s="28">
        <v>1210</v>
      </c>
      <c r="P271" s="28">
        <f>O271*0.75</f>
        <v>907.5</v>
      </c>
      <c r="Q271" s="28">
        <f>D271*P271</f>
        <v>2722.5</v>
      </c>
      <c r="R271" s="205"/>
      <c r="S271" s="12"/>
    </row>
    <row r="272" spans="1:19" s="6" customFormat="1">
      <c r="A272" s="6" t="s">
        <v>38</v>
      </c>
      <c r="B272" s="101">
        <v>5004002524</v>
      </c>
      <c r="C272" s="65" t="s">
        <v>2387</v>
      </c>
      <c r="D272" s="65">
        <v>2</v>
      </c>
      <c r="E272" s="7"/>
      <c r="F272" s="6">
        <v>20250425</v>
      </c>
      <c r="G272" s="6">
        <v>20260115</v>
      </c>
      <c r="H272" s="159">
        <v>10</v>
      </c>
      <c r="I272" s="195"/>
      <c r="J272" s="12"/>
      <c r="K272" s="12" t="s">
        <v>1083</v>
      </c>
      <c r="L272" s="12" t="s">
        <v>3024</v>
      </c>
      <c r="M272" s="6" t="s">
        <v>3224</v>
      </c>
      <c r="N272" s="12" t="s">
        <v>2064</v>
      </c>
      <c r="O272" s="28">
        <v>2057</v>
      </c>
      <c r="P272" s="28">
        <f t="shared" ref="P272" si="57">O272*0.75</f>
        <v>1542.75</v>
      </c>
      <c r="Q272" s="28">
        <f>D272*P272</f>
        <v>3085.5</v>
      </c>
      <c r="R272" s="205"/>
      <c r="S272" s="12"/>
    </row>
  </sheetData>
  <autoFilter ref="A3:N203" xr:uid="{00000000-0009-0000-0000-000001000000}"/>
  <sortState xmlns:xlrd2="http://schemas.microsoft.com/office/spreadsheetml/2017/richdata2" ref="A4:Q166">
    <sortCondition ref="B99"/>
  </sortState>
  <mergeCells count="15">
    <mergeCell ref="N12:N13"/>
    <mergeCell ref="I12:I13"/>
    <mergeCell ref="N145:N146"/>
    <mergeCell ref="N127:N128"/>
    <mergeCell ref="K1:L1"/>
    <mergeCell ref="A1:J1"/>
    <mergeCell ref="I145:I146"/>
    <mergeCell ref="C145:C146"/>
    <mergeCell ref="E145:E146"/>
    <mergeCell ref="E12:E13"/>
    <mergeCell ref="B2:J2"/>
    <mergeCell ref="I127:I128"/>
    <mergeCell ref="C127:C128"/>
    <mergeCell ref="E127:E128"/>
    <mergeCell ref="J12:J13"/>
  </mergeCells>
  <phoneticPr fontId="1" type="noConversion"/>
  <conditionalFormatting sqref="A190:B190 D190 K13:S14 C34 F13:I14 A1:E3 K250:S251 F1:K1 M1:S1 E12:S12 C57 E57 E34 C52 F2:S3 A53:S56 A250:I251 F190:S190 A103:C103 A12:D15 E15:S15 A16:S25 A4:S6 A10:S10 L104:S107 A104:J107 K105:K107 R247:S247 A248:S249 A59:S72 A251:S252 A275:S315 K253:S254 A253:I254 A27:S33 C73:C74 A90:S102 A8:S8 A255:S256 C111:C116 C257:C259 A76:S88 A260:S262 A35:S51 A264:S267 A191 C190:C191 A192:S246 A117:S189 A269:S272">
    <cfRule type="expression" dxfId="217" priority="137">
      <formula>CELL("ROW")=ROW()</formula>
    </cfRule>
  </conditionalFormatting>
  <conditionalFormatting sqref="A131:B131 D131 F131:S131">
    <cfRule type="expression" dxfId="216" priority="120">
      <formula>CELL("ROW")=ROW()</formula>
    </cfRule>
  </conditionalFormatting>
  <conditionalFormatting sqref="A135:B135 D135 F135:S135">
    <cfRule type="expression" dxfId="215" priority="119">
      <formula>CELL("ROW")=ROW()</formula>
    </cfRule>
  </conditionalFormatting>
  <conditionalFormatting sqref="A214:D232 F214:S232">
    <cfRule type="expression" dxfId="214" priority="116">
      <formula>CELL("ROW")=ROW()</formula>
    </cfRule>
  </conditionalFormatting>
  <conditionalFormatting sqref="A227:B232 D227:D232 F227:S232">
    <cfRule type="expression" dxfId="213" priority="114">
      <formula>CELL("ROW")=ROW()</formula>
    </cfRule>
  </conditionalFormatting>
  <conditionalFormatting sqref="A34:B34 D34 F34:S34">
    <cfRule type="expression" dxfId="212" priority="112">
      <formula>CELL("ROW")=ROW()</formula>
    </cfRule>
  </conditionalFormatting>
  <conditionalFormatting sqref="A57:B57 D57 F57:S57">
    <cfRule type="expression" dxfId="211" priority="111">
      <formula>CELL("ROW")=ROW()</formula>
    </cfRule>
  </conditionalFormatting>
  <conditionalFormatting sqref="E131">
    <cfRule type="expression" dxfId="210" priority="89">
      <formula>CELL("ROW")=ROW()</formula>
    </cfRule>
  </conditionalFormatting>
  <conditionalFormatting sqref="E13:E14 E190">
    <cfRule type="expression" dxfId="209" priority="90">
      <formula>CELL("ROW")=ROW()</formula>
    </cfRule>
  </conditionalFormatting>
  <conditionalFormatting sqref="E237:E246">
    <cfRule type="expression" dxfId="208" priority="78">
      <formula>CELL("ROW")=ROW()</formula>
    </cfRule>
  </conditionalFormatting>
  <conditionalFormatting sqref="A237:D246 F237:S246">
    <cfRule type="expression" dxfId="207" priority="79">
      <formula>CELL("ROW")=ROW()</formula>
    </cfRule>
  </conditionalFormatting>
  <conditionalFormatting sqref="A184:S184">
    <cfRule type="expression" dxfId="206" priority="73">
      <formula>CELL("ROW")=ROW()</formula>
    </cfRule>
  </conditionalFormatting>
  <conditionalFormatting sqref="E249">
    <cfRule type="expression" dxfId="205" priority="72">
      <formula>CELL("ROW")=ROW()</formula>
    </cfRule>
  </conditionalFormatting>
  <conditionalFormatting sqref="A249:B249 D249 F249:S249">
    <cfRule type="expression" dxfId="204" priority="70">
      <formula>CELL("ROW")=ROW()</formula>
    </cfRule>
  </conditionalFormatting>
  <conditionalFormatting sqref="A241:B241 D241:S241">
    <cfRule type="expression" dxfId="203" priority="69">
      <formula>CELL("ROW")=ROW()</formula>
    </cfRule>
  </conditionalFormatting>
  <conditionalFormatting sqref="A52:B52 D52:S52">
    <cfRule type="expression" dxfId="202" priority="68">
      <formula>CELL("ROW")=ROW()</formula>
    </cfRule>
  </conditionalFormatting>
  <conditionalFormatting sqref="A154:S154">
    <cfRule type="expression" dxfId="201" priority="62">
      <formula>CELL("ROW")=ROW()</formula>
    </cfRule>
  </conditionalFormatting>
  <conditionalFormatting sqref="A254:S254">
    <cfRule type="expression" dxfId="200" priority="61">
      <formula>CELL("ROW")=ROW()</formula>
    </cfRule>
  </conditionalFormatting>
  <conditionalFormatting sqref="D103:S103">
    <cfRule type="expression" dxfId="199" priority="59">
      <formula>CELL("ROW")=ROW()</formula>
    </cfRule>
  </conditionalFormatting>
  <conditionalFormatting sqref="K211:K232">
    <cfRule type="expression" dxfId="198" priority="58">
      <formula>CELL("ROW")=ROW()</formula>
    </cfRule>
  </conditionalFormatting>
  <conditionalFormatting sqref="K104">
    <cfRule type="expression" dxfId="197" priority="57">
      <formula>CELL("ROW")=ROW()</formula>
    </cfRule>
  </conditionalFormatting>
  <conditionalFormatting sqref="A245:S246">
    <cfRule type="expression" dxfId="196" priority="56">
      <formula>CELL("ROW")=ROW()</formula>
    </cfRule>
  </conditionalFormatting>
  <conditionalFormatting sqref="A11:S11">
    <cfRule type="expression" dxfId="195" priority="51">
      <formula>CELL("ROW")=ROW()</formula>
    </cfRule>
  </conditionalFormatting>
  <conditionalFormatting sqref="A242:S246">
    <cfRule type="expression" dxfId="194" priority="50">
      <formula>CELL("ROW")=ROW()</formula>
    </cfRule>
  </conditionalFormatting>
  <conditionalFormatting sqref="A242:B246 D242:S246">
    <cfRule type="expression" dxfId="193" priority="49">
      <formula>CELL("ROW")=ROW()</formula>
    </cfRule>
  </conditionalFormatting>
  <conditionalFormatting sqref="A9:S9">
    <cfRule type="expression" dxfId="192" priority="48">
      <formula>CELL("ROW")=ROW()</formula>
    </cfRule>
  </conditionalFormatting>
  <conditionalFormatting sqref="A108:S110">
    <cfRule type="expression" dxfId="191" priority="47">
      <formula>CELL("ROW")=ROW()</formula>
    </cfRule>
  </conditionalFormatting>
  <conditionalFormatting sqref="E108:E110">
    <cfRule type="expression" dxfId="190" priority="45">
      <formula>CELL("ROW")=ROW()</formula>
    </cfRule>
  </conditionalFormatting>
  <conditionalFormatting sqref="F108:S110 A108:D110">
    <cfRule type="expression" dxfId="189" priority="46">
      <formula>CELL("ROW")=ROW()</formula>
    </cfRule>
  </conditionalFormatting>
  <conditionalFormatting sqref="A58:S58">
    <cfRule type="expression" dxfId="188" priority="44">
      <formula>CELL("ROW")=ROW()</formula>
    </cfRule>
  </conditionalFormatting>
  <conditionalFormatting sqref="E58">
    <cfRule type="expression" dxfId="187" priority="42">
      <formula>CELL("ROW")=ROW()</formula>
    </cfRule>
  </conditionalFormatting>
  <conditionalFormatting sqref="A58:D58 F58:S58">
    <cfRule type="expression" dxfId="186" priority="43">
      <formula>CELL("ROW")=ROW()</formula>
    </cfRule>
  </conditionalFormatting>
  <conditionalFormatting sqref="A58:S58">
    <cfRule type="expression" dxfId="185" priority="41">
      <formula>CELL("ROW")=ROW()</formula>
    </cfRule>
  </conditionalFormatting>
  <conditionalFormatting sqref="A58:B58 D58:S58">
    <cfRule type="expression" dxfId="184" priority="40">
      <formula>CELL("ROW")=ROW()</formula>
    </cfRule>
  </conditionalFormatting>
  <conditionalFormatting sqref="C247">
    <cfRule type="expression" dxfId="183" priority="38">
      <formula>CELL("ROW")=ROW()</formula>
    </cfRule>
  </conditionalFormatting>
  <conditionalFormatting sqref="A247:B247 D247:Q247">
    <cfRule type="expression" dxfId="182" priority="37">
      <formula>CELL("ROW")=ROW()</formula>
    </cfRule>
  </conditionalFormatting>
  <conditionalFormatting sqref="A26:S26">
    <cfRule type="expression" dxfId="181" priority="36">
      <formula>CELL("ROW")=ROW()</formula>
    </cfRule>
  </conditionalFormatting>
  <conditionalFormatting sqref="A73:B73 D73:S73">
    <cfRule type="expression" dxfId="180" priority="35">
      <formula>CELL("ROW")=ROW()</formula>
    </cfRule>
  </conditionalFormatting>
  <conditionalFormatting sqref="A73:B73 F73:S73 D73">
    <cfRule type="expression" dxfId="179" priority="34">
      <formula>CELL("ROW")=ROW()</formula>
    </cfRule>
  </conditionalFormatting>
  <conditionalFormatting sqref="A73:B73 D73 F73:S73">
    <cfRule type="expression" dxfId="178" priority="33">
      <formula>CELL("ROW")=ROW()</formula>
    </cfRule>
  </conditionalFormatting>
  <conditionalFormatting sqref="K73">
    <cfRule type="expression" dxfId="177" priority="32">
      <formula>CELL("ROW")=ROW()</formula>
    </cfRule>
  </conditionalFormatting>
  <conditionalFormatting sqref="K259:S259 A259:B259 D259:I259">
    <cfRule type="expression" dxfId="176" priority="31">
      <formula>CELL("ROW")=ROW()</formula>
    </cfRule>
  </conditionalFormatting>
  <conditionalFormatting sqref="A259:B259 D259:S259">
    <cfRule type="expression" dxfId="175" priority="30">
      <formula>CELL("ROW")=ROW()</formula>
    </cfRule>
  </conditionalFormatting>
  <conditionalFormatting sqref="A111:B111 D111:S111">
    <cfRule type="expression" dxfId="174" priority="29">
      <formula>CELL("ROW")=ROW()</formula>
    </cfRule>
  </conditionalFormatting>
  <conditionalFormatting sqref="A74:B74 D74:S74">
    <cfRule type="expression" dxfId="173" priority="28">
      <formula>CELL("ROW")=ROW()</formula>
    </cfRule>
  </conditionalFormatting>
  <conditionalFormatting sqref="D112:S113 A112:B113">
    <cfRule type="expression" dxfId="172" priority="27">
      <formula>CELL("ROW")=ROW()</formula>
    </cfRule>
  </conditionalFormatting>
  <conditionalFormatting sqref="A89:S89">
    <cfRule type="expression" dxfId="171" priority="26">
      <formula>CELL("ROW")=ROW()</formula>
    </cfRule>
  </conditionalFormatting>
  <conditionalFormatting sqref="A75:S75">
    <cfRule type="expression" dxfId="170" priority="25">
      <formula>CELL("ROW")=ROW()</formula>
    </cfRule>
  </conditionalFormatting>
  <conditionalFormatting sqref="E75">
    <cfRule type="expression" dxfId="169" priority="23">
      <formula>CELL("ROW")=ROW()</formula>
    </cfRule>
  </conditionalFormatting>
  <conditionalFormatting sqref="A75:D75 F75:S75">
    <cfRule type="expression" dxfId="168" priority="24">
      <formula>CELL("ROW")=ROW()</formula>
    </cfRule>
  </conditionalFormatting>
  <conditionalFormatting sqref="A75:S75">
    <cfRule type="expression" dxfId="167" priority="22">
      <formula>CELL("ROW")=ROW()</formula>
    </cfRule>
  </conditionalFormatting>
  <conditionalFormatting sqref="A75:S75">
    <cfRule type="expression" dxfId="166" priority="21">
      <formula>CELL("ROW")=ROW()</formula>
    </cfRule>
  </conditionalFormatting>
  <conditionalFormatting sqref="A75:B75 D75:S75">
    <cfRule type="expression" dxfId="165" priority="20">
      <formula>CELL("ROW")=ROW()</formula>
    </cfRule>
  </conditionalFormatting>
  <conditionalFormatting sqref="A114:B116 D114:S116">
    <cfRule type="expression" dxfId="164" priority="16">
      <formula>CELL("ROW")=ROW()</formula>
    </cfRule>
  </conditionalFormatting>
  <conditionalFormatting sqref="A257:B257 D257:S257">
    <cfRule type="expression" dxfId="163" priority="15">
      <formula>CELL("ROW")=ROW()</formula>
    </cfRule>
  </conditionalFormatting>
  <conditionalFormatting sqref="A257:B257 F257:S257 D257">
    <cfRule type="expression" dxfId="162" priority="14">
      <formula>CELL("ROW")=ROW()</formula>
    </cfRule>
  </conditionalFormatting>
  <conditionalFormatting sqref="K257">
    <cfRule type="expression" dxfId="161" priority="13">
      <formula>CELL("ROW")=ROW()</formula>
    </cfRule>
  </conditionalFormatting>
  <conditionalFormatting sqref="A7:S7">
    <cfRule type="expression" dxfId="160" priority="12">
      <formula>CELL("ROW")=ROW()</formula>
    </cfRule>
  </conditionalFormatting>
  <conditionalFormatting sqref="A258:B258 D258:S258">
    <cfRule type="expression" dxfId="159" priority="11">
      <formula>CELL("ROW")=ROW()</formula>
    </cfRule>
  </conditionalFormatting>
  <conditionalFormatting sqref="K258">
    <cfRule type="expression" dxfId="158" priority="10">
      <formula>CELL("ROW")=ROW()</formula>
    </cfRule>
  </conditionalFormatting>
  <conditionalFormatting sqref="A263:S263">
    <cfRule type="expression" dxfId="157" priority="9">
      <formula>CELL("ROW")=ROW()</formula>
    </cfRule>
  </conditionalFormatting>
  <conditionalFormatting sqref="A268:S268">
    <cfRule type="expression" dxfId="156" priority="2">
      <formula>CELL("ROW")=ROW()</formula>
    </cfRule>
  </conditionalFormatting>
  <conditionalFormatting sqref="K268">
    <cfRule type="expression" dxfId="155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9" tint="0.59999389629810485"/>
  </sheetPr>
  <dimension ref="A1:S239"/>
  <sheetViews>
    <sheetView workbookViewId="0">
      <pane xSplit="1" ySplit="3" topLeftCell="B60" activePane="bottomRight" state="frozen"/>
      <selection pane="topRight" activeCell="B1" sqref="B1"/>
      <selection pane="bottomLeft" activeCell="A2" sqref="A2"/>
      <selection pane="bottomRight" activeCell="E72" sqref="E72"/>
    </sheetView>
  </sheetViews>
  <sheetFormatPr defaultColWidth="9" defaultRowHeight="16.2"/>
  <cols>
    <col min="1" max="1" width="11.6640625" style="1" bestFit="1" customWidth="1"/>
    <col min="2" max="2" width="16.77734375" style="2" bestFit="1" customWidth="1"/>
    <col min="3" max="3" width="18.44140625" style="1" bestFit="1" customWidth="1"/>
    <col min="4" max="4" width="9.44140625" style="1" bestFit="1" customWidth="1"/>
    <col min="5" max="5" width="11.77734375" style="21" bestFit="1" customWidth="1"/>
    <col min="6" max="7" width="11.77734375" style="1" customWidth="1"/>
    <col min="8" max="8" width="11.77734375" style="163" customWidth="1"/>
    <col min="9" max="9" width="18.33203125" style="189" customWidth="1"/>
    <col min="10" max="10" width="17" style="1" bestFit="1" customWidth="1"/>
    <col min="11" max="12" width="24.33203125" style="1" customWidth="1"/>
    <col min="13" max="13" width="13.77734375" style="1" bestFit="1" customWidth="1"/>
    <col min="14" max="14" width="12.77734375" style="12" bestFit="1" customWidth="1"/>
    <col min="15" max="15" width="12.44140625" style="28" customWidth="1"/>
    <col min="16" max="16" width="10.6640625" style="28" bestFit="1" customWidth="1"/>
    <col min="17" max="17" width="10.88671875" style="28" bestFit="1" customWidth="1"/>
    <col min="18" max="18" width="13" style="28" bestFit="1" customWidth="1"/>
    <col min="19" max="19" width="13.6640625" style="1" bestFit="1" customWidth="1"/>
    <col min="20" max="20" width="12.88671875" style="1" bestFit="1" customWidth="1"/>
    <col min="21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243" t="s">
        <v>2599</v>
      </c>
      <c r="K2" s="146" t="s">
        <v>2181</v>
      </c>
      <c r="L2" s="146" t="s">
        <v>1224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12" t="s">
        <v>62</v>
      </c>
      <c r="F3" s="6" t="s">
        <v>330</v>
      </c>
      <c r="G3" s="6" t="s">
        <v>331</v>
      </c>
      <c r="H3" s="158" t="s">
        <v>561</v>
      </c>
      <c r="I3" s="189" t="s">
        <v>57</v>
      </c>
      <c r="J3" s="22" t="s">
        <v>1019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 s="6" customFormat="1" ht="32.4">
      <c r="A4" s="6" t="s">
        <v>37</v>
      </c>
      <c r="B4" s="5" t="s">
        <v>695</v>
      </c>
      <c r="C4" s="6" t="s">
        <v>2807</v>
      </c>
      <c r="D4" s="6">
        <v>100</v>
      </c>
      <c r="E4" s="7"/>
      <c r="G4" s="6">
        <v>20250106</v>
      </c>
      <c r="H4" s="159" t="s">
        <v>699</v>
      </c>
      <c r="I4" s="195"/>
      <c r="K4" s="12" t="s">
        <v>1277</v>
      </c>
      <c r="L4" s="12" t="s">
        <v>1706</v>
      </c>
      <c r="N4" s="66" t="s">
        <v>2787</v>
      </c>
      <c r="O4" s="28">
        <v>946</v>
      </c>
      <c r="P4" s="219">
        <f t="shared" ref="P4:P5" si="0">O4*0.75</f>
        <v>709.5</v>
      </c>
      <c r="Q4" s="219">
        <f t="shared" ref="Q4:Q5" si="1">D4*P4</f>
        <v>70950</v>
      </c>
      <c r="R4" s="28"/>
    </row>
    <row r="5" spans="1:19" s="6" customFormat="1" ht="32.4">
      <c r="A5" s="6" t="s">
        <v>37</v>
      </c>
      <c r="B5" s="20">
        <v>2103430230103</v>
      </c>
      <c r="C5" s="6" t="s">
        <v>3017</v>
      </c>
      <c r="D5" s="12">
        <v>250</v>
      </c>
      <c r="E5" s="7"/>
      <c r="F5" s="6">
        <v>20250303</v>
      </c>
      <c r="G5" s="6">
        <v>20250609</v>
      </c>
      <c r="H5" s="159">
        <v>10</v>
      </c>
      <c r="I5" s="195"/>
      <c r="K5" s="12" t="s">
        <v>1182</v>
      </c>
      <c r="L5" s="12" t="s">
        <v>2935</v>
      </c>
      <c r="M5" s="6" t="s">
        <v>3018</v>
      </c>
      <c r="N5" s="66" t="s">
        <v>3015</v>
      </c>
      <c r="O5" s="28">
        <v>710</v>
      </c>
      <c r="P5" s="219">
        <f t="shared" si="0"/>
        <v>532.5</v>
      </c>
      <c r="Q5" s="219">
        <f t="shared" si="1"/>
        <v>133125</v>
      </c>
      <c r="R5" s="28"/>
      <c r="S5" s="7"/>
    </row>
    <row r="6" spans="1:19" s="6" customFormat="1">
      <c r="A6" s="6" t="s">
        <v>37</v>
      </c>
      <c r="B6" s="5" t="s">
        <v>568</v>
      </c>
      <c r="C6" s="6" t="s">
        <v>2572</v>
      </c>
      <c r="D6" s="6">
        <v>102</v>
      </c>
      <c r="E6" s="57"/>
      <c r="F6" s="3">
        <v>20240509</v>
      </c>
      <c r="G6" s="6">
        <v>20240805</v>
      </c>
      <c r="H6" s="159" t="s">
        <v>699</v>
      </c>
      <c r="I6" s="189" t="s">
        <v>2545</v>
      </c>
      <c r="K6" s="6" t="s">
        <v>2538</v>
      </c>
      <c r="L6" s="6" t="s">
        <v>2539</v>
      </c>
      <c r="M6" s="6" t="s">
        <v>2540</v>
      </c>
      <c r="N6" s="12"/>
      <c r="O6" s="28">
        <v>600</v>
      </c>
      <c r="P6" s="219">
        <f t="shared" ref="P6:P7" si="2">O6*0.75</f>
        <v>450</v>
      </c>
      <c r="Q6" s="219">
        <f t="shared" ref="Q6:Q7" si="3">D6*P6</f>
        <v>45900</v>
      </c>
      <c r="R6" s="28"/>
      <c r="S6" s="7"/>
    </row>
    <row r="7" spans="1:19">
      <c r="A7" s="1" t="s">
        <v>37</v>
      </c>
      <c r="B7" s="2" t="s">
        <v>569</v>
      </c>
      <c r="C7" s="6" t="s">
        <v>2572</v>
      </c>
      <c r="D7" s="1">
        <v>126</v>
      </c>
      <c r="E7" s="57"/>
      <c r="F7" s="3">
        <v>20240509</v>
      </c>
      <c r="G7" s="6">
        <v>20240805</v>
      </c>
      <c r="H7" s="159" t="s">
        <v>699</v>
      </c>
      <c r="I7" s="189" t="s">
        <v>2545</v>
      </c>
      <c r="J7" s="1" t="s">
        <v>2546</v>
      </c>
      <c r="K7" s="12" t="s">
        <v>1050</v>
      </c>
      <c r="L7" s="12" t="s">
        <v>1707</v>
      </c>
      <c r="M7" s="1" t="s">
        <v>2541</v>
      </c>
      <c r="O7" s="28">
        <v>858</v>
      </c>
      <c r="P7" s="29">
        <f t="shared" si="2"/>
        <v>643.5</v>
      </c>
      <c r="Q7" s="29">
        <f t="shared" si="3"/>
        <v>81081</v>
      </c>
      <c r="S7" s="21"/>
    </row>
    <row r="8" spans="1:19" ht="32.4">
      <c r="A8" s="1" t="s">
        <v>37</v>
      </c>
      <c r="B8" s="2" t="s">
        <v>445</v>
      </c>
      <c r="C8" s="6" t="s">
        <v>2571</v>
      </c>
      <c r="D8" s="1">
        <v>202</v>
      </c>
      <c r="F8" s="1">
        <v>20240319</v>
      </c>
      <c r="G8" s="1">
        <v>20240628</v>
      </c>
      <c r="H8" s="159" t="s">
        <v>699</v>
      </c>
      <c r="I8" s="193"/>
      <c r="J8" s="1" t="s">
        <v>2547</v>
      </c>
      <c r="K8" s="12" t="s">
        <v>1050</v>
      </c>
      <c r="L8" s="12" t="s">
        <v>1708</v>
      </c>
      <c r="M8" s="1" t="s">
        <v>2492</v>
      </c>
      <c r="N8" s="66" t="s">
        <v>2493</v>
      </c>
      <c r="O8" s="28">
        <v>930</v>
      </c>
      <c r="P8" s="29">
        <f>O8*0.75</f>
        <v>697.5</v>
      </c>
      <c r="Q8" s="29">
        <f>D8*P8</f>
        <v>140895</v>
      </c>
      <c r="S8" s="21"/>
    </row>
    <row r="9" spans="1:19" s="6" customFormat="1">
      <c r="A9" s="6" t="s">
        <v>409</v>
      </c>
      <c r="B9" s="5">
        <v>2537340340100</v>
      </c>
      <c r="C9" s="6" t="s">
        <v>2771</v>
      </c>
      <c r="D9" s="6">
        <v>3</v>
      </c>
      <c r="E9" s="7"/>
      <c r="F9" s="6">
        <v>20241202</v>
      </c>
      <c r="G9" s="6">
        <v>20250103</v>
      </c>
      <c r="H9" s="158">
        <v>10</v>
      </c>
      <c r="J9" s="12"/>
      <c r="K9" s="12" t="s">
        <v>2772</v>
      </c>
      <c r="L9" s="12" t="s">
        <v>2773</v>
      </c>
      <c r="M9" s="6" t="s">
        <v>2774</v>
      </c>
      <c r="N9" s="12" t="s">
        <v>2775</v>
      </c>
      <c r="O9" s="28">
        <v>2000</v>
      </c>
      <c r="P9" s="28">
        <f t="shared" ref="P9:P13" si="4">O9*0.75</f>
        <v>1500</v>
      </c>
      <c r="Q9" s="28">
        <f t="shared" ref="Q9:Q13" si="5">D9*P9</f>
        <v>4500</v>
      </c>
      <c r="R9" s="28"/>
      <c r="S9" s="7"/>
    </row>
    <row r="10" spans="1:19" s="6" customFormat="1">
      <c r="A10" s="6" t="s">
        <v>409</v>
      </c>
      <c r="B10" s="5">
        <v>2537100110000</v>
      </c>
      <c r="C10" s="6" t="s">
        <v>2771</v>
      </c>
      <c r="D10" s="6">
        <v>4</v>
      </c>
      <c r="E10" s="7"/>
      <c r="F10" s="6">
        <v>20241202</v>
      </c>
      <c r="G10" s="6">
        <v>20250103</v>
      </c>
      <c r="H10" s="158">
        <v>10</v>
      </c>
      <c r="J10" s="12"/>
      <c r="K10" s="12" t="s">
        <v>2776</v>
      </c>
      <c r="L10" s="12" t="s">
        <v>2777</v>
      </c>
      <c r="M10" s="6" t="s">
        <v>2779</v>
      </c>
      <c r="N10" s="12" t="s">
        <v>2778</v>
      </c>
      <c r="O10" s="28">
        <v>1700</v>
      </c>
      <c r="P10" s="28">
        <f t="shared" si="4"/>
        <v>1275</v>
      </c>
      <c r="Q10" s="28">
        <f t="shared" si="5"/>
        <v>5100</v>
      </c>
      <c r="R10" s="28"/>
      <c r="S10" s="7"/>
    </row>
    <row r="11" spans="1:19" s="6" customFormat="1" ht="32.4">
      <c r="A11" s="6" t="s">
        <v>37</v>
      </c>
      <c r="B11" s="234" t="s">
        <v>692</v>
      </c>
      <c r="C11" s="6" t="s">
        <v>2571</v>
      </c>
      <c r="D11" s="6">
        <v>38</v>
      </c>
      <c r="E11" s="7" t="s">
        <v>1008</v>
      </c>
      <c r="F11" s="6">
        <v>20240812</v>
      </c>
      <c r="G11" s="6">
        <v>20250116</v>
      </c>
      <c r="H11" s="159" t="s">
        <v>699</v>
      </c>
      <c r="I11" s="197"/>
      <c r="K11" s="12" t="s">
        <v>1673</v>
      </c>
      <c r="L11" s="12" t="s">
        <v>1672</v>
      </c>
      <c r="M11" s="6" t="s">
        <v>2816</v>
      </c>
      <c r="N11" s="66" t="s">
        <v>2817</v>
      </c>
      <c r="O11" s="28">
        <v>946</v>
      </c>
      <c r="P11" s="219">
        <f t="shared" si="4"/>
        <v>709.5</v>
      </c>
      <c r="Q11" s="219">
        <f t="shared" si="5"/>
        <v>26961</v>
      </c>
      <c r="R11" s="28"/>
      <c r="S11" s="7"/>
    </row>
    <row r="12" spans="1:19">
      <c r="A12" s="1" t="s">
        <v>37</v>
      </c>
      <c r="B12" s="2">
        <v>2103430230902</v>
      </c>
      <c r="C12" s="6" t="s">
        <v>3150</v>
      </c>
      <c r="D12" s="1">
        <v>15</v>
      </c>
      <c r="E12" s="21" t="s">
        <v>1008</v>
      </c>
      <c r="G12" s="1">
        <v>20260114</v>
      </c>
      <c r="H12" s="163">
        <v>10</v>
      </c>
      <c r="J12" s="119">
        <v>37988</v>
      </c>
      <c r="K12" s="12" t="s">
        <v>1047</v>
      </c>
      <c r="L12" s="12" t="s">
        <v>1646</v>
      </c>
      <c r="N12" s="12" t="s">
        <v>3154</v>
      </c>
      <c r="O12" s="28">
        <v>660</v>
      </c>
      <c r="P12" s="219">
        <f t="shared" si="4"/>
        <v>495</v>
      </c>
      <c r="Q12" s="219">
        <f t="shared" si="5"/>
        <v>7425</v>
      </c>
      <c r="S12" s="21"/>
    </row>
    <row r="13" spans="1:19">
      <c r="A13" s="1" t="s">
        <v>37</v>
      </c>
      <c r="B13" s="2">
        <v>2103430230902</v>
      </c>
      <c r="C13" s="6" t="s">
        <v>3150</v>
      </c>
      <c r="D13" s="1">
        <v>85</v>
      </c>
      <c r="E13" s="21" t="s">
        <v>2093</v>
      </c>
      <c r="F13" s="1">
        <v>20250502</v>
      </c>
      <c r="G13" s="1">
        <v>20260114</v>
      </c>
      <c r="H13" s="163" t="s">
        <v>699</v>
      </c>
      <c r="J13" s="119" t="s">
        <v>3152</v>
      </c>
      <c r="K13" s="12" t="s">
        <v>1047</v>
      </c>
      <c r="L13" s="12" t="s">
        <v>1646</v>
      </c>
      <c r="M13" s="1" t="s">
        <v>3151</v>
      </c>
      <c r="N13" s="12" t="s">
        <v>3153</v>
      </c>
      <c r="O13" s="28">
        <v>660</v>
      </c>
      <c r="P13" s="29">
        <f t="shared" si="4"/>
        <v>495</v>
      </c>
      <c r="Q13" s="29">
        <f t="shared" si="5"/>
        <v>42075</v>
      </c>
      <c r="S13" s="21"/>
    </row>
    <row r="14" spans="1:19">
      <c r="A14" s="1" t="s">
        <v>37</v>
      </c>
      <c r="B14" s="5">
        <v>2000100220000</v>
      </c>
      <c r="C14" s="6" t="s">
        <v>2585</v>
      </c>
      <c r="D14" s="6">
        <v>1</v>
      </c>
      <c r="F14" s="1">
        <v>20240104</v>
      </c>
      <c r="G14" s="1">
        <v>20240202</v>
      </c>
      <c r="H14" s="159">
        <v>10</v>
      </c>
      <c r="J14" s="12" t="s">
        <v>3190</v>
      </c>
      <c r="K14" s="12" t="s">
        <v>2242</v>
      </c>
      <c r="L14" s="12" t="s">
        <v>2246</v>
      </c>
      <c r="M14" s="1" t="s">
        <v>2247</v>
      </c>
      <c r="N14" s="12" t="s">
        <v>2063</v>
      </c>
      <c r="O14" s="28">
        <v>2150</v>
      </c>
      <c r="P14" s="29">
        <f>O14*0.75</f>
        <v>1612.5</v>
      </c>
      <c r="Q14" s="29">
        <f>D14*P14</f>
        <v>1612.5</v>
      </c>
      <c r="S14" s="21"/>
    </row>
    <row r="15" spans="1:19" s="6" customFormat="1">
      <c r="A15" s="6" t="s">
        <v>409</v>
      </c>
      <c r="B15" s="5">
        <v>2100880320002</v>
      </c>
      <c r="C15" s="6" t="s">
        <v>2585</v>
      </c>
      <c r="D15" s="6">
        <v>10</v>
      </c>
      <c r="E15" s="7"/>
      <c r="F15" s="6">
        <v>20240305</v>
      </c>
      <c r="G15" s="6">
        <v>20240516</v>
      </c>
      <c r="H15" s="159" t="s">
        <v>699</v>
      </c>
      <c r="I15" s="195"/>
      <c r="J15" s="7"/>
      <c r="K15" s="12" t="s">
        <v>2407</v>
      </c>
      <c r="L15" s="12" t="s">
        <v>2408</v>
      </c>
      <c r="M15" s="6" t="s">
        <v>2405</v>
      </c>
      <c r="N15" s="12" t="s">
        <v>2406</v>
      </c>
      <c r="O15" s="28">
        <v>935</v>
      </c>
      <c r="P15" s="219">
        <f t="shared" ref="P15:P17" si="6">O15*0.75</f>
        <v>701.25</v>
      </c>
      <c r="Q15" s="219">
        <f t="shared" ref="Q15:Q17" si="7">D15*P15</f>
        <v>7012.5</v>
      </c>
      <c r="R15" s="28"/>
      <c r="S15" s="7"/>
    </row>
    <row r="16" spans="1:19" s="6" customFormat="1">
      <c r="A16" s="6" t="s">
        <v>409</v>
      </c>
      <c r="B16" s="5">
        <v>2103570130500</v>
      </c>
      <c r="C16" s="6" t="s">
        <v>2585</v>
      </c>
      <c r="D16" s="6">
        <v>5</v>
      </c>
      <c r="E16" s="7"/>
      <c r="F16" s="6">
        <v>20240528</v>
      </c>
      <c r="G16" s="6">
        <v>20240628</v>
      </c>
      <c r="H16" s="159">
        <v>10</v>
      </c>
      <c r="I16" s="195"/>
      <c r="J16" s="7"/>
      <c r="K16" s="12" t="s">
        <v>2407</v>
      </c>
      <c r="L16" s="12" t="s">
        <v>2494</v>
      </c>
      <c r="M16" s="6" t="s">
        <v>2495</v>
      </c>
      <c r="N16" s="12" t="s">
        <v>2496</v>
      </c>
      <c r="O16" s="28">
        <v>1650</v>
      </c>
      <c r="P16" s="219">
        <f t="shared" si="6"/>
        <v>1237.5</v>
      </c>
      <c r="Q16" s="219">
        <f t="shared" si="7"/>
        <v>6187.5</v>
      </c>
      <c r="R16" s="28"/>
      <c r="S16" s="7"/>
    </row>
    <row r="17" spans="1:19" s="6" customFormat="1">
      <c r="A17" s="6" t="s">
        <v>409</v>
      </c>
      <c r="B17" s="50" t="s">
        <v>2618</v>
      </c>
      <c r="C17" s="6" t="s">
        <v>2585</v>
      </c>
      <c r="D17" s="6">
        <v>10</v>
      </c>
      <c r="E17" s="7"/>
      <c r="F17" s="6">
        <v>20240802</v>
      </c>
      <c r="G17" s="6">
        <v>20240927</v>
      </c>
      <c r="H17" s="159">
        <v>10</v>
      </c>
      <c r="I17" s="195"/>
      <c r="J17" s="7"/>
      <c r="K17" s="12" t="s">
        <v>1673</v>
      </c>
      <c r="L17" s="12" t="s">
        <v>2620</v>
      </c>
      <c r="M17" s="6" t="s">
        <v>2619</v>
      </c>
      <c r="N17" s="12"/>
      <c r="O17" s="28">
        <v>980</v>
      </c>
      <c r="P17" s="219">
        <f t="shared" si="6"/>
        <v>735</v>
      </c>
      <c r="Q17" s="219">
        <f t="shared" si="7"/>
        <v>7350</v>
      </c>
      <c r="R17" s="28"/>
      <c r="S17" s="7"/>
    </row>
    <row r="18" spans="1:19" s="6" customFormat="1">
      <c r="A18" s="6" t="s">
        <v>37</v>
      </c>
      <c r="B18" s="5">
        <v>2097090110002</v>
      </c>
      <c r="C18" s="6" t="s">
        <v>2585</v>
      </c>
      <c r="D18" s="6">
        <v>11</v>
      </c>
      <c r="E18" s="7"/>
      <c r="F18" s="6">
        <v>20240802</v>
      </c>
      <c r="G18" s="6">
        <v>20240927</v>
      </c>
      <c r="H18" s="159">
        <v>10</v>
      </c>
      <c r="I18" s="195"/>
      <c r="K18" s="6" t="s">
        <v>1671</v>
      </c>
      <c r="L18" s="12" t="s">
        <v>2088</v>
      </c>
      <c r="M18" s="6" t="s">
        <v>2621</v>
      </c>
      <c r="N18" s="12"/>
      <c r="O18" s="28">
        <v>1250</v>
      </c>
      <c r="P18" s="219">
        <f t="shared" ref="P18:P24" si="8">O18*0.75</f>
        <v>937.5</v>
      </c>
      <c r="Q18" s="219">
        <f t="shared" ref="Q18:Q24" si="9">D18*P18</f>
        <v>10312.5</v>
      </c>
      <c r="R18" s="28"/>
      <c r="S18" s="7"/>
    </row>
    <row r="19" spans="1:19" s="6" customFormat="1">
      <c r="A19" s="6" t="s">
        <v>409</v>
      </c>
      <c r="B19" s="5" t="s">
        <v>487</v>
      </c>
      <c r="C19" s="6" t="s">
        <v>2585</v>
      </c>
      <c r="D19" s="6">
        <v>121</v>
      </c>
      <c r="E19" s="25"/>
      <c r="F19" s="67">
        <v>20240509</v>
      </c>
      <c r="G19" s="67">
        <v>20240927</v>
      </c>
      <c r="H19" s="159" t="s">
        <v>699</v>
      </c>
      <c r="I19" s="195"/>
      <c r="K19" s="12" t="s">
        <v>1047</v>
      </c>
      <c r="L19" s="12" t="s">
        <v>1695</v>
      </c>
      <c r="M19" s="6" t="s">
        <v>2537</v>
      </c>
      <c r="N19" s="66"/>
      <c r="O19" s="28">
        <v>520</v>
      </c>
      <c r="P19" s="219">
        <f t="shared" si="8"/>
        <v>390</v>
      </c>
      <c r="Q19" s="219">
        <f t="shared" si="9"/>
        <v>47190</v>
      </c>
      <c r="R19" s="219"/>
    </row>
    <row r="20" spans="1:19">
      <c r="A20" s="1" t="s">
        <v>409</v>
      </c>
      <c r="B20" s="5">
        <v>2500300210000</v>
      </c>
      <c r="C20" s="6" t="s">
        <v>2585</v>
      </c>
      <c r="D20" s="6">
        <v>10</v>
      </c>
      <c r="E20" s="57"/>
      <c r="F20" s="3">
        <v>20240126</v>
      </c>
      <c r="G20" s="3">
        <v>20240401</v>
      </c>
      <c r="H20" s="163">
        <v>10</v>
      </c>
      <c r="K20" s="1" t="s">
        <v>2324</v>
      </c>
      <c r="L20" s="172" t="s">
        <v>2325</v>
      </c>
      <c r="M20" s="1" t="s">
        <v>2326</v>
      </c>
      <c r="N20" s="22"/>
      <c r="O20" s="28">
        <v>1420</v>
      </c>
      <c r="P20" s="29">
        <f>O20*0.75</f>
        <v>1065</v>
      </c>
      <c r="Q20" s="29">
        <f>D20*P20</f>
        <v>10650</v>
      </c>
      <c r="R20" s="29"/>
    </row>
    <row r="21" spans="1:19" s="6" customFormat="1">
      <c r="A21" s="6" t="s">
        <v>37</v>
      </c>
      <c r="B21" s="5">
        <v>2172930130001</v>
      </c>
      <c r="C21" s="6" t="s">
        <v>2585</v>
      </c>
      <c r="D21" s="12">
        <v>5</v>
      </c>
      <c r="E21" s="7"/>
      <c r="F21" s="6">
        <v>20240626</v>
      </c>
      <c r="G21" s="6">
        <v>20240930</v>
      </c>
      <c r="H21" s="159">
        <v>10</v>
      </c>
      <c r="I21" s="195"/>
      <c r="J21" s="12"/>
      <c r="K21" s="12" t="s">
        <v>1182</v>
      </c>
      <c r="L21" s="12" t="s">
        <v>1652</v>
      </c>
      <c r="M21" s="6" t="s">
        <v>2688</v>
      </c>
      <c r="O21" s="32">
        <v>4000</v>
      </c>
      <c r="P21" s="219">
        <f t="shared" ref="P21" si="10">O21*0.75</f>
        <v>3000</v>
      </c>
      <c r="Q21" s="219">
        <f t="shared" ref="Q21" si="11">D21*P21</f>
        <v>15000</v>
      </c>
      <c r="R21" s="32"/>
    </row>
    <row r="22" spans="1:19">
      <c r="A22" s="1" t="s">
        <v>409</v>
      </c>
      <c r="B22" s="18">
        <v>2094420260001</v>
      </c>
      <c r="C22" s="1" t="s">
        <v>2962</v>
      </c>
      <c r="D22" s="1">
        <v>40</v>
      </c>
      <c r="F22" s="1">
        <v>20190612</v>
      </c>
      <c r="G22" s="1">
        <v>20190812</v>
      </c>
      <c r="H22" s="159" t="s">
        <v>699</v>
      </c>
      <c r="K22" s="12" t="s">
        <v>1022</v>
      </c>
      <c r="L22" s="12" t="s">
        <v>1648</v>
      </c>
      <c r="O22" s="28">
        <v>1120</v>
      </c>
      <c r="P22" s="29">
        <f t="shared" si="8"/>
        <v>840</v>
      </c>
      <c r="Q22" s="29">
        <f t="shared" si="9"/>
        <v>33600</v>
      </c>
      <c r="S22" s="21"/>
    </row>
    <row r="23" spans="1:19">
      <c r="A23" s="1" t="s">
        <v>409</v>
      </c>
      <c r="B23" s="2">
        <v>2105590150001</v>
      </c>
      <c r="C23" s="1" t="s">
        <v>2962</v>
      </c>
      <c r="D23" s="4">
        <v>200</v>
      </c>
      <c r="E23" s="21" t="s">
        <v>960</v>
      </c>
      <c r="F23" s="1">
        <v>20220226</v>
      </c>
      <c r="G23" s="1">
        <v>20220426</v>
      </c>
      <c r="H23" s="159" t="s">
        <v>699</v>
      </c>
      <c r="K23" s="12" t="s">
        <v>1644</v>
      </c>
      <c r="L23" s="12" t="s">
        <v>1645</v>
      </c>
      <c r="N23" s="12" t="s">
        <v>688</v>
      </c>
      <c r="O23" s="28">
        <v>550</v>
      </c>
      <c r="P23" s="29">
        <f t="shared" si="8"/>
        <v>412.5</v>
      </c>
      <c r="Q23" s="29">
        <f t="shared" si="9"/>
        <v>82500</v>
      </c>
      <c r="S23" s="21"/>
    </row>
    <row r="24" spans="1:19">
      <c r="A24" s="1" t="s">
        <v>37</v>
      </c>
      <c r="B24" s="2">
        <v>2956260030100</v>
      </c>
      <c r="C24" s="1" t="s">
        <v>2962</v>
      </c>
      <c r="D24" s="1">
        <v>2</v>
      </c>
      <c r="F24" s="1">
        <v>20230405</v>
      </c>
      <c r="G24" s="1">
        <v>20230605</v>
      </c>
      <c r="H24" s="159" t="s">
        <v>699</v>
      </c>
      <c r="K24" s="12" t="s">
        <v>1655</v>
      </c>
      <c r="L24" s="148" t="s">
        <v>1668</v>
      </c>
      <c r="M24" s="1" t="s">
        <v>916</v>
      </c>
      <c r="O24" s="28">
        <v>2310</v>
      </c>
      <c r="P24" s="29">
        <f t="shared" si="8"/>
        <v>1732.5</v>
      </c>
      <c r="Q24" s="29">
        <f t="shared" si="9"/>
        <v>3465</v>
      </c>
      <c r="S24" s="21"/>
    </row>
    <row r="25" spans="1:19">
      <c r="A25" s="1" t="s">
        <v>37</v>
      </c>
      <c r="B25" s="20">
        <v>2094420280001</v>
      </c>
      <c r="C25" s="12" t="s">
        <v>2802</v>
      </c>
      <c r="D25" s="12">
        <v>20</v>
      </c>
      <c r="E25" s="12"/>
      <c r="F25" s="12"/>
      <c r="G25" s="12">
        <v>20190812</v>
      </c>
      <c r="H25" s="159" t="s">
        <v>699</v>
      </c>
      <c r="I25" s="191"/>
      <c r="K25" s="12" t="s">
        <v>1703</v>
      </c>
      <c r="L25" s="12" t="s">
        <v>1710</v>
      </c>
      <c r="O25" s="28">
        <v>1206</v>
      </c>
      <c r="P25" s="29">
        <f>O25*0.75</f>
        <v>904.5</v>
      </c>
      <c r="Q25" s="29">
        <f>D25*P25</f>
        <v>18090</v>
      </c>
      <c r="S25" s="21"/>
    </row>
    <row r="26" spans="1:19">
      <c r="A26" s="1" t="s">
        <v>37</v>
      </c>
      <c r="B26" s="20">
        <v>2103430230201</v>
      </c>
      <c r="C26" s="12" t="s">
        <v>2802</v>
      </c>
      <c r="D26" s="12">
        <v>100</v>
      </c>
      <c r="E26" s="12"/>
      <c r="F26" s="12">
        <v>20250409</v>
      </c>
      <c r="G26" s="12">
        <v>20250428</v>
      </c>
      <c r="H26" s="159">
        <v>10</v>
      </c>
      <c r="I26" s="191"/>
      <c r="J26" s="1" t="s">
        <v>3174</v>
      </c>
      <c r="K26" s="12" t="s">
        <v>2934</v>
      </c>
      <c r="L26" s="12" t="s">
        <v>2976</v>
      </c>
      <c r="M26" s="1" t="s">
        <v>2975</v>
      </c>
      <c r="N26" s="12" t="s">
        <v>2977</v>
      </c>
      <c r="O26" s="28">
        <v>764</v>
      </c>
      <c r="P26" s="29">
        <f>O26*0.75</f>
        <v>573</v>
      </c>
      <c r="Q26" s="29">
        <f>D26*P26</f>
        <v>57300</v>
      </c>
      <c r="S26" s="21"/>
    </row>
    <row r="27" spans="1:19" s="6" customFormat="1">
      <c r="A27" s="6" t="s">
        <v>37</v>
      </c>
      <c r="B27" s="5">
        <v>2172930100001</v>
      </c>
      <c r="C27" s="6" t="s">
        <v>3035</v>
      </c>
      <c r="D27" s="6">
        <v>5</v>
      </c>
      <c r="E27" s="7"/>
      <c r="F27" s="6">
        <v>20240626</v>
      </c>
      <c r="G27" s="6">
        <v>20240805</v>
      </c>
      <c r="H27" s="158">
        <v>10</v>
      </c>
      <c r="I27" s="195"/>
      <c r="K27" s="12" t="s">
        <v>2061</v>
      </c>
      <c r="L27" s="12" t="s">
        <v>1700</v>
      </c>
      <c r="M27" s="6" t="s">
        <v>2536</v>
      </c>
      <c r="N27" s="12" t="s">
        <v>2062</v>
      </c>
      <c r="O27" s="28">
        <v>1620</v>
      </c>
      <c r="P27" s="219">
        <f t="shared" ref="P27:P28" si="12">O27*0.75</f>
        <v>1215</v>
      </c>
      <c r="Q27" s="219">
        <f t="shared" ref="Q27:Q28" si="13">D27*P27</f>
        <v>6075</v>
      </c>
      <c r="R27" s="28"/>
      <c r="S27" s="7"/>
    </row>
    <row r="28" spans="1:19" s="6" customFormat="1">
      <c r="A28" s="6" t="s">
        <v>37</v>
      </c>
      <c r="B28" s="5">
        <v>2103400240600</v>
      </c>
      <c r="C28" s="6" t="s">
        <v>3035</v>
      </c>
      <c r="D28" s="6">
        <v>10</v>
      </c>
      <c r="E28" s="7"/>
      <c r="F28" s="6">
        <v>20250416</v>
      </c>
      <c r="G28" s="6">
        <v>20260114</v>
      </c>
      <c r="H28" s="158">
        <v>10</v>
      </c>
      <c r="I28" s="195"/>
      <c r="K28" s="12" t="s">
        <v>1047</v>
      </c>
      <c r="L28" s="12" t="s">
        <v>3117</v>
      </c>
      <c r="M28" s="6" t="s">
        <v>3118</v>
      </c>
      <c r="N28" s="12"/>
      <c r="O28" s="28">
        <v>1150</v>
      </c>
      <c r="P28" s="219">
        <f t="shared" si="12"/>
        <v>862.5</v>
      </c>
      <c r="Q28" s="219">
        <f t="shared" si="13"/>
        <v>8625</v>
      </c>
      <c r="R28" s="28"/>
      <c r="S28" s="7"/>
    </row>
    <row r="29" spans="1:19" s="6" customFormat="1">
      <c r="A29" s="6" t="s">
        <v>37</v>
      </c>
      <c r="B29" s="95">
        <v>2123730070001</v>
      </c>
      <c r="C29" s="96" t="s">
        <v>3035</v>
      </c>
      <c r="D29" s="232">
        <v>5</v>
      </c>
      <c r="E29" s="7"/>
      <c r="G29" s="6">
        <v>20250609</v>
      </c>
      <c r="H29" s="159">
        <v>10</v>
      </c>
      <c r="I29" s="197"/>
      <c r="J29" s="6" t="s">
        <v>3029</v>
      </c>
      <c r="K29" s="12" t="s">
        <v>1660</v>
      </c>
      <c r="L29" s="12" t="s">
        <v>3027</v>
      </c>
      <c r="N29" s="12" t="s">
        <v>3028</v>
      </c>
      <c r="O29" s="28">
        <v>1200</v>
      </c>
      <c r="P29" s="219">
        <f t="shared" ref="P29" si="14">O29*0.75</f>
        <v>900</v>
      </c>
      <c r="Q29" s="219">
        <f t="shared" ref="Q29:Q32" si="15">D29*P29</f>
        <v>4500</v>
      </c>
      <c r="R29" s="28"/>
    </row>
    <row r="30" spans="1:19" s="6" customFormat="1">
      <c r="A30" s="6" t="s">
        <v>37</v>
      </c>
      <c r="B30" s="97">
        <v>2123730070001</v>
      </c>
      <c r="C30" s="64" t="s">
        <v>3037</v>
      </c>
      <c r="D30" s="233">
        <v>5</v>
      </c>
      <c r="E30" s="7"/>
      <c r="G30" s="6">
        <v>20250609</v>
      </c>
      <c r="H30" s="159">
        <v>10</v>
      </c>
      <c r="I30" s="197"/>
      <c r="J30" s="6" t="s">
        <v>3030</v>
      </c>
      <c r="K30" s="12" t="s">
        <v>1660</v>
      </c>
      <c r="L30" s="12" t="s">
        <v>3027</v>
      </c>
      <c r="N30" s="12" t="s">
        <v>3031</v>
      </c>
      <c r="O30" s="28">
        <v>1200</v>
      </c>
      <c r="P30" s="219">
        <f t="shared" ref="P30" si="16">O30*0.75</f>
        <v>900</v>
      </c>
      <c r="Q30" s="219">
        <f t="shared" si="15"/>
        <v>4500</v>
      </c>
      <c r="R30" s="28"/>
    </row>
    <row r="31" spans="1:19" s="6" customFormat="1">
      <c r="A31" s="6" t="s">
        <v>37</v>
      </c>
      <c r="B31" s="5">
        <v>2124580160001</v>
      </c>
      <c r="C31" s="64" t="s">
        <v>3037</v>
      </c>
      <c r="D31" s="6">
        <v>9</v>
      </c>
      <c r="E31" s="7"/>
      <c r="G31" s="6">
        <v>20250609</v>
      </c>
      <c r="H31" s="159">
        <v>10</v>
      </c>
      <c r="I31" s="197"/>
      <c r="K31" s="12" t="s">
        <v>3061</v>
      </c>
      <c r="L31" s="12" t="s">
        <v>3062</v>
      </c>
      <c r="N31" s="12"/>
      <c r="O31" s="28">
        <v>1425</v>
      </c>
      <c r="P31" s="219">
        <f t="shared" ref="P31" si="17">O31*0.75</f>
        <v>1068.75</v>
      </c>
      <c r="Q31" s="219">
        <f t="shared" si="15"/>
        <v>9618.75</v>
      </c>
      <c r="R31" s="28"/>
    </row>
    <row r="32" spans="1:19">
      <c r="A32" s="1" t="s">
        <v>37</v>
      </c>
      <c r="B32" s="2">
        <v>2120020240701</v>
      </c>
      <c r="C32" s="1" t="s">
        <v>2601</v>
      </c>
      <c r="D32" s="1">
        <v>9</v>
      </c>
      <c r="F32" s="1">
        <v>20221111</v>
      </c>
      <c r="G32" s="1">
        <v>20230111</v>
      </c>
      <c r="H32" s="159" t="s">
        <v>699</v>
      </c>
      <c r="K32" s="12" t="s">
        <v>1644</v>
      </c>
      <c r="L32" s="12" t="s">
        <v>1662</v>
      </c>
      <c r="M32" s="1" t="s">
        <v>826</v>
      </c>
      <c r="O32" s="28">
        <v>880</v>
      </c>
      <c r="P32" s="29">
        <f>O32*0.75</f>
        <v>660</v>
      </c>
      <c r="Q32" s="29">
        <f t="shared" si="15"/>
        <v>5940</v>
      </c>
      <c r="S32" s="21"/>
    </row>
    <row r="33" spans="1:19" s="6" customFormat="1" ht="32.4">
      <c r="A33" s="6" t="s">
        <v>37</v>
      </c>
      <c r="B33" s="234" t="s">
        <v>692</v>
      </c>
      <c r="C33" s="6" t="s">
        <v>2601</v>
      </c>
      <c r="D33" s="6">
        <v>5</v>
      </c>
      <c r="E33" s="7" t="s">
        <v>717</v>
      </c>
      <c r="F33" s="6">
        <v>20240220</v>
      </c>
      <c r="G33" s="6">
        <v>20240514</v>
      </c>
      <c r="H33" s="159" t="s">
        <v>699</v>
      </c>
      <c r="I33" s="197"/>
      <c r="K33" s="12" t="s">
        <v>1673</v>
      </c>
      <c r="L33" s="12" t="s">
        <v>1672</v>
      </c>
      <c r="M33" s="6" t="s">
        <v>2374</v>
      </c>
      <c r="N33" s="66" t="s">
        <v>2646</v>
      </c>
      <c r="O33" s="28">
        <v>946</v>
      </c>
      <c r="P33" s="219">
        <f t="shared" ref="P33:P34" si="18">O33*0.75</f>
        <v>709.5</v>
      </c>
      <c r="Q33" s="219">
        <f t="shared" ref="Q33:Q34" si="19">D33*P33</f>
        <v>3547.5</v>
      </c>
      <c r="R33" s="28"/>
      <c r="S33" s="7"/>
    </row>
    <row r="34" spans="1:19" s="6" customFormat="1">
      <c r="A34" s="6" t="s">
        <v>409</v>
      </c>
      <c r="B34" s="5" t="s">
        <v>469</v>
      </c>
      <c r="C34" s="6" t="s">
        <v>2601</v>
      </c>
      <c r="D34" s="6">
        <v>1</v>
      </c>
      <c r="E34" s="7"/>
      <c r="G34" s="6">
        <v>20240930</v>
      </c>
      <c r="H34" s="159" t="s">
        <v>699</v>
      </c>
      <c r="I34" s="195"/>
      <c r="J34" s="86" t="s">
        <v>2644</v>
      </c>
      <c r="K34" s="12" t="s">
        <v>1050</v>
      </c>
      <c r="L34" s="12" t="s">
        <v>1653</v>
      </c>
      <c r="N34" s="12" t="s">
        <v>2645</v>
      </c>
      <c r="O34" s="28">
        <v>550</v>
      </c>
      <c r="P34" s="219">
        <f t="shared" si="18"/>
        <v>412.5</v>
      </c>
      <c r="Q34" s="219">
        <f t="shared" si="19"/>
        <v>412.5</v>
      </c>
      <c r="R34" s="28"/>
      <c r="S34" s="7"/>
    </row>
    <row r="35" spans="1:19">
      <c r="A35" s="1" t="s">
        <v>409</v>
      </c>
      <c r="B35" s="5">
        <v>2965980150100</v>
      </c>
      <c r="C35" s="6" t="s">
        <v>2601</v>
      </c>
      <c r="D35" s="12">
        <v>5</v>
      </c>
      <c r="G35" s="1">
        <v>20250106</v>
      </c>
      <c r="H35" s="159" t="s">
        <v>699</v>
      </c>
      <c r="I35" s="213"/>
      <c r="J35" s="21"/>
      <c r="K35" s="12" t="s">
        <v>1702</v>
      </c>
      <c r="L35" s="145" t="s">
        <v>1701</v>
      </c>
      <c r="N35" s="12" t="s">
        <v>2783</v>
      </c>
      <c r="O35" s="28">
        <v>1980</v>
      </c>
      <c r="P35" s="29">
        <f>O35*0.75</f>
        <v>1485</v>
      </c>
      <c r="Q35" s="29">
        <f>D35*P35</f>
        <v>7425</v>
      </c>
      <c r="S35" s="7"/>
    </row>
    <row r="36" spans="1:19" s="6" customFormat="1">
      <c r="A36" s="6" t="s">
        <v>409</v>
      </c>
      <c r="B36" s="5">
        <v>2120260110300</v>
      </c>
      <c r="C36" s="6" t="s">
        <v>2801</v>
      </c>
      <c r="D36" s="6">
        <v>8</v>
      </c>
      <c r="E36" s="7"/>
      <c r="F36" s="6">
        <v>20241022</v>
      </c>
      <c r="G36" s="6">
        <v>20250106</v>
      </c>
      <c r="H36" s="159">
        <v>10</v>
      </c>
      <c r="I36" s="197"/>
      <c r="J36" s="86"/>
      <c r="K36" s="12" t="s">
        <v>2794</v>
      </c>
      <c r="L36" s="12" t="s">
        <v>2795</v>
      </c>
      <c r="M36" s="6" t="s">
        <v>2796</v>
      </c>
      <c r="N36" s="12" t="s">
        <v>2797</v>
      </c>
      <c r="O36" s="28">
        <v>1100</v>
      </c>
      <c r="P36" s="29">
        <f t="shared" ref="P36:P39" si="20">O36*0.75</f>
        <v>825</v>
      </c>
      <c r="Q36" s="29">
        <f t="shared" ref="Q36:Q39" si="21">D36*P36</f>
        <v>6600</v>
      </c>
      <c r="R36" s="28"/>
      <c r="S36" s="7"/>
    </row>
    <row r="37" spans="1:19">
      <c r="A37" s="1" t="s">
        <v>37</v>
      </c>
      <c r="B37" s="5">
        <v>2000100220000</v>
      </c>
      <c r="C37" s="6" t="s">
        <v>3036</v>
      </c>
      <c r="D37" s="6">
        <v>1</v>
      </c>
      <c r="G37" s="1">
        <v>20260115</v>
      </c>
      <c r="H37" s="159">
        <v>10</v>
      </c>
      <c r="J37" s="12" t="s">
        <v>3191</v>
      </c>
      <c r="K37" s="12" t="s">
        <v>2242</v>
      </c>
      <c r="L37" s="12" t="s">
        <v>2246</v>
      </c>
      <c r="N37" s="12" t="s">
        <v>2063</v>
      </c>
      <c r="O37" s="28">
        <v>2150</v>
      </c>
      <c r="P37" s="29">
        <f>O37*0.75</f>
        <v>1612.5</v>
      </c>
      <c r="Q37" s="29">
        <f>D37*P37</f>
        <v>1612.5</v>
      </c>
      <c r="S37" s="21"/>
    </row>
    <row r="38" spans="1:19" s="6" customFormat="1">
      <c r="A38" s="6" t="s">
        <v>37</v>
      </c>
      <c r="B38" s="5">
        <v>21035003500300</v>
      </c>
      <c r="C38" s="6" t="s">
        <v>3036</v>
      </c>
      <c r="D38" s="6">
        <v>9</v>
      </c>
      <c r="E38" s="7"/>
      <c r="F38" s="6">
        <v>202504225</v>
      </c>
      <c r="G38" s="6">
        <v>20260114</v>
      </c>
      <c r="H38" s="159">
        <v>10</v>
      </c>
      <c r="I38" s="197"/>
      <c r="K38" s="12" t="s">
        <v>3144</v>
      </c>
      <c r="L38" s="12" t="s">
        <v>3145</v>
      </c>
      <c r="M38" s="6" t="s">
        <v>3146</v>
      </c>
      <c r="N38" s="12" t="s">
        <v>3147</v>
      </c>
      <c r="O38" s="28">
        <v>966</v>
      </c>
      <c r="P38" s="29">
        <f t="shared" si="20"/>
        <v>724.5</v>
      </c>
      <c r="Q38" s="29">
        <f t="shared" si="21"/>
        <v>6520.5</v>
      </c>
      <c r="R38" s="205" t="s">
        <v>3148</v>
      </c>
    </row>
    <row r="39" spans="1:19" s="6" customFormat="1">
      <c r="A39" s="6" t="s">
        <v>409</v>
      </c>
      <c r="B39" s="5">
        <v>2985830120000</v>
      </c>
      <c r="C39" s="6" t="s">
        <v>3036</v>
      </c>
      <c r="D39" s="6">
        <v>5</v>
      </c>
      <c r="E39" s="7"/>
      <c r="F39" s="6">
        <v>20241224</v>
      </c>
      <c r="G39" s="6">
        <v>20250116</v>
      </c>
      <c r="H39" s="159">
        <v>10</v>
      </c>
      <c r="I39" s="197"/>
      <c r="J39" s="86"/>
      <c r="K39" s="12" t="s">
        <v>2810</v>
      </c>
      <c r="L39" s="12" t="s">
        <v>2811</v>
      </c>
      <c r="M39" s="6" t="s">
        <v>2812</v>
      </c>
      <c r="N39" s="12" t="s">
        <v>2813</v>
      </c>
      <c r="O39" s="28">
        <v>3250</v>
      </c>
      <c r="P39" s="29">
        <f t="shared" si="20"/>
        <v>2437.5</v>
      </c>
      <c r="Q39" s="29">
        <f t="shared" si="21"/>
        <v>12187.5</v>
      </c>
      <c r="R39" s="28"/>
      <c r="S39" s="7"/>
    </row>
    <row r="40" spans="1:19" s="6" customFormat="1">
      <c r="A40" s="6" t="s">
        <v>409</v>
      </c>
      <c r="B40" s="5">
        <v>2985830110000</v>
      </c>
      <c r="C40" s="6" t="s">
        <v>3036</v>
      </c>
      <c r="D40" s="6">
        <v>5</v>
      </c>
      <c r="E40" s="7"/>
      <c r="F40" s="6">
        <v>20241202</v>
      </c>
      <c r="G40" s="6">
        <v>20250106</v>
      </c>
      <c r="H40" s="159">
        <v>10</v>
      </c>
      <c r="I40" s="195"/>
      <c r="K40" s="6" t="s">
        <v>2780</v>
      </c>
      <c r="L40" s="6" t="s">
        <v>2781</v>
      </c>
      <c r="M40" s="6" t="s">
        <v>2782</v>
      </c>
      <c r="N40" s="12" t="s">
        <v>2783</v>
      </c>
      <c r="O40" s="28">
        <v>2600</v>
      </c>
      <c r="P40" s="219">
        <f>O40*0.75</f>
        <v>1950</v>
      </c>
      <c r="Q40" s="219">
        <f>D40*P40</f>
        <v>9750</v>
      </c>
      <c r="R40" s="28"/>
      <c r="S40" s="7"/>
    </row>
    <row r="41" spans="1:19">
      <c r="A41" s="1" t="s">
        <v>409</v>
      </c>
      <c r="B41" s="2">
        <v>2103500210004</v>
      </c>
      <c r="C41" s="6" t="s">
        <v>3036</v>
      </c>
      <c r="D41" s="1">
        <v>26</v>
      </c>
      <c r="F41" s="1">
        <v>20220208</v>
      </c>
      <c r="G41" s="1">
        <v>20220408</v>
      </c>
      <c r="H41" s="159" t="s">
        <v>699</v>
      </c>
      <c r="I41" s="193" t="s">
        <v>697</v>
      </c>
      <c r="J41" s="1" t="s">
        <v>739</v>
      </c>
      <c r="K41" s="12" t="s">
        <v>1644</v>
      </c>
      <c r="L41" s="12" t="s">
        <v>1651</v>
      </c>
      <c r="N41" s="12" t="s">
        <v>696</v>
      </c>
      <c r="O41" s="28">
        <v>585</v>
      </c>
      <c r="P41" s="29">
        <f t="shared" ref="P41:P52" si="22">O41*0.75</f>
        <v>438.75</v>
      </c>
      <c r="Q41" s="29">
        <f t="shared" ref="Q41:Q52" si="23">D41*P41</f>
        <v>11407.5</v>
      </c>
      <c r="S41" s="21"/>
    </row>
    <row r="42" spans="1:19">
      <c r="A42" s="4" t="s">
        <v>37</v>
      </c>
      <c r="B42" s="2">
        <v>2120020111000</v>
      </c>
      <c r="C42" s="6" t="s">
        <v>3036</v>
      </c>
      <c r="D42" s="1">
        <v>5</v>
      </c>
      <c r="F42" s="1">
        <v>20221111</v>
      </c>
      <c r="G42" s="1">
        <v>20230111</v>
      </c>
      <c r="H42" s="159" t="s">
        <v>699</v>
      </c>
      <c r="K42" s="12" t="s">
        <v>1647</v>
      </c>
      <c r="L42" s="12" t="s">
        <v>1661</v>
      </c>
      <c r="M42" s="1" t="s">
        <v>825</v>
      </c>
      <c r="O42" s="28">
        <v>950</v>
      </c>
      <c r="P42" s="29">
        <f t="shared" si="22"/>
        <v>712.5</v>
      </c>
      <c r="Q42" s="29">
        <f t="shared" si="23"/>
        <v>3562.5</v>
      </c>
    </row>
    <row r="43" spans="1:19">
      <c r="A43" s="1" t="s">
        <v>37</v>
      </c>
      <c r="B43" s="2">
        <v>2120020241100</v>
      </c>
      <c r="C43" s="6" t="s">
        <v>3036</v>
      </c>
      <c r="D43" s="1">
        <v>5</v>
      </c>
      <c r="F43" s="1">
        <v>20221111</v>
      </c>
      <c r="G43" s="1">
        <v>20230111</v>
      </c>
      <c r="H43" s="159" t="s">
        <v>699</v>
      </c>
      <c r="K43" s="12" t="s">
        <v>1644</v>
      </c>
      <c r="L43" s="12" t="s">
        <v>1663</v>
      </c>
      <c r="M43" s="1" t="s">
        <v>827</v>
      </c>
      <c r="O43" s="28">
        <v>900</v>
      </c>
      <c r="P43" s="29">
        <f t="shared" si="22"/>
        <v>675</v>
      </c>
      <c r="Q43" s="29">
        <f t="shared" si="23"/>
        <v>3375</v>
      </c>
    </row>
    <row r="44" spans="1:19">
      <c r="A44" s="1" t="s">
        <v>37</v>
      </c>
      <c r="B44" s="20" t="s">
        <v>280</v>
      </c>
      <c r="C44" s="6" t="s">
        <v>3036</v>
      </c>
      <c r="D44" s="1">
        <v>3</v>
      </c>
      <c r="G44" s="1">
        <v>20200301</v>
      </c>
      <c r="H44" s="159" t="s">
        <v>699</v>
      </c>
      <c r="J44" s="7"/>
      <c r="K44" s="12" t="s">
        <v>1024</v>
      </c>
      <c r="L44" s="12" t="s">
        <v>1675</v>
      </c>
      <c r="O44" s="28">
        <v>800</v>
      </c>
      <c r="P44" s="29">
        <f t="shared" si="22"/>
        <v>600</v>
      </c>
      <c r="Q44" s="29">
        <f t="shared" si="23"/>
        <v>1800</v>
      </c>
      <c r="S44" s="21"/>
    </row>
    <row r="45" spans="1:19">
      <c r="A45" s="1" t="s">
        <v>37</v>
      </c>
      <c r="B45" s="20" t="s">
        <v>113</v>
      </c>
      <c r="C45" s="6" t="s">
        <v>3036</v>
      </c>
      <c r="D45" s="1">
        <v>3</v>
      </c>
      <c r="G45" s="1">
        <v>20200315</v>
      </c>
      <c r="H45" s="159" t="s">
        <v>699</v>
      </c>
      <c r="J45" s="7"/>
      <c r="K45" s="12" t="s">
        <v>1030</v>
      </c>
      <c r="L45" s="12" t="s">
        <v>1676</v>
      </c>
      <c r="O45" s="28">
        <v>800</v>
      </c>
      <c r="P45" s="29">
        <f t="shared" si="22"/>
        <v>600</v>
      </c>
      <c r="Q45" s="29">
        <f t="shared" si="23"/>
        <v>1800</v>
      </c>
      <c r="S45" s="21"/>
    </row>
    <row r="46" spans="1:19">
      <c r="A46" s="1" t="s">
        <v>37</v>
      </c>
      <c r="B46" s="20" t="s">
        <v>114</v>
      </c>
      <c r="C46" s="6" t="s">
        <v>3036</v>
      </c>
      <c r="D46" s="1">
        <v>52</v>
      </c>
      <c r="G46" s="1">
        <v>20200227</v>
      </c>
      <c r="H46" s="159" t="s">
        <v>699</v>
      </c>
      <c r="J46" s="7"/>
      <c r="K46" s="12" t="s">
        <v>1678</v>
      </c>
      <c r="L46" s="12" t="s">
        <v>1677</v>
      </c>
      <c r="N46" s="12" t="s">
        <v>594</v>
      </c>
      <c r="O46" s="28">
        <v>600</v>
      </c>
      <c r="P46" s="29">
        <f t="shared" si="22"/>
        <v>450</v>
      </c>
      <c r="Q46" s="29">
        <f t="shared" si="23"/>
        <v>23400</v>
      </c>
      <c r="S46" s="21"/>
    </row>
    <row r="47" spans="1:19">
      <c r="A47" s="1" t="s">
        <v>37</v>
      </c>
      <c r="B47" s="2">
        <v>2103430230000</v>
      </c>
      <c r="C47" s="6" t="s">
        <v>3036</v>
      </c>
      <c r="D47" s="1">
        <v>4</v>
      </c>
      <c r="G47" s="1">
        <v>20200319</v>
      </c>
      <c r="H47" s="159" t="s">
        <v>699</v>
      </c>
      <c r="I47" s="193" t="s">
        <v>282</v>
      </c>
      <c r="K47" s="12" t="s">
        <v>1030</v>
      </c>
      <c r="L47" s="12" t="s">
        <v>1676</v>
      </c>
      <c r="O47" s="28">
        <v>580</v>
      </c>
      <c r="P47" s="29">
        <f t="shared" si="22"/>
        <v>435</v>
      </c>
      <c r="Q47" s="29">
        <f t="shared" si="23"/>
        <v>1740</v>
      </c>
      <c r="S47" s="21"/>
    </row>
    <row r="48" spans="1:19">
      <c r="A48" s="1" t="s">
        <v>37</v>
      </c>
      <c r="B48" s="2">
        <v>2103500200601</v>
      </c>
      <c r="C48" s="6" t="s">
        <v>3036</v>
      </c>
      <c r="D48" s="4">
        <v>1</v>
      </c>
      <c r="G48" s="1">
        <v>20200319</v>
      </c>
      <c r="H48" s="159" t="s">
        <v>699</v>
      </c>
      <c r="K48" s="12" t="s">
        <v>1030</v>
      </c>
      <c r="L48" s="12" t="s">
        <v>1679</v>
      </c>
      <c r="O48" s="28">
        <v>750</v>
      </c>
      <c r="P48" s="29">
        <f t="shared" si="22"/>
        <v>562.5</v>
      </c>
      <c r="Q48" s="29">
        <f t="shared" si="23"/>
        <v>562.5</v>
      </c>
      <c r="S48" s="21"/>
    </row>
    <row r="49" spans="1:19">
      <c r="A49" s="1" t="s">
        <v>37</v>
      </c>
      <c r="B49" s="2">
        <v>2103500202000</v>
      </c>
      <c r="C49" s="6" t="s">
        <v>3036</v>
      </c>
      <c r="D49" s="1">
        <v>5</v>
      </c>
      <c r="G49" s="1">
        <v>20200923</v>
      </c>
      <c r="H49" s="159" t="s">
        <v>699</v>
      </c>
      <c r="K49" s="12" t="s">
        <v>1022</v>
      </c>
      <c r="L49" s="12" t="s">
        <v>1680</v>
      </c>
      <c r="O49" s="28">
        <v>870</v>
      </c>
      <c r="P49" s="29">
        <f t="shared" si="22"/>
        <v>652.5</v>
      </c>
      <c r="Q49" s="29">
        <f t="shared" si="23"/>
        <v>3262.5</v>
      </c>
      <c r="S49" s="21"/>
    </row>
    <row r="50" spans="1:19">
      <c r="A50" s="1" t="s">
        <v>37</v>
      </c>
      <c r="B50" s="2">
        <v>2000094320000</v>
      </c>
      <c r="C50" s="6" t="s">
        <v>3036</v>
      </c>
      <c r="D50" s="1">
        <v>1</v>
      </c>
      <c r="G50" s="1">
        <v>20200805</v>
      </c>
      <c r="H50" s="159" t="s">
        <v>699</v>
      </c>
      <c r="K50" s="12" t="s">
        <v>1027</v>
      </c>
      <c r="L50" s="145" t="s">
        <v>1681</v>
      </c>
      <c r="M50" s="1" t="s">
        <v>1003</v>
      </c>
      <c r="O50" s="28">
        <v>1650</v>
      </c>
      <c r="P50" s="29">
        <f t="shared" si="22"/>
        <v>1237.5</v>
      </c>
      <c r="Q50" s="29">
        <f t="shared" si="23"/>
        <v>1237.5</v>
      </c>
      <c r="S50" s="21"/>
    </row>
    <row r="51" spans="1:19">
      <c r="A51" s="1" t="s">
        <v>37</v>
      </c>
      <c r="B51" s="2">
        <v>2956050170100</v>
      </c>
      <c r="C51" s="6" t="s">
        <v>3036</v>
      </c>
      <c r="D51" s="4">
        <v>1</v>
      </c>
      <c r="G51" s="1">
        <v>20200727</v>
      </c>
      <c r="H51" s="159" t="s">
        <v>699</v>
      </c>
      <c r="K51" s="12" t="s">
        <v>1665</v>
      </c>
      <c r="L51" s="145" t="s">
        <v>1683</v>
      </c>
      <c r="M51" s="1" t="s">
        <v>1004</v>
      </c>
      <c r="O51" s="28">
        <v>790</v>
      </c>
      <c r="P51" s="29">
        <f t="shared" si="22"/>
        <v>592.5</v>
      </c>
      <c r="Q51" s="29">
        <f t="shared" si="23"/>
        <v>592.5</v>
      </c>
      <c r="S51" s="21"/>
    </row>
    <row r="52" spans="1:19">
      <c r="A52" s="1" t="s">
        <v>37</v>
      </c>
      <c r="B52" s="2">
        <v>2120020110801</v>
      </c>
      <c r="C52" s="6" t="s">
        <v>3036</v>
      </c>
      <c r="D52" s="4">
        <v>2</v>
      </c>
      <c r="F52" s="1">
        <v>20240216</v>
      </c>
      <c r="G52" s="1">
        <v>20240418</v>
      </c>
      <c r="H52" s="159">
        <v>10</v>
      </c>
      <c r="K52" s="12" t="s">
        <v>2329</v>
      </c>
      <c r="L52" s="145" t="s">
        <v>2328</v>
      </c>
      <c r="M52" s="1" t="s">
        <v>2330</v>
      </c>
      <c r="N52" s="12" t="s">
        <v>2331</v>
      </c>
      <c r="O52" s="28">
        <v>950</v>
      </c>
      <c r="P52" s="29">
        <f t="shared" si="22"/>
        <v>712.5</v>
      </c>
      <c r="Q52" s="29">
        <f t="shared" si="23"/>
        <v>1425</v>
      </c>
      <c r="S52" s="21"/>
    </row>
    <row r="53" spans="1:19" s="6" customFormat="1">
      <c r="A53" s="6" t="s">
        <v>37</v>
      </c>
      <c r="B53" s="20">
        <v>2120020110000</v>
      </c>
      <c r="C53" s="6" t="s">
        <v>3036</v>
      </c>
      <c r="D53" s="12">
        <v>10</v>
      </c>
      <c r="E53" s="7"/>
      <c r="F53" s="6">
        <v>20240607</v>
      </c>
      <c r="G53" s="6">
        <v>20240805</v>
      </c>
      <c r="H53" s="159" t="s">
        <v>699</v>
      </c>
      <c r="I53" s="195"/>
      <c r="K53" s="12" t="s">
        <v>1030</v>
      </c>
      <c r="L53" s="12" t="s">
        <v>1682</v>
      </c>
      <c r="M53" s="6" t="s">
        <v>2534</v>
      </c>
      <c r="N53" s="12" t="s">
        <v>2533</v>
      </c>
      <c r="O53" s="28">
        <v>900</v>
      </c>
      <c r="P53" s="219">
        <f t="shared" ref="P53:P58" si="24">O53*0.75</f>
        <v>675</v>
      </c>
      <c r="Q53" s="219">
        <f t="shared" ref="Q53:Q58" si="25">D53*P53</f>
        <v>6750</v>
      </c>
      <c r="R53" s="28"/>
      <c r="S53" s="7"/>
    </row>
    <row r="54" spans="1:19" s="6" customFormat="1">
      <c r="A54" s="6" t="s">
        <v>37</v>
      </c>
      <c r="B54" s="20">
        <v>2172540160001</v>
      </c>
      <c r="C54" s="6" t="s">
        <v>3036</v>
      </c>
      <c r="D54" s="12">
        <v>5</v>
      </c>
      <c r="E54" s="7"/>
      <c r="F54" s="6">
        <v>20241018</v>
      </c>
      <c r="G54" s="6">
        <v>20241113</v>
      </c>
      <c r="H54" s="159">
        <v>10</v>
      </c>
      <c r="I54" s="195"/>
      <c r="K54" s="12" t="s">
        <v>2744</v>
      </c>
      <c r="L54" s="12" t="s">
        <v>2745</v>
      </c>
      <c r="M54" s="6" t="s">
        <v>2746</v>
      </c>
      <c r="N54" s="12" t="s">
        <v>2747</v>
      </c>
      <c r="O54" s="28">
        <v>1850</v>
      </c>
      <c r="P54" s="219">
        <f t="shared" si="24"/>
        <v>1387.5</v>
      </c>
      <c r="Q54" s="219">
        <f t="shared" si="25"/>
        <v>6937.5</v>
      </c>
      <c r="R54" s="28"/>
      <c r="S54" s="7"/>
    </row>
    <row r="55" spans="1:19" s="6" customFormat="1">
      <c r="A55" s="6" t="s">
        <v>409</v>
      </c>
      <c r="B55" s="5">
        <v>2120020120001</v>
      </c>
      <c r="C55" s="6" t="s">
        <v>3036</v>
      </c>
      <c r="D55" s="6">
        <v>6</v>
      </c>
      <c r="E55" s="7"/>
      <c r="G55" s="6">
        <v>20260114</v>
      </c>
      <c r="H55" s="159">
        <v>10</v>
      </c>
      <c r="I55" s="197"/>
      <c r="J55" s="86" t="s">
        <v>3116</v>
      </c>
      <c r="K55" s="12" t="s">
        <v>1083</v>
      </c>
      <c r="L55" s="12" t="s">
        <v>2485</v>
      </c>
      <c r="N55" s="12" t="s">
        <v>3114</v>
      </c>
      <c r="O55" s="28">
        <v>858</v>
      </c>
      <c r="P55" s="219">
        <f>O55*0.75</f>
        <v>643.5</v>
      </c>
      <c r="Q55" s="219">
        <f>D55*P55</f>
        <v>3861</v>
      </c>
      <c r="R55" s="28"/>
      <c r="S55" s="7"/>
    </row>
    <row r="56" spans="1:19">
      <c r="A56" s="1" t="s">
        <v>37</v>
      </c>
      <c r="B56" s="125">
        <v>2956050160000</v>
      </c>
      <c r="C56" s="1" t="s">
        <v>3037</v>
      </c>
      <c r="D56" s="6">
        <v>5</v>
      </c>
      <c r="E56" s="21" t="s">
        <v>717</v>
      </c>
      <c r="F56" s="1">
        <v>20220528</v>
      </c>
      <c r="G56" s="1">
        <v>20220728</v>
      </c>
      <c r="H56" s="159" t="s">
        <v>699</v>
      </c>
      <c r="K56" s="12" t="s">
        <v>1689</v>
      </c>
      <c r="L56" s="145" t="s">
        <v>1690</v>
      </c>
      <c r="M56" s="1" t="s">
        <v>722</v>
      </c>
      <c r="O56" s="28">
        <v>870</v>
      </c>
      <c r="P56" s="29">
        <f t="shared" si="24"/>
        <v>652.5</v>
      </c>
      <c r="Q56" s="29">
        <f t="shared" si="25"/>
        <v>3262.5</v>
      </c>
      <c r="S56" s="21"/>
    </row>
    <row r="57" spans="1:19">
      <c r="A57" s="1" t="s">
        <v>37</v>
      </c>
      <c r="B57" s="126">
        <v>2956050160000</v>
      </c>
      <c r="C57" s="1" t="s">
        <v>3037</v>
      </c>
      <c r="D57" s="1">
        <v>5</v>
      </c>
      <c r="F57" s="1">
        <v>20230512</v>
      </c>
      <c r="G57" s="1">
        <v>20230712</v>
      </c>
      <c r="H57" s="159" t="s">
        <v>699</v>
      </c>
      <c r="K57" s="12" t="s">
        <v>1689</v>
      </c>
      <c r="L57" s="145" t="s">
        <v>1690</v>
      </c>
      <c r="M57" s="1" t="s">
        <v>977</v>
      </c>
      <c r="O57" s="28">
        <v>870</v>
      </c>
      <c r="P57" s="29">
        <f t="shared" si="24"/>
        <v>652.5</v>
      </c>
      <c r="Q57" s="29">
        <f t="shared" si="25"/>
        <v>3262.5</v>
      </c>
      <c r="S57" s="21"/>
    </row>
    <row r="58" spans="1:19" s="6" customFormat="1">
      <c r="A58" s="6" t="s">
        <v>409</v>
      </c>
      <c r="B58" s="5">
        <v>2503430180000</v>
      </c>
      <c r="C58" s="1" t="s">
        <v>3037</v>
      </c>
      <c r="D58" s="6">
        <v>10</v>
      </c>
      <c r="E58" s="7"/>
      <c r="F58" s="6">
        <v>20240125</v>
      </c>
      <c r="G58" s="6">
        <v>20240401</v>
      </c>
      <c r="H58" s="159" t="s">
        <v>699</v>
      </c>
      <c r="I58" s="195"/>
      <c r="J58" s="7"/>
      <c r="K58" s="12" t="s">
        <v>1024</v>
      </c>
      <c r="L58" s="12" t="s">
        <v>1275</v>
      </c>
      <c r="M58" s="6" t="s">
        <v>2321</v>
      </c>
      <c r="N58" s="12"/>
      <c r="O58" s="28">
        <v>1260</v>
      </c>
      <c r="P58" s="219">
        <f t="shared" si="24"/>
        <v>945</v>
      </c>
      <c r="Q58" s="219">
        <f t="shared" si="25"/>
        <v>9450</v>
      </c>
      <c r="R58" s="28"/>
      <c r="S58" s="7"/>
    </row>
    <row r="59" spans="1:19" s="6" customFormat="1">
      <c r="A59" s="6" t="s">
        <v>409</v>
      </c>
      <c r="B59" s="5">
        <v>2000002230300</v>
      </c>
      <c r="C59" s="1" t="s">
        <v>3037</v>
      </c>
      <c r="D59" s="6">
        <v>5</v>
      </c>
      <c r="E59" s="7"/>
      <c r="G59" s="6">
        <v>20250106</v>
      </c>
      <c r="H59" s="159" t="s">
        <v>699</v>
      </c>
      <c r="I59" s="195"/>
      <c r="J59" s="7"/>
      <c r="K59" s="12" t="s">
        <v>1050</v>
      </c>
      <c r="L59" s="12" t="s">
        <v>1696</v>
      </c>
      <c r="N59" s="12" t="s">
        <v>2783</v>
      </c>
      <c r="O59" s="28">
        <v>1760</v>
      </c>
      <c r="P59" s="219">
        <f>O59*0.75</f>
        <v>1320</v>
      </c>
      <c r="Q59" s="219">
        <f t="shared" ref="Q59" si="26">D59*P59</f>
        <v>6600</v>
      </c>
      <c r="R59" s="28"/>
      <c r="S59" s="7"/>
    </row>
    <row r="60" spans="1:19">
      <c r="A60" s="1" t="s">
        <v>409</v>
      </c>
      <c r="B60" s="2">
        <v>2000003780000</v>
      </c>
      <c r="C60" s="6" t="s">
        <v>2602</v>
      </c>
      <c r="D60" s="1">
        <v>20</v>
      </c>
      <c r="F60" s="1">
        <v>20220702</v>
      </c>
      <c r="G60" s="1">
        <v>20220902</v>
      </c>
      <c r="H60" s="159" t="s">
        <v>699</v>
      </c>
      <c r="K60" s="12" t="s">
        <v>1686</v>
      </c>
      <c r="L60" s="12" t="s">
        <v>1685</v>
      </c>
      <c r="M60" s="1" t="s">
        <v>749</v>
      </c>
      <c r="O60" s="28">
        <v>800</v>
      </c>
      <c r="P60" s="29">
        <f t="shared" ref="P60:P72" si="27">O60*0.75</f>
        <v>600</v>
      </c>
      <c r="Q60" s="29">
        <f t="shared" ref="Q60:Q72" si="28">D60*P60</f>
        <v>12000</v>
      </c>
      <c r="S60" s="21"/>
    </row>
    <row r="61" spans="1:19">
      <c r="A61" s="1" t="s">
        <v>37</v>
      </c>
      <c r="B61" s="2">
        <v>2103430231601</v>
      </c>
      <c r="C61" s="6" t="s">
        <v>2602</v>
      </c>
      <c r="D61" s="1">
        <v>10</v>
      </c>
      <c r="F61" s="1">
        <v>20230409</v>
      </c>
      <c r="G61" s="1">
        <v>20230609</v>
      </c>
      <c r="H61" s="159" t="s">
        <v>699</v>
      </c>
      <c r="K61" s="12" t="s">
        <v>1686</v>
      </c>
      <c r="L61" s="12" t="s">
        <v>1688</v>
      </c>
      <c r="M61" s="1" t="s">
        <v>932</v>
      </c>
      <c r="O61" s="28">
        <v>1150</v>
      </c>
      <c r="P61" s="29">
        <f t="shared" si="27"/>
        <v>862.5</v>
      </c>
      <c r="Q61" s="29">
        <f t="shared" si="28"/>
        <v>8625</v>
      </c>
    </row>
    <row r="62" spans="1:19">
      <c r="A62" s="1" t="s">
        <v>409</v>
      </c>
      <c r="B62" s="2">
        <v>2103500200601</v>
      </c>
      <c r="C62" s="6" t="s">
        <v>2602</v>
      </c>
      <c r="D62" s="4">
        <v>60</v>
      </c>
      <c r="F62" s="1">
        <v>20200905</v>
      </c>
      <c r="G62" s="1">
        <v>20201105</v>
      </c>
      <c r="H62" s="159" t="s">
        <v>699</v>
      </c>
      <c r="K62" s="12" t="s">
        <v>1030</v>
      </c>
      <c r="L62" s="12" t="s">
        <v>1679</v>
      </c>
      <c r="O62" s="28">
        <v>750</v>
      </c>
      <c r="P62" s="29">
        <f t="shared" si="27"/>
        <v>562.5</v>
      </c>
      <c r="Q62" s="29">
        <f t="shared" si="28"/>
        <v>33750</v>
      </c>
      <c r="S62" s="21"/>
    </row>
    <row r="63" spans="1:19">
      <c r="A63" s="1" t="s">
        <v>37</v>
      </c>
      <c r="B63" s="5">
        <v>2094120110304</v>
      </c>
      <c r="C63" s="6" t="s">
        <v>2602</v>
      </c>
      <c r="D63" s="6">
        <v>19</v>
      </c>
      <c r="F63" s="1">
        <v>20200916</v>
      </c>
      <c r="G63" s="1">
        <v>20201116</v>
      </c>
      <c r="H63" s="159" t="s">
        <v>699</v>
      </c>
      <c r="J63" s="21"/>
      <c r="K63" s="12" t="s">
        <v>1276</v>
      </c>
      <c r="L63" s="12" t="s">
        <v>1697</v>
      </c>
      <c r="N63" s="12" t="s">
        <v>531</v>
      </c>
      <c r="O63" s="28">
        <v>1750</v>
      </c>
      <c r="P63" s="29">
        <f t="shared" si="27"/>
        <v>1312.5</v>
      </c>
      <c r="Q63" s="29">
        <f t="shared" si="28"/>
        <v>24937.5</v>
      </c>
      <c r="S63" s="7"/>
    </row>
    <row r="64" spans="1:19">
      <c r="A64" s="1" t="s">
        <v>409</v>
      </c>
      <c r="B64" s="5">
        <v>2094400200001</v>
      </c>
      <c r="C64" s="6" t="s">
        <v>2602</v>
      </c>
      <c r="D64" s="6">
        <v>5</v>
      </c>
      <c r="F64" s="1">
        <v>20200911</v>
      </c>
      <c r="G64" s="1">
        <v>20201111</v>
      </c>
      <c r="H64" s="159" t="s">
        <v>699</v>
      </c>
      <c r="J64" s="21"/>
      <c r="K64" s="12" t="s">
        <v>1030</v>
      </c>
      <c r="L64" s="12" t="s">
        <v>1698</v>
      </c>
      <c r="O64" s="28">
        <v>700</v>
      </c>
      <c r="P64" s="29">
        <f t="shared" si="27"/>
        <v>525</v>
      </c>
      <c r="Q64" s="29">
        <f t="shared" si="28"/>
        <v>2625</v>
      </c>
      <c r="S64" s="7"/>
    </row>
    <row r="65" spans="1:19">
      <c r="A65" s="1" t="s">
        <v>37</v>
      </c>
      <c r="B65" s="141">
        <v>2105590150001</v>
      </c>
      <c r="C65" s="6" t="s">
        <v>2602</v>
      </c>
      <c r="D65" s="6">
        <v>199</v>
      </c>
      <c r="F65" s="1">
        <v>20220429</v>
      </c>
      <c r="G65" s="1">
        <v>20220629</v>
      </c>
      <c r="H65" s="159" t="s">
        <v>699</v>
      </c>
      <c r="J65" s="21"/>
      <c r="K65" s="12" t="s">
        <v>1644</v>
      </c>
      <c r="L65" s="12" t="s">
        <v>1645</v>
      </c>
      <c r="M65" s="1" t="s">
        <v>693</v>
      </c>
      <c r="N65" s="12" t="s">
        <v>694</v>
      </c>
      <c r="O65" s="28">
        <v>550</v>
      </c>
      <c r="P65" s="29">
        <f t="shared" si="27"/>
        <v>412.5</v>
      </c>
      <c r="Q65" s="29">
        <f t="shared" si="28"/>
        <v>82087.5</v>
      </c>
      <c r="S65" s="7"/>
    </row>
    <row r="66" spans="1:19">
      <c r="A66" s="1" t="s">
        <v>37</v>
      </c>
      <c r="B66" s="126">
        <v>2105590150001</v>
      </c>
      <c r="C66" s="6" t="s">
        <v>2602</v>
      </c>
      <c r="D66" s="1">
        <v>80</v>
      </c>
      <c r="F66" s="1">
        <v>20230504</v>
      </c>
      <c r="G66" s="1">
        <v>20230704</v>
      </c>
      <c r="H66" s="159" t="s">
        <v>699</v>
      </c>
      <c r="K66" s="12" t="s">
        <v>1644</v>
      </c>
      <c r="L66" s="12" t="s">
        <v>1645</v>
      </c>
      <c r="M66" s="1" t="s">
        <v>957</v>
      </c>
      <c r="O66" s="28">
        <v>550</v>
      </c>
      <c r="P66" s="29">
        <f t="shared" si="27"/>
        <v>412.5</v>
      </c>
      <c r="Q66" s="29">
        <f t="shared" si="28"/>
        <v>33000</v>
      </c>
      <c r="S66" s="21"/>
    </row>
    <row r="67" spans="1:19">
      <c r="A67" s="1" t="s">
        <v>409</v>
      </c>
      <c r="B67" s="18" t="s">
        <v>575</v>
      </c>
      <c r="C67" s="1" t="s">
        <v>2575</v>
      </c>
      <c r="D67" s="6">
        <v>23</v>
      </c>
      <c r="F67" s="1">
        <v>20220813</v>
      </c>
      <c r="G67" s="1">
        <v>20221013</v>
      </c>
      <c r="H67" s="159" t="s">
        <v>699</v>
      </c>
      <c r="K67" s="12" t="s">
        <v>1650</v>
      </c>
      <c r="L67" s="12" t="s">
        <v>1654</v>
      </c>
      <c r="M67" s="1" t="s">
        <v>761</v>
      </c>
      <c r="O67" s="28">
        <v>1560</v>
      </c>
      <c r="P67" s="29">
        <f t="shared" si="27"/>
        <v>1170</v>
      </c>
      <c r="Q67" s="29">
        <f t="shared" si="28"/>
        <v>26910</v>
      </c>
      <c r="S67" s="21"/>
    </row>
    <row r="68" spans="1:19">
      <c r="A68" s="1" t="s">
        <v>37</v>
      </c>
      <c r="B68" s="18" t="s">
        <v>548</v>
      </c>
      <c r="C68" s="1" t="s">
        <v>2575</v>
      </c>
      <c r="D68" s="12">
        <v>29</v>
      </c>
      <c r="F68" s="1">
        <v>20221103</v>
      </c>
      <c r="G68" s="1">
        <v>20230103</v>
      </c>
      <c r="H68" s="159" t="s">
        <v>699</v>
      </c>
      <c r="K68" s="12" t="s">
        <v>1656</v>
      </c>
      <c r="L68" s="148" t="s">
        <v>1667</v>
      </c>
      <c r="N68" s="12" t="s">
        <v>824</v>
      </c>
      <c r="O68" s="28">
        <v>1100</v>
      </c>
      <c r="P68" s="29">
        <f t="shared" si="27"/>
        <v>825</v>
      </c>
      <c r="Q68" s="29">
        <f t="shared" si="28"/>
        <v>23925</v>
      </c>
    </row>
    <row r="69" spans="1:19">
      <c r="A69" s="1" t="s">
        <v>409</v>
      </c>
      <c r="B69" s="2">
        <v>2103500210004</v>
      </c>
      <c r="C69" s="1" t="s">
        <v>2575</v>
      </c>
      <c r="D69" s="1">
        <v>300</v>
      </c>
      <c r="E69" s="57"/>
      <c r="F69" s="3">
        <v>20220326</v>
      </c>
      <c r="G69" s="3">
        <v>20220526</v>
      </c>
      <c r="H69" s="159" t="s">
        <v>699</v>
      </c>
      <c r="J69" s="1" t="s">
        <v>738</v>
      </c>
      <c r="K69" s="12" t="s">
        <v>1644</v>
      </c>
      <c r="L69" s="12" t="s">
        <v>1669</v>
      </c>
      <c r="N69" s="22" t="s">
        <v>723</v>
      </c>
      <c r="O69" s="28">
        <v>585</v>
      </c>
      <c r="P69" s="29">
        <f>O69*0.75</f>
        <v>438.75</v>
      </c>
      <c r="Q69" s="29">
        <f>D69*P69</f>
        <v>131625</v>
      </c>
      <c r="R69" s="29"/>
    </row>
    <row r="70" spans="1:19">
      <c r="A70" s="1" t="s">
        <v>409</v>
      </c>
      <c r="B70" s="2">
        <v>2956050170000</v>
      </c>
      <c r="C70" s="1" t="s">
        <v>2575</v>
      </c>
      <c r="D70" s="1">
        <v>100</v>
      </c>
      <c r="F70" s="1">
        <v>20210829</v>
      </c>
      <c r="G70" s="1">
        <v>20211029</v>
      </c>
      <c r="H70" s="159" t="s">
        <v>699</v>
      </c>
      <c r="J70" s="1" t="s">
        <v>2633</v>
      </c>
      <c r="K70" s="12" t="s">
        <v>1273</v>
      </c>
      <c r="L70" s="145" t="s">
        <v>1658</v>
      </c>
      <c r="N70" s="12" t="s">
        <v>566</v>
      </c>
      <c r="O70" s="28">
        <v>830</v>
      </c>
      <c r="P70" s="29">
        <f>O70*0.75</f>
        <v>622.5</v>
      </c>
      <c r="Q70" s="29">
        <f>D70*P70</f>
        <v>62250</v>
      </c>
      <c r="S70" s="21"/>
    </row>
    <row r="71" spans="1:19">
      <c r="A71" s="1" t="s">
        <v>37</v>
      </c>
      <c r="B71" s="5" t="s">
        <v>488</v>
      </c>
      <c r="C71" s="6" t="s">
        <v>2600</v>
      </c>
      <c r="D71" s="6">
        <v>195</v>
      </c>
      <c r="E71" s="21" t="s">
        <v>717</v>
      </c>
      <c r="F71" s="1">
        <v>20240319</v>
      </c>
      <c r="G71" s="1">
        <v>20240628</v>
      </c>
      <c r="H71" s="159" t="s">
        <v>699</v>
      </c>
      <c r="J71" s="1" t="s">
        <v>2311</v>
      </c>
      <c r="K71" s="12" t="s">
        <v>1671</v>
      </c>
      <c r="L71" s="12" t="s">
        <v>1670</v>
      </c>
      <c r="M71" s="1" t="s">
        <v>2491</v>
      </c>
      <c r="N71" s="66"/>
      <c r="O71" s="28">
        <v>500</v>
      </c>
      <c r="P71" s="29">
        <f t="shared" si="27"/>
        <v>375</v>
      </c>
      <c r="Q71" s="29">
        <f t="shared" si="28"/>
        <v>73125</v>
      </c>
      <c r="S71" s="21"/>
    </row>
    <row r="72" spans="1:19" s="6" customFormat="1" ht="32.4">
      <c r="A72" s="6" t="s">
        <v>409</v>
      </c>
      <c r="B72" s="5" t="s">
        <v>469</v>
      </c>
      <c r="C72" s="6" t="s">
        <v>2600</v>
      </c>
      <c r="D72" s="6">
        <v>195</v>
      </c>
      <c r="E72" s="7" t="s">
        <v>717</v>
      </c>
      <c r="F72" s="6">
        <v>20240319</v>
      </c>
      <c r="G72" s="6">
        <v>20240628</v>
      </c>
      <c r="H72" s="159" t="s">
        <v>699</v>
      </c>
      <c r="I72" s="195"/>
      <c r="J72" s="1" t="s">
        <v>2311</v>
      </c>
      <c r="K72" s="12" t="s">
        <v>1050</v>
      </c>
      <c r="L72" s="12" t="s">
        <v>1653</v>
      </c>
      <c r="M72" s="6" t="s">
        <v>2488</v>
      </c>
      <c r="N72" s="66" t="s">
        <v>2489</v>
      </c>
      <c r="O72" s="28">
        <v>550</v>
      </c>
      <c r="P72" s="219">
        <f t="shared" si="27"/>
        <v>412.5</v>
      </c>
      <c r="Q72" s="219">
        <f t="shared" si="28"/>
        <v>80437.5</v>
      </c>
      <c r="R72" s="28"/>
      <c r="S72" s="7"/>
    </row>
    <row r="73" spans="1:19" s="6" customFormat="1">
      <c r="A73" s="6" t="s">
        <v>37</v>
      </c>
      <c r="B73" s="97">
        <v>2103400240002</v>
      </c>
      <c r="C73" s="88" t="s">
        <v>3233</v>
      </c>
      <c r="D73" s="233">
        <v>18</v>
      </c>
      <c r="E73" s="7" t="s">
        <v>3236</v>
      </c>
      <c r="F73" s="6">
        <v>20240815</v>
      </c>
      <c r="G73" s="6">
        <v>20260114</v>
      </c>
      <c r="H73" s="159" t="s">
        <v>699</v>
      </c>
      <c r="I73" s="197"/>
      <c r="J73" s="12" t="s">
        <v>2802</v>
      </c>
      <c r="K73" s="12" t="s">
        <v>1182</v>
      </c>
      <c r="L73" s="12" t="s">
        <v>1657</v>
      </c>
      <c r="M73" s="6" t="s">
        <v>2734</v>
      </c>
      <c r="N73" s="12" t="s">
        <v>3235</v>
      </c>
      <c r="O73" s="28">
        <v>1150</v>
      </c>
      <c r="P73" s="219">
        <f t="shared" ref="P73" si="29">O73*0.75</f>
        <v>862.5</v>
      </c>
      <c r="Q73" s="219">
        <f t="shared" ref="Q73" si="30">D73*P73</f>
        <v>15525</v>
      </c>
      <c r="R73" s="28"/>
    </row>
    <row r="74" spans="1:19">
      <c r="A74" s="1" t="s">
        <v>409</v>
      </c>
      <c r="B74" s="5">
        <v>44001030207</v>
      </c>
      <c r="C74" s="6" t="s">
        <v>2582</v>
      </c>
      <c r="D74" s="6">
        <v>36</v>
      </c>
      <c r="F74" s="1">
        <v>20220506</v>
      </c>
      <c r="G74" s="1">
        <v>20220706</v>
      </c>
      <c r="H74" s="159" t="s">
        <v>699</v>
      </c>
      <c r="J74" s="21"/>
      <c r="K74" s="12" t="s">
        <v>1705</v>
      </c>
      <c r="L74" s="145" t="s">
        <v>1704</v>
      </c>
      <c r="M74" s="1" t="s">
        <v>701</v>
      </c>
      <c r="N74" s="12" t="s">
        <v>748</v>
      </c>
      <c r="O74" s="28">
        <v>1440</v>
      </c>
      <c r="P74" s="29">
        <f t="shared" ref="P74:P75" si="31">O74*0.75</f>
        <v>1080</v>
      </c>
      <c r="Q74" s="29">
        <f t="shared" ref="Q74:Q75" si="32">D74*P74</f>
        <v>38880</v>
      </c>
      <c r="S74" s="7"/>
    </row>
    <row r="75" spans="1:19">
      <c r="A75" s="1" t="s">
        <v>37</v>
      </c>
      <c r="B75" s="2">
        <v>2103430230902</v>
      </c>
      <c r="C75" s="6" t="s">
        <v>2582</v>
      </c>
      <c r="D75" s="1">
        <v>50</v>
      </c>
      <c r="E75" s="21" t="s">
        <v>1007</v>
      </c>
      <c r="F75" s="1">
        <v>20220930</v>
      </c>
      <c r="G75" s="1">
        <v>20221130</v>
      </c>
      <c r="H75" s="163" t="s">
        <v>794</v>
      </c>
      <c r="J75" s="1" t="s">
        <v>3149</v>
      </c>
      <c r="K75" s="12" t="s">
        <v>1687</v>
      </c>
      <c r="L75" s="12" t="s">
        <v>1646</v>
      </c>
      <c r="M75" s="1" t="s">
        <v>796</v>
      </c>
      <c r="N75" s="12" t="s">
        <v>795</v>
      </c>
      <c r="O75" s="28">
        <v>660</v>
      </c>
      <c r="P75" s="29">
        <f t="shared" si="31"/>
        <v>495</v>
      </c>
      <c r="Q75" s="29">
        <f t="shared" si="32"/>
        <v>24750</v>
      </c>
      <c r="S75" s="21"/>
    </row>
    <row r="76" spans="1:19">
      <c r="A76" s="1" t="s">
        <v>37</v>
      </c>
      <c r="B76" s="2">
        <v>2097200140200</v>
      </c>
      <c r="C76" s="6" t="s">
        <v>2582</v>
      </c>
      <c r="D76" s="1">
        <v>1</v>
      </c>
      <c r="F76" s="1">
        <v>20231027</v>
      </c>
      <c r="G76" s="1">
        <v>20231113</v>
      </c>
      <c r="H76" s="159">
        <v>10</v>
      </c>
      <c r="K76" s="12" t="s">
        <v>2067</v>
      </c>
      <c r="L76" s="148" t="s">
        <v>2068</v>
      </c>
      <c r="M76" s="1" t="s">
        <v>2065</v>
      </c>
      <c r="N76" s="12" t="s">
        <v>2066</v>
      </c>
      <c r="O76" s="28">
        <v>1200</v>
      </c>
      <c r="P76" s="29">
        <f t="shared" ref="P76:P120" si="33">O76*0.75</f>
        <v>900</v>
      </c>
      <c r="Q76" s="29">
        <f t="shared" ref="Q76:Q120" si="34">D76*P76</f>
        <v>900</v>
      </c>
      <c r="S76" s="21"/>
    </row>
    <row r="77" spans="1:19">
      <c r="A77" s="1" t="s">
        <v>37</v>
      </c>
      <c r="B77" s="20">
        <v>2103430230201</v>
      </c>
      <c r="C77" s="12" t="s">
        <v>3171</v>
      </c>
      <c r="D77" s="12">
        <v>295</v>
      </c>
      <c r="E77" s="7" t="s">
        <v>3167</v>
      </c>
      <c r="F77" s="12">
        <v>20250521</v>
      </c>
      <c r="G77" s="12">
        <v>20260115</v>
      </c>
      <c r="H77" s="159">
        <v>10</v>
      </c>
      <c r="I77" s="191"/>
      <c r="J77" s="1" t="s">
        <v>3175</v>
      </c>
      <c r="K77" s="12" t="s">
        <v>1047</v>
      </c>
      <c r="L77" s="12" t="s">
        <v>2976</v>
      </c>
      <c r="M77" s="1" t="s">
        <v>3172</v>
      </c>
      <c r="N77" s="12" t="s">
        <v>3173</v>
      </c>
      <c r="O77" s="28">
        <v>764</v>
      </c>
      <c r="P77" s="29">
        <f>O77*0.75</f>
        <v>573</v>
      </c>
      <c r="Q77" s="29">
        <f>D77*P77</f>
        <v>169035</v>
      </c>
      <c r="S77" s="21"/>
    </row>
    <row r="78" spans="1:19">
      <c r="A78" s="1" t="s">
        <v>37</v>
      </c>
      <c r="B78" s="9">
        <v>2170600270101</v>
      </c>
      <c r="C78" s="96" t="s">
        <v>2605</v>
      </c>
      <c r="D78" s="56">
        <v>29</v>
      </c>
      <c r="E78" s="21" t="s">
        <v>1008</v>
      </c>
      <c r="F78" s="1">
        <v>20240821</v>
      </c>
      <c r="G78" s="1">
        <v>20241029</v>
      </c>
      <c r="H78" s="159">
        <v>10</v>
      </c>
      <c r="K78" s="12" t="s">
        <v>2731</v>
      </c>
      <c r="L78" s="12" t="s">
        <v>2732</v>
      </c>
      <c r="M78" s="1" t="s">
        <v>2733</v>
      </c>
      <c r="N78" s="66"/>
      <c r="O78" s="28">
        <v>1560</v>
      </c>
      <c r="P78" s="29">
        <f>O78*0.75</f>
        <v>1170</v>
      </c>
      <c r="Q78" s="29">
        <f>D78*P78</f>
        <v>33930</v>
      </c>
      <c r="S78" s="21"/>
    </row>
    <row r="79" spans="1:19">
      <c r="A79" s="1" t="s">
        <v>37</v>
      </c>
      <c r="B79" s="10">
        <v>2170600270101</v>
      </c>
      <c r="C79" s="64" t="s">
        <v>2605</v>
      </c>
      <c r="D79" s="40">
        <v>1</v>
      </c>
      <c r="E79" s="21" t="s">
        <v>2742</v>
      </c>
      <c r="F79" s="1">
        <v>20240821</v>
      </c>
      <c r="G79" s="1">
        <v>20241029</v>
      </c>
      <c r="H79" s="159">
        <v>10</v>
      </c>
      <c r="I79" s="193" t="s">
        <v>2749</v>
      </c>
      <c r="K79" s="12" t="s">
        <v>2094</v>
      </c>
      <c r="L79" s="12" t="s">
        <v>2732</v>
      </c>
      <c r="M79" s="1" t="s">
        <v>2733</v>
      </c>
      <c r="N79" s="66"/>
      <c r="O79" s="28">
        <v>1560</v>
      </c>
      <c r="P79" s="29">
        <f>O79*0.75</f>
        <v>1170</v>
      </c>
      <c r="Q79" s="29">
        <f>D79*P79</f>
        <v>1170</v>
      </c>
      <c r="S79" s="21"/>
    </row>
    <row r="80" spans="1:19" s="6" customFormat="1">
      <c r="A80" s="6" t="s">
        <v>409</v>
      </c>
      <c r="B80" s="5">
        <v>2120020120001</v>
      </c>
      <c r="C80" s="6" t="s">
        <v>2739</v>
      </c>
      <c r="D80" s="6">
        <v>3</v>
      </c>
      <c r="E80" s="7" t="s">
        <v>1007</v>
      </c>
      <c r="F80" s="6">
        <v>20240528</v>
      </c>
      <c r="G80" s="6">
        <v>20250628</v>
      </c>
      <c r="H80" s="159" t="s">
        <v>699</v>
      </c>
      <c r="I80" s="195"/>
      <c r="J80" s="12" t="s">
        <v>3115</v>
      </c>
      <c r="K80" s="12" t="s">
        <v>1083</v>
      </c>
      <c r="L80" s="12" t="s">
        <v>2485</v>
      </c>
      <c r="M80" s="6" t="s">
        <v>2486</v>
      </c>
      <c r="N80" s="12"/>
      <c r="O80" s="28">
        <v>858</v>
      </c>
      <c r="P80" s="219">
        <f t="shared" ref="P80" si="35">O80*0.75</f>
        <v>643.5</v>
      </c>
      <c r="Q80" s="219">
        <f t="shared" ref="Q80" si="36">D80*P80</f>
        <v>1930.5</v>
      </c>
      <c r="R80" s="28"/>
      <c r="S80" s="7"/>
    </row>
    <row r="81" spans="1:19">
      <c r="A81" s="1" t="s">
        <v>37</v>
      </c>
      <c r="B81" s="18">
        <v>2094400160001</v>
      </c>
      <c r="C81" s="12" t="s">
        <v>1850</v>
      </c>
      <c r="D81" s="6">
        <v>1</v>
      </c>
      <c r="G81" s="1">
        <v>20200731</v>
      </c>
      <c r="H81" s="159" t="s">
        <v>699</v>
      </c>
      <c r="I81" s="193"/>
      <c r="J81" s="7"/>
      <c r="K81" s="12" t="s">
        <v>1692</v>
      </c>
      <c r="L81" s="12" t="s">
        <v>1711</v>
      </c>
      <c r="O81" s="28">
        <v>0</v>
      </c>
      <c r="P81" s="29">
        <f t="shared" si="33"/>
        <v>0</v>
      </c>
      <c r="Q81" s="29">
        <f t="shared" si="34"/>
        <v>0</v>
      </c>
      <c r="R81" s="205" t="s">
        <v>2211</v>
      </c>
      <c r="S81" s="21"/>
    </row>
    <row r="82" spans="1:19">
      <c r="A82" s="1" t="s">
        <v>37</v>
      </c>
      <c r="B82" s="18">
        <v>2094410140003</v>
      </c>
      <c r="C82" s="12" t="s">
        <v>1850</v>
      </c>
      <c r="D82" s="1">
        <v>1</v>
      </c>
      <c r="G82" s="1">
        <v>20200315</v>
      </c>
      <c r="H82" s="159" t="s">
        <v>699</v>
      </c>
      <c r="J82" s="1" t="s">
        <v>1794</v>
      </c>
      <c r="K82" s="12" t="s">
        <v>1022</v>
      </c>
      <c r="L82" s="12" t="s">
        <v>1712</v>
      </c>
      <c r="O82" s="28">
        <v>900</v>
      </c>
      <c r="P82" s="29">
        <f t="shared" si="33"/>
        <v>675</v>
      </c>
      <c r="Q82" s="29">
        <f t="shared" si="34"/>
        <v>675</v>
      </c>
      <c r="S82" s="21"/>
    </row>
    <row r="83" spans="1:19">
      <c r="A83" s="1" t="s">
        <v>37</v>
      </c>
      <c r="B83" s="18">
        <v>2094400190001</v>
      </c>
      <c r="C83" s="12" t="s">
        <v>1850</v>
      </c>
      <c r="D83" s="1">
        <v>1</v>
      </c>
      <c r="G83" s="1">
        <v>20201119</v>
      </c>
      <c r="H83" s="159" t="s">
        <v>699</v>
      </c>
      <c r="I83" s="193"/>
      <c r="J83" s="7"/>
      <c r="K83" s="12" t="s">
        <v>1692</v>
      </c>
      <c r="L83" s="12" t="s">
        <v>1711</v>
      </c>
      <c r="O83" s="28">
        <v>0</v>
      </c>
      <c r="P83" s="29">
        <f t="shared" si="33"/>
        <v>0</v>
      </c>
      <c r="Q83" s="29">
        <f t="shared" si="34"/>
        <v>0</v>
      </c>
      <c r="R83" s="205" t="s">
        <v>2211</v>
      </c>
      <c r="S83" s="21"/>
    </row>
    <row r="84" spans="1:19">
      <c r="A84" s="1" t="s">
        <v>37</v>
      </c>
      <c r="B84" s="2">
        <v>2094410110000</v>
      </c>
      <c r="C84" s="12" t="s">
        <v>1850</v>
      </c>
      <c r="D84" s="1">
        <v>15</v>
      </c>
      <c r="G84" s="1">
        <v>20200318</v>
      </c>
      <c r="H84" s="159" t="s">
        <v>699</v>
      </c>
      <c r="J84" s="7"/>
      <c r="K84" s="12" t="s">
        <v>1279</v>
      </c>
      <c r="L84" s="12" t="s">
        <v>1717</v>
      </c>
      <c r="O84" s="28">
        <v>550</v>
      </c>
      <c r="P84" s="29">
        <f t="shared" si="33"/>
        <v>412.5</v>
      </c>
      <c r="Q84" s="29">
        <f t="shared" si="34"/>
        <v>6187.5</v>
      </c>
      <c r="S84" s="21"/>
    </row>
    <row r="85" spans="1:19">
      <c r="A85" s="1" t="s">
        <v>37</v>
      </c>
      <c r="B85" s="18">
        <v>2094410130001</v>
      </c>
      <c r="C85" s="12" t="s">
        <v>1850</v>
      </c>
      <c r="D85" s="1">
        <v>12</v>
      </c>
      <c r="G85" s="1">
        <v>20200731</v>
      </c>
      <c r="H85" s="159" t="s">
        <v>699</v>
      </c>
      <c r="J85" s="7"/>
      <c r="K85" s="12" t="s">
        <v>1022</v>
      </c>
      <c r="L85" s="12" t="s">
        <v>1718</v>
      </c>
      <c r="N85" s="12" t="s">
        <v>589</v>
      </c>
      <c r="O85" s="28">
        <v>492</v>
      </c>
      <c r="P85" s="29">
        <f t="shared" si="33"/>
        <v>369</v>
      </c>
      <c r="Q85" s="29">
        <f t="shared" si="34"/>
        <v>4428</v>
      </c>
      <c r="S85" s="21"/>
    </row>
    <row r="86" spans="1:19">
      <c r="A86" s="1" t="s">
        <v>37</v>
      </c>
      <c r="B86" s="2">
        <v>2094410330100</v>
      </c>
      <c r="C86" s="12" t="s">
        <v>1850</v>
      </c>
      <c r="D86" s="1">
        <v>30</v>
      </c>
      <c r="G86" s="1">
        <v>20200315</v>
      </c>
      <c r="H86" s="159" t="s">
        <v>699</v>
      </c>
      <c r="J86" s="7"/>
      <c r="K86" s="12" t="s">
        <v>1281</v>
      </c>
      <c r="L86" s="145" t="s">
        <v>1720</v>
      </c>
      <c r="N86" s="12" t="s">
        <v>591</v>
      </c>
      <c r="O86" s="28">
        <v>400</v>
      </c>
      <c r="P86" s="29">
        <f t="shared" si="33"/>
        <v>300</v>
      </c>
      <c r="Q86" s="29">
        <f t="shared" si="34"/>
        <v>9000</v>
      </c>
      <c r="S86" s="21"/>
    </row>
    <row r="87" spans="1:19">
      <c r="A87" s="1" t="s">
        <v>37</v>
      </c>
      <c r="B87" s="2">
        <v>2954990100000</v>
      </c>
      <c r="C87" s="12" t="s">
        <v>1850</v>
      </c>
      <c r="D87" s="1">
        <v>2</v>
      </c>
      <c r="G87" s="1">
        <v>20200319</v>
      </c>
      <c r="H87" s="159" t="s">
        <v>699</v>
      </c>
      <c r="K87" s="12" t="s">
        <v>1030</v>
      </c>
      <c r="L87" s="12" t="s">
        <v>1676</v>
      </c>
      <c r="O87" s="28">
        <v>0</v>
      </c>
      <c r="P87" s="29">
        <f t="shared" si="33"/>
        <v>0</v>
      </c>
      <c r="Q87" s="29">
        <f t="shared" si="34"/>
        <v>0</v>
      </c>
      <c r="R87" s="205" t="s">
        <v>2211</v>
      </c>
      <c r="S87" s="21"/>
    </row>
    <row r="88" spans="1:19">
      <c r="A88" s="1" t="s">
        <v>37</v>
      </c>
      <c r="B88" s="2">
        <v>2954990110002</v>
      </c>
      <c r="C88" s="12" t="s">
        <v>1850</v>
      </c>
      <c r="D88" s="1">
        <v>5</v>
      </c>
      <c r="G88" s="1">
        <v>20200319</v>
      </c>
      <c r="H88" s="159" t="s">
        <v>699</v>
      </c>
      <c r="K88" s="12" t="s">
        <v>1286</v>
      </c>
      <c r="L88" s="12" t="s">
        <v>1676</v>
      </c>
      <c r="O88" s="28">
        <v>0</v>
      </c>
      <c r="P88" s="29">
        <f t="shared" si="33"/>
        <v>0</v>
      </c>
      <c r="Q88" s="29">
        <f t="shared" si="34"/>
        <v>0</v>
      </c>
      <c r="R88" s="205" t="s">
        <v>2211</v>
      </c>
      <c r="S88" s="21"/>
    </row>
    <row r="89" spans="1:19">
      <c r="A89" s="1" t="s">
        <v>37</v>
      </c>
      <c r="B89" s="2">
        <v>2956050170000</v>
      </c>
      <c r="C89" s="12" t="s">
        <v>1850</v>
      </c>
      <c r="D89" s="1">
        <v>1</v>
      </c>
      <c r="G89" s="1">
        <v>20200319</v>
      </c>
      <c r="H89" s="159" t="s">
        <v>699</v>
      </c>
      <c r="J89" s="119" t="s">
        <v>2632</v>
      </c>
      <c r="K89" s="12" t="s">
        <v>1273</v>
      </c>
      <c r="L89" s="145" t="s">
        <v>1739</v>
      </c>
      <c r="O89" s="28">
        <v>830</v>
      </c>
      <c r="P89" s="29">
        <f t="shared" si="33"/>
        <v>622.5</v>
      </c>
      <c r="Q89" s="29">
        <f t="shared" si="34"/>
        <v>622.5</v>
      </c>
      <c r="S89" s="21"/>
    </row>
    <row r="90" spans="1:19">
      <c r="A90" s="1" t="s">
        <v>37</v>
      </c>
      <c r="B90" s="2">
        <v>2956350040000</v>
      </c>
      <c r="C90" s="12" t="s">
        <v>1850</v>
      </c>
      <c r="D90" s="1">
        <v>5</v>
      </c>
      <c r="G90" s="1">
        <v>20200319</v>
      </c>
      <c r="H90" s="159" t="s">
        <v>699</v>
      </c>
      <c r="K90" s="12" t="s">
        <v>1689</v>
      </c>
      <c r="L90" s="12" t="s">
        <v>1740</v>
      </c>
      <c r="O90" s="28">
        <v>970</v>
      </c>
      <c r="P90" s="29">
        <f t="shared" si="33"/>
        <v>727.5</v>
      </c>
      <c r="Q90" s="29">
        <f t="shared" si="34"/>
        <v>3637.5</v>
      </c>
      <c r="S90" s="21"/>
    </row>
    <row r="91" spans="1:19">
      <c r="A91" s="1" t="s">
        <v>37</v>
      </c>
      <c r="B91" s="2">
        <v>2094410120000</v>
      </c>
      <c r="C91" s="1" t="s">
        <v>1794</v>
      </c>
      <c r="D91" s="1">
        <v>48</v>
      </c>
      <c r="G91" s="1">
        <v>20190812</v>
      </c>
      <c r="H91" s="159" t="s">
        <v>699</v>
      </c>
      <c r="K91" s="12" t="s">
        <v>1022</v>
      </c>
      <c r="L91" s="12" t="s">
        <v>1741</v>
      </c>
      <c r="N91" s="12" t="s">
        <v>593</v>
      </c>
      <c r="O91" s="28">
        <v>768</v>
      </c>
      <c r="P91" s="29">
        <f t="shared" si="33"/>
        <v>576</v>
      </c>
      <c r="Q91" s="29">
        <f t="shared" si="34"/>
        <v>27648</v>
      </c>
      <c r="S91" s="21"/>
    </row>
    <row r="92" spans="1:19">
      <c r="A92" s="1" t="s">
        <v>37</v>
      </c>
      <c r="B92" s="18" t="s">
        <v>278</v>
      </c>
      <c r="C92" s="1" t="s">
        <v>1794</v>
      </c>
      <c r="D92" s="4">
        <v>85</v>
      </c>
      <c r="G92" s="1">
        <v>20200227</v>
      </c>
      <c r="H92" s="159" t="s">
        <v>699</v>
      </c>
      <c r="J92" s="25"/>
      <c r="K92" s="12" t="s">
        <v>1726</v>
      </c>
      <c r="L92" s="12" t="s">
        <v>1725</v>
      </c>
      <c r="N92" s="66"/>
      <c r="O92" s="28">
        <v>800</v>
      </c>
      <c r="P92" s="29">
        <f t="shared" si="33"/>
        <v>600</v>
      </c>
      <c r="Q92" s="29">
        <f t="shared" si="34"/>
        <v>51000</v>
      </c>
      <c r="S92" s="21"/>
    </row>
    <row r="93" spans="1:19">
      <c r="A93" s="1" t="s">
        <v>37</v>
      </c>
      <c r="B93" s="20" t="s">
        <v>279</v>
      </c>
      <c r="C93" s="1" t="s">
        <v>1794</v>
      </c>
      <c r="D93" s="1">
        <v>443</v>
      </c>
      <c r="G93" s="1">
        <v>20200227</v>
      </c>
      <c r="H93" s="159" t="s">
        <v>699</v>
      </c>
      <c r="J93" s="21"/>
      <c r="K93" s="12" t="s">
        <v>1727</v>
      </c>
      <c r="L93" s="12" t="s">
        <v>1677</v>
      </c>
      <c r="N93" s="12" t="s">
        <v>592</v>
      </c>
      <c r="O93" s="28">
        <v>600</v>
      </c>
      <c r="P93" s="29">
        <f t="shared" si="33"/>
        <v>450</v>
      </c>
      <c r="Q93" s="29">
        <f t="shared" si="34"/>
        <v>199350</v>
      </c>
      <c r="S93" s="21"/>
    </row>
    <row r="94" spans="1:19">
      <c r="A94" s="1" t="s">
        <v>37</v>
      </c>
      <c r="B94" s="2">
        <v>2093370160103</v>
      </c>
      <c r="C94" s="4" t="s">
        <v>1852</v>
      </c>
      <c r="D94" s="1">
        <v>8</v>
      </c>
      <c r="G94" s="1">
        <v>20230918</v>
      </c>
      <c r="H94" s="159" t="s">
        <v>1848</v>
      </c>
      <c r="K94" s="12" t="s">
        <v>1283</v>
      </c>
      <c r="L94" s="12" t="s">
        <v>1849</v>
      </c>
      <c r="O94" s="28">
        <v>0</v>
      </c>
      <c r="P94" s="29">
        <f t="shared" si="33"/>
        <v>0</v>
      </c>
      <c r="Q94" s="29">
        <f t="shared" si="34"/>
        <v>0</v>
      </c>
      <c r="R94" s="205" t="s">
        <v>2211</v>
      </c>
      <c r="S94" s="21"/>
    </row>
    <row r="95" spans="1:19">
      <c r="A95" s="1" t="s">
        <v>37</v>
      </c>
      <c r="B95" s="2">
        <v>2094410140003</v>
      </c>
      <c r="C95" s="12" t="s">
        <v>1794</v>
      </c>
      <c r="D95" s="1">
        <v>7</v>
      </c>
      <c r="G95" s="1">
        <v>20200915</v>
      </c>
      <c r="H95" s="159" t="s">
        <v>699</v>
      </c>
      <c r="J95" s="12" t="s">
        <v>1850</v>
      </c>
      <c r="K95" s="12" t="s">
        <v>1022</v>
      </c>
      <c r="L95" s="12" t="s">
        <v>1712</v>
      </c>
      <c r="O95" s="28">
        <v>900</v>
      </c>
      <c r="P95" s="29">
        <f t="shared" si="33"/>
        <v>675</v>
      </c>
      <c r="Q95" s="29">
        <f t="shared" si="34"/>
        <v>4725</v>
      </c>
      <c r="S95" s="21"/>
    </row>
    <row r="96" spans="1:19">
      <c r="A96" s="1" t="s">
        <v>37</v>
      </c>
      <c r="B96" s="2">
        <v>2094410100001</v>
      </c>
      <c r="C96" s="12" t="s">
        <v>1794</v>
      </c>
      <c r="D96" s="1">
        <v>12</v>
      </c>
      <c r="G96" s="1">
        <v>20200420</v>
      </c>
      <c r="H96" s="159" t="s">
        <v>699</v>
      </c>
      <c r="J96" s="7"/>
      <c r="K96" s="12" t="s">
        <v>1022</v>
      </c>
      <c r="L96" s="12" t="s">
        <v>1722</v>
      </c>
      <c r="O96" s="28">
        <v>1000</v>
      </c>
      <c r="P96" s="29">
        <f t="shared" si="33"/>
        <v>750</v>
      </c>
      <c r="Q96" s="29">
        <f t="shared" si="34"/>
        <v>9000</v>
      </c>
      <c r="S96" s="21"/>
    </row>
    <row r="97" spans="1:19">
      <c r="A97" s="1" t="s">
        <v>37</v>
      </c>
      <c r="B97" s="2">
        <v>2094420110001</v>
      </c>
      <c r="C97" s="12" t="s">
        <v>1794</v>
      </c>
      <c r="D97" s="1">
        <v>4</v>
      </c>
      <c r="G97" s="1">
        <v>20190809</v>
      </c>
      <c r="H97" s="159" t="s">
        <v>699</v>
      </c>
      <c r="J97" s="7"/>
      <c r="K97" s="12" t="s">
        <v>1692</v>
      </c>
      <c r="L97" s="12" t="s">
        <v>1723</v>
      </c>
      <c r="O97" s="28">
        <v>1950</v>
      </c>
      <c r="P97" s="29">
        <f t="shared" si="33"/>
        <v>1462.5</v>
      </c>
      <c r="Q97" s="29">
        <f t="shared" si="34"/>
        <v>5850</v>
      </c>
      <c r="S97" s="21"/>
    </row>
    <row r="98" spans="1:19">
      <c r="A98" s="1" t="s">
        <v>37</v>
      </c>
      <c r="B98" s="2">
        <v>2094420180001</v>
      </c>
      <c r="C98" s="12" t="s">
        <v>1794</v>
      </c>
      <c r="D98" s="21">
        <v>9</v>
      </c>
      <c r="G98" s="1">
        <v>20190812</v>
      </c>
      <c r="H98" s="159" t="s">
        <v>699</v>
      </c>
      <c r="J98" s="7"/>
      <c r="K98" s="12" t="s">
        <v>1703</v>
      </c>
      <c r="L98" s="12" t="s">
        <v>1724</v>
      </c>
      <c r="O98" s="28">
        <v>1118</v>
      </c>
      <c r="P98" s="29">
        <f t="shared" si="33"/>
        <v>838.5</v>
      </c>
      <c r="Q98" s="29">
        <f t="shared" si="34"/>
        <v>7546.5</v>
      </c>
      <c r="S98" s="21"/>
    </row>
    <row r="99" spans="1:19">
      <c r="A99" s="1" t="s">
        <v>37</v>
      </c>
      <c r="B99" s="2">
        <v>2094400120000</v>
      </c>
      <c r="C99" s="4" t="s">
        <v>384</v>
      </c>
      <c r="D99" s="1">
        <v>5</v>
      </c>
      <c r="G99" s="1">
        <v>20201119</v>
      </c>
      <c r="H99" s="159" t="s">
        <v>699</v>
      </c>
      <c r="I99" s="193"/>
      <c r="J99" s="7"/>
      <c r="K99" s="12" t="s">
        <v>1692</v>
      </c>
      <c r="L99" s="12" t="s">
        <v>1711</v>
      </c>
      <c r="O99" s="28">
        <v>0</v>
      </c>
      <c r="P99" s="29">
        <f t="shared" si="33"/>
        <v>0</v>
      </c>
      <c r="Q99" s="29">
        <f t="shared" si="34"/>
        <v>0</v>
      </c>
      <c r="R99" s="205" t="s">
        <v>2211</v>
      </c>
      <c r="S99" s="21"/>
    </row>
    <row r="100" spans="1:19">
      <c r="A100" s="1" t="s">
        <v>37</v>
      </c>
      <c r="B100" s="18">
        <v>2094400210500</v>
      </c>
      <c r="C100" s="12" t="s">
        <v>384</v>
      </c>
      <c r="D100" s="1">
        <v>1</v>
      </c>
      <c r="G100" s="1">
        <v>20200315</v>
      </c>
      <c r="H100" s="159" t="s">
        <v>699</v>
      </c>
      <c r="I100" s="198" t="s">
        <v>431</v>
      </c>
      <c r="J100" s="7"/>
      <c r="K100" s="12" t="s">
        <v>1278</v>
      </c>
      <c r="L100" s="145" t="s">
        <v>1713</v>
      </c>
      <c r="O100" s="28">
        <v>0</v>
      </c>
      <c r="P100" s="29">
        <f t="shared" si="33"/>
        <v>0</v>
      </c>
      <c r="Q100" s="29">
        <f t="shared" si="34"/>
        <v>0</v>
      </c>
      <c r="R100" s="205" t="s">
        <v>2211</v>
      </c>
      <c r="S100" s="21"/>
    </row>
    <row r="101" spans="1:19">
      <c r="A101" s="1" t="s">
        <v>37</v>
      </c>
      <c r="B101" s="2">
        <v>2094400170001</v>
      </c>
      <c r="C101" s="12" t="s">
        <v>384</v>
      </c>
      <c r="D101" s="1">
        <v>1</v>
      </c>
      <c r="G101" s="1">
        <v>20200315</v>
      </c>
      <c r="H101" s="159" t="s">
        <v>699</v>
      </c>
      <c r="J101" s="21"/>
      <c r="K101" s="12" t="s">
        <v>1715</v>
      </c>
      <c r="L101" s="12" t="s">
        <v>1714</v>
      </c>
      <c r="O101" s="28">
        <v>750</v>
      </c>
      <c r="P101" s="29">
        <f t="shared" si="33"/>
        <v>562.5</v>
      </c>
      <c r="Q101" s="29">
        <f t="shared" si="34"/>
        <v>562.5</v>
      </c>
      <c r="S101" s="21"/>
    </row>
    <row r="102" spans="1:19">
      <c r="A102" s="1" t="s">
        <v>37</v>
      </c>
      <c r="B102" s="2">
        <v>2094400170002</v>
      </c>
      <c r="C102" s="92" t="s">
        <v>1851</v>
      </c>
      <c r="D102" s="6">
        <v>1</v>
      </c>
      <c r="G102" s="1">
        <v>20200213</v>
      </c>
      <c r="H102" s="159" t="s">
        <v>699</v>
      </c>
      <c r="I102" s="189" t="s">
        <v>648</v>
      </c>
      <c r="J102" s="7"/>
      <c r="K102" s="12" t="s">
        <v>1280</v>
      </c>
      <c r="L102" s="12" t="s">
        <v>1714</v>
      </c>
      <c r="O102" s="28">
        <v>250</v>
      </c>
      <c r="P102" s="29">
        <f t="shared" si="33"/>
        <v>187.5</v>
      </c>
      <c r="Q102" s="29">
        <f t="shared" si="34"/>
        <v>187.5</v>
      </c>
      <c r="S102" s="21"/>
    </row>
    <row r="103" spans="1:19">
      <c r="A103" s="1" t="s">
        <v>37</v>
      </c>
      <c r="B103" s="2">
        <v>2094400180001</v>
      </c>
      <c r="C103" s="92" t="s">
        <v>1851</v>
      </c>
      <c r="D103" s="1">
        <v>1</v>
      </c>
      <c r="G103" s="1">
        <v>20200315</v>
      </c>
      <c r="H103" s="159" t="s">
        <v>699</v>
      </c>
      <c r="J103" s="7"/>
      <c r="K103" s="12" t="s">
        <v>1279</v>
      </c>
      <c r="L103" s="12" t="s">
        <v>1716</v>
      </c>
      <c r="O103" s="28">
        <v>806</v>
      </c>
      <c r="P103" s="29">
        <f t="shared" si="33"/>
        <v>604.5</v>
      </c>
      <c r="Q103" s="29">
        <f t="shared" si="34"/>
        <v>604.5</v>
      </c>
      <c r="S103" s="21"/>
    </row>
    <row r="104" spans="1:19">
      <c r="A104" s="1" t="s">
        <v>37</v>
      </c>
      <c r="B104" s="125">
        <v>2094410320000</v>
      </c>
      <c r="C104" s="12" t="s">
        <v>384</v>
      </c>
      <c r="D104" s="1">
        <v>40</v>
      </c>
      <c r="G104" s="1">
        <v>20200315</v>
      </c>
      <c r="H104" s="159" t="s">
        <v>699</v>
      </c>
      <c r="I104" s="198" t="s">
        <v>431</v>
      </c>
      <c r="J104" s="7"/>
      <c r="K104" s="12" t="s">
        <v>1022</v>
      </c>
      <c r="L104" s="12" t="s">
        <v>1719</v>
      </c>
      <c r="N104" s="12" t="s">
        <v>590</v>
      </c>
      <c r="O104" s="28">
        <v>450</v>
      </c>
      <c r="P104" s="29">
        <f t="shared" si="33"/>
        <v>337.5</v>
      </c>
      <c r="Q104" s="29">
        <f t="shared" si="34"/>
        <v>13500</v>
      </c>
      <c r="S104" s="21"/>
    </row>
    <row r="105" spans="1:19">
      <c r="A105" s="1" t="s">
        <v>37</v>
      </c>
      <c r="B105" s="126">
        <v>2094410320000</v>
      </c>
      <c r="C105" s="12" t="s">
        <v>384</v>
      </c>
      <c r="D105" s="1">
        <v>4</v>
      </c>
      <c r="G105" s="1">
        <v>20200319</v>
      </c>
      <c r="H105" s="159" t="s">
        <v>699</v>
      </c>
      <c r="K105" s="12" t="s">
        <v>1022</v>
      </c>
      <c r="L105" s="12" t="s">
        <v>1719</v>
      </c>
      <c r="O105" s="28">
        <v>450</v>
      </c>
      <c r="P105" s="29">
        <f t="shared" si="33"/>
        <v>337.5</v>
      </c>
      <c r="Q105" s="29">
        <f t="shared" si="34"/>
        <v>1350</v>
      </c>
      <c r="S105" s="21"/>
    </row>
    <row r="106" spans="1:19">
      <c r="A106" s="1" t="s">
        <v>37</v>
      </c>
      <c r="B106" s="18">
        <v>2094400130000</v>
      </c>
      <c r="C106" s="12" t="s">
        <v>384</v>
      </c>
      <c r="D106" s="1">
        <v>3</v>
      </c>
      <c r="G106" s="1">
        <v>20200731</v>
      </c>
      <c r="H106" s="159" t="s">
        <v>699</v>
      </c>
      <c r="J106" s="7"/>
      <c r="K106" s="12" t="s">
        <v>1282</v>
      </c>
      <c r="L106" s="12" t="s">
        <v>1721</v>
      </c>
      <c r="O106" s="28">
        <v>1450</v>
      </c>
      <c r="P106" s="29">
        <f t="shared" si="33"/>
        <v>1087.5</v>
      </c>
      <c r="Q106" s="29">
        <f t="shared" si="34"/>
        <v>3262.5</v>
      </c>
      <c r="S106" s="21"/>
    </row>
    <row r="107" spans="1:19">
      <c r="A107" s="1" t="s">
        <v>37</v>
      </c>
      <c r="B107" s="18">
        <v>2094400210300</v>
      </c>
      <c r="C107" s="4" t="s">
        <v>384</v>
      </c>
      <c r="D107" s="1">
        <v>1</v>
      </c>
      <c r="G107" s="1">
        <v>20201119</v>
      </c>
      <c r="H107" s="159" t="s">
        <v>699</v>
      </c>
      <c r="I107" s="193"/>
      <c r="J107" s="7"/>
      <c r="K107" s="12" t="s">
        <v>1692</v>
      </c>
      <c r="L107" s="12" t="s">
        <v>1711</v>
      </c>
      <c r="O107" s="28">
        <v>0</v>
      </c>
      <c r="P107" s="29">
        <f t="shared" si="33"/>
        <v>0</v>
      </c>
      <c r="Q107" s="29">
        <f t="shared" si="34"/>
        <v>0</v>
      </c>
      <c r="R107" s="205" t="s">
        <v>2211</v>
      </c>
      <c r="S107" s="21"/>
    </row>
    <row r="108" spans="1:19">
      <c r="A108" s="1" t="s">
        <v>409</v>
      </c>
      <c r="B108" s="188" t="s">
        <v>2106</v>
      </c>
      <c r="C108" s="12" t="s">
        <v>2107</v>
      </c>
      <c r="D108" s="1">
        <v>10</v>
      </c>
      <c r="G108" s="1">
        <v>20201215</v>
      </c>
      <c r="H108" s="159" t="s">
        <v>790</v>
      </c>
      <c r="I108" s="199" t="s">
        <v>2105</v>
      </c>
      <c r="K108" s="12" t="s">
        <v>1024</v>
      </c>
      <c r="L108" s="12" t="s">
        <v>1653</v>
      </c>
      <c r="N108" s="12" t="s">
        <v>2175</v>
      </c>
      <c r="O108" s="28">
        <v>0</v>
      </c>
      <c r="P108" s="29">
        <f t="shared" si="33"/>
        <v>0</v>
      </c>
      <c r="Q108" s="29">
        <f t="shared" si="34"/>
        <v>0</v>
      </c>
      <c r="R108" s="205" t="s">
        <v>2212</v>
      </c>
      <c r="S108" s="21"/>
    </row>
    <row r="109" spans="1:19">
      <c r="A109" s="1" t="s">
        <v>37</v>
      </c>
      <c r="B109" s="2" t="s">
        <v>445</v>
      </c>
      <c r="C109" s="12" t="s">
        <v>384</v>
      </c>
      <c r="D109" s="1">
        <v>4</v>
      </c>
      <c r="F109" s="1">
        <v>20240319</v>
      </c>
      <c r="G109" s="1">
        <v>20240628</v>
      </c>
      <c r="H109" s="159" t="s">
        <v>699</v>
      </c>
      <c r="I109" s="193"/>
      <c r="K109" s="12" t="s">
        <v>1050</v>
      </c>
      <c r="L109" s="12" t="s">
        <v>1708</v>
      </c>
      <c r="M109" s="1" t="s">
        <v>2492</v>
      </c>
      <c r="N109" s="66" t="s">
        <v>2069</v>
      </c>
      <c r="O109" s="28">
        <v>930</v>
      </c>
      <c r="P109" s="29">
        <f>O109*0.75</f>
        <v>697.5</v>
      </c>
      <c r="Q109" s="29">
        <f>D109*P109</f>
        <v>2790</v>
      </c>
      <c r="S109" s="21"/>
    </row>
    <row r="110" spans="1:19">
      <c r="A110" s="1" t="s">
        <v>37</v>
      </c>
      <c r="B110" s="2">
        <v>2096640110001</v>
      </c>
      <c r="C110" s="12" t="s">
        <v>63</v>
      </c>
      <c r="D110" s="1">
        <v>1</v>
      </c>
      <c r="F110" s="1">
        <v>20200905</v>
      </c>
      <c r="G110" s="1">
        <v>20201105</v>
      </c>
      <c r="H110" s="159" t="s">
        <v>699</v>
      </c>
      <c r="K110" s="12" t="s">
        <v>1279</v>
      </c>
      <c r="L110" s="12" t="s">
        <v>1736</v>
      </c>
      <c r="O110" s="28">
        <v>1000</v>
      </c>
      <c r="P110" s="29">
        <f t="shared" si="33"/>
        <v>750</v>
      </c>
      <c r="Q110" s="29">
        <f t="shared" si="34"/>
        <v>750</v>
      </c>
      <c r="S110" s="21"/>
    </row>
    <row r="111" spans="1:19">
      <c r="A111" s="1" t="s">
        <v>37</v>
      </c>
      <c r="B111" s="20">
        <v>2093370160101</v>
      </c>
      <c r="C111" s="12" t="s">
        <v>63</v>
      </c>
      <c r="D111" s="1">
        <v>1</v>
      </c>
      <c r="G111" s="1">
        <v>20200315</v>
      </c>
      <c r="H111" s="159" t="s">
        <v>699</v>
      </c>
      <c r="J111" s="7"/>
      <c r="K111" s="12" t="s">
        <v>1283</v>
      </c>
      <c r="L111" s="12" t="s">
        <v>1676</v>
      </c>
      <c r="O111" s="28">
        <v>300</v>
      </c>
      <c r="P111" s="29">
        <f t="shared" si="33"/>
        <v>225</v>
      </c>
      <c r="Q111" s="29">
        <f t="shared" si="34"/>
        <v>225</v>
      </c>
      <c r="S111" s="21"/>
    </row>
    <row r="112" spans="1:19">
      <c r="A112" s="1" t="s">
        <v>37</v>
      </c>
      <c r="B112" s="20">
        <v>2093370210100</v>
      </c>
      <c r="C112" s="12" t="s">
        <v>63</v>
      </c>
      <c r="D112" s="1">
        <v>2</v>
      </c>
      <c r="G112" s="1">
        <v>20200315</v>
      </c>
      <c r="H112" s="159" t="s">
        <v>699</v>
      </c>
      <c r="J112" s="7"/>
      <c r="K112" s="12" t="s">
        <v>1687</v>
      </c>
      <c r="L112" s="12" t="s">
        <v>1732</v>
      </c>
      <c r="O112" s="28">
        <v>1460</v>
      </c>
      <c r="P112" s="29">
        <f t="shared" si="33"/>
        <v>1095</v>
      </c>
      <c r="Q112" s="29">
        <f t="shared" si="34"/>
        <v>2190</v>
      </c>
      <c r="S112" s="21"/>
    </row>
    <row r="113" spans="1:19">
      <c r="A113" s="1" t="s">
        <v>37</v>
      </c>
      <c r="B113" s="20">
        <v>2094120120300</v>
      </c>
      <c r="C113" s="12" t="s">
        <v>63</v>
      </c>
      <c r="D113" s="1">
        <v>2</v>
      </c>
      <c r="G113" s="1">
        <v>20200320</v>
      </c>
      <c r="H113" s="159" t="s">
        <v>699</v>
      </c>
      <c r="J113" s="21"/>
      <c r="K113" s="12" t="s">
        <v>1274</v>
      </c>
      <c r="L113" s="12" t="s">
        <v>1659</v>
      </c>
      <c r="O113" s="28">
        <v>750</v>
      </c>
      <c r="P113" s="29">
        <f t="shared" si="33"/>
        <v>562.5</v>
      </c>
      <c r="Q113" s="29">
        <f t="shared" si="34"/>
        <v>1125</v>
      </c>
      <c r="S113" s="21"/>
    </row>
    <row r="114" spans="1:19">
      <c r="A114" s="1" t="s">
        <v>37</v>
      </c>
      <c r="B114" s="188">
        <v>2956990110000</v>
      </c>
      <c r="C114" s="12" t="s">
        <v>63</v>
      </c>
      <c r="D114" s="1">
        <v>1</v>
      </c>
      <c r="F114" s="1">
        <v>20200905</v>
      </c>
      <c r="G114" s="1">
        <v>20201105</v>
      </c>
      <c r="H114" s="159" t="s">
        <v>699</v>
      </c>
      <c r="I114" s="198" t="s">
        <v>1738</v>
      </c>
      <c r="K114" s="12" t="s">
        <v>1689</v>
      </c>
      <c r="L114" s="145" t="s">
        <v>1737</v>
      </c>
      <c r="O114" s="28">
        <v>850</v>
      </c>
      <c r="P114" s="29">
        <f t="shared" si="33"/>
        <v>637.5</v>
      </c>
      <c r="Q114" s="29">
        <f t="shared" si="34"/>
        <v>637.5</v>
      </c>
      <c r="S114" s="21"/>
    </row>
    <row r="115" spans="1:19">
      <c r="A115" s="1" t="s">
        <v>37</v>
      </c>
      <c r="B115" s="69">
        <v>2093370180101</v>
      </c>
      <c r="C115" s="12" t="s">
        <v>63</v>
      </c>
      <c r="D115" s="1">
        <v>2</v>
      </c>
      <c r="G115" s="1">
        <v>20191120</v>
      </c>
      <c r="H115" s="159" t="s">
        <v>699</v>
      </c>
      <c r="J115" s="7"/>
      <c r="K115" s="12" t="s">
        <v>1039</v>
      </c>
      <c r="L115" s="12" t="s">
        <v>1731</v>
      </c>
      <c r="O115" s="28">
        <v>1530</v>
      </c>
      <c r="P115" s="29">
        <f t="shared" si="33"/>
        <v>1147.5</v>
      </c>
      <c r="Q115" s="29">
        <f t="shared" si="34"/>
        <v>2295</v>
      </c>
      <c r="S115" s="21"/>
    </row>
    <row r="116" spans="1:19">
      <c r="A116" s="1" t="s">
        <v>37</v>
      </c>
      <c r="B116" s="20">
        <v>2091360140003</v>
      </c>
      <c r="C116" s="12" t="s">
        <v>63</v>
      </c>
      <c r="D116" s="1">
        <v>1</v>
      </c>
      <c r="G116" s="1">
        <v>20200315</v>
      </c>
      <c r="H116" s="159" t="s">
        <v>699</v>
      </c>
      <c r="I116" s="189" t="s">
        <v>648</v>
      </c>
      <c r="J116" s="7"/>
      <c r="K116" s="12" t="s">
        <v>1703</v>
      </c>
      <c r="L116" s="12" t="s">
        <v>1733</v>
      </c>
      <c r="O116" s="28">
        <v>800</v>
      </c>
      <c r="P116" s="29">
        <f t="shared" si="33"/>
        <v>600</v>
      </c>
      <c r="Q116" s="29">
        <f t="shared" si="34"/>
        <v>600</v>
      </c>
      <c r="S116" s="21"/>
    </row>
    <row r="117" spans="1:19">
      <c r="A117" s="1" t="s">
        <v>37</v>
      </c>
      <c r="B117" s="118">
        <v>2096640110000</v>
      </c>
      <c r="C117" s="12" t="s">
        <v>63</v>
      </c>
      <c r="D117" s="21">
        <v>1</v>
      </c>
      <c r="G117" s="1">
        <v>20200315</v>
      </c>
      <c r="H117" s="159" t="s">
        <v>699</v>
      </c>
      <c r="I117" s="198" t="s">
        <v>1729</v>
      </c>
      <c r="J117" s="7"/>
      <c r="K117" s="12" t="s">
        <v>1279</v>
      </c>
      <c r="L117" s="12" t="s">
        <v>1728</v>
      </c>
      <c r="O117" s="28">
        <v>1850</v>
      </c>
      <c r="P117" s="29">
        <f t="shared" si="33"/>
        <v>1387.5</v>
      </c>
      <c r="Q117" s="29">
        <f t="shared" si="34"/>
        <v>1387.5</v>
      </c>
      <c r="S117" s="21"/>
    </row>
    <row r="118" spans="1:19">
      <c r="A118" s="1" t="s">
        <v>37</v>
      </c>
      <c r="B118" s="20" t="s">
        <v>281</v>
      </c>
      <c r="C118" s="12" t="s">
        <v>63</v>
      </c>
      <c r="D118" s="1">
        <v>2</v>
      </c>
      <c r="G118" s="1">
        <v>20200315</v>
      </c>
      <c r="H118" s="159" t="s">
        <v>699</v>
      </c>
      <c r="J118" s="7"/>
      <c r="K118" s="12" t="s">
        <v>1277</v>
      </c>
      <c r="L118" s="12" t="s">
        <v>1730</v>
      </c>
      <c r="O118" s="28">
        <v>1200</v>
      </c>
      <c r="P118" s="29">
        <f t="shared" si="33"/>
        <v>900</v>
      </c>
      <c r="Q118" s="29">
        <f t="shared" si="34"/>
        <v>1800</v>
      </c>
      <c r="S118" s="21"/>
    </row>
    <row r="119" spans="1:19">
      <c r="A119" s="1" t="s">
        <v>37</v>
      </c>
      <c r="B119" s="2">
        <v>2096220110000</v>
      </c>
      <c r="C119" s="12" t="s">
        <v>63</v>
      </c>
      <c r="D119" s="1">
        <v>1</v>
      </c>
      <c r="G119" s="1">
        <v>20200319</v>
      </c>
      <c r="H119" s="159" t="s">
        <v>699</v>
      </c>
      <c r="K119" s="12" t="s">
        <v>1284</v>
      </c>
      <c r="L119" s="12" t="s">
        <v>1734</v>
      </c>
      <c r="O119" s="28">
        <v>1210</v>
      </c>
      <c r="P119" s="29">
        <f t="shared" si="33"/>
        <v>907.5</v>
      </c>
      <c r="Q119" s="29">
        <f t="shared" si="34"/>
        <v>907.5</v>
      </c>
      <c r="S119" s="21"/>
    </row>
    <row r="120" spans="1:19">
      <c r="A120" s="1" t="s">
        <v>37</v>
      </c>
      <c r="B120" s="2">
        <v>2096220140000</v>
      </c>
      <c r="C120" s="12" t="s">
        <v>63</v>
      </c>
      <c r="D120" s="1">
        <v>1</v>
      </c>
      <c r="G120" s="1">
        <v>20200319</v>
      </c>
      <c r="H120" s="159" t="s">
        <v>699</v>
      </c>
      <c r="K120" s="12" t="s">
        <v>1285</v>
      </c>
      <c r="L120" s="12" t="s">
        <v>1735</v>
      </c>
      <c r="O120" s="28">
        <v>890</v>
      </c>
      <c r="P120" s="29">
        <f t="shared" si="33"/>
        <v>667.5</v>
      </c>
      <c r="Q120" s="29">
        <f t="shared" si="34"/>
        <v>667.5</v>
      </c>
      <c r="S120" s="21"/>
    </row>
    <row r="121" spans="1:19">
      <c r="A121" s="1" t="s">
        <v>409</v>
      </c>
      <c r="B121" s="5">
        <v>2965980150100</v>
      </c>
      <c r="C121" s="12" t="s">
        <v>63</v>
      </c>
      <c r="D121" s="12">
        <v>1</v>
      </c>
      <c r="F121" s="1">
        <v>20211218</v>
      </c>
      <c r="G121" s="1">
        <v>20241203</v>
      </c>
      <c r="H121" s="159" t="s">
        <v>699</v>
      </c>
      <c r="I121" s="198" t="s">
        <v>2752</v>
      </c>
      <c r="J121" s="21"/>
      <c r="K121" s="12" t="s">
        <v>1702</v>
      </c>
      <c r="L121" s="145" t="s">
        <v>1701</v>
      </c>
      <c r="O121" s="28">
        <v>1980</v>
      </c>
      <c r="P121" s="29">
        <f>O121*0.75</f>
        <v>1485</v>
      </c>
      <c r="Q121" s="29">
        <f>D121*P121</f>
        <v>1485</v>
      </c>
      <c r="S121" s="7"/>
    </row>
    <row r="122" spans="1:19">
      <c r="D122" s="104">
        <f>SUM(D22:D120)</f>
        <v>3041</v>
      </c>
      <c r="E122" s="132">
        <f>ROW()-4</f>
        <v>118</v>
      </c>
      <c r="Q122" s="28">
        <f>SUM(Q41:Q121)</f>
        <v>1341703.5</v>
      </c>
      <c r="S122" s="21"/>
    </row>
    <row r="123" spans="1:19">
      <c r="Q123" s="108"/>
      <c r="S123" s="21"/>
    </row>
    <row r="124" spans="1:19">
      <c r="Q124" s="108"/>
      <c r="S124" s="21"/>
    </row>
    <row r="125" spans="1:19">
      <c r="Q125" s="108"/>
      <c r="S125" s="21"/>
    </row>
    <row r="127" spans="1:19">
      <c r="A127" s="60"/>
      <c r="B127" s="63" t="s">
        <v>314</v>
      </c>
      <c r="C127" s="61"/>
      <c r="D127" s="61"/>
      <c r="E127" s="131"/>
      <c r="F127" s="61"/>
      <c r="G127" s="61"/>
      <c r="H127" s="166"/>
      <c r="I127" s="200"/>
      <c r="J127" s="61"/>
      <c r="K127" s="61"/>
      <c r="L127" s="61"/>
      <c r="M127" s="61"/>
      <c r="N127" s="78"/>
      <c r="O127" s="47"/>
      <c r="P127" s="62"/>
      <c r="Q127" s="62"/>
      <c r="R127" s="62"/>
      <c r="S127" s="61"/>
    </row>
    <row r="128" spans="1:19" s="6" customFormat="1">
      <c r="A128" s="6" t="s">
        <v>409</v>
      </c>
      <c r="B128" s="284" t="s">
        <v>188</v>
      </c>
      <c r="C128" s="65" t="s">
        <v>442</v>
      </c>
      <c r="D128" s="65">
        <v>0</v>
      </c>
      <c r="E128" s="25" t="s">
        <v>2717</v>
      </c>
      <c r="F128" s="6">
        <v>20240611</v>
      </c>
      <c r="G128" s="6">
        <v>20241001</v>
      </c>
      <c r="H128" s="159" t="s">
        <v>699</v>
      </c>
      <c r="I128" s="195"/>
      <c r="J128" s="6" t="s">
        <v>2835</v>
      </c>
      <c r="K128" s="6" t="s">
        <v>2702</v>
      </c>
      <c r="L128" s="6" t="s">
        <v>2703</v>
      </c>
      <c r="M128" s="6" t="s">
        <v>2704</v>
      </c>
      <c r="N128" s="12"/>
      <c r="O128" s="28">
        <v>1085</v>
      </c>
      <c r="P128" s="219">
        <f>O128*0.75</f>
        <v>813.75</v>
      </c>
      <c r="Q128" s="219">
        <f>D128*P128</f>
        <v>0</v>
      </c>
      <c r="R128" s="28"/>
      <c r="S128" s="7"/>
    </row>
    <row r="129" spans="1:19" s="6" customFormat="1">
      <c r="A129" s="6" t="s">
        <v>37</v>
      </c>
      <c r="B129" s="285">
        <v>2103340240900</v>
      </c>
      <c r="C129" s="65" t="s">
        <v>2601</v>
      </c>
      <c r="D129" s="65">
        <v>0</v>
      </c>
      <c r="E129" s="7"/>
      <c r="F129" s="6">
        <v>20241018</v>
      </c>
      <c r="G129" s="6">
        <v>20250106</v>
      </c>
      <c r="H129" s="159" t="s">
        <v>699</v>
      </c>
      <c r="I129" s="220"/>
      <c r="K129" s="12" t="s">
        <v>1050</v>
      </c>
      <c r="L129" s="12" t="s">
        <v>1649</v>
      </c>
      <c r="M129" s="6" t="s">
        <v>2798</v>
      </c>
      <c r="N129" s="12" t="s">
        <v>2799</v>
      </c>
      <c r="O129" s="28">
        <v>1045</v>
      </c>
      <c r="P129" s="219">
        <f>O129*0.75</f>
        <v>783.75</v>
      </c>
      <c r="Q129" s="219">
        <f>D129*P129</f>
        <v>0</v>
      </c>
      <c r="R129" s="28"/>
      <c r="S129" s="7"/>
    </row>
    <row r="130" spans="1:19" s="6" customFormat="1">
      <c r="A130" s="6" t="s">
        <v>409</v>
      </c>
      <c r="B130" s="285">
        <v>2956580060000</v>
      </c>
      <c r="C130" s="65" t="s">
        <v>443</v>
      </c>
      <c r="D130" s="65">
        <v>0</v>
      </c>
      <c r="E130" s="7"/>
      <c r="F130" s="6">
        <v>20241127</v>
      </c>
      <c r="G130" s="6">
        <v>20250326</v>
      </c>
      <c r="H130" s="159">
        <v>10</v>
      </c>
      <c r="I130" s="197"/>
      <c r="J130" s="86"/>
      <c r="K130" s="12" t="s">
        <v>2899</v>
      </c>
      <c r="L130" s="12" t="s">
        <v>2900</v>
      </c>
      <c r="M130" s="6" t="s">
        <v>2901</v>
      </c>
      <c r="N130" s="12" t="s">
        <v>2902</v>
      </c>
      <c r="O130" s="28">
        <v>1150</v>
      </c>
      <c r="P130" s="29">
        <f>O130*0.75</f>
        <v>862.5</v>
      </c>
      <c r="Q130" s="29">
        <f>D130*P130</f>
        <v>0</v>
      </c>
      <c r="R130" s="28"/>
      <c r="S130" s="7"/>
    </row>
    <row r="131" spans="1:19">
      <c r="A131" s="1" t="s">
        <v>409</v>
      </c>
      <c r="B131" s="301">
        <v>2616360130000</v>
      </c>
      <c r="C131" s="8" t="s">
        <v>443</v>
      </c>
      <c r="D131" s="65">
        <v>0</v>
      </c>
      <c r="F131" s="1">
        <v>20220330</v>
      </c>
      <c r="G131" s="1">
        <v>20220530</v>
      </c>
      <c r="H131" s="159" t="s">
        <v>699</v>
      </c>
      <c r="K131" s="12" t="s">
        <v>1665</v>
      </c>
      <c r="L131" s="145" t="s">
        <v>1666</v>
      </c>
      <c r="O131" s="28">
        <v>1550</v>
      </c>
      <c r="P131" s="29">
        <f>O131*0.75</f>
        <v>1162.5</v>
      </c>
      <c r="Q131" s="29">
        <f>D131*P131</f>
        <v>0</v>
      </c>
      <c r="S131" s="21"/>
    </row>
    <row r="132" spans="1:19">
      <c r="A132" s="1" t="s">
        <v>37</v>
      </c>
      <c r="B132" s="301">
        <v>2950250180001</v>
      </c>
      <c r="C132" s="8" t="s">
        <v>1002</v>
      </c>
      <c r="D132" s="65">
        <v>0</v>
      </c>
      <c r="G132" s="1">
        <v>20200319</v>
      </c>
      <c r="H132" s="159" t="s">
        <v>699</v>
      </c>
      <c r="K132" s="12" t="s">
        <v>1024</v>
      </c>
      <c r="L132" s="12" t="s">
        <v>1676</v>
      </c>
      <c r="O132" s="28">
        <v>2500</v>
      </c>
      <c r="P132" s="29">
        <f>O132*0.75</f>
        <v>1875</v>
      </c>
      <c r="Q132" s="29">
        <f>D132*P132</f>
        <v>0</v>
      </c>
      <c r="S132" s="21"/>
    </row>
    <row r="133" spans="1:19" s="6" customFormat="1">
      <c r="A133" s="6" t="s">
        <v>409</v>
      </c>
      <c r="B133" s="284">
        <v>2120020130002</v>
      </c>
      <c r="C133" s="65" t="s">
        <v>442</v>
      </c>
      <c r="D133" s="65">
        <v>0</v>
      </c>
      <c r="E133" s="25" t="s">
        <v>1007</v>
      </c>
      <c r="G133" s="6">
        <v>20240628</v>
      </c>
      <c r="H133" s="159" t="s">
        <v>699</v>
      </c>
      <c r="I133" s="195"/>
      <c r="K133" s="6" t="s">
        <v>1286</v>
      </c>
      <c r="L133" s="6" t="s">
        <v>1867</v>
      </c>
      <c r="N133" s="12"/>
      <c r="O133" s="28">
        <v>880</v>
      </c>
      <c r="P133" s="219">
        <f t="shared" ref="P133" si="37">O133*0.75</f>
        <v>660</v>
      </c>
      <c r="Q133" s="219">
        <f t="shared" ref="Q133" si="38">D133*P133</f>
        <v>0</v>
      </c>
      <c r="R133" s="28"/>
      <c r="S133" s="7"/>
    </row>
    <row r="134" spans="1:19" s="6" customFormat="1">
      <c r="A134" s="6" t="s">
        <v>409</v>
      </c>
      <c r="B134" s="284" t="s">
        <v>188</v>
      </c>
      <c r="C134" s="65" t="s">
        <v>442</v>
      </c>
      <c r="D134" s="65">
        <v>0</v>
      </c>
      <c r="E134" s="25" t="s">
        <v>1007</v>
      </c>
      <c r="F134" s="6">
        <v>20240611</v>
      </c>
      <c r="G134" s="6">
        <v>20241001</v>
      </c>
      <c r="H134" s="159" t="s">
        <v>699</v>
      </c>
      <c r="I134" s="195"/>
      <c r="J134" s="6" t="s">
        <v>2835</v>
      </c>
      <c r="K134" s="6" t="s">
        <v>2702</v>
      </c>
      <c r="L134" s="6" t="s">
        <v>2703</v>
      </c>
      <c r="M134" s="6" t="s">
        <v>2704</v>
      </c>
      <c r="N134" s="12" t="s">
        <v>2718</v>
      </c>
      <c r="O134" s="28">
        <v>1085</v>
      </c>
      <c r="P134" s="219">
        <f t="shared" ref="P134" si="39">O134*0.75</f>
        <v>813.75</v>
      </c>
      <c r="Q134" s="219">
        <f t="shared" ref="Q134:Q139" si="40">D134*P134</f>
        <v>0</v>
      </c>
      <c r="R134" s="28"/>
      <c r="S134" s="7"/>
    </row>
    <row r="135" spans="1:19" s="6" customFormat="1">
      <c r="A135" s="6" t="s">
        <v>409</v>
      </c>
      <c r="B135" s="285" t="s">
        <v>277</v>
      </c>
      <c r="C135" s="65" t="s">
        <v>442</v>
      </c>
      <c r="D135" s="65">
        <v>0</v>
      </c>
      <c r="E135" s="25" t="s">
        <v>2981</v>
      </c>
      <c r="F135" s="67">
        <v>20240611</v>
      </c>
      <c r="G135" s="67">
        <v>20241001</v>
      </c>
      <c r="H135" s="159" t="s">
        <v>699</v>
      </c>
      <c r="I135" s="195"/>
      <c r="J135" s="6" t="s">
        <v>2835</v>
      </c>
      <c r="K135" s="12" t="s">
        <v>1199</v>
      </c>
      <c r="L135" s="12" t="s">
        <v>1694</v>
      </c>
      <c r="M135" s="6" t="s">
        <v>2701</v>
      </c>
      <c r="N135" s="66"/>
      <c r="O135" s="28">
        <v>535</v>
      </c>
      <c r="P135" s="219">
        <f t="shared" ref="P135:P140" si="41">O135*0.75</f>
        <v>401.25</v>
      </c>
      <c r="Q135" s="219">
        <f t="shared" si="40"/>
        <v>0</v>
      </c>
      <c r="R135" s="219"/>
    </row>
    <row r="136" spans="1:19" s="6" customFormat="1">
      <c r="A136" s="6" t="s">
        <v>37</v>
      </c>
      <c r="B136" s="285">
        <v>2103400240002</v>
      </c>
      <c r="C136" s="65" t="s">
        <v>3035</v>
      </c>
      <c r="D136" s="65">
        <v>0</v>
      </c>
      <c r="E136" s="7"/>
      <c r="F136" s="6">
        <v>20240815</v>
      </c>
      <c r="G136" s="6">
        <v>20241029</v>
      </c>
      <c r="H136" s="159" t="s">
        <v>699</v>
      </c>
      <c r="I136" s="197"/>
      <c r="K136" s="12" t="s">
        <v>1182</v>
      </c>
      <c r="L136" s="12" t="s">
        <v>1657</v>
      </c>
      <c r="M136" s="6" t="s">
        <v>2734</v>
      </c>
      <c r="N136" s="12"/>
      <c r="O136" s="28">
        <v>1150</v>
      </c>
      <c r="P136" s="219">
        <f t="shared" si="41"/>
        <v>862.5</v>
      </c>
      <c r="Q136" s="219">
        <f t="shared" si="40"/>
        <v>0</v>
      </c>
      <c r="R136" s="28"/>
    </row>
    <row r="137" spans="1:19" s="6" customFormat="1">
      <c r="A137" s="6" t="s">
        <v>409</v>
      </c>
      <c r="B137" s="285">
        <v>2120260100001</v>
      </c>
      <c r="C137" s="65" t="s">
        <v>2585</v>
      </c>
      <c r="D137" s="65">
        <v>0</v>
      </c>
      <c r="E137" s="7"/>
      <c r="F137" s="6">
        <v>20240514</v>
      </c>
      <c r="G137" s="6">
        <v>20240628</v>
      </c>
      <c r="H137" s="159" t="s">
        <v>699</v>
      </c>
      <c r="I137" s="195"/>
      <c r="K137" s="12" t="s">
        <v>1660</v>
      </c>
      <c r="L137" s="12" t="s">
        <v>1664</v>
      </c>
      <c r="M137" s="6" t="s">
        <v>2497</v>
      </c>
      <c r="N137" s="12" t="s">
        <v>2504</v>
      </c>
      <c r="O137" s="28">
        <v>935</v>
      </c>
      <c r="P137" s="219">
        <f t="shared" si="41"/>
        <v>701.25</v>
      </c>
      <c r="Q137" s="219">
        <f t="shared" si="40"/>
        <v>0</v>
      </c>
      <c r="R137" s="28"/>
      <c r="S137" s="7"/>
    </row>
    <row r="138" spans="1:19" s="6" customFormat="1">
      <c r="A138" s="6" t="s">
        <v>409</v>
      </c>
      <c r="B138" s="285">
        <v>2120020250001</v>
      </c>
      <c r="C138" s="65" t="s">
        <v>2739</v>
      </c>
      <c r="D138" s="65">
        <v>0</v>
      </c>
      <c r="E138" s="7"/>
      <c r="F138" s="6">
        <v>20240521</v>
      </c>
      <c r="G138" s="6">
        <v>20240805</v>
      </c>
      <c r="H138" s="159">
        <v>10</v>
      </c>
      <c r="I138" s="195"/>
      <c r="J138" s="7"/>
      <c r="K138" s="12" t="s">
        <v>2530</v>
      </c>
      <c r="L138" s="12" t="s">
        <v>2531</v>
      </c>
      <c r="M138" s="6" t="s">
        <v>2532</v>
      </c>
      <c r="N138" s="12" t="s">
        <v>2533</v>
      </c>
      <c r="O138" s="28">
        <v>1000</v>
      </c>
      <c r="P138" s="219">
        <f t="shared" si="41"/>
        <v>750</v>
      </c>
      <c r="Q138" s="219">
        <f t="shared" si="40"/>
        <v>0</v>
      </c>
      <c r="R138" s="28"/>
      <c r="S138" s="7"/>
    </row>
    <row r="139" spans="1:19" s="6" customFormat="1">
      <c r="A139" s="6" t="s">
        <v>37</v>
      </c>
      <c r="B139" s="284">
        <v>2103430230103</v>
      </c>
      <c r="C139" s="65" t="s">
        <v>3036</v>
      </c>
      <c r="D139" s="101">
        <v>0</v>
      </c>
      <c r="E139" s="7"/>
      <c r="G139" s="6">
        <v>20250428</v>
      </c>
      <c r="H139" s="159">
        <v>10</v>
      </c>
      <c r="I139" s="195"/>
      <c r="K139" s="12" t="s">
        <v>1182</v>
      </c>
      <c r="L139" s="12" t="s">
        <v>2935</v>
      </c>
      <c r="N139" s="12" t="s">
        <v>2936</v>
      </c>
      <c r="O139" s="28">
        <v>710</v>
      </c>
      <c r="P139" s="219">
        <f t="shared" si="41"/>
        <v>532.5</v>
      </c>
      <c r="Q139" s="219">
        <f t="shared" si="40"/>
        <v>0</v>
      </c>
      <c r="R139" s="28"/>
      <c r="S139" s="7"/>
    </row>
    <row r="140" spans="1:19">
      <c r="A140" s="1" t="s">
        <v>37</v>
      </c>
      <c r="B140" s="285">
        <v>2097090140002</v>
      </c>
      <c r="C140" s="65" t="s">
        <v>2602</v>
      </c>
      <c r="D140" s="65">
        <v>0</v>
      </c>
      <c r="F140" s="1">
        <v>20231211</v>
      </c>
      <c r="G140" s="1">
        <v>20240202</v>
      </c>
      <c r="H140" s="159">
        <v>10</v>
      </c>
      <c r="J140" s="7"/>
      <c r="K140" s="12" t="s">
        <v>2238</v>
      </c>
      <c r="L140" s="12" t="s">
        <v>2239</v>
      </c>
      <c r="M140" s="1" t="s">
        <v>2240</v>
      </c>
      <c r="N140" s="12" t="s">
        <v>2253</v>
      </c>
      <c r="O140" s="28">
        <v>1600</v>
      </c>
      <c r="P140" s="29">
        <f t="shared" si="41"/>
        <v>1200</v>
      </c>
      <c r="Q140" s="29">
        <f>D140*P140</f>
        <v>0</v>
      </c>
      <c r="S140" s="21"/>
    </row>
    <row r="141" spans="1:19">
      <c r="A141" s="1" t="s">
        <v>37</v>
      </c>
      <c r="B141" s="285">
        <v>2094120120302</v>
      </c>
      <c r="C141" s="101" t="s">
        <v>63</v>
      </c>
      <c r="D141" s="65">
        <v>0</v>
      </c>
      <c r="G141" s="1">
        <v>20200319</v>
      </c>
      <c r="H141" s="159" t="s">
        <v>699</v>
      </c>
      <c r="K141" s="12" t="s">
        <v>1274</v>
      </c>
      <c r="L141" s="12" t="s">
        <v>1659</v>
      </c>
      <c r="O141" s="28">
        <v>1550</v>
      </c>
      <c r="P141" s="29">
        <f>O141*0.75</f>
        <v>1162.5</v>
      </c>
      <c r="Q141" s="29">
        <f>D141*P141</f>
        <v>0</v>
      </c>
      <c r="S141" s="21"/>
    </row>
    <row r="142" spans="1:19">
      <c r="A142" s="1" t="s">
        <v>409</v>
      </c>
      <c r="B142" s="285">
        <v>2094120120302</v>
      </c>
      <c r="C142" s="65" t="s">
        <v>3036</v>
      </c>
      <c r="D142" s="65">
        <v>0</v>
      </c>
      <c r="F142" s="1">
        <v>20200917</v>
      </c>
      <c r="G142" s="1">
        <v>20201117</v>
      </c>
      <c r="H142" s="159" t="s">
        <v>699</v>
      </c>
      <c r="J142" s="21"/>
      <c r="K142" s="12" t="s">
        <v>1274</v>
      </c>
      <c r="L142" s="12" t="s">
        <v>1659</v>
      </c>
      <c r="N142" s="12" t="s">
        <v>528</v>
      </c>
      <c r="O142" s="28">
        <v>1550</v>
      </c>
      <c r="P142" s="29">
        <f>O142*0.75</f>
        <v>1162.5</v>
      </c>
      <c r="Q142" s="29">
        <f>D142*P142</f>
        <v>0</v>
      </c>
      <c r="S142" s="7"/>
    </row>
    <row r="143" spans="1:19">
      <c r="A143" s="6" t="s">
        <v>409</v>
      </c>
      <c r="B143" s="284">
        <v>2120020130002</v>
      </c>
      <c r="C143" s="65" t="s">
        <v>3037</v>
      </c>
      <c r="D143" s="65">
        <v>0</v>
      </c>
      <c r="E143" s="25" t="s">
        <v>1008</v>
      </c>
      <c r="F143" s="6">
        <v>20240521</v>
      </c>
      <c r="G143" s="6">
        <v>20240628</v>
      </c>
      <c r="H143" s="159" t="s">
        <v>699</v>
      </c>
      <c r="I143" s="195"/>
      <c r="J143" s="6"/>
      <c r="K143" s="6" t="s">
        <v>1286</v>
      </c>
      <c r="L143" s="6" t="s">
        <v>1867</v>
      </c>
      <c r="M143" s="6" t="s">
        <v>2487</v>
      </c>
      <c r="O143" s="28">
        <v>880</v>
      </c>
      <c r="P143" s="219">
        <f t="shared" ref="P143:P144" si="42">O143*0.75</f>
        <v>660</v>
      </c>
      <c r="Q143" s="219">
        <f t="shared" ref="Q143:Q144" si="43">D143*P143</f>
        <v>0</v>
      </c>
    </row>
    <row r="144" spans="1:19">
      <c r="A144" s="6" t="s">
        <v>37</v>
      </c>
      <c r="B144" s="285">
        <v>2103440180003</v>
      </c>
      <c r="C144" s="65" t="s">
        <v>3035</v>
      </c>
      <c r="D144" s="65">
        <v>0</v>
      </c>
      <c r="E144" s="7"/>
      <c r="F144" s="6">
        <v>20250103</v>
      </c>
      <c r="G144" s="6">
        <v>20250514</v>
      </c>
      <c r="H144" s="159">
        <v>10</v>
      </c>
      <c r="I144" s="197"/>
      <c r="J144" s="6"/>
      <c r="K144" s="12" t="s">
        <v>1182</v>
      </c>
      <c r="L144" s="12" t="s">
        <v>2995</v>
      </c>
      <c r="M144" s="6" t="s">
        <v>2996</v>
      </c>
      <c r="N144" s="12" t="s">
        <v>2997</v>
      </c>
      <c r="O144" s="28">
        <v>715</v>
      </c>
      <c r="P144" s="219">
        <f t="shared" si="42"/>
        <v>536.25</v>
      </c>
      <c r="Q144" s="219">
        <f t="shared" si="43"/>
        <v>0</v>
      </c>
    </row>
    <row r="145" spans="1:19" s="6" customFormat="1">
      <c r="A145" s="6" t="s">
        <v>37</v>
      </c>
      <c r="B145" s="285">
        <v>2950250080100</v>
      </c>
      <c r="C145" s="101" t="s">
        <v>1850</v>
      </c>
      <c r="D145" s="65">
        <v>0</v>
      </c>
      <c r="E145" s="7"/>
      <c r="G145" s="6">
        <v>20231226</v>
      </c>
      <c r="H145" s="159" t="s">
        <v>699</v>
      </c>
      <c r="I145" s="195"/>
      <c r="K145" s="12" t="s">
        <v>1030</v>
      </c>
      <c r="L145" s="12" t="s">
        <v>2180</v>
      </c>
      <c r="N145" s="12"/>
      <c r="O145" s="28">
        <v>2500</v>
      </c>
      <c r="P145" s="29">
        <f>O145*0.75</f>
        <v>1875</v>
      </c>
      <c r="Q145" s="29">
        <f>D145*P145</f>
        <v>0</v>
      </c>
      <c r="R145" s="28"/>
      <c r="S145" s="7"/>
    </row>
    <row r="146" spans="1:19" s="6" customFormat="1">
      <c r="A146" s="6" t="s">
        <v>37</v>
      </c>
      <c r="B146" s="285">
        <v>2000003780101</v>
      </c>
      <c r="C146" s="65" t="s">
        <v>3055</v>
      </c>
      <c r="D146" s="65">
        <v>0</v>
      </c>
      <c r="E146" s="7"/>
      <c r="F146" s="6">
        <v>20240326</v>
      </c>
      <c r="G146" s="6">
        <v>20250609</v>
      </c>
      <c r="H146" s="159">
        <v>10</v>
      </c>
      <c r="I146" s="197"/>
      <c r="K146" s="12" t="s">
        <v>3056</v>
      </c>
      <c r="L146" s="12" t="s">
        <v>3057</v>
      </c>
      <c r="M146" s="6" t="s">
        <v>3058</v>
      </c>
      <c r="N146" s="12"/>
      <c r="O146" s="28">
        <v>700</v>
      </c>
      <c r="P146" s="219">
        <f>O146*0.75</f>
        <v>525</v>
      </c>
      <c r="Q146" s="219">
        <f>D146*P146</f>
        <v>0</v>
      </c>
      <c r="R146" s="28"/>
    </row>
    <row r="147" spans="1:19">
      <c r="A147" s="1" t="s">
        <v>409</v>
      </c>
      <c r="B147" s="301">
        <v>2103400240200</v>
      </c>
      <c r="C147" s="8" t="s">
        <v>3036</v>
      </c>
      <c r="D147" s="65">
        <v>0</v>
      </c>
      <c r="E147" s="110"/>
      <c r="F147" s="1">
        <v>20200119</v>
      </c>
      <c r="G147" s="1">
        <v>20200319</v>
      </c>
      <c r="H147" s="159" t="s">
        <v>699</v>
      </c>
      <c r="J147" s="21"/>
      <c r="K147" s="12" t="s">
        <v>1030</v>
      </c>
      <c r="L147" s="12" t="s">
        <v>1657</v>
      </c>
      <c r="N147" s="12" t="s">
        <v>769</v>
      </c>
      <c r="O147" s="28">
        <v>1250</v>
      </c>
      <c r="P147" s="29">
        <f>O147*0.75</f>
        <v>937.5</v>
      </c>
      <c r="Q147" s="29">
        <f>D147*P147</f>
        <v>0</v>
      </c>
      <c r="S147" s="21"/>
    </row>
    <row r="148" spans="1:19" s="6" customFormat="1">
      <c r="A148" s="6" t="s">
        <v>409</v>
      </c>
      <c r="B148" s="284" t="s">
        <v>188</v>
      </c>
      <c r="C148" s="65" t="s">
        <v>437</v>
      </c>
      <c r="D148" s="65">
        <v>0</v>
      </c>
      <c r="E148" s="25" t="s">
        <v>2093</v>
      </c>
      <c r="F148" s="6">
        <v>20240611</v>
      </c>
      <c r="G148" s="6">
        <v>20250210</v>
      </c>
      <c r="H148" s="159" t="s">
        <v>699</v>
      </c>
      <c r="I148" s="195"/>
      <c r="K148" s="6" t="s">
        <v>2702</v>
      </c>
      <c r="L148" s="6" t="s">
        <v>2703</v>
      </c>
      <c r="M148" s="6" t="s">
        <v>2842</v>
      </c>
      <c r="N148" s="12" t="s">
        <v>2838</v>
      </c>
      <c r="O148" s="28">
        <v>1085</v>
      </c>
      <c r="P148" s="219">
        <f>O148*0.75</f>
        <v>813.75</v>
      </c>
      <c r="Q148" s="219">
        <f>D148*P148</f>
        <v>0</v>
      </c>
      <c r="R148" s="28"/>
      <c r="S148" s="7"/>
    </row>
    <row r="149" spans="1:19" s="6" customFormat="1">
      <c r="A149" s="6" t="s">
        <v>409</v>
      </c>
      <c r="B149" s="285" t="s">
        <v>277</v>
      </c>
      <c r="C149" s="65" t="s">
        <v>437</v>
      </c>
      <c r="D149" s="282">
        <v>0</v>
      </c>
      <c r="E149" s="25" t="s">
        <v>2836</v>
      </c>
      <c r="F149" s="67"/>
      <c r="G149" s="6">
        <v>20250210</v>
      </c>
      <c r="H149" s="159" t="s">
        <v>699</v>
      </c>
      <c r="I149" s="197" t="s">
        <v>3072</v>
      </c>
      <c r="K149" s="12" t="s">
        <v>1199</v>
      </c>
      <c r="L149" s="12" t="s">
        <v>1694</v>
      </c>
      <c r="N149" s="66" t="s">
        <v>2839</v>
      </c>
      <c r="O149" s="28">
        <v>535</v>
      </c>
      <c r="P149" s="219">
        <f t="shared" ref="P149" si="44">O149*0.75</f>
        <v>401.25</v>
      </c>
      <c r="Q149" s="219">
        <f t="shared" ref="Q149" si="45">D149*P149</f>
        <v>0</v>
      </c>
      <c r="R149" s="219"/>
    </row>
    <row r="150" spans="1:19" s="6" customFormat="1">
      <c r="A150" s="6" t="s">
        <v>37</v>
      </c>
      <c r="B150" s="285">
        <v>2953680210102</v>
      </c>
      <c r="C150" s="65" t="s">
        <v>2616</v>
      </c>
      <c r="D150" s="101">
        <v>0</v>
      </c>
      <c r="E150" s="7"/>
      <c r="F150" s="6">
        <v>20240815</v>
      </c>
      <c r="G150" s="6">
        <v>20240926</v>
      </c>
      <c r="H150" s="159" t="s">
        <v>699</v>
      </c>
      <c r="I150" s="195"/>
      <c r="J150" s="12"/>
      <c r="K150" s="12" t="s">
        <v>1050</v>
      </c>
      <c r="L150" s="12" t="s">
        <v>1709</v>
      </c>
      <c r="M150" s="6" t="s">
        <v>2617</v>
      </c>
      <c r="O150" s="32">
        <v>2019</v>
      </c>
      <c r="P150" s="219">
        <f t="shared" ref="P150" si="46">O150*0.75</f>
        <v>1514.25</v>
      </c>
      <c r="Q150" s="219">
        <f>D150*P150</f>
        <v>0</v>
      </c>
      <c r="R150" s="32"/>
    </row>
    <row r="151" spans="1:19" s="6" customFormat="1" ht="32.4">
      <c r="A151" s="6" t="s">
        <v>409</v>
      </c>
      <c r="B151" s="338" t="s">
        <v>736</v>
      </c>
      <c r="C151" s="333" t="s">
        <v>437</v>
      </c>
      <c r="D151" s="332">
        <v>0</v>
      </c>
      <c r="E151" s="289" t="s">
        <v>2836</v>
      </c>
      <c r="F151" s="235"/>
      <c r="G151" s="235">
        <v>20250210</v>
      </c>
      <c r="H151" s="162" t="s">
        <v>699</v>
      </c>
      <c r="I151" s="247" t="s">
        <v>2922</v>
      </c>
      <c r="K151" s="12" t="s">
        <v>1024</v>
      </c>
      <c r="L151" s="12" t="s">
        <v>1674</v>
      </c>
      <c r="M151" s="6" t="s">
        <v>2843</v>
      </c>
      <c r="N151" s="66" t="s">
        <v>2837</v>
      </c>
      <c r="O151" s="28">
        <v>535</v>
      </c>
      <c r="P151" s="219">
        <f>O151*0.75</f>
        <v>401.25</v>
      </c>
      <c r="Q151" s="219">
        <f>D151*P151</f>
        <v>0</v>
      </c>
      <c r="R151" s="28"/>
      <c r="S151" s="7"/>
    </row>
    <row r="152" spans="1:19">
      <c r="A152" s="1" t="s">
        <v>409</v>
      </c>
      <c r="B152" s="285">
        <v>2103990040001</v>
      </c>
      <c r="C152" s="65" t="s">
        <v>2602</v>
      </c>
      <c r="D152" s="65">
        <v>9</v>
      </c>
      <c r="F152" s="1">
        <v>20220212</v>
      </c>
      <c r="G152" s="1">
        <v>20220412</v>
      </c>
      <c r="H152" s="159">
        <v>10</v>
      </c>
      <c r="J152" s="21"/>
      <c r="K152" s="12" t="s">
        <v>1691</v>
      </c>
      <c r="L152" s="12" t="s">
        <v>1699</v>
      </c>
      <c r="O152" s="28">
        <v>1650</v>
      </c>
      <c r="P152" s="29">
        <f>O152*0.75</f>
        <v>1237.5</v>
      </c>
      <c r="Q152" s="29">
        <f>D152*P152</f>
        <v>11137.5</v>
      </c>
      <c r="S152" s="7"/>
    </row>
    <row r="153" spans="1:19" s="6" customFormat="1">
      <c r="A153" s="6" t="s">
        <v>409</v>
      </c>
      <c r="B153" s="285">
        <v>2956580060000</v>
      </c>
      <c r="C153" s="65" t="s">
        <v>3036</v>
      </c>
      <c r="D153" s="65">
        <v>5</v>
      </c>
      <c r="E153" s="7"/>
      <c r="G153" s="6">
        <v>20250609</v>
      </c>
      <c r="H153" s="159">
        <v>10</v>
      </c>
      <c r="I153" s="197"/>
      <c r="J153" s="86"/>
      <c r="K153" s="12" t="s">
        <v>1182</v>
      </c>
      <c r="L153" s="12" t="s">
        <v>2900</v>
      </c>
      <c r="N153" s="12" t="s">
        <v>1270</v>
      </c>
      <c r="O153" s="28">
        <v>1150</v>
      </c>
      <c r="P153" s="219">
        <f>O153*0.75</f>
        <v>862.5</v>
      </c>
      <c r="Q153" s="219">
        <f>D153*P153</f>
        <v>4312.5</v>
      </c>
      <c r="R153" s="28"/>
      <c r="S153" s="7"/>
    </row>
    <row r="154" spans="1:19">
      <c r="A154" s="1" t="s">
        <v>37</v>
      </c>
      <c r="B154" s="285">
        <v>2000100210000</v>
      </c>
      <c r="C154" s="65" t="s">
        <v>2602</v>
      </c>
      <c r="D154" s="65">
        <v>0</v>
      </c>
      <c r="F154" s="1">
        <v>20240110</v>
      </c>
      <c r="G154" s="1">
        <v>20240202</v>
      </c>
      <c r="H154" s="159">
        <v>10</v>
      </c>
      <c r="J154" s="7"/>
      <c r="K154" s="12" t="s">
        <v>2242</v>
      </c>
      <c r="L154" s="12" t="s">
        <v>2243</v>
      </c>
      <c r="M154" s="1" t="s">
        <v>2244</v>
      </c>
      <c r="N154" s="12" t="s">
        <v>2245</v>
      </c>
      <c r="O154" s="28">
        <v>1850</v>
      </c>
      <c r="P154" s="29">
        <f>O154*0.75</f>
        <v>1387.5</v>
      </c>
      <c r="Q154" s="29">
        <f>D154*P154</f>
        <v>0</v>
      </c>
      <c r="S154" s="21"/>
    </row>
    <row r="155" spans="1:19" s="6" customFormat="1">
      <c r="A155" s="6" t="s">
        <v>37</v>
      </c>
      <c r="B155" s="285">
        <v>2103400240002</v>
      </c>
      <c r="C155" s="101" t="s">
        <v>2802</v>
      </c>
      <c r="D155" s="65">
        <v>0</v>
      </c>
      <c r="E155" s="7"/>
      <c r="F155" s="6">
        <v>20240815</v>
      </c>
      <c r="G155" s="6">
        <v>20260114</v>
      </c>
      <c r="H155" s="159" t="s">
        <v>699</v>
      </c>
      <c r="I155" s="197"/>
      <c r="J155" s="12" t="s">
        <v>3233</v>
      </c>
      <c r="K155" s="12" t="s">
        <v>1182</v>
      </c>
      <c r="L155" s="12" t="s">
        <v>1657</v>
      </c>
      <c r="M155" s="6" t="s">
        <v>2734</v>
      </c>
      <c r="N155" s="12" t="s">
        <v>2085</v>
      </c>
      <c r="O155" s="28">
        <v>1150</v>
      </c>
      <c r="P155" s="219">
        <f t="shared" ref="P155" si="47">O155*0.75</f>
        <v>862.5</v>
      </c>
      <c r="Q155" s="219">
        <f t="shared" ref="Q155" si="48">D155*P155</f>
        <v>0</v>
      </c>
      <c r="R155" s="28"/>
    </row>
    <row r="156" spans="1:19" s="12" customFormat="1">
      <c r="A156" s="1" t="s">
        <v>37</v>
      </c>
      <c r="B156" s="348" t="s">
        <v>3045</v>
      </c>
      <c r="C156" s="101" t="s">
        <v>3032</v>
      </c>
      <c r="D156" s="101">
        <v>0</v>
      </c>
      <c r="G156" s="12">
        <v>20250609</v>
      </c>
      <c r="H156" s="12">
        <v>10</v>
      </c>
      <c r="I156" s="12" t="s">
        <v>3105</v>
      </c>
      <c r="K156" s="12" t="s">
        <v>3033</v>
      </c>
      <c r="L156" s="12" t="s">
        <v>3034</v>
      </c>
      <c r="N156" s="12" t="s">
        <v>3016</v>
      </c>
      <c r="O156" s="12">
        <v>1045</v>
      </c>
      <c r="P156" s="12">
        <f>O156*0.75</f>
        <v>783.75</v>
      </c>
      <c r="Q156" s="12">
        <f>D156*P156</f>
        <v>0</v>
      </c>
    </row>
    <row r="157" spans="1:19" s="6" customFormat="1">
      <c r="A157" s="12" t="s">
        <v>37</v>
      </c>
      <c r="B157" s="285">
        <v>2515120160001</v>
      </c>
      <c r="C157" s="65" t="s">
        <v>2602</v>
      </c>
      <c r="D157" s="65">
        <v>5</v>
      </c>
      <c r="E157" s="7"/>
      <c r="F157" s="6">
        <v>202404115</v>
      </c>
      <c r="G157" s="6">
        <v>20240418</v>
      </c>
      <c r="H157" s="159" t="s">
        <v>699</v>
      </c>
      <c r="I157" s="195"/>
      <c r="K157" s="12" t="s">
        <v>1050</v>
      </c>
      <c r="L157" s="12" t="s">
        <v>1693</v>
      </c>
      <c r="M157" s="6" t="s">
        <v>2332</v>
      </c>
      <c r="N157" s="12" t="s">
        <v>2333</v>
      </c>
      <c r="O157" s="28">
        <v>2370</v>
      </c>
      <c r="P157" s="219">
        <f>O157*0.75</f>
        <v>1777.5</v>
      </c>
      <c r="Q157" s="219">
        <f>D157*P157</f>
        <v>8887.5</v>
      </c>
      <c r="R157" s="28"/>
    </row>
    <row r="158" spans="1:19">
      <c r="A158" s="1" t="s">
        <v>37</v>
      </c>
      <c r="B158" s="284">
        <v>2000030360000</v>
      </c>
      <c r="C158" s="101" t="s">
        <v>2802</v>
      </c>
      <c r="D158" s="101">
        <v>8</v>
      </c>
      <c r="E158" s="12"/>
      <c r="F158" s="12">
        <v>20250227</v>
      </c>
      <c r="G158" s="12">
        <v>20250428</v>
      </c>
      <c r="H158" s="159">
        <v>10</v>
      </c>
      <c r="I158" s="191"/>
      <c r="K158" s="12" t="s">
        <v>2939</v>
      </c>
      <c r="L158" s="12" t="s">
        <v>2963</v>
      </c>
      <c r="M158" s="1" t="s">
        <v>2964</v>
      </c>
      <c r="N158" s="12" t="s">
        <v>2965</v>
      </c>
      <c r="O158" s="28">
        <v>1080</v>
      </c>
      <c r="P158" s="29">
        <f>O158*0.75</f>
        <v>810</v>
      </c>
      <c r="Q158" s="29">
        <f>D158*P158</f>
        <v>6480</v>
      </c>
      <c r="S158" s="21"/>
    </row>
    <row r="159" spans="1:19" s="6" customFormat="1">
      <c r="A159" s="6" t="s">
        <v>37</v>
      </c>
      <c r="B159" s="351">
        <v>2103400240002</v>
      </c>
      <c r="C159" s="278" t="s">
        <v>3233</v>
      </c>
      <c r="D159" s="305">
        <v>9</v>
      </c>
      <c r="E159" s="7" t="s">
        <v>3209</v>
      </c>
      <c r="F159" s="6">
        <v>20250327</v>
      </c>
      <c r="G159" s="6">
        <v>20260114</v>
      </c>
      <c r="H159" s="159" t="s">
        <v>699</v>
      </c>
      <c r="I159" s="197"/>
      <c r="J159" s="12" t="s">
        <v>2802</v>
      </c>
      <c r="K159" s="12" t="s">
        <v>1182</v>
      </c>
      <c r="L159" s="12" t="s">
        <v>1657</v>
      </c>
      <c r="M159" s="6" t="s">
        <v>3234</v>
      </c>
      <c r="N159" s="12" t="s">
        <v>3235</v>
      </c>
      <c r="O159" s="28">
        <v>1150</v>
      </c>
      <c r="P159" s="219">
        <f>O159*0.75</f>
        <v>862.5</v>
      </c>
      <c r="Q159" s="219">
        <f>D159*P159</f>
        <v>7762.5</v>
      </c>
      <c r="R159" s="28"/>
    </row>
    <row r="193" spans="15:15">
      <c r="O193" s="74"/>
    </row>
    <row r="220" spans="15:15">
      <c r="O220" s="74"/>
    </row>
    <row r="236" spans="15:15">
      <c r="O236" s="74"/>
    </row>
    <row r="239" spans="15:15">
      <c r="O239" s="74"/>
    </row>
  </sheetData>
  <autoFilter ref="A3:U122" xr:uid="{00000000-0009-0000-0000-000002000000}"/>
  <mergeCells count="2">
    <mergeCell ref="A1:J1"/>
    <mergeCell ref="B2:I2"/>
  </mergeCells>
  <phoneticPr fontId="1" type="noConversion"/>
  <conditionalFormatting sqref="A56:Q56 C109 A1:Q1 A2:B2 J2:Q2 C121 C18:C21 A19:B19 D19:Q19 A20:Q20 A6:Q10 C5 A57:B58 D57:Q58 A110:Q120 A122:Q142 C57:C59 A3:Q4 A164:Q419 A156 C156 A12:Q17 A78:Q108 A38:Q54 A74:Q76 A155:I155 K155:Q155 A144:Q152 A55:I55 A153:I153 A154:Q154 A60:Q72 A22:Q36 A157:Q158">
    <cfRule type="expression" dxfId="154" priority="100">
      <formula>CELL("ROW")=ROW()</formula>
    </cfRule>
  </conditionalFormatting>
  <conditionalFormatting sqref="A133:Q142">
    <cfRule type="expression" dxfId="153" priority="96">
      <formula>CELL("ROW")=ROW()</formula>
    </cfRule>
  </conditionalFormatting>
  <conditionalFormatting sqref="A33:Q33">
    <cfRule type="expression" dxfId="152" priority="94">
      <formula>CELL("ROW")=ROW()</formula>
    </cfRule>
  </conditionalFormatting>
  <conditionalFormatting sqref="A71:B71 D71:Q71">
    <cfRule type="expression" dxfId="151" priority="92">
      <formula>CELL("ROW")=ROW()</formula>
    </cfRule>
  </conditionalFormatting>
  <conditionalFormatting sqref="E6:F6">
    <cfRule type="expression" dxfId="150" priority="81">
      <formula>CELL("ROW")=ROW()</formula>
    </cfRule>
  </conditionalFormatting>
  <conditionalFormatting sqref="A6:B6 D6 G6:H6 J6:Q6">
    <cfRule type="expression" dxfId="149" priority="80">
      <formula>CELL("ROW")=ROW()</formula>
    </cfRule>
  </conditionalFormatting>
  <conditionalFormatting sqref="A109:B109 D109:Q109">
    <cfRule type="expression" dxfId="148" priority="77">
      <formula>CELL("ROW")=ROW()</formula>
    </cfRule>
  </conditionalFormatting>
  <conditionalFormatting sqref="A109:B109 D109:Q109">
    <cfRule type="expression" dxfId="147" priority="76">
      <formula>CELL("ROW")=ROW()</formula>
    </cfRule>
  </conditionalFormatting>
  <conditionalFormatting sqref="A18:B18 D18:Q18">
    <cfRule type="expression" dxfId="146" priority="70">
      <formula>CELL("ROW")=ROW()</formula>
    </cfRule>
  </conditionalFormatting>
  <conditionalFormatting sqref="A34:Q34">
    <cfRule type="expression" dxfId="145" priority="67">
      <formula>CELL("ROW")=ROW()</formula>
    </cfRule>
  </conditionalFormatting>
  <conditionalFormatting sqref="A21:B21 D21:Q21">
    <cfRule type="expression" dxfId="144" priority="66">
      <formula>CELL("ROW")=ROW()</formula>
    </cfRule>
  </conditionalFormatting>
  <conditionalFormatting sqref="A135:Q142">
    <cfRule type="expression" dxfId="143" priority="64">
      <formula>CELL("ROW")=ROW()</formula>
    </cfRule>
  </conditionalFormatting>
  <conditionalFormatting sqref="A128:D142 F128:I142 K128:Q142">
    <cfRule type="expression" dxfId="142" priority="61">
      <formula>CELL("ROW")=ROW()</formula>
    </cfRule>
  </conditionalFormatting>
  <conditionalFormatting sqref="E128:E142">
    <cfRule type="expression" dxfId="141" priority="60">
      <formula>CELL("ROW")=ROW()</formula>
    </cfRule>
  </conditionalFormatting>
  <conditionalFormatting sqref="A134:D142 F134:I142 K134:Q142">
    <cfRule type="expression" dxfId="140" priority="58">
      <formula>CELL("ROW")=ROW()</formula>
    </cfRule>
  </conditionalFormatting>
  <conditionalFormatting sqref="E134:E142">
    <cfRule type="expression" dxfId="139" priority="57">
      <formula>CELL("ROW")=ROW()</formula>
    </cfRule>
  </conditionalFormatting>
  <conditionalFormatting sqref="A121:B121 D121:Q121">
    <cfRule type="expression" dxfId="138" priority="53">
      <formula>CELL("ROW")=ROW()</formula>
    </cfRule>
  </conditionalFormatting>
  <conditionalFormatting sqref="A121:B121 D121:Q121">
    <cfRule type="expression" dxfId="137" priority="52">
      <formula>CELL("ROW")=ROW()</formula>
    </cfRule>
  </conditionalFormatting>
  <conditionalFormatting sqref="A121:B121 D121:Q121">
    <cfRule type="expression" dxfId="136" priority="51">
      <formula>CELL("ROW")=ROW()</formula>
    </cfRule>
  </conditionalFormatting>
  <conditionalFormatting sqref="A4:B4 D4:J4 M4:Q4">
    <cfRule type="expression" dxfId="135" priority="45">
      <formula>CELL("ROW")=ROW()</formula>
    </cfRule>
  </conditionalFormatting>
  <conditionalFormatting sqref="K4:L4">
    <cfRule type="expression" dxfId="134" priority="44">
      <formula>CELL("ROW")=ROW()</formula>
    </cfRule>
  </conditionalFormatting>
  <conditionalFormatting sqref="A129:Q142 C35">
    <cfRule type="expression" dxfId="133" priority="42">
      <formula>CELL("ROW")=ROW()</formula>
    </cfRule>
  </conditionalFormatting>
  <conditionalFormatting sqref="A35:B35 D35:Q35">
    <cfRule type="expression" dxfId="132" priority="40">
      <formula>CELL("ROW")=ROW()</formula>
    </cfRule>
  </conditionalFormatting>
  <conditionalFormatting sqref="A35:B35 D35:Q35">
    <cfRule type="expression" dxfId="131" priority="39">
      <formula>CELL("ROW")=ROW()</formula>
    </cfRule>
  </conditionalFormatting>
  <conditionalFormatting sqref="A35:B35 D35:Q35">
    <cfRule type="expression" dxfId="130" priority="38">
      <formula>CELL("ROW")=ROW()</formula>
    </cfRule>
  </conditionalFormatting>
  <conditionalFormatting sqref="A59:B59 D59:Q59">
    <cfRule type="expression" dxfId="129" priority="37">
      <formula>CELL("ROW")=ROW()</formula>
    </cfRule>
  </conditionalFormatting>
  <conditionalFormatting sqref="A11:Q12">
    <cfRule type="expression" dxfId="128" priority="33">
      <formula>CELL("ROW")=ROW()</formula>
    </cfRule>
  </conditionalFormatting>
  <conditionalFormatting sqref="A11:Q12">
    <cfRule type="expression" dxfId="127" priority="35">
      <formula>CELL("ROW")=ROW()</formula>
    </cfRule>
  </conditionalFormatting>
  <conditionalFormatting sqref="A11:Q12">
    <cfRule type="expression" dxfId="126" priority="34">
      <formula>CELL("ROW")=ROW()</formula>
    </cfRule>
  </conditionalFormatting>
  <conditionalFormatting sqref="A149:Q149">
    <cfRule type="expression" dxfId="125" priority="32">
      <formula>CELL("ROW")=ROW()</formula>
    </cfRule>
  </conditionalFormatting>
  <conditionalFormatting sqref="A148:D148 F148:I148 K148:Q148">
    <cfRule type="expression" dxfId="124" priority="29">
      <formula>CELL("ROW")=ROW()</formula>
    </cfRule>
  </conditionalFormatting>
  <conditionalFormatting sqref="E148">
    <cfRule type="expression" dxfId="123" priority="28">
      <formula>CELL("ROW")=ROW()</formula>
    </cfRule>
  </conditionalFormatting>
  <conditionalFormatting sqref="E149">
    <cfRule type="expression" dxfId="122" priority="27">
      <formula>CELL("ROW")=ROW()</formula>
    </cfRule>
  </conditionalFormatting>
  <conditionalFormatting sqref="A5:B5 D5:Q5">
    <cfRule type="expression" dxfId="121" priority="26">
      <formula>CELL("ROW")=ROW()</formula>
    </cfRule>
  </conditionalFormatting>
  <conditionalFormatting sqref="D153:Q153 D55:J55 M55:Q55">
    <cfRule type="expression" dxfId="120" priority="23">
      <formula>CELL("ROW")=ROW()</formula>
    </cfRule>
  </conditionalFormatting>
  <conditionalFormatting sqref="K153:Q153 M55:Q55">
    <cfRule type="expression" dxfId="119" priority="22">
      <formula>CELL("ROW")=ROW()</formula>
    </cfRule>
  </conditionalFormatting>
  <conditionalFormatting sqref="D153:Q153 D55:J55 M55:Q55">
    <cfRule type="expression" dxfId="118" priority="20">
      <formula>CELL("ROW")=ROW()</formula>
    </cfRule>
  </conditionalFormatting>
  <conditionalFormatting sqref="A156:B156 D156:XFD156">
    <cfRule type="expression" dxfId="117" priority="19">
      <formula>CELL("ROW")=ROW()</formula>
    </cfRule>
  </conditionalFormatting>
  <conditionalFormatting sqref="C143">
    <cfRule type="expression" dxfId="116" priority="18">
      <formula>CELL("ROW")=ROW()</formula>
    </cfRule>
  </conditionalFormatting>
  <conditionalFormatting sqref="A143:B143 D143:Q143">
    <cfRule type="expression" dxfId="115" priority="17">
      <formula>CELL("ROW")=ROW()</formula>
    </cfRule>
  </conditionalFormatting>
  <conditionalFormatting sqref="K55:L55">
    <cfRule type="expression" dxfId="114" priority="16">
      <formula>CELL("ROW")=ROW()</formula>
    </cfRule>
  </conditionalFormatting>
  <conditionalFormatting sqref="A77:Q77">
    <cfRule type="expression" dxfId="113" priority="6">
      <formula>CELL("ROW")=ROW()</formula>
    </cfRule>
  </conditionalFormatting>
  <conditionalFormatting sqref="A37:Q37">
    <cfRule type="expression" dxfId="112" priority="5">
      <formula>CELL("ROW")=ROW()</formula>
    </cfRule>
  </conditionalFormatting>
  <conditionalFormatting sqref="A159:Q159">
    <cfRule type="expression" dxfId="111" priority="4">
      <formula>CELL("ROW")=ROW()</formula>
    </cfRule>
  </conditionalFormatting>
  <conditionalFormatting sqref="J155">
    <cfRule type="expression" dxfId="110" priority="3">
      <formula>CELL("ROW")=ROW()</formula>
    </cfRule>
  </conditionalFormatting>
  <conditionalFormatting sqref="A73:L73 N73:Q73">
    <cfRule type="expression" dxfId="109" priority="2">
      <formula>CELL("ROW")=ROW()</formula>
    </cfRule>
  </conditionalFormatting>
  <conditionalFormatting sqref="M73">
    <cfRule type="expression" dxfId="108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tabColor theme="2" tint="-0.249977111117893"/>
  </sheetPr>
  <dimension ref="A1:S271"/>
  <sheetViews>
    <sheetView zoomScaleNormal="100" workbookViewId="0">
      <pane ySplit="3" topLeftCell="A137" activePane="bottomLeft" state="frozen"/>
      <selection pane="bottomLeft" activeCell="I152" sqref="I152"/>
    </sheetView>
  </sheetViews>
  <sheetFormatPr defaultColWidth="9" defaultRowHeight="16.2"/>
  <cols>
    <col min="1" max="1" width="12.21875" style="80" customWidth="1"/>
    <col min="2" max="2" width="19.88671875" style="1" bestFit="1" customWidth="1"/>
    <col min="3" max="3" width="15.88671875" style="1" bestFit="1" customWidth="1"/>
    <col min="4" max="4" width="10.44140625" style="1" bestFit="1" customWidth="1"/>
    <col min="5" max="5" width="12.109375" style="1" customWidth="1"/>
    <col min="6" max="6" width="10.33203125" style="1" customWidth="1"/>
    <col min="7" max="7" width="11.109375" style="1" customWidth="1"/>
    <col min="8" max="8" width="11.109375" style="163" customWidth="1"/>
    <col min="9" max="9" width="21" style="1" customWidth="1"/>
    <col min="10" max="10" width="17.44140625" style="12" customWidth="1"/>
    <col min="11" max="11" width="23.21875" style="12" customWidth="1"/>
    <col min="12" max="12" width="21" style="12" customWidth="1"/>
    <col min="13" max="13" width="14" style="1" customWidth="1"/>
    <col min="14" max="14" width="13.88671875" style="12" bestFit="1" customWidth="1"/>
    <col min="15" max="15" width="10.44140625" style="28" customWidth="1"/>
    <col min="16" max="16" width="10.6640625" style="27" bestFit="1" customWidth="1"/>
    <col min="17" max="17" width="11.109375" style="27" customWidth="1"/>
    <col min="18" max="18" width="13" style="27" bestFit="1" customWidth="1"/>
    <col min="19" max="19" width="13.6640625" style="1" bestFit="1" customWidth="1"/>
    <col min="20" max="20" width="8.88671875" style="1" customWidth="1"/>
    <col min="21" max="21" width="9" style="1" customWidth="1"/>
    <col min="22" max="27" width="7.6640625" style="1" customWidth="1"/>
    <col min="28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1751</v>
      </c>
      <c r="M2" s="143" t="s">
        <v>1000</v>
      </c>
    </row>
    <row r="3" spans="1:19" ht="36" customHeight="1">
      <c r="A3" s="14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1020</v>
      </c>
      <c r="L3" s="4" t="s">
        <v>1021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80" t="s">
        <v>406</v>
      </c>
      <c r="B4" s="18" t="s">
        <v>2587</v>
      </c>
      <c r="C4" s="1" t="s">
        <v>2287</v>
      </c>
      <c r="D4" s="1">
        <v>2</v>
      </c>
      <c r="E4" s="110"/>
      <c r="G4" s="1">
        <v>20191022</v>
      </c>
      <c r="H4" s="159" t="s">
        <v>699</v>
      </c>
      <c r="J4" s="12" t="s">
        <v>2076</v>
      </c>
      <c r="K4" s="12" t="s">
        <v>1022</v>
      </c>
      <c r="L4" s="7" t="s">
        <v>1743</v>
      </c>
      <c r="N4" s="4" t="s">
        <v>872</v>
      </c>
      <c r="O4" s="28">
        <v>0</v>
      </c>
      <c r="P4" s="28">
        <f t="shared" ref="P4:P70" si="0">O4*0.75</f>
        <v>0</v>
      </c>
      <c r="Q4" s="28">
        <f t="shared" ref="Q4:Q70" si="1">D4*P4</f>
        <v>0</v>
      </c>
      <c r="R4" s="205" t="s">
        <v>2211</v>
      </c>
    </row>
    <row r="5" spans="1:19" ht="16.8" thickBot="1">
      <c r="A5" s="80" t="s">
        <v>406</v>
      </c>
      <c r="B5" s="18" t="s">
        <v>2611</v>
      </c>
      <c r="C5" s="1" t="s">
        <v>2612</v>
      </c>
      <c r="D5" s="1">
        <v>5</v>
      </c>
      <c r="E5" s="110"/>
      <c r="G5" s="1">
        <v>20240926</v>
      </c>
      <c r="H5" s="159">
        <v>10</v>
      </c>
      <c r="I5" s="201" t="s">
        <v>2614</v>
      </c>
      <c r="K5" s="12" t="s">
        <v>2613</v>
      </c>
      <c r="L5" s="7" t="s">
        <v>1676</v>
      </c>
      <c r="N5" s="4"/>
      <c r="O5" s="28">
        <v>0</v>
      </c>
      <c r="P5" s="28">
        <f t="shared" ref="P5" si="2">O5*0.75</f>
        <v>0</v>
      </c>
      <c r="Q5" s="28">
        <f t="shared" ref="Q5" si="3">D5*P5</f>
        <v>0</v>
      </c>
      <c r="R5" s="205" t="s">
        <v>2211</v>
      </c>
    </row>
    <row r="6" spans="1:19">
      <c r="A6" s="1" t="s">
        <v>36</v>
      </c>
      <c r="B6" s="192" t="s">
        <v>1882</v>
      </c>
      <c r="C6" s="177" t="s">
        <v>2609</v>
      </c>
      <c r="D6" s="177">
        <v>10</v>
      </c>
      <c r="E6" s="178" t="s">
        <v>2273</v>
      </c>
      <c r="F6" s="177"/>
      <c r="G6" s="177">
        <v>20230922</v>
      </c>
      <c r="H6" s="179">
        <v>10</v>
      </c>
      <c r="I6" s="177" t="s">
        <v>1885</v>
      </c>
      <c r="J6" s="242" t="s">
        <v>1888</v>
      </c>
      <c r="K6" s="12" t="s">
        <v>1024</v>
      </c>
      <c r="L6" s="12" t="s">
        <v>1028</v>
      </c>
      <c r="O6" s="28">
        <v>1320</v>
      </c>
      <c r="P6" s="28">
        <f t="shared" ref="P6:P12" si="4">O6*0.75</f>
        <v>990</v>
      </c>
      <c r="Q6" s="28">
        <f t="shared" ref="Q6:Q12" si="5">D6*P6</f>
        <v>9900</v>
      </c>
      <c r="R6" s="28"/>
    </row>
    <row r="7" spans="1:19">
      <c r="A7" s="1" t="s">
        <v>36</v>
      </c>
      <c r="B7" s="180" t="s">
        <v>1883</v>
      </c>
      <c r="C7" s="1" t="s">
        <v>2608</v>
      </c>
      <c r="D7" s="1">
        <v>12</v>
      </c>
      <c r="E7" s="7"/>
      <c r="G7" s="1">
        <v>20230922</v>
      </c>
      <c r="H7" s="159">
        <v>10</v>
      </c>
      <c r="I7" s="1" t="s">
        <v>1885</v>
      </c>
      <c r="J7" s="181" t="s">
        <v>1887</v>
      </c>
      <c r="K7" s="12" t="s">
        <v>1050</v>
      </c>
      <c r="L7" s="12" t="s">
        <v>1053</v>
      </c>
      <c r="O7" s="28">
        <v>935</v>
      </c>
      <c r="P7" s="28">
        <f t="shared" si="4"/>
        <v>701.25</v>
      </c>
      <c r="Q7" s="28">
        <f t="shared" si="5"/>
        <v>8415</v>
      </c>
      <c r="R7" s="28"/>
    </row>
    <row r="8" spans="1:19" ht="16.8" thickBot="1">
      <c r="A8" s="1" t="s">
        <v>36</v>
      </c>
      <c r="B8" s="182" t="s">
        <v>1884</v>
      </c>
      <c r="C8" s="183" t="s">
        <v>2608</v>
      </c>
      <c r="D8" s="183">
        <v>9</v>
      </c>
      <c r="E8" s="184" t="s">
        <v>2275</v>
      </c>
      <c r="F8" s="183"/>
      <c r="G8" s="183">
        <v>20230922</v>
      </c>
      <c r="H8" s="185">
        <v>10</v>
      </c>
      <c r="I8" s="183" t="s">
        <v>3250</v>
      </c>
      <c r="J8" s="344" t="s">
        <v>3189</v>
      </c>
      <c r="K8" s="12" t="s">
        <v>1047</v>
      </c>
      <c r="L8" s="12" t="s">
        <v>1049</v>
      </c>
      <c r="O8" s="28">
        <v>857</v>
      </c>
      <c r="P8" s="28">
        <f t="shared" si="4"/>
        <v>642.75</v>
      </c>
      <c r="Q8" s="28">
        <f t="shared" si="5"/>
        <v>5784.75</v>
      </c>
      <c r="R8" s="28"/>
    </row>
    <row r="9" spans="1:19">
      <c r="A9" s="1" t="s">
        <v>36</v>
      </c>
      <c r="B9" s="192" t="s">
        <v>2152</v>
      </c>
      <c r="C9" s="177" t="s">
        <v>2608</v>
      </c>
      <c r="D9" s="177">
        <v>5</v>
      </c>
      <c r="E9" s="178"/>
      <c r="F9" s="177">
        <v>20230920</v>
      </c>
      <c r="G9" s="177">
        <v>23231214</v>
      </c>
      <c r="H9" s="179">
        <v>10</v>
      </c>
      <c r="I9" s="386" t="s">
        <v>2213</v>
      </c>
      <c r="J9" s="388"/>
      <c r="K9" s="12" t="s">
        <v>2157</v>
      </c>
      <c r="L9" s="12" t="s">
        <v>2158</v>
      </c>
      <c r="M9" s="1" t="s">
        <v>2171</v>
      </c>
      <c r="N9" s="361" t="s">
        <v>2170</v>
      </c>
      <c r="O9" s="28">
        <v>2060</v>
      </c>
      <c r="P9" s="28">
        <f t="shared" si="4"/>
        <v>1545</v>
      </c>
      <c r="Q9" s="28">
        <f t="shared" si="5"/>
        <v>7725</v>
      </c>
      <c r="R9" s="28"/>
    </row>
    <row r="10" spans="1:19" ht="16.8" thickBot="1">
      <c r="A10" s="1" t="s">
        <v>36</v>
      </c>
      <c r="B10" s="182" t="s">
        <v>2153</v>
      </c>
      <c r="C10" s="183" t="s">
        <v>2608</v>
      </c>
      <c r="D10" s="183">
        <v>5</v>
      </c>
      <c r="E10" s="184"/>
      <c r="F10" s="183">
        <v>20231113</v>
      </c>
      <c r="G10" s="183">
        <v>20231214</v>
      </c>
      <c r="H10" s="185">
        <v>10</v>
      </c>
      <c r="I10" s="387"/>
      <c r="J10" s="389"/>
      <c r="K10" s="12" t="s">
        <v>2157</v>
      </c>
      <c r="L10" s="12" t="s">
        <v>2159</v>
      </c>
      <c r="M10" s="1" t="s">
        <v>2172</v>
      </c>
      <c r="N10" s="361"/>
      <c r="O10" s="28">
        <v>2200</v>
      </c>
      <c r="P10" s="28">
        <f t="shared" si="4"/>
        <v>1650</v>
      </c>
      <c r="Q10" s="28">
        <f t="shared" si="5"/>
        <v>8250</v>
      </c>
      <c r="R10" s="28"/>
    </row>
    <row r="11" spans="1:19">
      <c r="A11" s="1" t="s">
        <v>36</v>
      </c>
      <c r="B11" s="192" t="s">
        <v>2154</v>
      </c>
      <c r="C11" s="177" t="s">
        <v>2608</v>
      </c>
      <c r="D11" s="177">
        <v>5</v>
      </c>
      <c r="E11" s="178"/>
      <c r="F11" s="177">
        <v>20231113</v>
      </c>
      <c r="G11" s="177">
        <v>20231214</v>
      </c>
      <c r="H11" s="179">
        <v>10</v>
      </c>
      <c r="I11" s="386" t="s">
        <v>2214</v>
      </c>
      <c r="J11" s="388"/>
      <c r="K11" s="12" t="s">
        <v>2162</v>
      </c>
      <c r="L11" s="12" t="s">
        <v>2161</v>
      </c>
      <c r="M11" s="1" t="s">
        <v>2173</v>
      </c>
      <c r="N11" s="361" t="s">
        <v>2170</v>
      </c>
      <c r="O11" s="28">
        <v>2090</v>
      </c>
      <c r="P11" s="28">
        <f t="shared" si="4"/>
        <v>1567.5</v>
      </c>
      <c r="Q11" s="28">
        <f t="shared" si="5"/>
        <v>7837.5</v>
      </c>
      <c r="R11" s="28"/>
    </row>
    <row r="12" spans="1:19" ht="16.8" thickBot="1">
      <c r="A12" s="1" t="s">
        <v>36</v>
      </c>
      <c r="B12" s="182" t="s">
        <v>2160</v>
      </c>
      <c r="C12" s="183" t="s">
        <v>2608</v>
      </c>
      <c r="D12" s="183">
        <v>5</v>
      </c>
      <c r="E12" s="184"/>
      <c r="F12" s="183">
        <v>20230920</v>
      </c>
      <c r="G12" s="183">
        <v>20231214</v>
      </c>
      <c r="H12" s="185">
        <v>10</v>
      </c>
      <c r="I12" s="387"/>
      <c r="J12" s="389"/>
      <c r="K12" s="12" t="s">
        <v>2155</v>
      </c>
      <c r="L12" s="12" t="s">
        <v>2156</v>
      </c>
      <c r="M12" s="1" t="s">
        <v>2174</v>
      </c>
      <c r="N12" s="361"/>
      <c r="O12" s="28">
        <v>2190</v>
      </c>
      <c r="P12" s="28">
        <f t="shared" si="4"/>
        <v>1642.5</v>
      </c>
      <c r="Q12" s="28">
        <f t="shared" si="5"/>
        <v>8212.5</v>
      </c>
      <c r="R12" s="28"/>
    </row>
    <row r="13" spans="1:19" s="6" customFormat="1">
      <c r="A13" s="202" t="s">
        <v>36</v>
      </c>
      <c r="B13" s="66" t="s">
        <v>2362</v>
      </c>
      <c r="C13" s="1" t="s">
        <v>2610</v>
      </c>
      <c r="D13" s="12">
        <v>10</v>
      </c>
      <c r="E13" s="7" t="s">
        <v>1008</v>
      </c>
      <c r="F13" s="6">
        <v>20240923</v>
      </c>
      <c r="G13" s="6">
        <v>20250116</v>
      </c>
      <c r="H13" s="159" t="s">
        <v>699</v>
      </c>
      <c r="I13" s="7"/>
      <c r="J13" s="84" t="s">
        <v>2821</v>
      </c>
      <c r="K13" s="12" t="s">
        <v>1071</v>
      </c>
      <c r="L13" s="12" t="s">
        <v>1084</v>
      </c>
      <c r="M13" s="6" t="s">
        <v>2818</v>
      </c>
      <c r="N13" s="12" t="s">
        <v>2819</v>
      </c>
      <c r="O13" s="74">
        <v>2035</v>
      </c>
      <c r="P13" s="28">
        <f t="shared" ref="P13" si="6">O13*0.75</f>
        <v>1526.25</v>
      </c>
      <c r="Q13" s="28">
        <f t="shared" ref="Q13" si="7">D13*P13</f>
        <v>15262.5</v>
      </c>
      <c r="R13" s="28"/>
    </row>
    <row r="14" spans="1:19" ht="16.8" thickBot="1">
      <c r="A14" s="80" t="s">
        <v>36</v>
      </c>
      <c r="B14" s="21" t="s">
        <v>3245</v>
      </c>
      <c r="C14" s="1" t="s">
        <v>2610</v>
      </c>
      <c r="D14" s="1">
        <v>89</v>
      </c>
      <c r="F14" s="1">
        <v>20230520</v>
      </c>
      <c r="G14" s="1">
        <v>20230720</v>
      </c>
      <c r="H14" s="159" t="s">
        <v>699</v>
      </c>
      <c r="I14" s="21" t="s">
        <v>3252</v>
      </c>
      <c r="K14" s="12" t="s">
        <v>1050</v>
      </c>
      <c r="L14" s="12" t="s">
        <v>1035</v>
      </c>
      <c r="M14" s="1" t="s">
        <v>992</v>
      </c>
      <c r="O14" s="74">
        <v>660</v>
      </c>
      <c r="P14" s="28">
        <f t="shared" ref="P14:P20" si="8">O14*0.75</f>
        <v>495</v>
      </c>
      <c r="Q14" s="28">
        <f t="shared" ref="Q14:Q20" si="9">D14*P14</f>
        <v>44055</v>
      </c>
      <c r="R14" s="28"/>
    </row>
    <row r="15" spans="1:19" s="6" customFormat="1">
      <c r="A15" s="6" t="s">
        <v>36</v>
      </c>
      <c r="B15" s="318" t="s">
        <v>785</v>
      </c>
      <c r="C15" s="177" t="s">
        <v>2610</v>
      </c>
      <c r="D15" s="319">
        <v>15</v>
      </c>
      <c r="E15" s="7"/>
      <c r="F15" s="6">
        <v>20231215</v>
      </c>
      <c r="G15" s="6">
        <v>20240514</v>
      </c>
      <c r="H15" s="159">
        <v>10</v>
      </c>
      <c r="J15" s="12"/>
      <c r="K15" s="12" t="s">
        <v>1074</v>
      </c>
      <c r="L15" s="12" t="s">
        <v>1073</v>
      </c>
      <c r="M15" s="6" t="s">
        <v>2372</v>
      </c>
      <c r="N15" s="12" t="s">
        <v>2373</v>
      </c>
      <c r="O15" s="74">
        <v>880</v>
      </c>
      <c r="P15" s="28">
        <f t="shared" si="8"/>
        <v>660</v>
      </c>
      <c r="Q15" s="28">
        <f t="shared" si="9"/>
        <v>9900</v>
      </c>
      <c r="R15" s="28"/>
    </row>
    <row r="16" spans="1:19" s="6" customFormat="1" ht="16.8" thickBot="1">
      <c r="A16" s="6" t="s">
        <v>36</v>
      </c>
      <c r="B16" s="320" t="s">
        <v>785</v>
      </c>
      <c r="C16" s="183" t="s">
        <v>2610</v>
      </c>
      <c r="D16" s="321">
        <v>10</v>
      </c>
      <c r="E16" s="7"/>
      <c r="G16" s="6">
        <v>20240516</v>
      </c>
      <c r="H16" s="159">
        <v>10</v>
      </c>
      <c r="J16" s="12"/>
      <c r="K16" s="12" t="s">
        <v>1074</v>
      </c>
      <c r="L16" s="12" t="s">
        <v>1073</v>
      </c>
      <c r="N16" s="12" t="s">
        <v>2402</v>
      </c>
      <c r="O16" s="74">
        <v>880</v>
      </c>
      <c r="P16" s="28">
        <f t="shared" si="8"/>
        <v>660</v>
      </c>
      <c r="Q16" s="28">
        <f t="shared" si="9"/>
        <v>6600</v>
      </c>
      <c r="R16" s="28"/>
    </row>
    <row r="17" spans="1:18" s="6" customFormat="1">
      <c r="A17" s="6" t="s">
        <v>36</v>
      </c>
      <c r="B17" s="318" t="s">
        <v>2937</v>
      </c>
      <c r="C17" s="177" t="s">
        <v>2938</v>
      </c>
      <c r="D17" s="319">
        <v>33</v>
      </c>
      <c r="E17" s="7" t="s">
        <v>3130</v>
      </c>
      <c r="F17" s="6">
        <v>20250204</v>
      </c>
      <c r="G17" s="6">
        <v>20250428</v>
      </c>
      <c r="H17" s="159">
        <v>10</v>
      </c>
      <c r="J17" s="12"/>
      <c r="K17" s="12" t="s">
        <v>2939</v>
      </c>
      <c r="L17" s="12" t="s">
        <v>2940</v>
      </c>
      <c r="M17" s="6" t="s">
        <v>2941</v>
      </c>
      <c r="N17" s="12" t="s">
        <v>2942</v>
      </c>
      <c r="O17" s="74">
        <v>550</v>
      </c>
      <c r="P17" s="28">
        <f t="shared" si="8"/>
        <v>412.5</v>
      </c>
      <c r="Q17" s="28">
        <f t="shared" si="9"/>
        <v>13612.5</v>
      </c>
      <c r="R17" s="28"/>
    </row>
    <row r="18" spans="1:18" s="6" customFormat="1" ht="16.8" thickBot="1">
      <c r="A18" s="6" t="s">
        <v>36</v>
      </c>
      <c r="B18" s="320" t="s">
        <v>2937</v>
      </c>
      <c r="C18" s="183" t="s">
        <v>2938</v>
      </c>
      <c r="D18" s="321">
        <v>50</v>
      </c>
      <c r="E18" s="7" t="s">
        <v>3130</v>
      </c>
      <c r="F18" s="6">
        <v>20250429</v>
      </c>
      <c r="G18" s="6">
        <v>20260114</v>
      </c>
      <c r="H18" s="159">
        <v>10</v>
      </c>
      <c r="J18" s="12"/>
      <c r="K18" s="12" t="s">
        <v>1050</v>
      </c>
      <c r="L18" s="12" t="s">
        <v>2940</v>
      </c>
      <c r="M18" s="6" t="s">
        <v>3131</v>
      </c>
      <c r="N18" s="12" t="s">
        <v>3132</v>
      </c>
      <c r="O18" s="74">
        <v>550</v>
      </c>
      <c r="P18" s="28">
        <f t="shared" ref="P18" si="10">O18*0.75</f>
        <v>412.5</v>
      </c>
      <c r="Q18" s="28">
        <f t="shared" ref="Q18" si="11">D18*P18</f>
        <v>20625</v>
      </c>
      <c r="R18" s="28"/>
    </row>
    <row r="19" spans="1:18" s="6" customFormat="1" ht="32.4">
      <c r="A19" s="202" t="s">
        <v>36</v>
      </c>
      <c r="B19" s="12" t="s">
        <v>2968</v>
      </c>
      <c r="C19" s="1" t="s">
        <v>2938</v>
      </c>
      <c r="D19" s="6">
        <v>52</v>
      </c>
      <c r="E19" s="7" t="s">
        <v>3170</v>
      </c>
      <c r="F19" s="6">
        <v>20250225</v>
      </c>
      <c r="G19" s="6">
        <v>20250428</v>
      </c>
      <c r="H19" s="159">
        <v>10</v>
      </c>
      <c r="J19" s="12" t="s">
        <v>3174</v>
      </c>
      <c r="K19" s="12" t="s">
        <v>2939</v>
      </c>
      <c r="L19" s="12" t="s">
        <v>2971</v>
      </c>
      <c r="M19" s="6" t="s">
        <v>2969</v>
      </c>
      <c r="N19" s="66" t="s">
        <v>2970</v>
      </c>
      <c r="O19" s="74">
        <v>660</v>
      </c>
      <c r="P19" s="28">
        <f t="shared" si="8"/>
        <v>495</v>
      </c>
      <c r="Q19" s="28">
        <f t="shared" si="9"/>
        <v>25740</v>
      </c>
      <c r="R19" s="28"/>
    </row>
    <row r="20" spans="1:18" s="6" customFormat="1" ht="48.6">
      <c r="A20" s="202" t="s">
        <v>36</v>
      </c>
      <c r="B20" s="12" t="s">
        <v>2948</v>
      </c>
      <c r="C20" s="1" t="s">
        <v>2949</v>
      </c>
      <c r="D20" s="6">
        <v>99</v>
      </c>
      <c r="E20" s="7"/>
      <c r="F20" s="6">
        <v>20241226</v>
      </c>
      <c r="G20" s="6">
        <v>20250428</v>
      </c>
      <c r="H20" s="159">
        <v>10</v>
      </c>
      <c r="J20" s="12"/>
      <c r="K20" s="12" t="s">
        <v>1047</v>
      </c>
      <c r="L20" s="12" t="s">
        <v>2950</v>
      </c>
      <c r="M20" s="6" t="s">
        <v>2951</v>
      </c>
      <c r="N20" s="66" t="s">
        <v>2967</v>
      </c>
      <c r="O20" s="74">
        <v>1050</v>
      </c>
      <c r="P20" s="28">
        <f t="shared" si="8"/>
        <v>787.5</v>
      </c>
      <c r="Q20" s="28">
        <f t="shared" si="9"/>
        <v>77962.5</v>
      </c>
      <c r="R20" s="28"/>
    </row>
    <row r="21" spans="1:18">
      <c r="A21" s="80" t="s">
        <v>36</v>
      </c>
      <c r="B21" s="1" t="s">
        <v>979</v>
      </c>
      <c r="C21" s="1" t="s">
        <v>2582</v>
      </c>
      <c r="D21" s="1">
        <v>87</v>
      </c>
      <c r="E21" s="7" t="s">
        <v>2274</v>
      </c>
      <c r="F21" s="1">
        <v>20230513</v>
      </c>
      <c r="G21" s="1">
        <v>20230713</v>
      </c>
      <c r="H21" s="159" t="s">
        <v>699</v>
      </c>
      <c r="J21" s="7" t="s">
        <v>3201</v>
      </c>
      <c r="K21" s="12" t="s">
        <v>1047</v>
      </c>
      <c r="L21" s="12" t="s">
        <v>1049</v>
      </c>
      <c r="M21" s="1" t="s">
        <v>980</v>
      </c>
      <c r="N21" s="12" t="s">
        <v>982</v>
      </c>
      <c r="O21" s="28">
        <v>857</v>
      </c>
      <c r="P21" s="28">
        <f t="shared" si="0"/>
        <v>642.75</v>
      </c>
      <c r="Q21" s="28">
        <f t="shared" si="1"/>
        <v>55919.25</v>
      </c>
    </row>
    <row r="22" spans="1:18">
      <c r="A22" s="80" t="s">
        <v>36</v>
      </c>
      <c r="B22" s="186" t="s">
        <v>671</v>
      </c>
      <c r="C22" s="368" t="s">
        <v>2582</v>
      </c>
      <c r="D22" s="96">
        <v>30</v>
      </c>
      <c r="E22" s="384"/>
      <c r="F22" s="13">
        <v>20231110</v>
      </c>
      <c r="G22" s="13">
        <v>20231120</v>
      </c>
      <c r="H22" s="160" t="s">
        <v>699</v>
      </c>
      <c r="I22" s="357" t="s">
        <v>323</v>
      </c>
      <c r="K22" s="12" t="s">
        <v>1024</v>
      </c>
      <c r="L22" s="12" t="s">
        <v>1060</v>
      </c>
      <c r="O22" s="74">
        <v>1370</v>
      </c>
      <c r="P22" s="28">
        <f t="shared" si="0"/>
        <v>1027.5</v>
      </c>
      <c r="Q22" s="28">
        <f t="shared" si="1"/>
        <v>30825</v>
      </c>
      <c r="R22" s="28"/>
    </row>
    <row r="23" spans="1:18">
      <c r="A23" s="80" t="s">
        <v>36</v>
      </c>
      <c r="B23" s="130" t="s">
        <v>672</v>
      </c>
      <c r="C23" s="369"/>
      <c r="D23" s="64">
        <v>30</v>
      </c>
      <c r="E23" s="385"/>
      <c r="F23" s="14">
        <v>20231110</v>
      </c>
      <c r="G23" s="14">
        <v>20231120</v>
      </c>
      <c r="H23" s="161" t="s">
        <v>699</v>
      </c>
      <c r="I23" s="358"/>
      <c r="K23" s="12" t="s">
        <v>1024</v>
      </c>
      <c r="L23" s="12" t="s">
        <v>1061</v>
      </c>
      <c r="M23" s="1" t="s">
        <v>2078</v>
      </c>
      <c r="O23" s="74">
        <v>1320</v>
      </c>
      <c r="P23" s="28">
        <f t="shared" si="0"/>
        <v>990</v>
      </c>
      <c r="Q23" s="28">
        <f t="shared" si="1"/>
        <v>29700</v>
      </c>
      <c r="R23" s="28"/>
    </row>
    <row r="24" spans="1:18" s="6" customFormat="1">
      <c r="A24" s="202" t="s">
        <v>36</v>
      </c>
      <c r="B24" s="12" t="s">
        <v>918</v>
      </c>
      <c r="C24" s="6" t="s">
        <v>2582</v>
      </c>
      <c r="D24" s="6">
        <v>21</v>
      </c>
      <c r="E24" s="7"/>
      <c r="F24" s="6">
        <v>20240324</v>
      </c>
      <c r="G24" s="6">
        <v>20240805</v>
      </c>
      <c r="H24" s="159" t="s">
        <v>699</v>
      </c>
      <c r="J24" s="12" t="s">
        <v>2543</v>
      </c>
      <c r="K24" s="12" t="s">
        <v>1062</v>
      </c>
      <c r="L24" s="12" t="s">
        <v>1063</v>
      </c>
      <c r="M24" s="6" t="s">
        <v>2535</v>
      </c>
      <c r="N24" s="12" t="s">
        <v>2069</v>
      </c>
      <c r="O24" s="74">
        <v>1860</v>
      </c>
      <c r="P24" s="28">
        <f t="shared" ref="P24:P29" si="12">O24*0.75</f>
        <v>1395</v>
      </c>
      <c r="Q24" s="28">
        <f>D24*P24</f>
        <v>29295</v>
      </c>
      <c r="R24" s="28"/>
    </row>
    <row r="25" spans="1:18" s="6" customFormat="1">
      <c r="A25" s="202" t="s">
        <v>36</v>
      </c>
      <c r="B25" s="12" t="s">
        <v>978</v>
      </c>
      <c r="C25" s="6" t="s">
        <v>2582</v>
      </c>
      <c r="D25" s="6">
        <v>5</v>
      </c>
      <c r="E25" s="7"/>
      <c r="F25" s="6">
        <v>20240923</v>
      </c>
      <c r="G25" s="6">
        <v>20250106</v>
      </c>
      <c r="H25" s="159" t="s">
        <v>699</v>
      </c>
      <c r="J25" s="12"/>
      <c r="K25" s="12" t="s">
        <v>1071</v>
      </c>
      <c r="L25" s="12" t="s">
        <v>1072</v>
      </c>
      <c r="M25" s="6" t="s">
        <v>2791</v>
      </c>
      <c r="N25" s="12" t="s">
        <v>2783</v>
      </c>
      <c r="O25" s="74">
        <v>2060</v>
      </c>
      <c r="P25" s="28">
        <f t="shared" si="12"/>
        <v>1545</v>
      </c>
      <c r="Q25" s="28">
        <f>D25*P25</f>
        <v>7725</v>
      </c>
      <c r="R25" s="28"/>
    </row>
    <row r="26" spans="1:18" s="6" customFormat="1">
      <c r="A26" s="202" t="s">
        <v>36</v>
      </c>
      <c r="B26" s="186" t="s">
        <v>1870</v>
      </c>
      <c r="C26" s="96" t="s">
        <v>2582</v>
      </c>
      <c r="D26" s="368">
        <v>4</v>
      </c>
      <c r="E26" s="368"/>
      <c r="F26" s="96">
        <v>20240807</v>
      </c>
      <c r="G26" s="96">
        <v>20241014</v>
      </c>
      <c r="H26" s="160">
        <v>10</v>
      </c>
      <c r="I26" s="380" t="s">
        <v>2719</v>
      </c>
      <c r="J26" s="12"/>
      <c r="K26" s="12" t="s">
        <v>1872</v>
      </c>
      <c r="L26" s="12" t="s">
        <v>1871</v>
      </c>
      <c r="N26" s="392" t="s">
        <v>2800</v>
      </c>
      <c r="O26" s="74">
        <v>2068</v>
      </c>
      <c r="P26" s="28">
        <f t="shared" ref="P26:P27" si="13">O26*0.75</f>
        <v>1551</v>
      </c>
      <c r="Q26" s="28">
        <f t="shared" ref="Q26:Q27" si="14">D26*P26</f>
        <v>6204</v>
      </c>
      <c r="R26" s="32"/>
    </row>
    <row r="27" spans="1:18" s="6" customFormat="1">
      <c r="A27" s="202" t="s">
        <v>36</v>
      </c>
      <c r="B27" s="130" t="s">
        <v>468</v>
      </c>
      <c r="C27" s="64" t="s">
        <v>2582</v>
      </c>
      <c r="D27" s="369"/>
      <c r="E27" s="369"/>
      <c r="F27" s="64">
        <v>20240807</v>
      </c>
      <c r="G27" s="64">
        <v>20241014</v>
      </c>
      <c r="H27" s="161">
        <v>10</v>
      </c>
      <c r="I27" s="381"/>
      <c r="J27" s="12"/>
      <c r="K27" s="12" t="s">
        <v>1869</v>
      </c>
      <c r="L27" s="12" t="s">
        <v>2553</v>
      </c>
      <c r="N27" s="361"/>
      <c r="O27" s="74">
        <v>2475</v>
      </c>
      <c r="P27" s="28">
        <f t="shared" si="13"/>
        <v>1856.25</v>
      </c>
      <c r="Q27" s="28">
        <f t="shared" si="14"/>
        <v>0</v>
      </c>
      <c r="R27" s="32"/>
    </row>
    <row r="28" spans="1:18" s="6" customFormat="1">
      <c r="A28" s="202" t="s">
        <v>36</v>
      </c>
      <c r="B28" s="12" t="s">
        <v>2763</v>
      </c>
      <c r="C28" s="6" t="s">
        <v>2764</v>
      </c>
      <c r="D28" s="6">
        <v>1</v>
      </c>
      <c r="E28" s="7"/>
      <c r="G28" s="6">
        <v>20250103</v>
      </c>
      <c r="H28" s="159">
        <v>10</v>
      </c>
      <c r="J28" s="12"/>
      <c r="K28" s="12" t="s">
        <v>2765</v>
      </c>
      <c r="L28" s="12" t="s">
        <v>1676</v>
      </c>
      <c r="N28" s="12"/>
      <c r="O28" s="74">
        <v>0</v>
      </c>
      <c r="P28" s="28">
        <f t="shared" si="12"/>
        <v>0</v>
      </c>
      <c r="Q28" s="28">
        <f>D28*P28</f>
        <v>0</v>
      </c>
      <c r="R28" s="205" t="s">
        <v>2211</v>
      </c>
    </row>
    <row r="29" spans="1:18">
      <c r="A29" s="80" t="s">
        <v>36</v>
      </c>
      <c r="B29" s="1" t="s">
        <v>3254</v>
      </c>
      <c r="C29" s="1" t="s">
        <v>2693</v>
      </c>
      <c r="D29" s="1">
        <v>5</v>
      </c>
      <c r="E29" s="7"/>
      <c r="G29" s="1">
        <v>20240930</v>
      </c>
      <c r="H29" s="159" t="s">
        <v>699</v>
      </c>
      <c r="K29" s="12" t="s">
        <v>1034</v>
      </c>
      <c r="L29" s="12" t="s">
        <v>1070</v>
      </c>
      <c r="O29" s="28">
        <v>1298</v>
      </c>
      <c r="P29" s="28">
        <f t="shared" si="12"/>
        <v>973.5</v>
      </c>
      <c r="Q29" s="28">
        <f t="shared" ref="Q29" si="15">D29*P29</f>
        <v>4867.5</v>
      </c>
    </row>
    <row r="30" spans="1:18" s="6" customFormat="1">
      <c r="A30" s="6" t="s">
        <v>36</v>
      </c>
      <c r="B30" s="99" t="s">
        <v>2086</v>
      </c>
      <c r="C30" s="1" t="s">
        <v>2708</v>
      </c>
      <c r="D30" s="12">
        <v>11</v>
      </c>
      <c r="E30" s="7"/>
      <c r="F30" s="6">
        <v>20241023</v>
      </c>
      <c r="G30" s="6">
        <v>20250106</v>
      </c>
      <c r="H30" s="159">
        <v>10</v>
      </c>
      <c r="J30" s="12"/>
      <c r="K30" s="12" t="s">
        <v>1062</v>
      </c>
      <c r="L30" s="12" t="s">
        <v>2087</v>
      </c>
      <c r="M30" s="6" t="s">
        <v>2790</v>
      </c>
      <c r="N30" s="12"/>
      <c r="O30" s="154">
        <v>1991</v>
      </c>
      <c r="P30" s="32">
        <f t="shared" ref="P30:P33" si="16">O30*0.75</f>
        <v>1493.25</v>
      </c>
      <c r="Q30" s="32">
        <f t="shared" ref="Q30:Q33" si="17">D30*P30</f>
        <v>16425.75</v>
      </c>
      <c r="R30" s="32"/>
    </row>
    <row r="31" spans="1:18" s="6" customFormat="1">
      <c r="A31" s="6" t="s">
        <v>36</v>
      </c>
      <c r="B31" s="343" t="s">
        <v>3133</v>
      </c>
      <c r="C31" s="13" t="s">
        <v>439</v>
      </c>
      <c r="D31" s="127">
        <v>50</v>
      </c>
      <c r="E31" s="7"/>
      <c r="F31" s="6">
        <v>20250305</v>
      </c>
      <c r="G31" s="6">
        <v>20260114</v>
      </c>
      <c r="H31" s="159">
        <v>10</v>
      </c>
      <c r="J31" s="12"/>
      <c r="K31" s="12" t="s">
        <v>3135</v>
      </c>
      <c r="L31" s="12" t="s">
        <v>3134</v>
      </c>
      <c r="M31" s="6" t="s">
        <v>3136</v>
      </c>
      <c r="N31" s="12" t="s">
        <v>3137</v>
      </c>
      <c r="O31" s="154">
        <v>528</v>
      </c>
      <c r="P31" s="32">
        <f t="shared" si="16"/>
        <v>396</v>
      </c>
      <c r="Q31" s="32">
        <f t="shared" si="17"/>
        <v>19800</v>
      </c>
      <c r="R31" s="32"/>
    </row>
    <row r="32" spans="1:18" s="6" customFormat="1" ht="32.4">
      <c r="A32" s="6" t="s">
        <v>36</v>
      </c>
      <c r="B32" s="99" t="s">
        <v>3133</v>
      </c>
      <c r="C32" s="1" t="s">
        <v>439</v>
      </c>
      <c r="D32" s="128">
        <v>47</v>
      </c>
      <c r="E32" s="7"/>
      <c r="F32" s="6">
        <v>20250305</v>
      </c>
      <c r="G32" s="6">
        <v>20260114</v>
      </c>
      <c r="H32" s="159">
        <v>10</v>
      </c>
      <c r="J32" s="12"/>
      <c r="K32" s="12" t="s">
        <v>3135</v>
      </c>
      <c r="L32" s="12" t="s">
        <v>3134</v>
      </c>
      <c r="M32" s="6" t="s">
        <v>3136</v>
      </c>
      <c r="N32" s="66" t="s">
        <v>3138</v>
      </c>
      <c r="O32" s="154">
        <v>528</v>
      </c>
      <c r="P32" s="32">
        <f t="shared" si="16"/>
        <v>396</v>
      </c>
      <c r="Q32" s="32">
        <f t="shared" si="17"/>
        <v>18612</v>
      </c>
      <c r="R32" s="32"/>
    </row>
    <row r="33" spans="1:18" s="6" customFormat="1">
      <c r="A33" s="6" t="s">
        <v>36</v>
      </c>
      <c r="B33" s="100" t="s">
        <v>3133</v>
      </c>
      <c r="C33" s="14" t="s">
        <v>439</v>
      </c>
      <c r="D33" s="339">
        <v>33</v>
      </c>
      <c r="E33" s="7"/>
      <c r="F33" s="6">
        <v>20250305</v>
      </c>
      <c r="G33" s="6">
        <v>20260114</v>
      </c>
      <c r="H33" s="159">
        <v>10</v>
      </c>
      <c r="J33" s="12"/>
      <c r="K33" s="12" t="s">
        <v>3135</v>
      </c>
      <c r="L33" s="12" t="s">
        <v>3134</v>
      </c>
      <c r="M33" s="6" t="s">
        <v>3136</v>
      </c>
      <c r="N33" s="12" t="s">
        <v>3139</v>
      </c>
      <c r="O33" s="154">
        <v>528</v>
      </c>
      <c r="P33" s="32">
        <f t="shared" si="16"/>
        <v>396</v>
      </c>
      <c r="Q33" s="32">
        <f t="shared" si="17"/>
        <v>13068</v>
      </c>
      <c r="R33" s="32"/>
    </row>
    <row r="34" spans="1:18">
      <c r="A34" s="80" t="s">
        <v>36</v>
      </c>
      <c r="B34" s="4" t="s">
        <v>920</v>
      </c>
      <c r="C34" s="1" t="s">
        <v>439</v>
      </c>
      <c r="D34" s="1">
        <v>10</v>
      </c>
      <c r="E34" s="7"/>
      <c r="F34" s="1">
        <v>20230402</v>
      </c>
      <c r="G34" s="1">
        <v>20230602</v>
      </c>
      <c r="H34" s="159" t="s">
        <v>699</v>
      </c>
      <c r="K34" s="12" t="s">
        <v>1050</v>
      </c>
      <c r="L34" s="12" t="s">
        <v>1064</v>
      </c>
      <c r="M34" s="1" t="s">
        <v>923</v>
      </c>
      <c r="N34" s="12" t="s">
        <v>942</v>
      </c>
      <c r="O34" s="74">
        <v>1975</v>
      </c>
      <c r="P34" s="28">
        <f>O34*0.75</f>
        <v>1481.25</v>
      </c>
      <c r="Q34" s="28">
        <f>D34*P34</f>
        <v>14812.5</v>
      </c>
      <c r="R34" s="28"/>
    </row>
    <row r="35" spans="1:18">
      <c r="A35" s="80" t="s">
        <v>406</v>
      </c>
      <c r="B35" s="18" t="s">
        <v>407</v>
      </c>
      <c r="C35" s="1" t="s">
        <v>439</v>
      </c>
      <c r="D35" s="1">
        <v>15</v>
      </c>
      <c r="E35" s="7"/>
      <c r="G35" s="1">
        <v>20211208</v>
      </c>
      <c r="H35" s="159" t="s">
        <v>699</v>
      </c>
      <c r="K35" s="12" t="s">
        <v>1749</v>
      </c>
      <c r="L35" s="12" t="s">
        <v>1748</v>
      </c>
      <c r="N35" s="12" t="s">
        <v>641</v>
      </c>
      <c r="O35" s="28">
        <v>1375</v>
      </c>
      <c r="P35" s="28">
        <f t="shared" si="0"/>
        <v>1031.25</v>
      </c>
      <c r="Q35" s="28">
        <f t="shared" si="1"/>
        <v>15468.75</v>
      </c>
      <c r="R35" s="28"/>
    </row>
    <row r="36" spans="1:18">
      <c r="A36" s="1" t="s">
        <v>406</v>
      </c>
      <c r="B36" s="137" t="s">
        <v>494</v>
      </c>
      <c r="C36" s="1" t="s">
        <v>439</v>
      </c>
      <c r="D36" s="1">
        <v>1</v>
      </c>
      <c r="E36" s="142"/>
      <c r="F36" s="1">
        <v>20210501</v>
      </c>
      <c r="G36" s="1">
        <v>20210701</v>
      </c>
      <c r="H36" s="159" t="s">
        <v>699</v>
      </c>
      <c r="I36"/>
      <c r="K36" s="12" t="s">
        <v>1050</v>
      </c>
      <c r="L36" s="12" t="s">
        <v>1067</v>
      </c>
      <c r="O36" s="28">
        <v>350</v>
      </c>
      <c r="P36" s="28">
        <f t="shared" si="0"/>
        <v>262.5</v>
      </c>
      <c r="Q36" s="28">
        <f t="shared" si="1"/>
        <v>262.5</v>
      </c>
      <c r="R36" s="28"/>
    </row>
    <row r="37" spans="1:18">
      <c r="A37" s="80" t="s">
        <v>406</v>
      </c>
      <c r="B37" s="20" t="s">
        <v>457</v>
      </c>
      <c r="C37" s="1" t="s">
        <v>439</v>
      </c>
      <c r="D37" s="1">
        <v>2</v>
      </c>
      <c r="E37" s="142"/>
      <c r="F37" s="1">
        <v>20210501</v>
      </c>
      <c r="G37" s="1">
        <v>20210701</v>
      </c>
      <c r="H37" s="159" t="s">
        <v>699</v>
      </c>
      <c r="K37" s="12" t="s">
        <v>1029</v>
      </c>
      <c r="L37" s="12" t="s">
        <v>1054</v>
      </c>
      <c r="N37" s="12" t="s">
        <v>713</v>
      </c>
      <c r="O37" s="28">
        <v>605</v>
      </c>
      <c r="P37" s="28">
        <f t="shared" si="0"/>
        <v>453.75</v>
      </c>
      <c r="Q37" s="28">
        <f t="shared" si="1"/>
        <v>907.5</v>
      </c>
      <c r="R37" s="28"/>
    </row>
    <row r="38" spans="1:18">
      <c r="A38" s="80" t="s">
        <v>36</v>
      </c>
      <c r="B38" s="4" t="s">
        <v>27</v>
      </c>
      <c r="C38" s="1" t="s">
        <v>439</v>
      </c>
      <c r="D38" s="1">
        <v>13</v>
      </c>
      <c r="E38" s="7"/>
      <c r="F38" s="1">
        <v>20230430</v>
      </c>
      <c r="G38" s="1">
        <v>20230630</v>
      </c>
      <c r="H38" s="159" t="s">
        <v>699</v>
      </c>
      <c r="K38" s="12" t="s">
        <v>1050</v>
      </c>
      <c r="L38" s="12" t="s">
        <v>1053</v>
      </c>
      <c r="M38" s="1" t="s">
        <v>956</v>
      </c>
      <c r="O38" s="74">
        <v>935</v>
      </c>
      <c r="P38" s="28">
        <f t="shared" si="0"/>
        <v>701.25</v>
      </c>
      <c r="Q38" s="28">
        <f t="shared" si="1"/>
        <v>9116.25</v>
      </c>
      <c r="R38" s="28"/>
    </row>
    <row r="39" spans="1:18">
      <c r="A39" s="80" t="s">
        <v>36</v>
      </c>
      <c r="B39" s="12" t="s">
        <v>2148</v>
      </c>
      <c r="C39" s="1" t="s">
        <v>439</v>
      </c>
      <c r="D39" s="12">
        <v>5</v>
      </c>
      <c r="E39" s="7"/>
      <c r="F39" s="1">
        <v>20231019</v>
      </c>
      <c r="G39" s="1">
        <v>20231214</v>
      </c>
      <c r="H39" s="159">
        <v>10</v>
      </c>
      <c r="K39" s="12" t="s">
        <v>2149</v>
      </c>
      <c r="L39" s="12" t="s">
        <v>2150</v>
      </c>
      <c r="M39" s="1" t="s">
        <v>2151</v>
      </c>
      <c r="N39" s="12" t="s">
        <v>2169</v>
      </c>
      <c r="O39" s="28">
        <v>1485</v>
      </c>
      <c r="P39" s="28">
        <f t="shared" ref="P39:P44" si="18">O39*0.75</f>
        <v>1113.75</v>
      </c>
      <c r="Q39" s="28">
        <f t="shared" ref="Q39:Q44" si="19">D39*P39</f>
        <v>5568.75</v>
      </c>
      <c r="R39" s="28"/>
    </row>
    <row r="40" spans="1:18" s="6" customFormat="1">
      <c r="A40" s="202" t="s">
        <v>36</v>
      </c>
      <c r="B40" s="6" t="s">
        <v>758</v>
      </c>
      <c r="C40" s="1" t="s">
        <v>439</v>
      </c>
      <c r="D40" s="6">
        <v>9</v>
      </c>
      <c r="F40" s="6">
        <v>20240314</v>
      </c>
      <c r="G40" s="6">
        <v>20240422</v>
      </c>
      <c r="H40" s="159" t="s">
        <v>699</v>
      </c>
      <c r="J40" s="12"/>
      <c r="K40" s="12" t="s">
        <v>2356</v>
      </c>
      <c r="L40" s="12" t="s">
        <v>2355</v>
      </c>
      <c r="M40" s="6" t="s">
        <v>2353</v>
      </c>
      <c r="N40" s="12" t="s">
        <v>2354</v>
      </c>
      <c r="O40" s="28">
        <v>1265</v>
      </c>
      <c r="P40" s="28">
        <f t="shared" si="18"/>
        <v>948.75</v>
      </c>
      <c r="Q40" s="28">
        <f t="shared" si="19"/>
        <v>8538.75</v>
      </c>
      <c r="R40" s="28"/>
    </row>
    <row r="41" spans="1:18">
      <c r="A41" s="80" t="s">
        <v>36</v>
      </c>
      <c r="B41" s="12" t="s">
        <v>2340</v>
      </c>
      <c r="C41" s="1" t="s">
        <v>439</v>
      </c>
      <c r="D41" s="6">
        <v>10</v>
      </c>
      <c r="E41" s="7"/>
      <c r="F41" s="1">
        <v>20240308</v>
      </c>
      <c r="G41" s="1">
        <v>20240419</v>
      </c>
      <c r="H41" s="159">
        <v>10</v>
      </c>
      <c r="K41" s="12" t="s">
        <v>2341</v>
      </c>
      <c r="L41" s="12" t="s">
        <v>2342</v>
      </c>
      <c r="M41" s="1" t="s">
        <v>2343</v>
      </c>
      <c r="N41" s="12" t="s">
        <v>2344</v>
      </c>
      <c r="O41" s="74">
        <v>1660</v>
      </c>
      <c r="P41" s="28">
        <f t="shared" si="18"/>
        <v>1245</v>
      </c>
      <c r="Q41" s="28">
        <f t="shared" si="19"/>
        <v>12450</v>
      </c>
      <c r="R41" s="28"/>
    </row>
    <row r="42" spans="1:18">
      <c r="A42" s="80" t="s">
        <v>36</v>
      </c>
      <c r="B42" s="4" t="s">
        <v>941</v>
      </c>
      <c r="C42" s="12" t="s">
        <v>2476</v>
      </c>
      <c r="D42" s="1">
        <v>5</v>
      </c>
      <c r="E42" s="7"/>
      <c r="F42" s="1">
        <v>20220721</v>
      </c>
      <c r="G42" s="1">
        <v>20220921</v>
      </c>
      <c r="H42" s="159" t="s">
        <v>699</v>
      </c>
      <c r="K42" s="12" t="s">
        <v>1033</v>
      </c>
      <c r="L42" s="145" t="s">
        <v>1755</v>
      </c>
      <c r="O42" s="74">
        <v>900</v>
      </c>
      <c r="P42" s="28">
        <f t="shared" si="18"/>
        <v>675</v>
      </c>
      <c r="Q42" s="28">
        <f t="shared" si="19"/>
        <v>3375</v>
      </c>
      <c r="R42" s="28"/>
    </row>
    <row r="43" spans="1:18">
      <c r="A43" s="80" t="s">
        <v>36</v>
      </c>
      <c r="B43" s="1" t="s">
        <v>760</v>
      </c>
      <c r="C43" s="6" t="s">
        <v>2476</v>
      </c>
      <c r="D43" s="1">
        <v>9</v>
      </c>
      <c r="E43" s="7"/>
      <c r="F43" s="1">
        <v>20220815</v>
      </c>
      <c r="G43" s="1">
        <v>20221015</v>
      </c>
      <c r="H43" s="159" t="s">
        <v>699</v>
      </c>
      <c r="K43" s="12" t="s">
        <v>1747</v>
      </c>
      <c r="L43" s="145" t="s">
        <v>1756</v>
      </c>
      <c r="M43" s="1" t="s">
        <v>763</v>
      </c>
      <c r="O43" s="28">
        <v>1250</v>
      </c>
      <c r="P43" s="28">
        <f t="shared" si="18"/>
        <v>937.5</v>
      </c>
      <c r="Q43" s="28">
        <f t="shared" si="19"/>
        <v>8437.5</v>
      </c>
    </row>
    <row r="44" spans="1:18">
      <c r="A44" s="80" t="s">
        <v>36</v>
      </c>
      <c r="B44" s="1" t="s">
        <v>2978</v>
      </c>
      <c r="C44" s="6" t="s">
        <v>439</v>
      </c>
      <c r="D44" s="1">
        <v>12</v>
      </c>
      <c r="E44" s="7"/>
      <c r="G44" s="1">
        <v>20250428</v>
      </c>
      <c r="H44" s="159">
        <v>10</v>
      </c>
      <c r="K44" s="12" t="s">
        <v>2939</v>
      </c>
      <c r="L44" s="145" t="s">
        <v>2980</v>
      </c>
      <c r="N44" s="12" t="s">
        <v>2979</v>
      </c>
      <c r="O44" s="28">
        <v>1496</v>
      </c>
      <c r="P44" s="28">
        <f t="shared" si="18"/>
        <v>1122</v>
      </c>
      <c r="Q44" s="28">
        <f t="shared" si="19"/>
        <v>13464</v>
      </c>
    </row>
    <row r="45" spans="1:18">
      <c r="A45" s="80" t="s">
        <v>406</v>
      </c>
      <c r="B45" s="18" t="s">
        <v>407</v>
      </c>
      <c r="C45" s="1" t="s">
        <v>439</v>
      </c>
      <c r="D45" s="1">
        <v>12</v>
      </c>
      <c r="E45" s="7"/>
      <c r="G45" s="1">
        <v>20220413</v>
      </c>
      <c r="H45" s="159" t="s">
        <v>699</v>
      </c>
      <c r="K45" s="12" t="s">
        <v>1026</v>
      </c>
      <c r="L45" s="145" t="s">
        <v>1754</v>
      </c>
      <c r="O45" s="28">
        <v>1375</v>
      </c>
      <c r="P45" s="28">
        <f t="shared" si="0"/>
        <v>1031.25</v>
      </c>
      <c r="Q45" s="28">
        <f t="shared" si="1"/>
        <v>12375</v>
      </c>
      <c r="R45" s="28"/>
    </row>
    <row r="46" spans="1:18">
      <c r="A46" s="80" t="s">
        <v>36</v>
      </c>
      <c r="B46" s="4" t="s">
        <v>337</v>
      </c>
      <c r="C46" s="1" t="s">
        <v>439</v>
      </c>
      <c r="D46" s="1">
        <v>10</v>
      </c>
      <c r="E46" s="7"/>
      <c r="F46" s="1">
        <v>20230420</v>
      </c>
      <c r="G46" s="1">
        <v>20230620</v>
      </c>
      <c r="H46" s="159" t="s">
        <v>699</v>
      </c>
      <c r="K46" s="12" t="s">
        <v>1047</v>
      </c>
      <c r="L46" s="12" t="s">
        <v>1056</v>
      </c>
      <c r="M46" s="1" t="s">
        <v>955</v>
      </c>
      <c r="O46" s="74">
        <v>1595</v>
      </c>
      <c r="P46" s="28">
        <f t="shared" si="0"/>
        <v>1196.25</v>
      </c>
      <c r="Q46" s="28">
        <f t="shared" si="1"/>
        <v>11962.5</v>
      </c>
      <c r="R46" s="28"/>
    </row>
    <row r="47" spans="1:18">
      <c r="A47" s="80" t="s">
        <v>36</v>
      </c>
      <c r="B47" s="1" t="s">
        <v>874</v>
      </c>
      <c r="C47" s="1" t="s">
        <v>439</v>
      </c>
      <c r="D47" s="1">
        <v>10</v>
      </c>
      <c r="E47" s="7"/>
      <c r="F47" s="1">
        <v>20230206</v>
      </c>
      <c r="G47" s="1">
        <v>20230406</v>
      </c>
      <c r="H47" s="159" t="s">
        <v>699</v>
      </c>
      <c r="K47" s="12" t="s">
        <v>1050</v>
      </c>
      <c r="L47" s="12" t="s">
        <v>1055</v>
      </c>
      <c r="M47" s="1" t="s">
        <v>875</v>
      </c>
      <c r="O47" s="28">
        <v>1650</v>
      </c>
      <c r="P47" s="28">
        <f t="shared" si="0"/>
        <v>1237.5</v>
      </c>
      <c r="Q47" s="28">
        <f t="shared" si="1"/>
        <v>12375</v>
      </c>
    </row>
    <row r="48" spans="1:18">
      <c r="A48" s="80" t="s">
        <v>406</v>
      </c>
      <c r="B48" s="4" t="s">
        <v>680</v>
      </c>
      <c r="C48" s="6" t="s">
        <v>440</v>
      </c>
      <c r="D48" s="1">
        <v>5</v>
      </c>
      <c r="E48" s="7" t="s">
        <v>2690</v>
      </c>
      <c r="F48" s="1">
        <v>20220402</v>
      </c>
      <c r="G48" s="1">
        <v>20220602</v>
      </c>
      <c r="H48" s="159" t="s">
        <v>699</v>
      </c>
      <c r="J48" s="84" t="s">
        <v>2691</v>
      </c>
      <c r="K48" s="12" t="s">
        <v>1030</v>
      </c>
      <c r="L48" s="12" t="s">
        <v>1031</v>
      </c>
      <c r="N48" s="4"/>
      <c r="O48" s="28">
        <v>1452</v>
      </c>
      <c r="P48" s="28">
        <f t="shared" si="0"/>
        <v>1089</v>
      </c>
      <c r="Q48" s="28">
        <f t="shared" si="1"/>
        <v>5445</v>
      </c>
      <c r="R48" s="28"/>
    </row>
    <row r="49" spans="1:18">
      <c r="A49" s="80" t="s">
        <v>36</v>
      </c>
      <c r="B49" s="4" t="s">
        <v>897</v>
      </c>
      <c r="C49" s="1" t="s">
        <v>440</v>
      </c>
      <c r="D49" s="1">
        <v>11</v>
      </c>
      <c r="E49" s="7" t="s">
        <v>1008</v>
      </c>
      <c r="F49" s="1">
        <v>20230308</v>
      </c>
      <c r="G49" s="1">
        <v>20230508</v>
      </c>
      <c r="H49" s="159" t="s">
        <v>699</v>
      </c>
      <c r="J49" s="7" t="s">
        <v>3201</v>
      </c>
      <c r="K49" s="12" t="s">
        <v>1047</v>
      </c>
      <c r="L49" s="12" t="s">
        <v>1049</v>
      </c>
      <c r="M49" s="1" t="s">
        <v>902</v>
      </c>
      <c r="O49" s="74">
        <v>857</v>
      </c>
      <c r="P49" s="28">
        <f t="shared" si="0"/>
        <v>642.75</v>
      </c>
      <c r="Q49" s="28">
        <f t="shared" si="1"/>
        <v>7070.25</v>
      </c>
      <c r="R49" s="28"/>
    </row>
    <row r="50" spans="1:18">
      <c r="A50" s="80" t="s">
        <v>36</v>
      </c>
      <c r="B50" s="6" t="s">
        <v>190</v>
      </c>
      <c r="C50" s="1" t="s">
        <v>440</v>
      </c>
      <c r="D50" s="6">
        <v>4</v>
      </c>
      <c r="E50" s="7"/>
      <c r="F50" s="1">
        <v>20230818</v>
      </c>
      <c r="G50" s="1">
        <v>20200504</v>
      </c>
      <c r="H50" s="159" t="s">
        <v>699</v>
      </c>
      <c r="I50" s="21"/>
      <c r="K50" s="12" t="s">
        <v>1030</v>
      </c>
      <c r="L50" s="12" t="s">
        <v>2070</v>
      </c>
      <c r="M50" s="1" t="s">
        <v>2071</v>
      </c>
      <c r="N50" s="4" t="s">
        <v>2072</v>
      </c>
      <c r="O50" s="28">
        <v>2068</v>
      </c>
      <c r="P50" s="28">
        <f t="shared" si="0"/>
        <v>1551</v>
      </c>
      <c r="Q50" s="28">
        <f t="shared" si="1"/>
        <v>6204</v>
      </c>
      <c r="R50" s="28"/>
    </row>
    <row r="51" spans="1:18">
      <c r="A51" s="80" t="s">
        <v>36</v>
      </c>
      <c r="B51" s="4" t="s">
        <v>919</v>
      </c>
      <c r="C51" s="1" t="s">
        <v>440</v>
      </c>
      <c r="D51" s="1">
        <v>11</v>
      </c>
      <c r="E51" s="7"/>
      <c r="F51" s="1">
        <v>20230401</v>
      </c>
      <c r="G51" s="1">
        <v>20230601</v>
      </c>
      <c r="H51" s="159" t="s">
        <v>699</v>
      </c>
      <c r="K51" s="1" t="s">
        <v>1050</v>
      </c>
      <c r="L51" s="12" t="s">
        <v>1059</v>
      </c>
      <c r="M51" s="1" t="s">
        <v>922</v>
      </c>
      <c r="O51" s="74">
        <v>1350</v>
      </c>
      <c r="P51" s="28">
        <f t="shared" si="0"/>
        <v>1012.5</v>
      </c>
      <c r="Q51" s="28">
        <f t="shared" si="1"/>
        <v>11137.5</v>
      </c>
      <c r="R51" s="28"/>
    </row>
    <row r="52" spans="1:18">
      <c r="A52" s="80" t="s">
        <v>36</v>
      </c>
      <c r="B52" s="4" t="s">
        <v>896</v>
      </c>
      <c r="C52" s="1" t="s">
        <v>440</v>
      </c>
      <c r="D52" s="1">
        <v>1</v>
      </c>
      <c r="E52" s="7"/>
      <c r="F52" s="1">
        <v>20230302</v>
      </c>
      <c r="G52" s="1">
        <v>20230502</v>
      </c>
      <c r="H52" s="159" t="s">
        <v>699</v>
      </c>
      <c r="K52" s="12" t="s">
        <v>1050</v>
      </c>
      <c r="L52" s="12" t="s">
        <v>1058</v>
      </c>
      <c r="M52" s="1" t="s">
        <v>901</v>
      </c>
      <c r="O52" s="74">
        <v>1760</v>
      </c>
      <c r="P52" s="28">
        <f t="shared" si="0"/>
        <v>1320</v>
      </c>
      <c r="Q52" s="28">
        <f t="shared" si="1"/>
        <v>1320</v>
      </c>
      <c r="R52" s="28"/>
    </row>
    <row r="53" spans="1:18">
      <c r="A53" s="80" t="s">
        <v>36</v>
      </c>
      <c r="B53" s="12" t="s">
        <v>184</v>
      </c>
      <c r="C53" s="1" t="s">
        <v>440</v>
      </c>
      <c r="D53" s="12">
        <v>40</v>
      </c>
      <c r="E53" s="7"/>
      <c r="G53" s="1">
        <v>20200319</v>
      </c>
      <c r="H53" s="159" t="s">
        <v>699</v>
      </c>
      <c r="K53" s="12" t="s">
        <v>1041</v>
      </c>
      <c r="L53" s="7" t="s">
        <v>1676</v>
      </c>
      <c r="O53" s="28">
        <v>0</v>
      </c>
      <c r="P53" s="28">
        <f t="shared" si="0"/>
        <v>0</v>
      </c>
      <c r="Q53" s="28">
        <f t="shared" si="1"/>
        <v>0</v>
      </c>
      <c r="R53" s="205" t="s">
        <v>2211</v>
      </c>
    </row>
    <row r="54" spans="1:18">
      <c r="A54" s="80" t="s">
        <v>36</v>
      </c>
      <c r="B54" s="12" t="s">
        <v>27</v>
      </c>
      <c r="C54" s="1" t="s">
        <v>440</v>
      </c>
      <c r="D54" s="12">
        <v>23</v>
      </c>
      <c r="E54" s="7"/>
      <c r="G54" s="1">
        <v>20200319</v>
      </c>
      <c r="H54" s="159" t="s">
        <v>699</v>
      </c>
      <c r="I54" s="21"/>
      <c r="K54" s="12" t="s">
        <v>1050</v>
      </c>
      <c r="L54" s="12" t="s">
        <v>1052</v>
      </c>
      <c r="O54" s="74">
        <v>935</v>
      </c>
      <c r="P54" s="28">
        <f t="shared" si="0"/>
        <v>701.25</v>
      </c>
      <c r="Q54" s="28">
        <f t="shared" si="1"/>
        <v>16128.75</v>
      </c>
      <c r="R54" s="28"/>
    </row>
    <row r="55" spans="1:18">
      <c r="A55" s="80" t="s">
        <v>36</v>
      </c>
      <c r="B55" s="4" t="s">
        <v>560</v>
      </c>
      <c r="C55" s="1" t="s">
        <v>440</v>
      </c>
      <c r="D55" s="1">
        <v>21</v>
      </c>
      <c r="E55" s="7"/>
      <c r="G55" s="1">
        <v>20200415</v>
      </c>
      <c r="H55" s="159" t="s">
        <v>699</v>
      </c>
      <c r="I55" s="57" t="s">
        <v>752</v>
      </c>
      <c r="K55" s="12" t="s">
        <v>1083</v>
      </c>
      <c r="L55" s="12" t="s">
        <v>1082</v>
      </c>
      <c r="N55" s="4"/>
      <c r="O55" s="74">
        <v>860</v>
      </c>
      <c r="P55" s="28">
        <f t="shared" si="0"/>
        <v>645</v>
      </c>
      <c r="Q55" s="28">
        <f t="shared" si="1"/>
        <v>13545</v>
      </c>
      <c r="R55" s="28"/>
    </row>
    <row r="56" spans="1:18">
      <c r="A56" s="1" t="s">
        <v>36</v>
      </c>
      <c r="B56" s="147" t="s">
        <v>308</v>
      </c>
      <c r="C56" s="1" t="s">
        <v>440</v>
      </c>
      <c r="D56" s="1">
        <v>3</v>
      </c>
      <c r="E56" s="7"/>
      <c r="F56" s="1">
        <v>20240401</v>
      </c>
      <c r="G56" s="1">
        <v>20240604</v>
      </c>
      <c r="H56" s="159">
        <v>10</v>
      </c>
      <c r="K56" s="12" t="s">
        <v>1036</v>
      </c>
      <c r="L56" s="12" t="s">
        <v>1037</v>
      </c>
      <c r="M56" s="1" t="s">
        <v>2440</v>
      </c>
      <c r="N56" s="12" t="s">
        <v>2441</v>
      </c>
      <c r="O56" s="28">
        <v>1950</v>
      </c>
      <c r="P56" s="28">
        <f t="shared" si="0"/>
        <v>1462.5</v>
      </c>
      <c r="Q56" s="28">
        <f t="shared" si="1"/>
        <v>4387.5</v>
      </c>
      <c r="R56" s="28"/>
    </row>
    <row r="57" spans="1:18" s="6" customFormat="1">
      <c r="A57" s="202" t="s">
        <v>36</v>
      </c>
      <c r="B57" s="6" t="s">
        <v>3080</v>
      </c>
      <c r="C57" s="1" t="s">
        <v>440</v>
      </c>
      <c r="D57" s="6">
        <v>19</v>
      </c>
      <c r="F57" s="6">
        <v>20240306</v>
      </c>
      <c r="G57" s="6">
        <v>20240423</v>
      </c>
      <c r="H57" s="159" t="s">
        <v>699</v>
      </c>
      <c r="J57" s="12"/>
      <c r="K57" s="12" t="s">
        <v>2358</v>
      </c>
      <c r="L57" s="12" t="s">
        <v>1069</v>
      </c>
      <c r="M57" s="6" t="s">
        <v>2359</v>
      </c>
      <c r="N57" s="12" t="s">
        <v>2360</v>
      </c>
      <c r="O57" s="28">
        <v>1450</v>
      </c>
      <c r="P57" s="28">
        <f>O57*0.75</f>
        <v>1087.5</v>
      </c>
      <c r="Q57" s="28">
        <f t="shared" ref="Q57" si="20">D57*P57</f>
        <v>20662.5</v>
      </c>
      <c r="R57" s="35"/>
    </row>
    <row r="58" spans="1:18" s="6" customFormat="1">
      <c r="A58" s="202" t="s">
        <v>406</v>
      </c>
      <c r="B58" s="12" t="s">
        <v>684</v>
      </c>
      <c r="C58" s="1" t="s">
        <v>440</v>
      </c>
      <c r="D58" s="6">
        <v>5</v>
      </c>
      <c r="E58" s="142"/>
      <c r="F58" s="6">
        <v>20220413</v>
      </c>
      <c r="G58" s="6">
        <v>20220613</v>
      </c>
      <c r="H58" s="159" t="s">
        <v>699</v>
      </c>
      <c r="J58" s="12"/>
      <c r="K58" s="12" t="s">
        <v>1030</v>
      </c>
      <c r="L58" s="12" t="s">
        <v>1032</v>
      </c>
      <c r="N58" s="12"/>
      <c r="O58" s="28">
        <v>1205</v>
      </c>
      <c r="P58" s="28">
        <f>O58*0.75</f>
        <v>903.75</v>
      </c>
      <c r="Q58" s="28">
        <f>D58*P58</f>
        <v>4518.75</v>
      </c>
      <c r="R58" s="28"/>
    </row>
    <row r="59" spans="1:18" s="6" customFormat="1">
      <c r="A59" s="202" t="s">
        <v>406</v>
      </c>
      <c r="B59" s="6" t="s">
        <v>649</v>
      </c>
      <c r="C59" s="6" t="s">
        <v>440</v>
      </c>
      <c r="D59" s="6">
        <v>13</v>
      </c>
      <c r="F59" s="6">
        <v>20240815</v>
      </c>
      <c r="G59" s="6">
        <v>20240930</v>
      </c>
      <c r="H59" s="159" t="s">
        <v>699</v>
      </c>
      <c r="J59" s="12"/>
      <c r="K59" s="12" t="s">
        <v>2651</v>
      </c>
      <c r="L59" s="12" t="s">
        <v>2650</v>
      </c>
      <c r="M59" s="6" t="s">
        <v>2652</v>
      </c>
      <c r="N59" s="12" t="s">
        <v>2653</v>
      </c>
      <c r="O59" s="28">
        <v>1430</v>
      </c>
      <c r="P59" s="28">
        <f t="shared" ref="P59" si="21">O59*0.75</f>
        <v>1072.5</v>
      </c>
      <c r="Q59" s="28">
        <f t="shared" ref="Q59" si="22">D59*P59</f>
        <v>13942.5</v>
      </c>
      <c r="R59" s="28"/>
    </row>
    <row r="60" spans="1:18">
      <c r="A60" s="80" t="s">
        <v>406</v>
      </c>
      <c r="B60" s="4" t="s">
        <v>680</v>
      </c>
      <c r="C60" s="6" t="s">
        <v>440</v>
      </c>
      <c r="D60" s="1">
        <v>15</v>
      </c>
      <c r="E60" s="142" t="s">
        <v>2689</v>
      </c>
      <c r="G60" s="1">
        <v>20240930</v>
      </c>
      <c r="H60" s="159" t="s">
        <v>699</v>
      </c>
      <c r="J60" s="84" t="s">
        <v>2694</v>
      </c>
      <c r="K60" s="12" t="s">
        <v>1030</v>
      </c>
      <c r="L60" s="12" t="s">
        <v>1031</v>
      </c>
      <c r="N60" s="4"/>
      <c r="O60" s="28">
        <v>1452</v>
      </c>
      <c r="P60" s="28">
        <f t="shared" ref="P60" si="23">O60*0.75</f>
        <v>1089</v>
      </c>
      <c r="Q60" s="28">
        <f t="shared" ref="Q60" si="24">D60*P60</f>
        <v>16335</v>
      </c>
      <c r="R60" s="28"/>
    </row>
    <row r="61" spans="1:18" s="6" customFormat="1">
      <c r="A61" s="202" t="s">
        <v>36</v>
      </c>
      <c r="B61" s="12" t="s">
        <v>1880</v>
      </c>
      <c r="C61" s="12" t="s">
        <v>2692</v>
      </c>
      <c r="D61" s="6">
        <v>3</v>
      </c>
      <c r="E61" s="7"/>
      <c r="F61" s="6">
        <v>20240923</v>
      </c>
      <c r="G61" s="6">
        <v>20241029</v>
      </c>
      <c r="H61" s="159" t="s">
        <v>699</v>
      </c>
      <c r="J61" s="12"/>
      <c r="K61" s="12" t="s">
        <v>1030</v>
      </c>
      <c r="L61" s="12" t="s">
        <v>1881</v>
      </c>
      <c r="M61" s="67" t="s">
        <v>2735</v>
      </c>
      <c r="N61" s="12"/>
      <c r="O61" s="74">
        <v>890</v>
      </c>
      <c r="P61" s="28">
        <f t="shared" ref="P61:P62" si="25">O61*0.75</f>
        <v>667.5</v>
      </c>
      <c r="Q61" s="28">
        <f t="shared" ref="Q61:Q62" si="26">D61*P61</f>
        <v>2002.5</v>
      </c>
      <c r="R61" s="28"/>
    </row>
    <row r="62" spans="1:18" s="6" customFormat="1">
      <c r="A62" s="202" t="s">
        <v>36</v>
      </c>
      <c r="B62" s="66" t="s">
        <v>2362</v>
      </c>
      <c r="C62" s="12" t="s">
        <v>2692</v>
      </c>
      <c r="D62" s="12">
        <v>2</v>
      </c>
      <c r="E62" s="7" t="s">
        <v>1007</v>
      </c>
      <c r="G62" s="6">
        <v>20200319</v>
      </c>
      <c r="H62" s="159" t="s">
        <v>699</v>
      </c>
      <c r="I62" s="7" t="s">
        <v>3248</v>
      </c>
      <c r="J62" s="113" t="s">
        <v>2820</v>
      </c>
      <c r="K62" s="12" t="s">
        <v>1071</v>
      </c>
      <c r="L62" s="12" t="s">
        <v>1084</v>
      </c>
      <c r="N62" s="12"/>
      <c r="O62" s="74">
        <v>2035</v>
      </c>
      <c r="P62" s="28">
        <f t="shared" si="25"/>
        <v>1526.25</v>
      </c>
      <c r="Q62" s="28">
        <f t="shared" si="26"/>
        <v>3052.5</v>
      </c>
      <c r="R62" s="28"/>
    </row>
    <row r="63" spans="1:18" s="6" customFormat="1">
      <c r="A63" s="202" t="s">
        <v>36</v>
      </c>
      <c r="B63" s="12" t="s">
        <v>468</v>
      </c>
      <c r="C63" s="1" t="s">
        <v>2709</v>
      </c>
      <c r="D63" s="6">
        <v>1</v>
      </c>
      <c r="F63" s="6">
        <v>20240807</v>
      </c>
      <c r="G63" s="6">
        <v>20241014</v>
      </c>
      <c r="H63" s="159">
        <v>10</v>
      </c>
      <c r="J63" s="12"/>
      <c r="K63" s="12" t="s">
        <v>1869</v>
      </c>
      <c r="L63" s="12" t="s">
        <v>2553</v>
      </c>
      <c r="M63" s="6" t="s">
        <v>2720</v>
      </c>
      <c r="N63" s="12" t="s">
        <v>2554</v>
      </c>
      <c r="O63" s="154">
        <v>2475</v>
      </c>
      <c r="P63" s="32">
        <f t="shared" ref="P63" si="27">O63*0.75</f>
        <v>1856.25</v>
      </c>
      <c r="Q63" s="32">
        <f t="shared" ref="Q63" si="28">D63*P63</f>
        <v>1856.25</v>
      </c>
      <c r="R63" s="32"/>
    </row>
    <row r="64" spans="1:18" s="6" customFormat="1" ht="32.4">
      <c r="A64" s="202" t="s">
        <v>36</v>
      </c>
      <c r="B64" s="268" t="s">
        <v>1870</v>
      </c>
      <c r="C64" s="235" t="s">
        <v>2709</v>
      </c>
      <c r="D64" s="235">
        <v>1</v>
      </c>
      <c r="E64" s="235"/>
      <c r="F64" s="235"/>
      <c r="G64" s="235">
        <v>20250106</v>
      </c>
      <c r="H64" s="162">
        <v>10</v>
      </c>
      <c r="I64" s="269" t="s">
        <v>2215</v>
      </c>
      <c r="J64" s="12"/>
      <c r="K64" s="12" t="s">
        <v>1872</v>
      </c>
      <c r="L64" s="12" t="s">
        <v>1871</v>
      </c>
      <c r="N64" s="12" t="s">
        <v>2063</v>
      </c>
      <c r="O64" s="74">
        <v>2068</v>
      </c>
      <c r="P64" s="28">
        <f>O64*0.75</f>
        <v>1551</v>
      </c>
      <c r="Q64" s="28">
        <f>D64*P64</f>
        <v>1551</v>
      </c>
      <c r="R64" s="32"/>
    </row>
    <row r="65" spans="1:18">
      <c r="A65" s="80" t="s">
        <v>36</v>
      </c>
      <c r="B65" s="1" t="s">
        <v>128</v>
      </c>
      <c r="C65" s="6" t="s">
        <v>2709</v>
      </c>
      <c r="D65" s="1">
        <v>1</v>
      </c>
      <c r="E65" s="7"/>
      <c r="G65" s="1">
        <v>20250103</v>
      </c>
      <c r="H65" s="159" t="s">
        <v>699</v>
      </c>
      <c r="K65" s="12" t="s">
        <v>1050</v>
      </c>
      <c r="L65" s="12" t="s">
        <v>1067</v>
      </c>
      <c r="N65" s="12" t="s">
        <v>2755</v>
      </c>
      <c r="O65" s="28">
        <v>350</v>
      </c>
      <c r="P65" s="28">
        <f t="shared" si="0"/>
        <v>262.5</v>
      </c>
      <c r="Q65" s="28">
        <f t="shared" si="1"/>
        <v>262.5</v>
      </c>
      <c r="R65" s="28"/>
    </row>
    <row r="66" spans="1:18">
      <c r="A66" s="80" t="s">
        <v>36</v>
      </c>
      <c r="B66" s="1" t="s">
        <v>759</v>
      </c>
      <c r="C66" s="6" t="s">
        <v>2709</v>
      </c>
      <c r="D66" s="1">
        <v>1</v>
      </c>
      <c r="E66" s="7"/>
      <c r="F66" s="1">
        <v>20220811</v>
      </c>
      <c r="G66" s="1">
        <v>20221011</v>
      </c>
      <c r="H66" s="159" t="s">
        <v>699</v>
      </c>
      <c r="K66" s="12" t="s">
        <v>1047</v>
      </c>
      <c r="L66" s="12" t="s">
        <v>1068</v>
      </c>
      <c r="M66" s="1" t="s">
        <v>762</v>
      </c>
      <c r="O66" s="28">
        <v>1555</v>
      </c>
      <c r="P66" s="28">
        <f t="shared" si="0"/>
        <v>1166.25</v>
      </c>
      <c r="Q66" s="28">
        <f t="shared" si="1"/>
        <v>1166.25</v>
      </c>
    </row>
    <row r="67" spans="1:18">
      <c r="A67" s="80" t="s">
        <v>36</v>
      </c>
      <c r="B67" s="1" t="s">
        <v>847</v>
      </c>
      <c r="C67" s="6" t="s">
        <v>2709</v>
      </c>
      <c r="D67" s="1">
        <v>5</v>
      </c>
      <c r="E67" s="7"/>
      <c r="F67" s="1">
        <v>20221214</v>
      </c>
      <c r="G67" s="1">
        <v>20230214</v>
      </c>
      <c r="H67" s="159" t="s">
        <v>699</v>
      </c>
      <c r="I67" s="7" t="s">
        <v>3255</v>
      </c>
      <c r="K67" s="12" t="s">
        <v>1034</v>
      </c>
      <c r="L67" s="12" t="s">
        <v>1070</v>
      </c>
      <c r="M67" s="1" t="s">
        <v>848</v>
      </c>
      <c r="O67" s="28">
        <v>1298</v>
      </c>
      <c r="P67" s="28">
        <f t="shared" si="0"/>
        <v>973.5</v>
      </c>
      <c r="Q67" s="28">
        <f t="shared" si="1"/>
        <v>4867.5</v>
      </c>
    </row>
    <row r="68" spans="1:18">
      <c r="A68" s="80" t="s">
        <v>36</v>
      </c>
      <c r="B68" s="186" t="s">
        <v>335</v>
      </c>
      <c r="C68" s="13" t="s">
        <v>441</v>
      </c>
      <c r="D68" s="127">
        <v>1</v>
      </c>
      <c r="E68" s="7" t="s">
        <v>1007</v>
      </c>
      <c r="G68" s="1">
        <v>20200825</v>
      </c>
      <c r="H68" s="159" t="s">
        <v>699</v>
      </c>
      <c r="J68" s="7" t="s">
        <v>3201</v>
      </c>
      <c r="K68" s="12" t="s">
        <v>1047</v>
      </c>
      <c r="L68" s="12" t="s">
        <v>1049</v>
      </c>
      <c r="O68" s="28">
        <v>857</v>
      </c>
      <c r="P68" s="28">
        <f t="shared" si="0"/>
        <v>642.75</v>
      </c>
      <c r="Q68" s="28">
        <f t="shared" si="1"/>
        <v>642.75</v>
      </c>
      <c r="R68" s="28"/>
    </row>
    <row r="69" spans="1:18">
      <c r="A69" s="80" t="s">
        <v>36</v>
      </c>
      <c r="B69" s="130" t="s">
        <v>335</v>
      </c>
      <c r="C69" s="14" t="s">
        <v>441</v>
      </c>
      <c r="D69" s="339">
        <v>7</v>
      </c>
      <c r="E69" s="7" t="s">
        <v>2985</v>
      </c>
      <c r="G69" s="1">
        <v>20260115</v>
      </c>
      <c r="H69" s="159" t="s">
        <v>699</v>
      </c>
      <c r="J69" s="7" t="s">
        <v>3201</v>
      </c>
      <c r="K69" s="12" t="s">
        <v>1047</v>
      </c>
      <c r="L69" s="12" t="s">
        <v>1049</v>
      </c>
      <c r="O69" s="28">
        <v>857</v>
      </c>
      <c r="P69" s="28">
        <f t="shared" ref="P69" si="29">O69*0.75</f>
        <v>642.75</v>
      </c>
      <c r="Q69" s="28">
        <f t="shared" ref="Q69" si="30">D69*P69</f>
        <v>4499.25</v>
      </c>
      <c r="R69" s="28"/>
    </row>
    <row r="70" spans="1:18">
      <c r="A70" s="80" t="s">
        <v>36</v>
      </c>
      <c r="B70" s="12" t="s">
        <v>337</v>
      </c>
      <c r="C70" s="1" t="s">
        <v>441</v>
      </c>
      <c r="D70" s="12">
        <v>1</v>
      </c>
      <c r="E70" s="7"/>
      <c r="G70" s="1">
        <v>20200827</v>
      </c>
      <c r="H70" s="159" t="s">
        <v>699</v>
      </c>
      <c r="K70" s="12" t="s">
        <v>1047</v>
      </c>
      <c r="L70" s="12" t="s">
        <v>1055</v>
      </c>
      <c r="O70" s="28">
        <v>1595</v>
      </c>
      <c r="P70" s="28">
        <f t="shared" si="0"/>
        <v>1196.25</v>
      </c>
      <c r="Q70" s="28">
        <f t="shared" si="1"/>
        <v>1196.25</v>
      </c>
      <c r="R70" s="28"/>
    </row>
    <row r="71" spans="1:18" s="6" customFormat="1">
      <c r="A71" s="202" t="s">
        <v>36</v>
      </c>
      <c r="B71" s="187" t="s">
        <v>2433</v>
      </c>
      <c r="C71" s="13" t="s">
        <v>441</v>
      </c>
      <c r="D71" s="232">
        <v>10</v>
      </c>
      <c r="F71" s="6">
        <v>20240926</v>
      </c>
      <c r="G71" s="6">
        <v>20250103</v>
      </c>
      <c r="H71" s="159">
        <v>10</v>
      </c>
      <c r="K71" s="6" t="s">
        <v>1050</v>
      </c>
      <c r="L71" s="6" t="s">
        <v>2434</v>
      </c>
      <c r="M71" s="6" t="s">
        <v>2754</v>
      </c>
      <c r="N71" s="12" t="s">
        <v>1270</v>
      </c>
      <c r="O71" s="28">
        <v>1700</v>
      </c>
      <c r="P71" s="28">
        <f>O71*0.75</f>
        <v>1275</v>
      </c>
      <c r="Q71" s="28">
        <f t="shared" ref="Q71" si="31">D71*P71</f>
        <v>12750</v>
      </c>
      <c r="R71" s="28"/>
    </row>
    <row r="72" spans="1:18" s="6" customFormat="1">
      <c r="A72" s="202" t="s">
        <v>36</v>
      </c>
      <c r="B72" s="139" t="s">
        <v>2433</v>
      </c>
      <c r="C72" s="88" t="s">
        <v>2367</v>
      </c>
      <c r="D72" s="233">
        <v>5</v>
      </c>
      <c r="G72" s="6">
        <v>20240604</v>
      </c>
      <c r="H72" s="159">
        <v>10</v>
      </c>
      <c r="K72" s="6" t="s">
        <v>2432</v>
      </c>
      <c r="L72" s="6" t="s">
        <v>2434</v>
      </c>
      <c r="N72" s="12" t="s">
        <v>2431</v>
      </c>
      <c r="O72" s="28">
        <v>1700</v>
      </c>
      <c r="P72" s="28">
        <f>O72*0.75</f>
        <v>1275</v>
      </c>
      <c r="Q72" s="28">
        <f>D72*P72</f>
        <v>6375</v>
      </c>
      <c r="R72" s="28"/>
    </row>
    <row r="73" spans="1:18" s="6" customFormat="1">
      <c r="A73" s="202" t="s">
        <v>36</v>
      </c>
      <c r="B73" s="12" t="s">
        <v>918</v>
      </c>
      <c r="C73" s="12" t="s">
        <v>2367</v>
      </c>
      <c r="D73" s="6">
        <v>4</v>
      </c>
      <c r="E73" s="7"/>
      <c r="F73" s="6">
        <v>20240411</v>
      </c>
      <c r="G73" s="6">
        <v>20240514</v>
      </c>
      <c r="H73" s="159" t="s">
        <v>699</v>
      </c>
      <c r="J73" s="12" t="s">
        <v>2542</v>
      </c>
      <c r="K73" s="12" t="s">
        <v>1062</v>
      </c>
      <c r="L73" s="12" t="s">
        <v>1063</v>
      </c>
      <c r="M73" s="6" t="s">
        <v>2375</v>
      </c>
      <c r="N73" s="12" t="s">
        <v>2376</v>
      </c>
      <c r="O73" s="74">
        <v>1860</v>
      </c>
      <c r="P73" s="28">
        <f t="shared" ref="P73" si="32">O73*0.75</f>
        <v>1395</v>
      </c>
      <c r="Q73" s="28">
        <f t="shared" ref="Q73" si="33">D73*P73</f>
        <v>5580</v>
      </c>
      <c r="R73" s="28"/>
    </row>
    <row r="74" spans="1:18" s="6" customFormat="1">
      <c r="A74" s="202" t="s">
        <v>36</v>
      </c>
      <c r="B74" s="6" t="s">
        <v>119</v>
      </c>
      <c r="C74" s="6" t="s">
        <v>2367</v>
      </c>
      <c r="D74" s="6">
        <v>5</v>
      </c>
      <c r="F74" s="6">
        <v>20240419</v>
      </c>
      <c r="G74" s="6">
        <v>20240514</v>
      </c>
      <c r="H74" s="159" t="s">
        <v>699</v>
      </c>
      <c r="K74" s="6" t="s">
        <v>2379</v>
      </c>
      <c r="L74" s="6" t="s">
        <v>2380</v>
      </c>
      <c r="M74" s="6" t="s">
        <v>2377</v>
      </c>
      <c r="N74" s="12" t="s">
        <v>2378</v>
      </c>
      <c r="O74" s="28">
        <v>1250</v>
      </c>
      <c r="P74" s="28">
        <f>O74*0.75</f>
        <v>937.5</v>
      </c>
      <c r="Q74" s="28">
        <f t="shared" ref="Q74:Q77" si="34">D74*P74</f>
        <v>4687.5</v>
      </c>
      <c r="R74" s="28"/>
    </row>
    <row r="75" spans="1:18" s="6" customFormat="1">
      <c r="A75" s="202" t="s">
        <v>406</v>
      </c>
      <c r="B75" s="6" t="s">
        <v>670</v>
      </c>
      <c r="C75" s="6" t="s">
        <v>2367</v>
      </c>
      <c r="D75" s="6">
        <v>11</v>
      </c>
      <c r="E75" s="142"/>
      <c r="G75" s="6">
        <v>20260115</v>
      </c>
      <c r="H75" s="159" t="s">
        <v>699</v>
      </c>
      <c r="J75" s="12"/>
      <c r="K75" s="12" t="s">
        <v>2202</v>
      </c>
      <c r="L75" s="12" t="s">
        <v>2203</v>
      </c>
      <c r="N75" s="12" t="s">
        <v>2805</v>
      </c>
      <c r="O75" s="28">
        <v>638</v>
      </c>
      <c r="P75" s="28">
        <f t="shared" ref="P75" si="35">O75*0.75</f>
        <v>478.5</v>
      </c>
      <c r="Q75" s="28">
        <f t="shared" si="34"/>
        <v>5263.5</v>
      </c>
      <c r="R75" s="28"/>
    </row>
    <row r="76" spans="1:18" s="6" customFormat="1">
      <c r="A76" s="202" t="s">
        <v>36</v>
      </c>
      <c r="B76" s="6" t="s">
        <v>2435</v>
      </c>
      <c r="C76" s="6" t="s">
        <v>2368</v>
      </c>
      <c r="D76" s="6">
        <v>5</v>
      </c>
      <c r="F76" s="6">
        <v>20240411</v>
      </c>
      <c r="G76" s="6">
        <v>20240604</v>
      </c>
      <c r="H76" s="159">
        <v>10</v>
      </c>
      <c r="K76" s="6" t="s">
        <v>1027</v>
      </c>
      <c r="L76" s="6" t="s">
        <v>2436</v>
      </c>
      <c r="M76" s="6" t="s">
        <v>2437</v>
      </c>
      <c r="N76" s="12" t="s">
        <v>2431</v>
      </c>
      <c r="O76" s="28">
        <v>485</v>
      </c>
      <c r="P76" s="28">
        <f>O76*0.75</f>
        <v>363.75</v>
      </c>
      <c r="Q76" s="28">
        <f t="shared" si="34"/>
        <v>1818.75</v>
      </c>
      <c r="R76" s="28"/>
    </row>
    <row r="77" spans="1:18" s="6" customFormat="1">
      <c r="A77" s="202" t="s">
        <v>406</v>
      </c>
      <c r="B77" s="20" t="s">
        <v>714</v>
      </c>
      <c r="C77" s="6" t="s">
        <v>2368</v>
      </c>
      <c r="D77" s="6">
        <v>25</v>
      </c>
      <c r="E77" s="7" t="s">
        <v>3208</v>
      </c>
      <c r="F77" s="6">
        <v>20241226</v>
      </c>
      <c r="G77" s="6">
        <v>20250514</v>
      </c>
      <c r="H77" s="159" t="s">
        <v>699</v>
      </c>
      <c r="J77" s="12" t="s">
        <v>3237</v>
      </c>
      <c r="K77" s="12" t="s">
        <v>1083</v>
      </c>
      <c r="L77" s="12" t="s">
        <v>1886</v>
      </c>
      <c r="M77" s="6" t="s">
        <v>2993</v>
      </c>
      <c r="N77" s="12" t="s">
        <v>2994</v>
      </c>
      <c r="O77" s="28">
        <v>803</v>
      </c>
      <c r="P77" s="28">
        <f>O77*0.75</f>
        <v>602.25</v>
      </c>
      <c r="Q77" s="28">
        <f t="shared" si="34"/>
        <v>15056.25</v>
      </c>
      <c r="R77" s="28"/>
    </row>
    <row r="78" spans="1:18">
      <c r="A78" s="80" t="s">
        <v>36</v>
      </c>
      <c r="B78" s="1" t="s">
        <v>122</v>
      </c>
      <c r="C78" s="6" t="s">
        <v>2368</v>
      </c>
      <c r="D78" s="1">
        <v>17</v>
      </c>
      <c r="E78" s="7"/>
      <c r="G78" s="1">
        <v>20200414</v>
      </c>
      <c r="H78" s="159" t="s">
        <v>699</v>
      </c>
      <c r="I78" s="7" t="s">
        <v>1796</v>
      </c>
      <c r="K78" s="12" t="s">
        <v>1042</v>
      </c>
      <c r="L78" s="12" t="s">
        <v>1085</v>
      </c>
      <c r="O78" s="28">
        <v>1500</v>
      </c>
      <c r="P78" s="28">
        <f t="shared" ref="P78:P115" si="36">O78*0.75</f>
        <v>1125</v>
      </c>
      <c r="Q78" s="28">
        <f t="shared" ref="Q78:Q117" si="37">D78*P78</f>
        <v>19125</v>
      </c>
      <c r="R78" s="28"/>
    </row>
    <row r="79" spans="1:18">
      <c r="A79" s="80" t="s">
        <v>36</v>
      </c>
      <c r="B79" s="1" t="s">
        <v>185</v>
      </c>
      <c r="C79" s="6" t="s">
        <v>2368</v>
      </c>
      <c r="D79" s="1">
        <v>14</v>
      </c>
      <c r="E79" s="7"/>
      <c r="G79" s="1">
        <v>20200414</v>
      </c>
      <c r="H79" s="159" t="s">
        <v>699</v>
      </c>
      <c r="K79" s="12" t="s">
        <v>1065</v>
      </c>
      <c r="L79" s="12" t="s">
        <v>1066</v>
      </c>
      <c r="O79" s="28">
        <v>830</v>
      </c>
      <c r="P79" s="28">
        <f>O79*0.75</f>
        <v>622.5</v>
      </c>
      <c r="Q79" s="28">
        <f>D79*P79</f>
        <v>8715</v>
      </c>
      <c r="R79" s="28"/>
    </row>
    <row r="80" spans="1:18" s="6" customFormat="1">
      <c r="A80" s="202" t="s">
        <v>36</v>
      </c>
      <c r="B80" s="12" t="s">
        <v>2968</v>
      </c>
      <c r="C80" s="1" t="s">
        <v>3171</v>
      </c>
      <c r="D80" s="6">
        <v>50</v>
      </c>
      <c r="E80" s="7" t="s">
        <v>1008</v>
      </c>
      <c r="F80" s="6">
        <v>20250429</v>
      </c>
      <c r="G80" s="6">
        <v>20260115</v>
      </c>
      <c r="H80" s="159">
        <v>10</v>
      </c>
      <c r="J80" s="12" t="s">
        <v>3187</v>
      </c>
      <c r="K80" s="12" t="s">
        <v>1050</v>
      </c>
      <c r="L80" s="12" t="s">
        <v>2971</v>
      </c>
      <c r="M80" s="6" t="s">
        <v>3188</v>
      </c>
      <c r="N80" s="66" t="s">
        <v>3132</v>
      </c>
      <c r="O80" s="74">
        <v>660</v>
      </c>
      <c r="P80" s="28">
        <f t="shared" ref="P80" si="38">O80*0.75</f>
        <v>495</v>
      </c>
      <c r="Q80" s="28">
        <f t="shared" ref="Q80:Q81" si="39">D80*P80</f>
        <v>24750</v>
      </c>
      <c r="R80" s="28"/>
    </row>
    <row r="81" spans="1:18" s="6" customFormat="1">
      <c r="A81" s="202" t="s">
        <v>406</v>
      </c>
      <c r="B81" s="20" t="s">
        <v>714</v>
      </c>
      <c r="C81" s="1" t="s">
        <v>3171</v>
      </c>
      <c r="D81" s="6">
        <v>40</v>
      </c>
      <c r="E81" s="7" t="s">
        <v>3209</v>
      </c>
      <c r="F81" s="6">
        <v>20250710</v>
      </c>
      <c r="G81" s="6">
        <v>20260115</v>
      </c>
      <c r="H81" s="159" t="s">
        <v>699</v>
      </c>
      <c r="J81" s="6" t="s">
        <v>2368</v>
      </c>
      <c r="K81" s="12" t="s">
        <v>1083</v>
      </c>
      <c r="L81" s="12" t="s">
        <v>1886</v>
      </c>
      <c r="M81" s="6" t="s">
        <v>3238</v>
      </c>
      <c r="N81" s="12" t="s">
        <v>3239</v>
      </c>
      <c r="O81" s="28">
        <v>803</v>
      </c>
      <c r="P81" s="28">
        <f>O81*0.75</f>
        <v>602.25</v>
      </c>
      <c r="Q81" s="28">
        <f t="shared" si="39"/>
        <v>24090</v>
      </c>
      <c r="R81" s="28"/>
    </row>
    <row r="82" spans="1:18">
      <c r="A82" s="80" t="s">
        <v>36</v>
      </c>
      <c r="B82" s="1" t="s">
        <v>187</v>
      </c>
      <c r="C82" s="6" t="s">
        <v>2605</v>
      </c>
      <c r="D82" s="1">
        <v>1</v>
      </c>
      <c r="E82" s="7"/>
      <c r="G82" s="1">
        <v>20200730</v>
      </c>
      <c r="H82" s="159" t="s">
        <v>699</v>
      </c>
      <c r="K82" s="12" t="s">
        <v>1030</v>
      </c>
      <c r="L82" s="12" t="s">
        <v>1676</v>
      </c>
      <c r="O82" s="28">
        <v>0</v>
      </c>
      <c r="P82" s="28">
        <f t="shared" si="36"/>
        <v>0</v>
      </c>
      <c r="Q82" s="28">
        <f t="shared" si="37"/>
        <v>0</v>
      </c>
      <c r="R82" s="205" t="s">
        <v>2211</v>
      </c>
    </row>
    <row r="83" spans="1:18">
      <c r="A83" s="80" t="s">
        <v>36</v>
      </c>
      <c r="B83" s="1" t="s">
        <v>131</v>
      </c>
      <c r="C83" s="1" t="s">
        <v>334</v>
      </c>
      <c r="D83" s="1">
        <v>1</v>
      </c>
      <c r="E83" s="7"/>
      <c r="G83" s="1">
        <v>20200414</v>
      </c>
      <c r="H83" s="159" t="s">
        <v>699</v>
      </c>
      <c r="K83" s="12" t="s">
        <v>1046</v>
      </c>
      <c r="L83" s="12" t="s">
        <v>1676</v>
      </c>
      <c r="O83" s="28">
        <v>0</v>
      </c>
      <c r="P83" s="28">
        <f t="shared" si="36"/>
        <v>0</v>
      </c>
      <c r="Q83" s="28">
        <f t="shared" si="37"/>
        <v>0</v>
      </c>
      <c r="R83" s="205" t="s">
        <v>2211</v>
      </c>
    </row>
    <row r="84" spans="1:18">
      <c r="A84" s="80" t="s">
        <v>36</v>
      </c>
      <c r="B84" s="1" t="s">
        <v>132</v>
      </c>
      <c r="C84" s="12" t="s">
        <v>5</v>
      </c>
      <c r="D84" s="1">
        <v>1</v>
      </c>
      <c r="E84" s="7"/>
      <c r="G84" s="1">
        <v>20200414</v>
      </c>
      <c r="H84" s="159" t="s">
        <v>699</v>
      </c>
      <c r="I84" s="1" t="s">
        <v>39</v>
      </c>
      <c r="K84" s="12" t="s">
        <v>1046</v>
      </c>
      <c r="L84" s="12" t="s">
        <v>1092</v>
      </c>
      <c r="O84" s="28">
        <v>2200</v>
      </c>
      <c r="P84" s="28">
        <f t="shared" si="36"/>
        <v>1650</v>
      </c>
      <c r="Q84" s="28">
        <f t="shared" si="37"/>
        <v>1650</v>
      </c>
      <c r="R84" s="207"/>
    </row>
    <row r="85" spans="1:18" ht="15.75" customHeight="1">
      <c r="A85" s="80" t="s">
        <v>36</v>
      </c>
      <c r="B85" s="4" t="s">
        <v>293</v>
      </c>
      <c r="C85" s="1" t="s">
        <v>1813</v>
      </c>
      <c r="D85" s="1">
        <v>2</v>
      </c>
      <c r="E85" s="7"/>
      <c r="G85" s="1">
        <v>20200414</v>
      </c>
      <c r="H85" s="159" t="s">
        <v>699</v>
      </c>
      <c r="K85" s="12" t="s">
        <v>1024</v>
      </c>
      <c r="L85" s="12" t="s">
        <v>1676</v>
      </c>
      <c r="O85" s="28">
        <v>0</v>
      </c>
      <c r="P85" s="28">
        <f t="shared" si="36"/>
        <v>0</v>
      </c>
      <c r="Q85" s="28">
        <f t="shared" si="37"/>
        <v>0</v>
      </c>
      <c r="R85" s="205" t="s">
        <v>2211</v>
      </c>
    </row>
    <row r="86" spans="1:18">
      <c r="A86" s="80" t="s">
        <v>36</v>
      </c>
      <c r="B86" s="1" t="s">
        <v>128</v>
      </c>
      <c r="C86" s="1" t="s">
        <v>1813</v>
      </c>
      <c r="D86" s="1">
        <v>2</v>
      </c>
      <c r="E86" s="7"/>
      <c r="G86" s="1">
        <v>20200414</v>
      </c>
      <c r="H86" s="159" t="s">
        <v>699</v>
      </c>
      <c r="K86" s="12" t="s">
        <v>1050</v>
      </c>
      <c r="L86" s="12" t="s">
        <v>1067</v>
      </c>
      <c r="O86" s="28">
        <v>350</v>
      </c>
      <c r="P86" s="28">
        <f t="shared" si="36"/>
        <v>262.5</v>
      </c>
      <c r="Q86" s="28">
        <f t="shared" si="37"/>
        <v>525</v>
      </c>
      <c r="R86" s="28"/>
    </row>
    <row r="87" spans="1:18">
      <c r="A87" s="80" t="s">
        <v>36</v>
      </c>
      <c r="B87" s="120" t="s">
        <v>291</v>
      </c>
      <c r="C87" s="13" t="s">
        <v>1813</v>
      </c>
      <c r="D87" s="13">
        <v>4</v>
      </c>
      <c r="E87" s="384"/>
      <c r="F87" s="13"/>
      <c r="G87" s="13">
        <v>20200414</v>
      </c>
      <c r="H87" s="160" t="s">
        <v>699</v>
      </c>
      <c r="I87" s="357" t="s">
        <v>127</v>
      </c>
      <c r="K87" s="12" t="s">
        <v>1042</v>
      </c>
      <c r="L87" s="12" t="s">
        <v>1676</v>
      </c>
      <c r="O87" s="28">
        <v>0</v>
      </c>
      <c r="P87" s="28">
        <f t="shared" si="36"/>
        <v>0</v>
      </c>
      <c r="Q87" s="28">
        <f t="shared" si="37"/>
        <v>0</v>
      </c>
      <c r="R87" s="205" t="s">
        <v>2211</v>
      </c>
    </row>
    <row r="88" spans="1:18">
      <c r="A88" s="80" t="s">
        <v>36</v>
      </c>
      <c r="B88" s="121" t="s">
        <v>292</v>
      </c>
      <c r="C88" s="14" t="s">
        <v>1813</v>
      </c>
      <c r="D88" s="14">
        <v>4</v>
      </c>
      <c r="E88" s="385"/>
      <c r="F88" s="14"/>
      <c r="G88" s="14">
        <v>20200414</v>
      </c>
      <c r="H88" s="161" t="s">
        <v>699</v>
      </c>
      <c r="I88" s="358"/>
      <c r="K88" s="12" t="s">
        <v>1050</v>
      </c>
      <c r="L88" s="12" t="s">
        <v>1090</v>
      </c>
      <c r="O88" s="28">
        <v>515</v>
      </c>
      <c r="P88" s="28">
        <f t="shared" si="36"/>
        <v>386.25</v>
      </c>
      <c r="Q88" s="28">
        <f t="shared" si="37"/>
        <v>1545</v>
      </c>
      <c r="R88" s="28"/>
    </row>
    <row r="89" spans="1:18">
      <c r="A89" s="80" t="s">
        <v>36</v>
      </c>
      <c r="B89" s="1" t="s">
        <v>28</v>
      </c>
      <c r="C89" s="1" t="s">
        <v>6</v>
      </c>
      <c r="D89" s="1">
        <v>1</v>
      </c>
      <c r="E89" s="7"/>
      <c r="G89" s="1">
        <v>20200414</v>
      </c>
      <c r="H89" s="159" t="s">
        <v>699</v>
      </c>
      <c r="K89" s="12" t="s">
        <v>1024</v>
      </c>
      <c r="L89" s="12" t="s">
        <v>1676</v>
      </c>
      <c r="O89" s="28">
        <v>0</v>
      </c>
      <c r="P89" s="28">
        <f t="shared" si="36"/>
        <v>0</v>
      </c>
      <c r="Q89" s="28">
        <f t="shared" si="37"/>
        <v>0</v>
      </c>
      <c r="R89" s="205" t="s">
        <v>2211</v>
      </c>
    </row>
    <row r="90" spans="1:18">
      <c r="A90" s="80" t="s">
        <v>36</v>
      </c>
      <c r="B90" s="1" t="s">
        <v>121</v>
      </c>
      <c r="C90" s="1" t="s">
        <v>6</v>
      </c>
      <c r="D90" s="1">
        <v>1</v>
      </c>
      <c r="E90" s="7"/>
      <c r="G90" s="1">
        <v>20200414</v>
      </c>
      <c r="H90" s="159" t="s">
        <v>699</v>
      </c>
      <c r="K90" s="12" t="s">
        <v>1030</v>
      </c>
      <c r="L90" s="12" t="s">
        <v>1676</v>
      </c>
      <c r="O90" s="28">
        <v>0</v>
      </c>
      <c r="P90" s="28">
        <f t="shared" si="36"/>
        <v>0</v>
      </c>
      <c r="Q90" s="28">
        <f t="shared" si="37"/>
        <v>0</v>
      </c>
      <c r="R90" s="205" t="s">
        <v>2211</v>
      </c>
    </row>
    <row r="91" spans="1:18">
      <c r="A91" s="80" t="s">
        <v>36</v>
      </c>
      <c r="B91" s="1" t="s">
        <v>34</v>
      </c>
      <c r="C91" s="1" t="s">
        <v>6</v>
      </c>
      <c r="D91" s="1">
        <v>1</v>
      </c>
      <c r="E91" s="7"/>
      <c r="G91" s="1">
        <v>20200406</v>
      </c>
      <c r="H91" s="159" t="s">
        <v>699</v>
      </c>
      <c r="I91" s="7"/>
      <c r="K91" s="12" t="s">
        <v>1030</v>
      </c>
      <c r="L91" s="12" t="s">
        <v>1049</v>
      </c>
      <c r="O91" s="28">
        <v>950</v>
      </c>
      <c r="P91" s="28">
        <f t="shared" si="36"/>
        <v>712.5</v>
      </c>
      <c r="Q91" s="28">
        <f t="shared" si="37"/>
        <v>712.5</v>
      </c>
      <c r="R91" s="28"/>
    </row>
    <row r="92" spans="1:18">
      <c r="A92" s="80" t="s">
        <v>36</v>
      </c>
      <c r="B92" s="1" t="s">
        <v>320</v>
      </c>
      <c r="C92" s="1" t="s">
        <v>6</v>
      </c>
      <c r="D92" s="1">
        <v>1</v>
      </c>
      <c r="E92" s="149"/>
      <c r="G92" s="1">
        <v>20200414</v>
      </c>
      <c r="H92" s="159" t="s">
        <v>699</v>
      </c>
      <c r="K92" s="12" t="s">
        <v>1024</v>
      </c>
      <c r="L92" s="12" t="s">
        <v>1676</v>
      </c>
      <c r="O92" s="28">
        <v>0</v>
      </c>
      <c r="P92" s="28">
        <f t="shared" si="36"/>
        <v>0</v>
      </c>
      <c r="Q92" s="28">
        <f t="shared" si="37"/>
        <v>0</v>
      </c>
      <c r="R92" s="205" t="s">
        <v>2211</v>
      </c>
    </row>
    <row r="93" spans="1:18">
      <c r="A93" s="80" t="s">
        <v>36</v>
      </c>
      <c r="B93" s="1" t="s">
        <v>116</v>
      </c>
      <c r="C93" s="1" t="s">
        <v>6</v>
      </c>
      <c r="D93" s="1">
        <v>1</v>
      </c>
      <c r="E93" s="7"/>
      <c r="G93" s="1">
        <v>20190912</v>
      </c>
      <c r="H93" s="159" t="s">
        <v>699</v>
      </c>
      <c r="K93" s="12" t="s">
        <v>1030</v>
      </c>
      <c r="L93" s="12" t="s">
        <v>1078</v>
      </c>
      <c r="N93" s="4"/>
      <c r="O93" s="28">
        <v>1450</v>
      </c>
      <c r="P93" s="28">
        <f>O93*0.75</f>
        <v>1087.5</v>
      </c>
      <c r="Q93" s="28">
        <f>D93*P93</f>
        <v>1087.5</v>
      </c>
      <c r="R93" s="28"/>
    </row>
    <row r="94" spans="1:18">
      <c r="A94" s="80" t="s">
        <v>36</v>
      </c>
      <c r="B94" s="3" t="s">
        <v>65</v>
      </c>
      <c r="C94" s="1" t="s">
        <v>6</v>
      </c>
      <c r="D94" s="1">
        <v>1</v>
      </c>
      <c r="E94" s="7"/>
      <c r="G94" s="1">
        <v>20190912</v>
      </c>
      <c r="H94" s="159" t="s">
        <v>699</v>
      </c>
      <c r="K94" s="12" t="s">
        <v>1040</v>
      </c>
      <c r="L94" s="12" t="s">
        <v>1081</v>
      </c>
      <c r="N94" s="4"/>
      <c r="O94" s="28">
        <v>2330</v>
      </c>
      <c r="P94" s="28">
        <f>O94*0.75</f>
        <v>1747.5</v>
      </c>
      <c r="Q94" s="28">
        <f>D94*P94</f>
        <v>1747.5</v>
      </c>
      <c r="R94" s="28"/>
    </row>
    <row r="95" spans="1:18">
      <c r="A95" s="80" t="s">
        <v>36</v>
      </c>
      <c r="B95" s="4" t="s">
        <v>371</v>
      </c>
      <c r="C95" s="1" t="s">
        <v>6</v>
      </c>
      <c r="D95" s="1">
        <v>1</v>
      </c>
      <c r="E95" s="7"/>
      <c r="G95" s="1">
        <v>20201016</v>
      </c>
      <c r="H95" s="159" t="s">
        <v>699</v>
      </c>
      <c r="K95" s="12" t="s">
        <v>1034</v>
      </c>
      <c r="L95" s="12" t="s">
        <v>1044</v>
      </c>
      <c r="O95" s="28">
        <v>2120</v>
      </c>
      <c r="P95" s="28">
        <f t="shared" si="36"/>
        <v>1590</v>
      </c>
      <c r="Q95" s="28">
        <f t="shared" si="37"/>
        <v>1590</v>
      </c>
      <c r="R95" s="28"/>
    </row>
    <row r="96" spans="1:18">
      <c r="A96" s="80" t="s">
        <v>36</v>
      </c>
      <c r="B96" s="4" t="s">
        <v>362</v>
      </c>
      <c r="C96" s="1" t="s">
        <v>6</v>
      </c>
      <c r="D96" s="1">
        <v>1</v>
      </c>
      <c r="E96" s="7"/>
      <c r="G96" s="1">
        <v>20201013</v>
      </c>
      <c r="H96" s="159" t="s">
        <v>699</v>
      </c>
      <c r="K96" s="12" t="s">
        <v>1039</v>
      </c>
      <c r="L96" s="12" t="s">
        <v>1045</v>
      </c>
      <c r="O96" s="28">
        <v>1720</v>
      </c>
      <c r="P96" s="28">
        <f t="shared" si="36"/>
        <v>1290</v>
      </c>
      <c r="Q96" s="28">
        <f t="shared" si="37"/>
        <v>1290</v>
      </c>
      <c r="R96" s="28"/>
    </row>
    <row r="97" spans="1:18">
      <c r="A97" s="1" t="s">
        <v>36</v>
      </c>
      <c r="B97" s="16" t="s">
        <v>120</v>
      </c>
      <c r="C97" s="1" t="s">
        <v>6</v>
      </c>
      <c r="D97" s="1">
        <v>1</v>
      </c>
      <c r="E97" s="7"/>
      <c r="G97" s="1">
        <v>20200414</v>
      </c>
      <c r="H97" s="159" t="s">
        <v>699</v>
      </c>
      <c r="K97" s="12" t="s">
        <v>1030</v>
      </c>
      <c r="L97" s="12" t="s">
        <v>1676</v>
      </c>
      <c r="O97" s="28">
        <v>0</v>
      </c>
      <c r="P97" s="28">
        <f t="shared" si="36"/>
        <v>0</v>
      </c>
      <c r="Q97" s="28">
        <f t="shared" si="37"/>
        <v>0</v>
      </c>
      <c r="R97" s="205" t="s">
        <v>2211</v>
      </c>
    </row>
    <row r="98" spans="1:18">
      <c r="A98" s="80" t="s">
        <v>36</v>
      </c>
      <c r="B98" s="23" t="s">
        <v>118</v>
      </c>
      <c r="C98" s="13" t="s">
        <v>6</v>
      </c>
      <c r="D98" s="13">
        <v>1</v>
      </c>
      <c r="E98" s="384"/>
      <c r="F98" s="13"/>
      <c r="G98" s="13">
        <v>20191018</v>
      </c>
      <c r="H98" s="160" t="s">
        <v>699</v>
      </c>
      <c r="I98" s="357" t="s">
        <v>117</v>
      </c>
      <c r="J98" s="361"/>
      <c r="K98" s="12" t="s">
        <v>1039</v>
      </c>
      <c r="L98" s="12" t="s">
        <v>1079</v>
      </c>
      <c r="O98" s="28">
        <v>2950</v>
      </c>
      <c r="P98" s="28">
        <f>O98*0.75</f>
        <v>2212.5</v>
      </c>
      <c r="Q98" s="28">
        <f>D98*P98</f>
        <v>2212.5</v>
      </c>
      <c r="R98" s="28"/>
    </row>
    <row r="99" spans="1:18">
      <c r="A99" s="80" t="s">
        <v>36</v>
      </c>
      <c r="B99" s="24" t="s">
        <v>191</v>
      </c>
      <c r="C99" s="1" t="s">
        <v>6</v>
      </c>
      <c r="D99" s="14">
        <v>1</v>
      </c>
      <c r="E99" s="385"/>
      <c r="F99" s="14"/>
      <c r="G99" s="14">
        <v>20191018</v>
      </c>
      <c r="H99" s="161" t="s">
        <v>699</v>
      </c>
      <c r="I99" s="358"/>
      <c r="J99" s="361"/>
      <c r="K99" s="12" t="s">
        <v>1039</v>
      </c>
      <c r="L99" s="12" t="s">
        <v>1080</v>
      </c>
      <c r="O99" s="28">
        <v>1550</v>
      </c>
      <c r="P99" s="28">
        <f>O99*0.75</f>
        <v>1162.5</v>
      </c>
      <c r="Q99" s="28">
        <f>D99*P99</f>
        <v>1162.5</v>
      </c>
      <c r="R99" s="28"/>
    </row>
    <row r="100" spans="1:18">
      <c r="A100" s="1" t="s">
        <v>36</v>
      </c>
      <c r="B100" s="150" t="s">
        <v>129</v>
      </c>
      <c r="C100" s="11" t="s">
        <v>6</v>
      </c>
      <c r="D100" s="11">
        <v>1</v>
      </c>
      <c r="E100" s="151"/>
      <c r="F100" s="11"/>
      <c r="G100" s="11">
        <v>20200414</v>
      </c>
      <c r="H100" s="162" t="s">
        <v>699</v>
      </c>
      <c r="I100" s="152" t="s">
        <v>1684</v>
      </c>
      <c r="K100" s="12" t="s">
        <v>1759</v>
      </c>
      <c r="L100" s="12" t="s">
        <v>1758</v>
      </c>
      <c r="O100" s="28">
        <v>0</v>
      </c>
      <c r="P100" s="28">
        <f>O100*0.75</f>
        <v>0</v>
      </c>
      <c r="Q100" s="28">
        <f>D100*P100</f>
        <v>0</v>
      </c>
      <c r="R100" s="205" t="s">
        <v>2211</v>
      </c>
    </row>
    <row r="101" spans="1:18">
      <c r="A101" s="80" t="s">
        <v>36</v>
      </c>
      <c r="B101" s="1" t="s">
        <v>186</v>
      </c>
      <c r="C101" s="13" t="s">
        <v>6</v>
      </c>
      <c r="D101" s="1">
        <v>5</v>
      </c>
      <c r="E101" s="7"/>
      <c r="G101" s="1">
        <v>20200414</v>
      </c>
      <c r="H101" s="159" t="s">
        <v>699</v>
      </c>
      <c r="K101" s="12" t="s">
        <v>1024</v>
      </c>
      <c r="L101" s="12" t="s">
        <v>1676</v>
      </c>
      <c r="O101" s="28">
        <v>0</v>
      </c>
      <c r="P101" s="28">
        <f t="shared" si="36"/>
        <v>0</v>
      </c>
      <c r="Q101" s="28">
        <f t="shared" si="37"/>
        <v>0</v>
      </c>
      <c r="R101" s="205" t="s">
        <v>2211</v>
      </c>
    </row>
    <row r="102" spans="1:18">
      <c r="A102" s="80" t="s">
        <v>36</v>
      </c>
      <c r="B102" s="1" t="s">
        <v>31</v>
      </c>
      <c r="C102" s="1" t="s">
        <v>6</v>
      </c>
      <c r="D102" s="1">
        <v>19</v>
      </c>
      <c r="E102" s="7"/>
      <c r="G102" s="1">
        <v>20200414</v>
      </c>
      <c r="H102" s="159" t="s">
        <v>699</v>
      </c>
      <c r="K102" s="12" t="s">
        <v>1042</v>
      </c>
      <c r="L102" s="12" t="s">
        <v>1086</v>
      </c>
      <c r="O102" s="28">
        <v>1500</v>
      </c>
      <c r="P102" s="28">
        <f t="shared" si="36"/>
        <v>1125</v>
      </c>
      <c r="Q102" s="28">
        <f t="shared" si="37"/>
        <v>21375</v>
      </c>
      <c r="R102" s="28"/>
    </row>
    <row r="103" spans="1:18">
      <c r="A103" s="80" t="s">
        <v>36</v>
      </c>
      <c r="B103" s="1" t="s">
        <v>124</v>
      </c>
      <c r="C103" s="1" t="s">
        <v>6</v>
      </c>
      <c r="D103" s="1">
        <v>1</v>
      </c>
      <c r="E103" s="7"/>
      <c r="G103" s="1">
        <v>20200414</v>
      </c>
      <c r="H103" s="159" t="s">
        <v>699</v>
      </c>
      <c r="K103" s="12" t="s">
        <v>1022</v>
      </c>
      <c r="L103" s="12" t="s">
        <v>1088</v>
      </c>
      <c r="O103" s="28">
        <v>3700</v>
      </c>
      <c r="P103" s="28">
        <f t="shared" si="36"/>
        <v>2775</v>
      </c>
      <c r="Q103" s="28">
        <f t="shared" si="37"/>
        <v>2775</v>
      </c>
      <c r="R103" s="28"/>
    </row>
    <row r="104" spans="1:18">
      <c r="A104" s="80" t="s">
        <v>36</v>
      </c>
      <c r="B104" s="1" t="s">
        <v>125</v>
      </c>
      <c r="C104" s="1" t="s">
        <v>6</v>
      </c>
      <c r="D104" s="1">
        <v>5</v>
      </c>
      <c r="E104" s="7"/>
      <c r="G104" s="1">
        <v>20200414</v>
      </c>
      <c r="H104" s="159" t="s">
        <v>699</v>
      </c>
      <c r="K104" s="12" t="s">
        <v>1024</v>
      </c>
      <c r="L104" s="12" t="s">
        <v>1089</v>
      </c>
      <c r="O104" s="28">
        <v>1720</v>
      </c>
      <c r="P104" s="28">
        <f t="shared" si="36"/>
        <v>1290</v>
      </c>
      <c r="Q104" s="28">
        <f t="shared" si="37"/>
        <v>6450</v>
      </c>
      <c r="R104" s="28"/>
    </row>
    <row r="105" spans="1:18" s="6" customFormat="1">
      <c r="A105" s="202" t="s">
        <v>36</v>
      </c>
      <c r="B105" s="12" t="s">
        <v>2366</v>
      </c>
      <c r="C105" s="1" t="s">
        <v>2</v>
      </c>
      <c r="D105" s="6">
        <v>5</v>
      </c>
      <c r="E105" s="7"/>
      <c r="F105" s="6">
        <v>20240312</v>
      </c>
      <c r="G105" s="6">
        <v>20240514</v>
      </c>
      <c r="H105" s="159">
        <v>10</v>
      </c>
      <c r="J105" s="12"/>
      <c r="K105" s="12" t="s">
        <v>2369</v>
      </c>
      <c r="L105" s="12" t="s">
        <v>2370</v>
      </c>
      <c r="M105" s="67" t="s">
        <v>2371</v>
      </c>
      <c r="N105" s="12" t="s">
        <v>2365</v>
      </c>
      <c r="O105" s="74">
        <v>850</v>
      </c>
      <c r="P105" s="28">
        <f>O105*0.75</f>
        <v>637.5</v>
      </c>
      <c r="Q105" s="28">
        <f>D105*P105</f>
        <v>3187.5</v>
      </c>
      <c r="R105" s="28"/>
    </row>
    <row r="106" spans="1:18">
      <c r="A106" s="80" t="s">
        <v>36</v>
      </c>
      <c r="B106" s="4" t="s">
        <v>940</v>
      </c>
      <c r="C106" s="1" t="s">
        <v>0</v>
      </c>
      <c r="D106" s="1">
        <v>15</v>
      </c>
      <c r="E106" s="7" t="s">
        <v>939</v>
      </c>
      <c r="F106" s="1">
        <v>20230401</v>
      </c>
      <c r="G106" s="1">
        <v>20230601</v>
      </c>
      <c r="H106" s="159" t="s">
        <v>699</v>
      </c>
      <c r="K106" s="12" t="s">
        <v>1024</v>
      </c>
      <c r="L106" s="12" t="s">
        <v>1744</v>
      </c>
      <c r="O106" s="74">
        <v>1350</v>
      </c>
      <c r="P106" s="28">
        <f>O106*0.75</f>
        <v>1012.5</v>
      </c>
      <c r="Q106" s="28">
        <f>D106*P106</f>
        <v>15187.5</v>
      </c>
      <c r="R106" s="28"/>
    </row>
    <row r="107" spans="1:18">
      <c r="A107" s="80" t="s">
        <v>36</v>
      </c>
      <c r="B107" s="15" t="s">
        <v>985</v>
      </c>
      <c r="C107" s="13" t="s">
        <v>0</v>
      </c>
      <c r="D107" s="13">
        <v>16</v>
      </c>
      <c r="E107" s="384" t="s">
        <v>2480</v>
      </c>
      <c r="F107" s="13">
        <v>20230513</v>
      </c>
      <c r="G107" s="13">
        <v>20230713</v>
      </c>
      <c r="H107" s="160" t="s">
        <v>986</v>
      </c>
      <c r="I107" s="393" t="s">
        <v>989</v>
      </c>
      <c r="K107" s="12" t="s">
        <v>1024</v>
      </c>
      <c r="L107" s="12" t="s">
        <v>1745</v>
      </c>
      <c r="M107" s="1" t="s">
        <v>983</v>
      </c>
      <c r="N107" s="361" t="s">
        <v>984</v>
      </c>
      <c r="O107" s="74">
        <v>880</v>
      </c>
      <c r="P107" s="28">
        <f>O107*0.75</f>
        <v>660</v>
      </c>
      <c r="Q107" s="28">
        <f>D107*P107</f>
        <v>10560</v>
      </c>
      <c r="R107" s="28"/>
    </row>
    <row r="108" spans="1:18">
      <c r="A108" s="80" t="s">
        <v>36</v>
      </c>
      <c r="B108" s="123" t="s">
        <v>987</v>
      </c>
      <c r="C108" s="64" t="s">
        <v>1797</v>
      </c>
      <c r="D108" s="14">
        <v>16</v>
      </c>
      <c r="E108" s="385"/>
      <c r="F108" s="14">
        <v>20230513</v>
      </c>
      <c r="G108" s="14">
        <v>20230713</v>
      </c>
      <c r="H108" s="161" t="s">
        <v>986</v>
      </c>
      <c r="I108" s="394"/>
      <c r="K108" s="12" t="s">
        <v>1024</v>
      </c>
      <c r="L108" s="12" t="s">
        <v>1746</v>
      </c>
      <c r="M108" s="1" t="s">
        <v>988</v>
      </c>
      <c r="N108" s="361"/>
      <c r="O108" s="74">
        <v>880</v>
      </c>
      <c r="P108" s="28">
        <f>O108*0.75</f>
        <v>660</v>
      </c>
      <c r="Q108" s="28">
        <f>D108*P108</f>
        <v>10560</v>
      </c>
      <c r="R108" s="28"/>
    </row>
    <row r="109" spans="1:18">
      <c r="A109" s="80" t="s">
        <v>36</v>
      </c>
      <c r="B109" s="1" t="s">
        <v>35</v>
      </c>
      <c r="C109" s="1" t="s">
        <v>2583</v>
      </c>
      <c r="D109" s="1">
        <v>10</v>
      </c>
      <c r="E109" s="7"/>
      <c r="G109" s="1">
        <v>20200414</v>
      </c>
      <c r="H109" s="159" t="s">
        <v>699</v>
      </c>
      <c r="K109" s="12" t="s">
        <v>1024</v>
      </c>
      <c r="L109" s="12" t="s">
        <v>1091</v>
      </c>
      <c r="O109" s="28">
        <v>600</v>
      </c>
      <c r="P109" s="28">
        <f t="shared" si="36"/>
        <v>450</v>
      </c>
      <c r="Q109" s="28">
        <f t="shared" si="37"/>
        <v>4500</v>
      </c>
      <c r="R109" s="28"/>
    </row>
    <row r="110" spans="1:18">
      <c r="A110" s="80" t="s">
        <v>36</v>
      </c>
      <c r="B110" s="1" t="s">
        <v>123</v>
      </c>
      <c r="C110" s="1" t="s">
        <v>2583</v>
      </c>
      <c r="D110" s="1">
        <v>2</v>
      </c>
      <c r="E110" s="7"/>
      <c r="G110" s="1">
        <v>20200414</v>
      </c>
      <c r="H110" s="159" t="s">
        <v>699</v>
      </c>
      <c r="K110" s="12" t="s">
        <v>1087</v>
      </c>
      <c r="L110" s="145" t="s">
        <v>1757</v>
      </c>
      <c r="O110" s="28">
        <v>820</v>
      </c>
      <c r="P110" s="28">
        <f t="shared" si="36"/>
        <v>615</v>
      </c>
      <c r="Q110" s="28">
        <f t="shared" si="37"/>
        <v>1230</v>
      </c>
      <c r="R110" s="28"/>
    </row>
    <row r="111" spans="1:18">
      <c r="A111" s="80" t="s">
        <v>36</v>
      </c>
      <c r="B111" s="1" t="s">
        <v>33</v>
      </c>
      <c r="C111" s="1" t="s">
        <v>2583</v>
      </c>
      <c r="D111" s="1">
        <v>5</v>
      </c>
      <c r="E111" s="7"/>
      <c r="G111" s="1">
        <v>20200414</v>
      </c>
      <c r="H111" s="159" t="s">
        <v>699</v>
      </c>
      <c r="K111" s="12" t="s">
        <v>1043</v>
      </c>
      <c r="L111" s="12" t="s">
        <v>1676</v>
      </c>
      <c r="O111" s="28">
        <v>0</v>
      </c>
      <c r="P111" s="28">
        <f t="shared" si="36"/>
        <v>0</v>
      </c>
      <c r="Q111" s="28">
        <f t="shared" si="37"/>
        <v>0</v>
      </c>
      <c r="R111" s="205" t="s">
        <v>2211</v>
      </c>
    </row>
    <row r="112" spans="1:18">
      <c r="A112" s="80" t="s">
        <v>36</v>
      </c>
      <c r="B112" s="1" t="s">
        <v>126</v>
      </c>
      <c r="C112" s="1" t="s">
        <v>103</v>
      </c>
      <c r="D112" s="1">
        <v>3</v>
      </c>
      <c r="E112" s="7"/>
      <c r="G112" s="1">
        <v>20200414</v>
      </c>
      <c r="H112" s="159" t="s">
        <v>699</v>
      </c>
      <c r="K112" s="12" t="s">
        <v>1034</v>
      </c>
      <c r="L112" s="12" t="s">
        <v>1676</v>
      </c>
      <c r="O112" s="28">
        <v>0</v>
      </c>
      <c r="P112" s="28">
        <f t="shared" si="36"/>
        <v>0</v>
      </c>
      <c r="Q112" s="28">
        <f t="shared" si="37"/>
        <v>0</v>
      </c>
      <c r="R112" s="205" t="s">
        <v>2211</v>
      </c>
    </row>
    <row r="113" spans="1:19">
      <c r="A113" s="80" t="s">
        <v>36</v>
      </c>
      <c r="B113" s="1" t="s">
        <v>32</v>
      </c>
      <c r="C113" s="1" t="s">
        <v>103</v>
      </c>
      <c r="D113" s="1">
        <v>16</v>
      </c>
      <c r="E113" s="7"/>
      <c r="G113" s="1">
        <v>20200414</v>
      </c>
      <c r="H113" s="159" t="s">
        <v>699</v>
      </c>
      <c r="K113" s="12" t="s">
        <v>1050</v>
      </c>
      <c r="L113" s="12" t="s">
        <v>1076</v>
      </c>
      <c r="O113" s="28">
        <v>720</v>
      </c>
      <c r="P113" s="28">
        <f t="shared" si="36"/>
        <v>540</v>
      </c>
      <c r="Q113" s="28">
        <f t="shared" si="37"/>
        <v>8640</v>
      </c>
      <c r="R113" s="28"/>
    </row>
    <row r="114" spans="1:19">
      <c r="A114" s="1" t="s">
        <v>36</v>
      </c>
      <c r="B114" s="16" t="s">
        <v>115</v>
      </c>
      <c r="C114" s="1" t="s">
        <v>103</v>
      </c>
      <c r="D114" s="1">
        <v>24</v>
      </c>
      <c r="E114" s="7"/>
      <c r="G114" s="1">
        <v>20200414</v>
      </c>
      <c r="H114" s="159" t="s">
        <v>699</v>
      </c>
      <c r="K114" s="12" t="s">
        <v>1038</v>
      </c>
      <c r="L114" s="12" t="s">
        <v>1075</v>
      </c>
      <c r="O114" s="28">
        <v>0</v>
      </c>
      <c r="P114" s="28">
        <f t="shared" si="36"/>
        <v>0</v>
      </c>
      <c r="Q114" s="28">
        <f t="shared" si="37"/>
        <v>0</v>
      </c>
      <c r="R114" s="205" t="s">
        <v>2211</v>
      </c>
    </row>
    <row r="115" spans="1:19">
      <c r="A115" s="80" t="s">
        <v>36</v>
      </c>
      <c r="B115" s="1" t="s">
        <v>457</v>
      </c>
      <c r="C115" s="1" t="s">
        <v>103</v>
      </c>
      <c r="D115" s="1">
        <v>15</v>
      </c>
      <c r="E115" s="7"/>
      <c r="G115" s="1">
        <v>20200414</v>
      </c>
      <c r="H115" s="159" t="s">
        <v>699</v>
      </c>
      <c r="K115" s="12" t="s">
        <v>1050</v>
      </c>
      <c r="L115" s="12" t="s">
        <v>1077</v>
      </c>
      <c r="O115" s="28">
        <v>605</v>
      </c>
      <c r="P115" s="28">
        <f t="shared" si="36"/>
        <v>453.75</v>
      </c>
      <c r="Q115" s="28">
        <f t="shared" si="37"/>
        <v>6806.25</v>
      </c>
      <c r="R115" s="28"/>
    </row>
    <row r="116" spans="1:19" s="6" customFormat="1">
      <c r="A116" s="202" t="s">
        <v>406</v>
      </c>
      <c r="B116" s="115" t="s">
        <v>715</v>
      </c>
      <c r="C116" s="13" t="s">
        <v>103</v>
      </c>
      <c r="D116" s="96">
        <v>160</v>
      </c>
      <c r="E116" s="368"/>
      <c r="F116" s="96">
        <v>20240805</v>
      </c>
      <c r="G116" s="96">
        <v>20241128</v>
      </c>
      <c r="H116" s="160" t="s">
        <v>699</v>
      </c>
      <c r="I116" s="380" t="s">
        <v>2725</v>
      </c>
      <c r="J116" s="391"/>
      <c r="K116" s="12" t="s">
        <v>1050</v>
      </c>
      <c r="L116" s="12" t="s">
        <v>2187</v>
      </c>
      <c r="M116" s="59" t="s">
        <v>2737</v>
      </c>
      <c r="N116" s="361" t="s">
        <v>716</v>
      </c>
      <c r="O116" s="28">
        <v>1496</v>
      </c>
      <c r="P116" s="28">
        <f>O116*0.75</f>
        <v>1122</v>
      </c>
      <c r="Q116" s="28">
        <f t="shared" si="37"/>
        <v>179520</v>
      </c>
      <c r="R116" s="28"/>
    </row>
    <row r="117" spans="1:19" s="6" customFormat="1">
      <c r="A117" s="202" t="s">
        <v>406</v>
      </c>
      <c r="B117" s="88" t="s">
        <v>130</v>
      </c>
      <c r="C117" s="14" t="s">
        <v>103</v>
      </c>
      <c r="D117" s="64">
        <v>160</v>
      </c>
      <c r="E117" s="369"/>
      <c r="F117" s="64">
        <v>20240805</v>
      </c>
      <c r="G117" s="64">
        <v>20241128</v>
      </c>
      <c r="H117" s="161" t="s">
        <v>699</v>
      </c>
      <c r="I117" s="390"/>
      <c r="J117" s="391"/>
      <c r="K117" s="12" t="s">
        <v>1024</v>
      </c>
      <c r="L117" s="12" t="s">
        <v>1090</v>
      </c>
      <c r="M117" s="59" t="s">
        <v>2751</v>
      </c>
      <c r="N117" s="361"/>
      <c r="O117" s="28">
        <v>1496</v>
      </c>
      <c r="P117" s="28">
        <f>O117*0.75</f>
        <v>1122</v>
      </c>
      <c r="Q117" s="28">
        <f t="shared" si="37"/>
        <v>179520</v>
      </c>
      <c r="R117" s="28"/>
    </row>
    <row r="118" spans="1:19" s="6" customFormat="1">
      <c r="A118" s="202" t="s">
        <v>406</v>
      </c>
      <c r="B118" s="88" t="s">
        <v>130</v>
      </c>
      <c r="C118" s="1" t="s">
        <v>103</v>
      </c>
      <c r="D118" s="64">
        <v>30</v>
      </c>
      <c r="F118" s="64"/>
      <c r="G118" s="64">
        <v>20250609</v>
      </c>
      <c r="H118" s="161" t="s">
        <v>699</v>
      </c>
      <c r="I118" s="314"/>
      <c r="J118" s="12"/>
      <c r="K118" s="12" t="s">
        <v>1024</v>
      </c>
      <c r="L118" s="12" t="s">
        <v>1090</v>
      </c>
      <c r="M118" s="59"/>
      <c r="N118" s="12" t="s">
        <v>3016</v>
      </c>
      <c r="O118" s="28">
        <v>1496</v>
      </c>
      <c r="P118" s="28">
        <f>O118*0.75</f>
        <v>1122</v>
      </c>
      <c r="Q118" s="28">
        <f t="shared" ref="Q118" si="40">D118*P118</f>
        <v>33660</v>
      </c>
      <c r="R118" s="28"/>
    </row>
    <row r="119" spans="1:19">
      <c r="B119" s="4"/>
      <c r="C119" s="96"/>
      <c r="D119" s="104">
        <f ca="1">SUM(D4:D124)</f>
        <v>8705</v>
      </c>
      <c r="E119" s="109">
        <f>ROW()-4</f>
        <v>115</v>
      </c>
      <c r="O119" s="74"/>
      <c r="P119" s="28"/>
      <c r="Q119" s="28">
        <f>SUM(Q4:Q118)</f>
        <v>1398936</v>
      </c>
      <c r="R119" s="28"/>
    </row>
    <row r="120" spans="1:19">
      <c r="B120" s="4"/>
      <c r="C120" s="6"/>
      <c r="H120" s="159"/>
      <c r="O120" s="74"/>
      <c r="P120" s="28"/>
      <c r="Q120" s="28"/>
      <c r="R120" s="28"/>
    </row>
    <row r="121" spans="1:19">
      <c r="C121" s="6"/>
      <c r="I121" s="201"/>
    </row>
    <row r="122" spans="1:19">
      <c r="B122" s="4"/>
      <c r="H122" s="159"/>
      <c r="O122" s="74"/>
      <c r="P122" s="28"/>
      <c r="Q122" s="28"/>
      <c r="R122" s="28"/>
    </row>
    <row r="123" spans="1:19">
      <c r="B123" s="4"/>
      <c r="H123" s="159"/>
      <c r="O123" s="74"/>
      <c r="P123" s="28"/>
      <c r="Q123" s="28"/>
      <c r="R123" s="28"/>
    </row>
    <row r="124" spans="1:19">
      <c r="A124" s="122"/>
      <c r="B124" s="38" t="s">
        <v>313</v>
      </c>
      <c r="C124" s="38"/>
      <c r="D124" s="38"/>
      <c r="E124" s="38"/>
      <c r="F124" s="38"/>
      <c r="G124" s="38"/>
      <c r="H124" s="164"/>
      <c r="I124" s="38"/>
      <c r="J124" s="78"/>
      <c r="K124" s="78"/>
      <c r="L124" s="78"/>
      <c r="M124" s="61"/>
      <c r="N124" s="78"/>
      <c r="O124" s="47"/>
      <c r="P124" s="42"/>
      <c r="Q124" s="42"/>
      <c r="R124" s="41"/>
      <c r="S124" s="38"/>
    </row>
    <row r="125" spans="1:19" s="6" customFormat="1">
      <c r="A125" s="202" t="s">
        <v>406</v>
      </c>
      <c r="B125" s="65" t="s">
        <v>669</v>
      </c>
      <c r="C125" s="65" t="s">
        <v>2710</v>
      </c>
      <c r="D125" s="65">
        <v>0</v>
      </c>
      <c r="F125" s="6">
        <v>20240520</v>
      </c>
      <c r="G125" s="6">
        <v>20241014</v>
      </c>
      <c r="H125" s="159" t="s">
        <v>699</v>
      </c>
      <c r="J125" s="12"/>
      <c r="K125" s="12" t="s">
        <v>2200</v>
      </c>
      <c r="L125" s="12" t="s">
        <v>2201</v>
      </c>
      <c r="M125" s="6" t="s">
        <v>2711</v>
      </c>
      <c r="N125" s="12" t="s">
        <v>2712</v>
      </c>
      <c r="O125" s="28">
        <v>605</v>
      </c>
      <c r="P125" s="28">
        <f>O125*0.75</f>
        <v>453.75</v>
      </c>
      <c r="Q125" s="28">
        <f t="shared" ref="Q125:Q130" si="41">D125*P125</f>
        <v>0</v>
      </c>
      <c r="R125" s="28"/>
    </row>
    <row r="126" spans="1:19" ht="32.4">
      <c r="A126" s="80" t="s">
        <v>36</v>
      </c>
      <c r="B126" s="101" t="s">
        <v>721</v>
      </c>
      <c r="C126" s="65" t="s">
        <v>2608</v>
      </c>
      <c r="D126" s="65">
        <v>0</v>
      </c>
      <c r="E126" s="7"/>
      <c r="F126" s="1">
        <v>20240205</v>
      </c>
      <c r="G126" s="1">
        <v>20240604</v>
      </c>
      <c r="H126" s="159">
        <v>10</v>
      </c>
      <c r="K126" s="12" t="s">
        <v>1048</v>
      </c>
      <c r="L126" s="145" t="s">
        <v>1752</v>
      </c>
      <c r="M126" s="1" t="s">
        <v>2473</v>
      </c>
      <c r="N126" s="66" t="s">
        <v>2474</v>
      </c>
      <c r="O126" s="74">
        <v>638</v>
      </c>
      <c r="P126" s="28">
        <f>O126*0.75</f>
        <v>478.5</v>
      </c>
      <c r="Q126" s="28">
        <f t="shared" si="41"/>
        <v>0</v>
      </c>
      <c r="R126" s="28"/>
    </row>
    <row r="127" spans="1:19" s="6" customFormat="1">
      <c r="A127" s="202" t="s">
        <v>36</v>
      </c>
      <c r="B127" s="65" t="s">
        <v>2904</v>
      </c>
      <c r="C127" s="65" t="s">
        <v>596</v>
      </c>
      <c r="D127" s="65">
        <v>0</v>
      </c>
      <c r="F127" s="6">
        <v>20231022</v>
      </c>
      <c r="G127" s="6">
        <v>20250326</v>
      </c>
      <c r="H127" s="159" t="s">
        <v>699</v>
      </c>
      <c r="J127" s="12"/>
      <c r="K127" s="12" t="s">
        <v>1026</v>
      </c>
      <c r="L127" s="12" t="s">
        <v>2905</v>
      </c>
      <c r="M127" s="6" t="s">
        <v>2906</v>
      </c>
      <c r="N127" s="12" t="s">
        <v>2907</v>
      </c>
      <c r="O127" s="28">
        <v>690</v>
      </c>
      <c r="P127" s="28">
        <f t="shared" ref="P127" si="42">O127*0.75</f>
        <v>517.5</v>
      </c>
      <c r="Q127" s="28">
        <f t="shared" si="41"/>
        <v>0</v>
      </c>
      <c r="R127" s="35"/>
    </row>
    <row r="128" spans="1:19" s="6" customFormat="1">
      <c r="A128" s="202" t="s">
        <v>406</v>
      </c>
      <c r="B128" s="284" t="s">
        <v>714</v>
      </c>
      <c r="C128" s="65" t="s">
        <v>596</v>
      </c>
      <c r="D128" s="65">
        <v>0</v>
      </c>
      <c r="E128" s="59"/>
      <c r="F128" s="6">
        <v>20240805</v>
      </c>
      <c r="G128" s="6">
        <v>20220719</v>
      </c>
      <c r="H128" s="159" t="s">
        <v>699</v>
      </c>
      <c r="J128" s="12"/>
      <c r="K128" s="12" t="s">
        <v>1083</v>
      </c>
      <c r="L128" s="12" t="s">
        <v>1886</v>
      </c>
      <c r="M128" s="6" t="s">
        <v>2723</v>
      </c>
      <c r="N128" s="12" t="s">
        <v>2724</v>
      </c>
      <c r="O128" s="28">
        <v>803</v>
      </c>
      <c r="P128" s="28">
        <f>O128*0.75</f>
        <v>602.25</v>
      </c>
      <c r="Q128" s="28">
        <f t="shared" si="41"/>
        <v>0</v>
      </c>
      <c r="R128" s="28"/>
    </row>
    <row r="129" spans="1:18" s="6" customFormat="1">
      <c r="A129" s="202" t="s">
        <v>36</v>
      </c>
      <c r="B129" s="101" t="s">
        <v>2760</v>
      </c>
      <c r="C129" s="65" t="s">
        <v>2709</v>
      </c>
      <c r="D129" s="101">
        <v>0</v>
      </c>
      <c r="E129" s="7"/>
      <c r="F129" s="6">
        <v>20241024</v>
      </c>
      <c r="G129" s="6">
        <v>20250103</v>
      </c>
      <c r="H129" s="159" t="s">
        <v>699</v>
      </c>
      <c r="I129" s="25"/>
      <c r="J129" s="12"/>
      <c r="K129" s="12" t="s">
        <v>2761</v>
      </c>
      <c r="L129" s="12" t="s">
        <v>2759</v>
      </c>
      <c r="M129" s="6" t="s">
        <v>2762</v>
      </c>
      <c r="N129" s="12"/>
      <c r="O129" s="74">
        <v>926</v>
      </c>
      <c r="P129" s="28">
        <f>O129*0.75</f>
        <v>694.5</v>
      </c>
      <c r="Q129" s="28">
        <f t="shared" si="41"/>
        <v>0</v>
      </c>
      <c r="R129" s="28"/>
    </row>
    <row r="130" spans="1:18">
      <c r="A130" s="1" t="s">
        <v>36</v>
      </c>
      <c r="B130" s="65" t="s">
        <v>667</v>
      </c>
      <c r="C130" s="65" t="s">
        <v>439</v>
      </c>
      <c r="D130" s="65">
        <v>0</v>
      </c>
      <c r="E130" s="7"/>
      <c r="F130" s="1">
        <v>20210307</v>
      </c>
      <c r="G130" s="1">
        <v>20240926</v>
      </c>
      <c r="H130" s="159" t="s">
        <v>699</v>
      </c>
      <c r="I130" s="21"/>
      <c r="K130" s="12" t="s">
        <v>1050</v>
      </c>
      <c r="L130" s="12" t="s">
        <v>1051</v>
      </c>
      <c r="O130" s="28">
        <v>900</v>
      </c>
      <c r="P130" s="28">
        <f>O130*0.75</f>
        <v>675</v>
      </c>
      <c r="Q130" s="28">
        <f t="shared" si="41"/>
        <v>0</v>
      </c>
      <c r="R130" s="28"/>
    </row>
    <row r="131" spans="1:18" s="6" customFormat="1">
      <c r="A131" s="6" t="s">
        <v>406</v>
      </c>
      <c r="B131" s="299" t="s">
        <v>130</v>
      </c>
      <c r="C131" s="101" t="s">
        <v>2692</v>
      </c>
      <c r="D131" s="65">
        <v>0</v>
      </c>
      <c r="E131" s="7"/>
      <c r="F131" s="6">
        <v>20240729</v>
      </c>
      <c r="G131" s="6">
        <v>20240930</v>
      </c>
      <c r="H131" s="159" t="s">
        <v>699</v>
      </c>
      <c r="J131" s="12"/>
      <c r="K131" s="12" t="s">
        <v>1050</v>
      </c>
      <c r="L131" s="12" t="s">
        <v>1090</v>
      </c>
      <c r="M131" s="6" t="s">
        <v>2654</v>
      </c>
      <c r="N131" s="12" t="s">
        <v>2645</v>
      </c>
      <c r="O131" s="32">
        <v>515</v>
      </c>
      <c r="P131" s="32">
        <f>O131*0.75</f>
        <v>386.25</v>
      </c>
      <c r="Q131" s="32">
        <f t="shared" ref="Q131:Q136" si="43">D131*P131</f>
        <v>0</v>
      </c>
      <c r="R131" s="32"/>
    </row>
    <row r="132" spans="1:18" s="6" customFormat="1">
      <c r="A132" s="202" t="s">
        <v>36</v>
      </c>
      <c r="B132" s="101" t="s">
        <v>898</v>
      </c>
      <c r="C132" s="65" t="s">
        <v>2368</v>
      </c>
      <c r="D132" s="65">
        <v>0</v>
      </c>
      <c r="E132" s="7"/>
      <c r="F132" s="6">
        <v>20240411</v>
      </c>
      <c r="G132" s="6">
        <v>20240605</v>
      </c>
      <c r="H132" s="159" t="s">
        <v>699</v>
      </c>
      <c r="J132" s="12"/>
      <c r="K132" s="12" t="s">
        <v>1047</v>
      </c>
      <c r="L132" s="12" t="s">
        <v>1057</v>
      </c>
      <c r="M132" s="6" t="s">
        <v>2479</v>
      </c>
      <c r="N132" s="12" t="s">
        <v>2478</v>
      </c>
      <c r="O132" s="74">
        <v>1480</v>
      </c>
      <c r="P132" s="28">
        <f t="shared" ref="P132" si="44">O132*0.75</f>
        <v>1110</v>
      </c>
      <c r="Q132" s="28">
        <f t="shared" si="43"/>
        <v>0</v>
      </c>
      <c r="R132" s="28"/>
    </row>
    <row r="133" spans="1:18">
      <c r="A133" s="80" t="s">
        <v>36</v>
      </c>
      <c r="B133" s="8" t="s">
        <v>898</v>
      </c>
      <c r="C133" s="65" t="s">
        <v>2709</v>
      </c>
      <c r="D133" s="65">
        <v>0</v>
      </c>
      <c r="E133" s="7"/>
      <c r="F133" s="1">
        <v>20230920</v>
      </c>
      <c r="G133" s="1">
        <v>20231129</v>
      </c>
      <c r="H133" s="159">
        <v>10</v>
      </c>
      <c r="I133" s="21" t="s">
        <v>2272</v>
      </c>
      <c r="J133" s="248"/>
      <c r="K133" s="12" t="s">
        <v>1047</v>
      </c>
      <c r="L133" s="12" t="s">
        <v>1049</v>
      </c>
      <c r="M133" s="1" t="s">
        <v>2089</v>
      </c>
      <c r="N133" s="12" t="s">
        <v>2090</v>
      </c>
      <c r="O133" s="28">
        <v>857</v>
      </c>
      <c r="P133" s="28">
        <f t="shared" ref="P133:P142" si="45">O133*0.75</f>
        <v>642.75</v>
      </c>
      <c r="Q133" s="28">
        <f t="shared" si="43"/>
        <v>0</v>
      </c>
    </row>
    <row r="134" spans="1:18" s="6" customFormat="1">
      <c r="A134" s="202" t="s">
        <v>36</v>
      </c>
      <c r="B134" s="277" t="s">
        <v>1870</v>
      </c>
      <c r="C134" s="278" t="s">
        <v>2357</v>
      </c>
      <c r="D134" s="378">
        <v>0</v>
      </c>
      <c r="E134" s="382"/>
      <c r="F134" s="96">
        <v>20240807</v>
      </c>
      <c r="G134" s="96">
        <v>20241014</v>
      </c>
      <c r="H134" s="160">
        <v>10</v>
      </c>
      <c r="I134" s="380" t="s">
        <v>2719</v>
      </c>
      <c r="J134" s="12"/>
      <c r="K134" s="12" t="s">
        <v>1872</v>
      </c>
      <c r="L134" s="12" t="s">
        <v>1871</v>
      </c>
      <c r="M134" s="6" t="s">
        <v>2721</v>
      </c>
      <c r="N134" s="12" t="s">
        <v>2722</v>
      </c>
      <c r="O134" s="74">
        <v>2068</v>
      </c>
      <c r="P134" s="28">
        <f t="shared" si="45"/>
        <v>1551</v>
      </c>
      <c r="Q134" s="28">
        <f t="shared" si="43"/>
        <v>0</v>
      </c>
      <c r="R134" s="32"/>
    </row>
    <row r="135" spans="1:18" s="6" customFormat="1">
      <c r="A135" s="202" t="s">
        <v>36</v>
      </c>
      <c r="B135" s="280" t="s">
        <v>468</v>
      </c>
      <c r="C135" s="101" t="s">
        <v>2357</v>
      </c>
      <c r="D135" s="379"/>
      <c r="E135" s="383"/>
      <c r="F135" s="64">
        <v>20240807</v>
      </c>
      <c r="G135" s="64">
        <v>20241014</v>
      </c>
      <c r="H135" s="161">
        <v>10</v>
      </c>
      <c r="I135" s="381"/>
      <c r="J135" s="12"/>
      <c r="K135" s="12" t="s">
        <v>1869</v>
      </c>
      <c r="L135" s="12" t="s">
        <v>2553</v>
      </c>
      <c r="M135" s="6" t="s">
        <v>2720</v>
      </c>
      <c r="N135" s="12" t="s">
        <v>2554</v>
      </c>
      <c r="O135" s="74">
        <v>2475</v>
      </c>
      <c r="P135" s="28">
        <f t="shared" si="45"/>
        <v>1856.25</v>
      </c>
      <c r="Q135" s="28">
        <f t="shared" si="43"/>
        <v>0</v>
      </c>
      <c r="R135" s="32"/>
    </row>
    <row r="136" spans="1:18" s="6" customFormat="1">
      <c r="A136" s="202" t="s">
        <v>36</v>
      </c>
      <c r="B136" s="101" t="s">
        <v>785</v>
      </c>
      <c r="C136" s="278" t="s">
        <v>2357</v>
      </c>
      <c r="D136" s="101">
        <v>0</v>
      </c>
      <c r="E136" s="7"/>
      <c r="F136" s="6">
        <v>20240620</v>
      </c>
      <c r="G136" s="6">
        <v>20241014</v>
      </c>
      <c r="H136" s="159" t="s">
        <v>699</v>
      </c>
      <c r="J136" s="12"/>
      <c r="K136" s="12" t="s">
        <v>1074</v>
      </c>
      <c r="L136" s="12" t="s">
        <v>1073</v>
      </c>
      <c r="M136" s="6" t="s">
        <v>2715</v>
      </c>
      <c r="N136" s="12" t="s">
        <v>2716</v>
      </c>
      <c r="O136" s="74">
        <v>880</v>
      </c>
      <c r="P136" s="28">
        <f t="shared" si="45"/>
        <v>660</v>
      </c>
      <c r="Q136" s="28">
        <f t="shared" si="43"/>
        <v>0</v>
      </c>
      <c r="R136" s="28"/>
    </row>
    <row r="137" spans="1:18">
      <c r="A137" s="80" t="s">
        <v>36</v>
      </c>
      <c r="B137" s="302" t="s">
        <v>935</v>
      </c>
      <c r="C137" s="65" t="s">
        <v>461</v>
      </c>
      <c r="D137" s="65">
        <v>0</v>
      </c>
      <c r="E137" s="7"/>
      <c r="F137" s="1">
        <v>20230419</v>
      </c>
      <c r="G137" s="1">
        <v>20230619</v>
      </c>
      <c r="H137" s="159" t="s">
        <v>699</v>
      </c>
      <c r="I137" s="75" t="s">
        <v>943</v>
      </c>
      <c r="K137" s="12" t="s">
        <v>1025</v>
      </c>
      <c r="L137" s="145" t="s">
        <v>1752</v>
      </c>
      <c r="M137" s="1" t="s">
        <v>938</v>
      </c>
      <c r="O137" s="74">
        <v>1375</v>
      </c>
      <c r="P137" s="28">
        <f t="shared" si="45"/>
        <v>1031.25</v>
      </c>
      <c r="Q137" s="28">
        <f t="shared" ref="Q137:Q142" si="46">D137*P137</f>
        <v>0</v>
      </c>
      <c r="R137" s="28"/>
    </row>
    <row r="138" spans="1:18">
      <c r="A138" s="80" t="s">
        <v>36</v>
      </c>
      <c r="B138" s="101" t="s">
        <v>721</v>
      </c>
      <c r="C138" s="65" t="s">
        <v>439</v>
      </c>
      <c r="D138" s="65">
        <v>0</v>
      </c>
      <c r="E138" s="7"/>
      <c r="G138" s="1">
        <v>20250609</v>
      </c>
      <c r="H138" s="159">
        <v>10</v>
      </c>
      <c r="K138" s="12" t="s">
        <v>1048</v>
      </c>
      <c r="L138" s="145" t="s">
        <v>1752</v>
      </c>
      <c r="N138" s="66" t="s">
        <v>2090</v>
      </c>
      <c r="O138" s="74">
        <v>638</v>
      </c>
      <c r="P138" s="28">
        <f t="shared" si="45"/>
        <v>478.5</v>
      </c>
      <c r="Q138" s="28">
        <f t="shared" si="46"/>
        <v>0</v>
      </c>
      <c r="R138" s="28"/>
    </row>
    <row r="139" spans="1:18">
      <c r="A139" s="80" t="s">
        <v>36</v>
      </c>
      <c r="B139" s="101" t="s">
        <v>3012</v>
      </c>
      <c r="C139" s="65" t="s">
        <v>439</v>
      </c>
      <c r="D139" s="65">
        <v>0</v>
      </c>
      <c r="E139" s="7"/>
      <c r="G139" s="1">
        <v>20250609</v>
      </c>
      <c r="H139" s="159">
        <v>10</v>
      </c>
      <c r="K139" s="12" t="s">
        <v>1025</v>
      </c>
      <c r="L139" s="145" t="s">
        <v>3013</v>
      </c>
      <c r="N139" s="66" t="s">
        <v>3014</v>
      </c>
      <c r="O139" s="74">
        <v>550</v>
      </c>
      <c r="P139" s="28">
        <f t="shared" si="45"/>
        <v>412.5</v>
      </c>
      <c r="Q139" s="28">
        <f t="shared" si="46"/>
        <v>0</v>
      </c>
      <c r="R139" s="28"/>
    </row>
    <row r="140" spans="1:18">
      <c r="A140" s="80" t="s">
        <v>406</v>
      </c>
      <c r="B140" s="284" t="s">
        <v>408</v>
      </c>
      <c r="C140" s="65" t="s">
        <v>461</v>
      </c>
      <c r="D140" s="65">
        <v>0</v>
      </c>
      <c r="E140" s="7"/>
      <c r="F140" s="1">
        <v>20210313</v>
      </c>
      <c r="G140" s="1">
        <v>20210413</v>
      </c>
      <c r="H140" s="159" t="s">
        <v>699</v>
      </c>
      <c r="K140" s="12" t="s">
        <v>1750</v>
      </c>
      <c r="L140" s="145" t="s">
        <v>1753</v>
      </c>
      <c r="O140" s="28">
        <v>1350</v>
      </c>
      <c r="P140" s="28">
        <f t="shared" si="45"/>
        <v>1012.5</v>
      </c>
      <c r="Q140" s="28">
        <f t="shared" si="46"/>
        <v>0</v>
      </c>
      <c r="R140" s="28"/>
    </row>
    <row r="141" spans="1:18">
      <c r="A141" s="80" t="s">
        <v>968</v>
      </c>
      <c r="B141" s="325" t="s">
        <v>969</v>
      </c>
      <c r="C141" s="65" t="s">
        <v>970</v>
      </c>
      <c r="D141" s="65">
        <v>0</v>
      </c>
      <c r="E141" s="7" t="s">
        <v>789</v>
      </c>
      <c r="F141" s="1">
        <v>20210130</v>
      </c>
      <c r="G141" s="1">
        <v>20210330</v>
      </c>
      <c r="H141" s="159" t="s">
        <v>971</v>
      </c>
      <c r="K141" s="12" t="s">
        <v>1048</v>
      </c>
      <c r="L141" s="145" t="s">
        <v>1753</v>
      </c>
      <c r="N141" s="12" t="s">
        <v>520</v>
      </c>
      <c r="O141" s="28">
        <v>1485</v>
      </c>
      <c r="P141" s="28">
        <f t="shared" si="45"/>
        <v>1113.75</v>
      </c>
      <c r="Q141" s="28">
        <f t="shared" si="46"/>
        <v>0</v>
      </c>
    </row>
    <row r="142" spans="1:18">
      <c r="A142" s="80" t="s">
        <v>968</v>
      </c>
      <c r="B142" s="326" t="s">
        <v>972</v>
      </c>
      <c r="C142" s="65" t="s">
        <v>973</v>
      </c>
      <c r="D142" s="65">
        <v>0</v>
      </c>
      <c r="E142" s="7"/>
      <c r="F142" s="1">
        <v>20220929</v>
      </c>
      <c r="G142" s="1">
        <v>20221129</v>
      </c>
      <c r="H142" s="159" t="s">
        <v>971</v>
      </c>
      <c r="I142" s="1" t="s">
        <v>788</v>
      </c>
      <c r="K142" s="12" t="s">
        <v>1048</v>
      </c>
      <c r="L142" s="145" t="s">
        <v>1753</v>
      </c>
      <c r="O142" s="74">
        <v>1485</v>
      </c>
      <c r="P142" s="28">
        <f t="shared" si="45"/>
        <v>1113.75</v>
      </c>
      <c r="Q142" s="28">
        <f t="shared" si="46"/>
        <v>0</v>
      </c>
      <c r="R142" s="28"/>
    </row>
    <row r="143" spans="1:18" s="6" customFormat="1">
      <c r="A143" s="202" t="s">
        <v>406</v>
      </c>
      <c r="B143" s="65" t="s">
        <v>670</v>
      </c>
      <c r="C143" s="65" t="s">
        <v>2583</v>
      </c>
      <c r="D143" s="65">
        <v>0</v>
      </c>
      <c r="E143" s="142"/>
      <c r="F143" s="6">
        <v>20240520</v>
      </c>
      <c r="G143" s="6">
        <v>20241014</v>
      </c>
      <c r="H143" s="159" t="s">
        <v>699</v>
      </c>
      <c r="J143" s="12"/>
      <c r="K143" s="12" t="s">
        <v>2202</v>
      </c>
      <c r="L143" s="12" t="s">
        <v>2203</v>
      </c>
      <c r="M143" s="6" t="s">
        <v>2713</v>
      </c>
      <c r="N143" s="12" t="s">
        <v>2714</v>
      </c>
      <c r="O143" s="28">
        <v>638</v>
      </c>
      <c r="P143" s="28">
        <f t="shared" ref="P143" si="47">O143*0.75</f>
        <v>478.5</v>
      </c>
      <c r="Q143" s="28">
        <f t="shared" ref="Q143" si="48">D143*P143</f>
        <v>0</v>
      </c>
      <c r="R143" s="28"/>
    </row>
    <row r="144" spans="1:18" s="6" customFormat="1">
      <c r="A144" s="202" t="s">
        <v>406</v>
      </c>
      <c r="B144" s="65" t="s">
        <v>669</v>
      </c>
      <c r="C144" s="65" t="s">
        <v>3005</v>
      </c>
      <c r="D144" s="65">
        <v>0</v>
      </c>
      <c r="G144" s="6">
        <v>20250609</v>
      </c>
      <c r="H144" s="159" t="s">
        <v>699</v>
      </c>
      <c r="I144" s="314" t="s">
        <v>3063</v>
      </c>
      <c r="J144" s="12"/>
      <c r="K144" s="12" t="s">
        <v>2200</v>
      </c>
      <c r="L144" s="12" t="s">
        <v>2201</v>
      </c>
      <c r="N144" s="12" t="s">
        <v>3009</v>
      </c>
      <c r="O144" s="28">
        <v>605</v>
      </c>
      <c r="P144" s="28">
        <f t="shared" ref="P144:P151" si="49">O144*0.75</f>
        <v>453.75</v>
      </c>
      <c r="Q144" s="28">
        <f t="shared" ref="Q144:Q151" si="50">D144*P144</f>
        <v>0</v>
      </c>
      <c r="R144" s="28"/>
    </row>
    <row r="145" spans="1:18" s="6" customFormat="1">
      <c r="A145" s="202" t="s">
        <v>406</v>
      </c>
      <c r="B145" s="65" t="s">
        <v>669</v>
      </c>
      <c r="C145" s="65" t="s">
        <v>3005</v>
      </c>
      <c r="D145" s="65">
        <v>0</v>
      </c>
      <c r="G145" s="6">
        <v>20250609</v>
      </c>
      <c r="H145" s="159" t="s">
        <v>699</v>
      </c>
      <c r="I145" s="314" t="s">
        <v>3010</v>
      </c>
      <c r="J145" s="12"/>
      <c r="K145" s="12" t="s">
        <v>2200</v>
      </c>
      <c r="L145" s="12" t="s">
        <v>2201</v>
      </c>
      <c r="N145" s="12" t="s">
        <v>3011</v>
      </c>
      <c r="O145" s="28">
        <v>605</v>
      </c>
      <c r="P145" s="28">
        <f t="shared" si="49"/>
        <v>453.75</v>
      </c>
      <c r="Q145" s="28">
        <f t="shared" si="50"/>
        <v>0</v>
      </c>
      <c r="R145" s="28"/>
    </row>
    <row r="146" spans="1:18">
      <c r="A146" s="1" t="s">
        <v>36</v>
      </c>
      <c r="B146" s="342" t="s">
        <v>308</v>
      </c>
      <c r="C146" s="65" t="s">
        <v>440</v>
      </c>
      <c r="D146" s="65">
        <v>0</v>
      </c>
      <c r="E146" s="7" t="s">
        <v>2411</v>
      </c>
      <c r="G146" s="1">
        <v>20200717</v>
      </c>
      <c r="H146" s="159" t="s">
        <v>699</v>
      </c>
      <c r="K146" s="12" t="s">
        <v>1036</v>
      </c>
      <c r="L146" s="12" t="s">
        <v>1037</v>
      </c>
      <c r="O146" s="28">
        <v>1950</v>
      </c>
      <c r="P146" s="28">
        <f t="shared" si="49"/>
        <v>1462.5</v>
      </c>
      <c r="Q146" s="28">
        <f t="shared" si="50"/>
        <v>0</v>
      </c>
      <c r="R146" s="28"/>
    </row>
    <row r="147" spans="1:18" s="6" customFormat="1">
      <c r="A147" s="202" t="s">
        <v>36</v>
      </c>
      <c r="B147" s="101" t="s">
        <v>1898</v>
      </c>
      <c r="C147" s="65" t="s">
        <v>440</v>
      </c>
      <c r="D147" s="101">
        <v>5</v>
      </c>
      <c r="E147" s="7"/>
      <c r="F147" s="6">
        <v>20230726</v>
      </c>
      <c r="G147" s="6">
        <v>20240930</v>
      </c>
      <c r="H147" s="159" t="s">
        <v>699</v>
      </c>
      <c r="J147" s="12"/>
      <c r="K147" s="12" t="s">
        <v>1047</v>
      </c>
      <c r="L147" s="12" t="s">
        <v>1899</v>
      </c>
      <c r="M147" s="6" t="s">
        <v>1900</v>
      </c>
      <c r="N147" s="12" t="s">
        <v>1901</v>
      </c>
      <c r="O147" s="28">
        <v>1550</v>
      </c>
      <c r="P147" s="28">
        <f t="shared" si="49"/>
        <v>1162.5</v>
      </c>
      <c r="Q147" s="28">
        <f t="shared" si="50"/>
        <v>5812.5</v>
      </c>
      <c r="R147" s="28"/>
    </row>
    <row r="148" spans="1:18">
      <c r="A148" s="80" t="s">
        <v>36</v>
      </c>
      <c r="B148" s="302" t="s">
        <v>917</v>
      </c>
      <c r="C148" s="101" t="s">
        <v>2692</v>
      </c>
      <c r="D148" s="65">
        <v>4</v>
      </c>
      <c r="E148" s="7"/>
      <c r="F148" s="1">
        <v>20230331</v>
      </c>
      <c r="G148" s="1">
        <v>20230531</v>
      </c>
      <c r="H148" s="159" t="s">
        <v>699</v>
      </c>
      <c r="K148" s="12" t="s">
        <v>1047</v>
      </c>
      <c r="L148" s="12" t="s">
        <v>1035</v>
      </c>
      <c r="M148" s="1" t="s">
        <v>921</v>
      </c>
      <c r="O148" s="74">
        <v>1700</v>
      </c>
      <c r="P148" s="28">
        <f t="shared" si="49"/>
        <v>1275</v>
      </c>
      <c r="Q148" s="28">
        <f t="shared" si="50"/>
        <v>5100</v>
      </c>
      <c r="R148" s="28"/>
    </row>
    <row r="149" spans="1:18">
      <c r="A149" s="80" t="s">
        <v>36</v>
      </c>
      <c r="B149" s="354" t="s">
        <v>2523</v>
      </c>
      <c r="C149" s="65" t="s">
        <v>2708</v>
      </c>
      <c r="D149" s="101">
        <v>5</v>
      </c>
      <c r="E149" s="7"/>
      <c r="F149" s="1">
        <v>20240521</v>
      </c>
      <c r="G149" s="1">
        <v>20240805</v>
      </c>
      <c r="H149" s="159">
        <v>10</v>
      </c>
      <c r="I149" s="21"/>
      <c r="J149" s="12" t="s">
        <v>2542</v>
      </c>
      <c r="K149" s="12" t="s">
        <v>2524</v>
      </c>
      <c r="L149" s="12" t="s">
        <v>2525</v>
      </c>
      <c r="M149" s="1" t="s">
        <v>2526</v>
      </c>
      <c r="N149" s="4" t="s">
        <v>2527</v>
      </c>
      <c r="O149" s="74">
        <v>1650</v>
      </c>
      <c r="P149" s="28">
        <f t="shared" si="49"/>
        <v>1237.5</v>
      </c>
      <c r="Q149" s="28">
        <f t="shared" si="50"/>
        <v>6187.5</v>
      </c>
      <c r="R149" s="28"/>
    </row>
    <row r="150" spans="1:18" s="6" customFormat="1">
      <c r="A150" s="202" t="s">
        <v>36</v>
      </c>
      <c r="B150" s="65" t="s">
        <v>2470</v>
      </c>
      <c r="C150" s="65" t="s">
        <v>2368</v>
      </c>
      <c r="D150" s="65">
        <v>5</v>
      </c>
      <c r="F150" s="6">
        <v>20240314</v>
      </c>
      <c r="G150" s="6">
        <v>20240604</v>
      </c>
      <c r="H150" s="159">
        <v>10</v>
      </c>
      <c r="I150" s="7" t="s">
        <v>3253</v>
      </c>
      <c r="K150" s="6" t="s">
        <v>2432</v>
      </c>
      <c r="L150" s="6" t="s">
        <v>2472</v>
      </c>
      <c r="M150" s="6" t="s">
        <v>2471</v>
      </c>
      <c r="N150" s="12" t="s">
        <v>2431</v>
      </c>
      <c r="O150" s="28">
        <v>1930</v>
      </c>
      <c r="P150" s="28">
        <f t="shared" si="49"/>
        <v>1447.5</v>
      </c>
      <c r="Q150" s="28">
        <f t="shared" si="50"/>
        <v>7237.5</v>
      </c>
      <c r="R150" s="28"/>
    </row>
    <row r="151" spans="1:18">
      <c r="A151" s="1" t="s">
        <v>36</v>
      </c>
      <c r="B151" s="65" t="s">
        <v>667</v>
      </c>
      <c r="C151" s="65" t="s">
        <v>439</v>
      </c>
      <c r="D151" s="65">
        <v>5</v>
      </c>
      <c r="E151" s="7"/>
      <c r="F151" s="1">
        <v>20210307</v>
      </c>
      <c r="G151" s="1">
        <v>20210507</v>
      </c>
      <c r="H151" s="159" t="s">
        <v>699</v>
      </c>
      <c r="I151" s="21" t="s">
        <v>3256</v>
      </c>
      <c r="K151" s="12" t="s">
        <v>1050</v>
      </c>
      <c r="L151" s="12" t="s">
        <v>1051</v>
      </c>
      <c r="N151" s="12" t="s">
        <v>668</v>
      </c>
      <c r="O151" s="28">
        <v>900</v>
      </c>
      <c r="P151" s="28">
        <f t="shared" si="49"/>
        <v>675</v>
      </c>
      <c r="Q151" s="28">
        <f t="shared" si="50"/>
        <v>3375</v>
      </c>
      <c r="R151" s="28"/>
    </row>
    <row r="175" spans="13:13">
      <c r="M175" s="12"/>
    </row>
    <row r="225" spans="15:15">
      <c r="O225" s="74"/>
    </row>
    <row r="252" spans="15:15">
      <c r="O252" s="74"/>
    </row>
    <row r="268" spans="15:15">
      <c r="O268" s="74"/>
    </row>
    <row r="271" spans="15:15">
      <c r="O271" s="74"/>
    </row>
  </sheetData>
  <autoFilter ref="A3:N119" xr:uid="{00000000-0009-0000-0000-000003000000}"/>
  <mergeCells count="30">
    <mergeCell ref="N107:N108"/>
    <mergeCell ref="N9:N10"/>
    <mergeCell ref="N11:N12"/>
    <mergeCell ref="J11:J12"/>
    <mergeCell ref="I116:I117"/>
    <mergeCell ref="N116:N117"/>
    <mergeCell ref="J116:J117"/>
    <mergeCell ref="I26:I27"/>
    <mergeCell ref="N26:N27"/>
    <mergeCell ref="I107:I108"/>
    <mergeCell ref="A1:J1"/>
    <mergeCell ref="J98:J99"/>
    <mergeCell ref="E87:E88"/>
    <mergeCell ref="I87:I88"/>
    <mergeCell ref="I98:I99"/>
    <mergeCell ref="E98:E99"/>
    <mergeCell ref="I11:I12"/>
    <mergeCell ref="I9:I10"/>
    <mergeCell ref="I22:I23"/>
    <mergeCell ref="C22:C23"/>
    <mergeCell ref="E22:E23"/>
    <mergeCell ref="B2:J2"/>
    <mergeCell ref="J9:J10"/>
    <mergeCell ref="D134:D135"/>
    <mergeCell ref="I134:I135"/>
    <mergeCell ref="E134:E135"/>
    <mergeCell ref="D26:D27"/>
    <mergeCell ref="E26:E27"/>
    <mergeCell ref="E116:E117"/>
    <mergeCell ref="E107:E108"/>
  </mergeCells>
  <phoneticPr fontId="1" type="noConversion"/>
  <conditionalFormatting sqref="C25:C27 A1:R12 A14:R17 F135:H135 J135:R135 D119:R134 D117:I118 D136:R146 A82:C146 D82:R116 A19:R24 C70:C75 A70:B74 D70:R74 D60:R60 A60:B60 C59:C60 A76:R79 A28:R58 A147:R441 A61:R68">
    <cfRule type="expression" dxfId="107" priority="79">
      <formula>CELL("ROW")=ROW()</formula>
    </cfRule>
  </conditionalFormatting>
  <conditionalFormatting sqref="A24:R24 A28:R28 C25:C27">
    <cfRule type="expression" dxfId="106" priority="74">
      <formula>CELL("ROW")=ROW()</formula>
    </cfRule>
  </conditionalFormatting>
  <conditionalFormatting sqref="A59:B59 D59:R59">
    <cfRule type="expression" dxfId="105" priority="67">
      <formula>CELL("ROW")=ROW()</formula>
    </cfRule>
  </conditionalFormatting>
  <conditionalFormatting sqref="D131:R134 F135:H135 J135:R135">
    <cfRule type="expression" dxfId="104" priority="66">
      <formula>CELL("ROW")=ROW()</formula>
    </cfRule>
  </conditionalFormatting>
  <conditionalFormatting sqref="D125:R134 F135:H135 J135:R135">
    <cfRule type="expression" dxfId="103" priority="62">
      <formula>CELL("ROW")=ROW()</formula>
    </cfRule>
  </conditionalFormatting>
  <conditionalFormatting sqref="A134:B135 D134:R134 F135:H135 J135:R135">
    <cfRule type="expression" dxfId="102" priority="57">
      <formula>CELL("ROW")=ROW()</formula>
    </cfRule>
  </conditionalFormatting>
  <conditionalFormatting sqref="A134:B135 D134:R134 F135:H135 J135:R135">
    <cfRule type="expression" dxfId="101" priority="56">
      <formula>CELL("ROW")=ROW()</formula>
    </cfRule>
  </conditionalFormatting>
  <conditionalFormatting sqref="A134:B135 F135:H135 D134:R134 J135:R135">
    <cfRule type="expression" dxfId="100" priority="55">
      <formula>CELL("ROW")=ROW()</formula>
    </cfRule>
  </conditionalFormatting>
  <conditionalFormatting sqref="C134">
    <cfRule type="expression" dxfId="99" priority="54">
      <formula>CELL("ROW")=ROW()</formula>
    </cfRule>
  </conditionalFormatting>
  <conditionalFormatting sqref="C135">
    <cfRule type="expression" dxfId="98" priority="53">
      <formula>CELL("ROW")=ROW()</formula>
    </cfRule>
  </conditionalFormatting>
  <conditionalFormatting sqref="D128:R134 F135:H135 J135:R135">
    <cfRule type="expression" dxfId="97" priority="51">
      <formula>CELL("ROW")=ROW()</formula>
    </cfRule>
  </conditionalFormatting>
  <conditionalFormatting sqref="K117:R117">
    <cfRule type="expression" dxfId="96" priority="45">
      <formula>CELL("ROW")=ROW()</formula>
    </cfRule>
  </conditionalFormatting>
  <conditionalFormatting sqref="A63:B64 D63:R64">
    <cfRule type="expression" dxfId="95" priority="42">
      <formula>CELL("ROW")=ROW()</formula>
    </cfRule>
  </conditionalFormatting>
  <conditionalFormatting sqref="A63:B64 D63:R64">
    <cfRule type="expression" dxfId="94" priority="41">
      <formula>CELL("ROW")=ROW()</formula>
    </cfRule>
  </conditionalFormatting>
  <conditionalFormatting sqref="A63:B64 F63:H64 J63:R64">
    <cfRule type="expression" dxfId="93" priority="40">
      <formula>CELL("ROW")=ROW()</formula>
    </cfRule>
  </conditionalFormatting>
  <conditionalFormatting sqref="C66:C67">
    <cfRule type="expression" dxfId="92" priority="39">
      <formula>CELL("ROW")=ROW()</formula>
    </cfRule>
  </conditionalFormatting>
  <conditionalFormatting sqref="A25:B27 D25:R27">
    <cfRule type="expression" dxfId="91" priority="31">
      <formula>CELL("ROW")=ROW()</formula>
    </cfRule>
  </conditionalFormatting>
  <conditionalFormatting sqref="A26:B27 D26:R26 D27:M27 O27:R27">
    <cfRule type="expression" dxfId="90" priority="29">
      <formula>CELL("ROW")=ROW()</formula>
    </cfRule>
  </conditionalFormatting>
  <conditionalFormatting sqref="A26:B27 D26:R26 D27:M27 O27:R27">
    <cfRule type="expression" dxfId="89" priority="28">
      <formula>CELL("ROW")=ROW()</formula>
    </cfRule>
  </conditionalFormatting>
  <conditionalFormatting sqref="A26:B27 F27:H27 D26:R26 J27:M27 O27:R27">
    <cfRule type="expression" dxfId="88" priority="27">
      <formula>CELL("ROW")=ROW()</formula>
    </cfRule>
  </conditionalFormatting>
  <conditionalFormatting sqref="C26">
    <cfRule type="expression" dxfId="87" priority="26">
      <formula>CELL("ROW")=ROW()</formula>
    </cfRule>
  </conditionalFormatting>
  <conditionalFormatting sqref="C27">
    <cfRule type="expression" dxfId="86" priority="25">
      <formula>CELL("ROW")=ROW()</formula>
    </cfRule>
  </conditionalFormatting>
  <conditionalFormatting sqref="A13:B13 D13:R13">
    <cfRule type="expression" dxfId="85" priority="24">
      <formula>CELL("ROW")=ROW()</formula>
    </cfRule>
  </conditionalFormatting>
  <conditionalFormatting sqref="A13:B13 D13:R13">
    <cfRule type="expression" dxfId="84" priority="23">
      <formula>CELL("ROW")=ROW()</formula>
    </cfRule>
  </conditionalFormatting>
  <conditionalFormatting sqref="C13">
    <cfRule type="expression" dxfId="83" priority="22">
      <formula>CELL("ROW")=ROW()</formula>
    </cfRule>
  </conditionalFormatting>
  <conditionalFormatting sqref="D127:R134 F135:H135 J135:R135">
    <cfRule type="expression" dxfId="82" priority="21">
      <formula>CELL("ROW")=ROW()</formula>
    </cfRule>
  </conditionalFormatting>
  <conditionalFormatting sqref="A77:B77 D77:R77">
    <cfRule type="expression" dxfId="81" priority="19">
      <formula>CELL("ROW")=ROW()</formula>
    </cfRule>
  </conditionalFormatting>
  <conditionalFormatting sqref="A77:B77 D77:R77">
    <cfRule type="expression" dxfId="80" priority="18">
      <formula>CELL("ROW")=ROW()</formula>
    </cfRule>
  </conditionalFormatting>
  <conditionalFormatting sqref="A77:B77 D77:R77">
    <cfRule type="expression" dxfId="79" priority="17">
      <formula>CELL("ROW")=ROW()</formula>
    </cfRule>
  </conditionalFormatting>
  <conditionalFormatting sqref="A144:B144 D144:R144">
    <cfRule type="expression" dxfId="78" priority="15">
      <formula>CELL("ROW")=ROW()</formula>
    </cfRule>
  </conditionalFormatting>
  <conditionalFormatting sqref="A145:B146 D145:R146">
    <cfRule type="expression" dxfId="77" priority="13">
      <formula>CELL("ROW")=ROW()</formula>
    </cfRule>
  </conditionalFormatting>
  <conditionalFormatting sqref="K118:R118">
    <cfRule type="expression" dxfId="76" priority="10">
      <formula>CELL("ROW")=ROW()</formula>
    </cfRule>
  </conditionalFormatting>
  <conditionalFormatting sqref="A18:R18">
    <cfRule type="expression" dxfId="75" priority="9">
      <formula>CELL("ROW")=ROW()</formula>
    </cfRule>
  </conditionalFormatting>
  <conditionalFormatting sqref="A80:R80 C81">
    <cfRule type="expression" dxfId="74" priority="8">
      <formula>CELL("ROW")=ROW()</formula>
    </cfRule>
  </conditionalFormatting>
  <conditionalFormatting sqref="A75:B75 D75:R75">
    <cfRule type="expression" dxfId="73" priority="7">
      <formula>CELL("ROW")=ROW()</formula>
    </cfRule>
  </conditionalFormatting>
  <conditionalFormatting sqref="A69:R69">
    <cfRule type="expression" dxfId="72" priority="6">
      <formula>CELL("ROW")=ROW()</formula>
    </cfRule>
  </conditionalFormatting>
  <conditionalFormatting sqref="A81:B81 D81:I81 K81:R81">
    <cfRule type="expression" dxfId="71" priority="5">
      <formula>CELL("ROW")=ROW()</formula>
    </cfRule>
  </conditionalFormatting>
  <conditionalFormatting sqref="A81:B81 D81:I81 K81:R81">
    <cfRule type="expression" dxfId="70" priority="4">
      <formula>CELL("ROW")=ROW()</formula>
    </cfRule>
  </conditionalFormatting>
  <conditionalFormatting sqref="A81:B81 D81:I81 K81:R81">
    <cfRule type="expression" dxfId="69" priority="3">
      <formula>CELL("ROW")=ROW()</formula>
    </cfRule>
  </conditionalFormatting>
  <conditionalFormatting sqref="A81:B81 D81:I81 K81:R81">
    <cfRule type="expression" dxfId="68" priority="2">
      <formula>CELL("ROW")=ROW()</formula>
    </cfRule>
  </conditionalFormatting>
  <conditionalFormatting sqref="J81">
    <cfRule type="expression" dxfId="67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92D050"/>
  </sheetPr>
  <dimension ref="A1:T237"/>
  <sheetViews>
    <sheetView zoomScaleNormal="100" workbookViewId="0">
      <pane xSplit="1" ySplit="3" topLeftCell="B229" activePane="bottomRight" state="frozen"/>
      <selection activeCell="B33" sqref="B33"/>
      <selection pane="topRight" activeCell="B33" sqref="B33"/>
      <selection pane="bottomLeft" activeCell="B33" sqref="B33"/>
      <selection pane="bottomRight" activeCell="C244" sqref="C244"/>
    </sheetView>
  </sheetViews>
  <sheetFormatPr defaultColWidth="9" defaultRowHeight="16.2"/>
  <cols>
    <col min="1" max="1" width="11" style="1" customWidth="1"/>
    <col min="2" max="2" width="30.109375" style="5" bestFit="1" customWidth="1"/>
    <col min="3" max="3" width="17.109375" style="1" bestFit="1" customWidth="1"/>
    <col min="4" max="4" width="8" style="1" customWidth="1"/>
    <col min="5" max="5" width="11.44140625" style="1" bestFit="1" customWidth="1"/>
    <col min="6" max="6" width="10.44140625" style="1" bestFit="1" customWidth="1"/>
    <col min="7" max="7" width="12.33203125" style="1" bestFit="1" customWidth="1"/>
    <col min="8" max="8" width="12.33203125" style="163" customWidth="1"/>
    <col min="9" max="9" width="15.21875" style="1" customWidth="1"/>
    <col min="10" max="10" width="15.33203125" style="1" customWidth="1"/>
    <col min="11" max="11" width="30.77734375" style="1" customWidth="1"/>
    <col min="12" max="12" width="24.109375" style="1" bestFit="1" customWidth="1"/>
    <col min="13" max="13" width="14.88671875" style="1" bestFit="1" customWidth="1"/>
    <col min="14" max="14" width="9.44140625" style="12" customWidth="1"/>
    <col min="15" max="15" width="12.44140625" style="28" customWidth="1"/>
    <col min="16" max="16" width="11.77734375" style="28" customWidth="1"/>
    <col min="17" max="17" width="10.88671875" style="28" bestFit="1" customWidth="1"/>
    <col min="18" max="18" width="13" style="28" bestFit="1" customWidth="1"/>
    <col min="19" max="19" width="13.6640625" style="1" bestFit="1" customWidth="1"/>
    <col min="20" max="20" width="8.88671875" customWidth="1"/>
    <col min="21" max="16384" width="9" style="1"/>
  </cols>
  <sheetData>
    <row r="1" spans="1:20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106"/>
      <c r="Q1" s="106"/>
      <c r="R1" s="106"/>
    </row>
    <row r="2" spans="1:20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243" t="s">
        <v>2584</v>
      </c>
      <c r="L2" s="146" t="s">
        <v>1959</v>
      </c>
      <c r="M2" s="143" t="s">
        <v>999</v>
      </c>
    </row>
    <row r="3" spans="1:20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22" t="s">
        <v>1019</v>
      </c>
      <c r="K3" s="4" t="s">
        <v>1093</v>
      </c>
      <c r="L3" s="4" t="s">
        <v>1094</v>
      </c>
      <c r="M3" s="6" t="s">
        <v>683</v>
      </c>
      <c r="N3" s="66" t="s">
        <v>501</v>
      </c>
      <c r="O3" s="29" t="s">
        <v>645</v>
      </c>
      <c r="P3" s="29" t="s">
        <v>647</v>
      </c>
      <c r="Q3" s="29" t="s">
        <v>646</v>
      </c>
      <c r="R3" s="107"/>
      <c r="S3" s="107"/>
      <c r="T3" s="1"/>
    </row>
    <row r="4" spans="1:20" s="6" customFormat="1" ht="32.4">
      <c r="A4" s="6" t="s">
        <v>43</v>
      </c>
      <c r="B4" s="5" t="s">
        <v>632</v>
      </c>
      <c r="C4" s="6" t="s">
        <v>2698</v>
      </c>
      <c r="D4" s="6">
        <v>3</v>
      </c>
      <c r="F4" s="6">
        <v>20241028</v>
      </c>
      <c r="G4" s="6">
        <v>20250106</v>
      </c>
      <c r="H4" s="159" t="s">
        <v>699</v>
      </c>
      <c r="K4" s="12" t="s">
        <v>1024</v>
      </c>
      <c r="L4" s="12" t="s">
        <v>1384</v>
      </c>
      <c r="M4" s="67" t="s">
        <v>2792</v>
      </c>
      <c r="N4" s="66" t="s">
        <v>2793</v>
      </c>
      <c r="O4" s="28">
        <v>4770</v>
      </c>
      <c r="P4" s="250">
        <f>O4*0.75</f>
        <v>3577.5</v>
      </c>
      <c r="Q4" s="250">
        <f>D4*P4</f>
        <v>10732.5</v>
      </c>
      <c r="R4" s="219"/>
    </row>
    <row r="5" spans="1:20">
      <c r="A5" s="1" t="s">
        <v>43</v>
      </c>
      <c r="B5" s="5" t="s">
        <v>310</v>
      </c>
      <c r="C5" s="6" t="s">
        <v>2</v>
      </c>
      <c r="D5" s="6">
        <v>1</v>
      </c>
      <c r="G5" s="1">
        <v>20200724</v>
      </c>
      <c r="H5" s="159" t="s">
        <v>699</v>
      </c>
      <c r="I5" s="6"/>
      <c r="J5" s="21"/>
      <c r="K5" s="12" t="s">
        <v>1024</v>
      </c>
      <c r="L5" s="12" t="s">
        <v>1387</v>
      </c>
      <c r="O5" s="28">
        <v>4800</v>
      </c>
      <c r="P5" s="107">
        <f t="shared" ref="P5:P25" si="0">O5*0.75</f>
        <v>3600</v>
      </c>
      <c r="Q5" s="107">
        <f t="shared" ref="Q5:Q25" si="1">D5*P5</f>
        <v>3600</v>
      </c>
      <c r="S5" s="21"/>
    </row>
    <row r="6" spans="1:20">
      <c r="A6" s="6" t="s">
        <v>43</v>
      </c>
      <c r="B6" s="5">
        <v>251030030</v>
      </c>
      <c r="C6" s="6" t="s">
        <v>2</v>
      </c>
      <c r="D6" s="6">
        <v>1</v>
      </c>
      <c r="E6" s="6"/>
      <c r="F6" s="6"/>
      <c r="G6" s="6">
        <v>20200413</v>
      </c>
      <c r="H6" s="159" t="s">
        <v>699</v>
      </c>
      <c r="J6" s="21"/>
      <c r="K6" s="12" t="s">
        <v>1762</v>
      </c>
      <c r="L6" s="12" t="s">
        <v>1776</v>
      </c>
      <c r="O6" s="28">
        <v>975</v>
      </c>
      <c r="P6" s="107">
        <f t="shared" si="0"/>
        <v>731.25</v>
      </c>
      <c r="Q6" s="107">
        <f t="shared" si="1"/>
        <v>731.25</v>
      </c>
      <c r="S6" s="21"/>
      <c r="T6" s="1"/>
    </row>
    <row r="7" spans="1:20">
      <c r="A7" s="6" t="s">
        <v>43</v>
      </c>
      <c r="B7" s="5" t="s">
        <v>254</v>
      </c>
      <c r="C7" s="6" t="s">
        <v>2</v>
      </c>
      <c r="D7" s="6">
        <v>1</v>
      </c>
      <c r="E7" s="6"/>
      <c r="F7" s="6"/>
      <c r="G7" s="6">
        <v>20200408</v>
      </c>
      <c r="H7" s="159" t="s">
        <v>699</v>
      </c>
      <c r="J7" s="21"/>
      <c r="K7" s="12" t="s">
        <v>1378</v>
      </c>
      <c r="L7" s="12" t="s">
        <v>1402</v>
      </c>
      <c r="O7" s="28">
        <v>3790</v>
      </c>
      <c r="P7" s="107">
        <f t="shared" si="0"/>
        <v>2842.5</v>
      </c>
      <c r="Q7" s="107">
        <f t="shared" si="1"/>
        <v>2842.5</v>
      </c>
      <c r="S7" s="21"/>
      <c r="T7" s="1"/>
    </row>
    <row r="8" spans="1:20">
      <c r="A8" s="6" t="s">
        <v>43</v>
      </c>
      <c r="B8" s="5" t="s">
        <v>253</v>
      </c>
      <c r="C8" s="6" t="s">
        <v>2</v>
      </c>
      <c r="D8" s="6">
        <v>44</v>
      </c>
      <c r="E8" s="6"/>
      <c r="F8" s="6"/>
      <c r="G8" s="6">
        <v>20200421</v>
      </c>
      <c r="H8" s="159" t="s">
        <v>699</v>
      </c>
      <c r="J8" s="1" t="s">
        <v>741</v>
      </c>
      <c r="K8" s="12" t="s">
        <v>1342</v>
      </c>
      <c r="L8" s="12" t="s">
        <v>1971</v>
      </c>
      <c r="O8" s="28">
        <v>465</v>
      </c>
      <c r="P8" s="107">
        <f t="shared" si="0"/>
        <v>348.75</v>
      </c>
      <c r="Q8" s="107">
        <f t="shared" si="1"/>
        <v>15345</v>
      </c>
      <c r="S8" s="21"/>
      <c r="T8" s="1"/>
    </row>
    <row r="9" spans="1:20" ht="48.6">
      <c r="A9" s="1" t="s">
        <v>43</v>
      </c>
      <c r="B9" s="20" t="s">
        <v>654</v>
      </c>
      <c r="C9" s="12" t="s">
        <v>2</v>
      </c>
      <c r="D9" s="1">
        <v>1</v>
      </c>
      <c r="F9" s="1">
        <v>20201118</v>
      </c>
      <c r="G9" s="1">
        <v>20210118</v>
      </c>
      <c r="H9" s="159" t="s">
        <v>699</v>
      </c>
      <c r="I9" s="175" t="s">
        <v>2026</v>
      </c>
      <c r="K9" s="12" t="s">
        <v>1389</v>
      </c>
      <c r="L9" s="12" t="s">
        <v>1390</v>
      </c>
      <c r="O9" s="28">
        <v>4285</v>
      </c>
      <c r="P9" s="107">
        <f t="shared" si="0"/>
        <v>3213.75</v>
      </c>
      <c r="Q9" s="107">
        <f t="shared" si="1"/>
        <v>3213.75</v>
      </c>
      <c r="T9" s="1"/>
    </row>
    <row r="10" spans="1:20" ht="48.6">
      <c r="A10" s="1" t="s">
        <v>43</v>
      </c>
      <c r="B10" s="20" t="s">
        <v>655</v>
      </c>
      <c r="C10" s="12" t="s">
        <v>2</v>
      </c>
      <c r="D10" s="1">
        <v>1</v>
      </c>
      <c r="F10" s="1">
        <v>20201118</v>
      </c>
      <c r="G10" s="1">
        <v>20210118</v>
      </c>
      <c r="H10" s="159" t="s">
        <v>699</v>
      </c>
      <c r="I10" s="175" t="s">
        <v>2027</v>
      </c>
      <c r="J10" s="21"/>
      <c r="K10" s="12" t="s">
        <v>1780</v>
      </c>
      <c r="L10" s="12" t="s">
        <v>1781</v>
      </c>
      <c r="O10" s="28">
        <v>2900</v>
      </c>
      <c r="P10" s="107">
        <f t="shared" si="0"/>
        <v>2175</v>
      </c>
      <c r="Q10" s="107">
        <f t="shared" si="1"/>
        <v>2175</v>
      </c>
      <c r="T10" s="1"/>
    </row>
    <row r="11" spans="1:20" ht="48.6">
      <c r="A11" s="1" t="s">
        <v>43</v>
      </c>
      <c r="B11" s="20" t="s">
        <v>653</v>
      </c>
      <c r="C11" s="12" t="s">
        <v>2</v>
      </c>
      <c r="D11" s="1">
        <v>1</v>
      </c>
      <c r="F11" s="1">
        <v>20201118</v>
      </c>
      <c r="G11" s="1">
        <v>20210118</v>
      </c>
      <c r="H11" s="159" t="s">
        <v>699</v>
      </c>
      <c r="I11" s="175" t="s">
        <v>2028</v>
      </c>
      <c r="K11" s="12" t="s">
        <v>1389</v>
      </c>
      <c r="L11" s="12" t="s">
        <v>1391</v>
      </c>
      <c r="O11" s="28">
        <v>2850</v>
      </c>
      <c r="P11" s="107">
        <f t="shared" si="0"/>
        <v>2137.5</v>
      </c>
      <c r="Q11" s="107">
        <f t="shared" si="1"/>
        <v>2137.5</v>
      </c>
      <c r="T11" s="1"/>
    </row>
    <row r="12" spans="1:20">
      <c r="A12" s="6" t="s">
        <v>43</v>
      </c>
      <c r="B12" s="5" t="s">
        <v>250</v>
      </c>
      <c r="C12" s="6" t="s">
        <v>2</v>
      </c>
      <c r="D12" s="6">
        <v>1</v>
      </c>
      <c r="E12" s="6"/>
      <c r="F12" s="6"/>
      <c r="G12" s="6">
        <v>20190820</v>
      </c>
      <c r="H12" s="159" t="s">
        <v>699</v>
      </c>
      <c r="J12" s="21"/>
      <c r="K12" s="12" t="s">
        <v>1024</v>
      </c>
      <c r="L12" s="12" t="s">
        <v>1392</v>
      </c>
      <c r="O12" s="28">
        <v>7850</v>
      </c>
      <c r="P12" s="107">
        <f t="shared" si="0"/>
        <v>5887.5</v>
      </c>
      <c r="Q12" s="107">
        <f t="shared" si="1"/>
        <v>5887.5</v>
      </c>
      <c r="S12" s="21"/>
    </row>
    <row r="13" spans="1:20" s="6" customFormat="1">
      <c r="A13" s="6" t="s">
        <v>43</v>
      </c>
      <c r="B13" s="5" t="s">
        <v>213</v>
      </c>
      <c r="C13" s="12" t="s">
        <v>2</v>
      </c>
      <c r="D13" s="6">
        <v>1</v>
      </c>
      <c r="G13" s="6">
        <v>20190925</v>
      </c>
      <c r="H13" s="159" t="s">
        <v>699</v>
      </c>
      <c r="J13" s="7"/>
      <c r="K13" s="12" t="s">
        <v>1024</v>
      </c>
      <c r="L13" s="12" t="s">
        <v>1766</v>
      </c>
      <c r="M13" s="1"/>
      <c r="N13" s="12"/>
      <c r="O13" s="28">
        <v>1160</v>
      </c>
      <c r="P13" s="107">
        <f t="shared" si="0"/>
        <v>870</v>
      </c>
      <c r="Q13" s="107">
        <f t="shared" si="1"/>
        <v>870</v>
      </c>
      <c r="R13" s="28"/>
      <c r="S13" s="7"/>
    </row>
    <row r="14" spans="1:20">
      <c r="A14" s="1" t="s">
        <v>43</v>
      </c>
      <c r="B14" s="5" t="s">
        <v>214</v>
      </c>
      <c r="C14" s="12" t="s">
        <v>2</v>
      </c>
      <c r="D14" s="1">
        <v>1</v>
      </c>
      <c r="G14" s="1">
        <v>20191003</v>
      </c>
      <c r="H14" s="159" t="s">
        <v>699</v>
      </c>
      <c r="J14" s="7"/>
      <c r="K14" s="12" t="s">
        <v>1024</v>
      </c>
      <c r="L14" s="12" t="s">
        <v>1769</v>
      </c>
      <c r="O14" s="28">
        <v>2350</v>
      </c>
      <c r="P14" s="107">
        <f t="shared" si="0"/>
        <v>1762.5</v>
      </c>
      <c r="Q14" s="107">
        <f t="shared" si="1"/>
        <v>1762.5</v>
      </c>
      <c r="S14" s="7"/>
      <c r="T14" s="1"/>
    </row>
    <row r="15" spans="1:20">
      <c r="A15" s="1" t="s">
        <v>43</v>
      </c>
      <c r="B15" s="5" t="s">
        <v>343</v>
      </c>
      <c r="C15" s="12" t="s">
        <v>2</v>
      </c>
      <c r="D15" s="1">
        <v>1</v>
      </c>
      <c r="G15" s="1">
        <v>20200914</v>
      </c>
      <c r="H15" s="159" t="s">
        <v>699</v>
      </c>
      <c r="J15" s="7"/>
      <c r="K15" s="12" t="s">
        <v>1024</v>
      </c>
      <c r="L15" s="12" t="s">
        <v>1775</v>
      </c>
      <c r="O15" s="28">
        <v>2050</v>
      </c>
      <c r="P15" s="107">
        <f t="shared" si="0"/>
        <v>1537.5</v>
      </c>
      <c r="Q15" s="107">
        <f t="shared" si="1"/>
        <v>1537.5</v>
      </c>
      <c r="S15" s="7"/>
      <c r="T15" s="1"/>
    </row>
    <row r="16" spans="1:20" s="6" customFormat="1">
      <c r="A16" s="6" t="s">
        <v>43</v>
      </c>
      <c r="B16" s="20">
        <v>75545</v>
      </c>
      <c r="C16" s="12" t="s">
        <v>3</v>
      </c>
      <c r="D16" s="6">
        <v>2</v>
      </c>
      <c r="G16" s="6">
        <v>20190820</v>
      </c>
      <c r="H16" s="159" t="s">
        <v>699</v>
      </c>
      <c r="J16" s="7"/>
      <c r="K16" s="12" t="s">
        <v>1024</v>
      </c>
      <c r="L16" s="12" t="s">
        <v>1768</v>
      </c>
      <c r="M16" s="1"/>
      <c r="N16" s="12"/>
      <c r="O16" s="28">
        <v>1080</v>
      </c>
      <c r="P16" s="107">
        <f t="shared" si="0"/>
        <v>810</v>
      </c>
      <c r="Q16" s="107">
        <f t="shared" si="1"/>
        <v>1620</v>
      </c>
      <c r="R16" s="28"/>
      <c r="S16" s="7"/>
    </row>
    <row r="17" spans="1:20" s="6" customFormat="1">
      <c r="A17" s="6" t="s">
        <v>43</v>
      </c>
      <c r="B17" s="5">
        <v>80641</v>
      </c>
      <c r="C17" s="12" t="s">
        <v>3</v>
      </c>
      <c r="D17" s="6">
        <v>1</v>
      </c>
      <c r="G17" s="6">
        <v>20200504</v>
      </c>
      <c r="H17" s="159" t="s">
        <v>699</v>
      </c>
      <c r="J17" s="7"/>
      <c r="K17" s="12" t="s">
        <v>1762</v>
      </c>
      <c r="L17" s="12" t="s">
        <v>1763</v>
      </c>
      <c r="M17" s="1"/>
      <c r="N17" s="12"/>
      <c r="O17" s="28">
        <v>1210</v>
      </c>
      <c r="P17" s="107">
        <f t="shared" si="0"/>
        <v>907.5</v>
      </c>
      <c r="Q17" s="107">
        <f t="shared" si="1"/>
        <v>907.5</v>
      </c>
      <c r="R17" s="28"/>
      <c r="S17" s="7"/>
    </row>
    <row r="18" spans="1:20" s="6" customFormat="1">
      <c r="A18" s="6" t="s">
        <v>43</v>
      </c>
      <c r="B18" s="5">
        <v>251030059</v>
      </c>
      <c r="C18" s="12" t="s">
        <v>3</v>
      </c>
      <c r="D18" s="6">
        <v>1</v>
      </c>
      <c r="G18" s="6">
        <v>20200504</v>
      </c>
      <c r="H18" s="159" t="s">
        <v>699</v>
      </c>
      <c r="J18" s="7"/>
      <c r="K18" s="12" t="s">
        <v>1762</v>
      </c>
      <c r="L18" s="12" t="s">
        <v>1764</v>
      </c>
      <c r="M18" s="1"/>
      <c r="N18" s="12"/>
      <c r="O18" s="28">
        <v>820</v>
      </c>
      <c r="P18" s="107">
        <f t="shared" si="0"/>
        <v>615</v>
      </c>
      <c r="Q18" s="107">
        <f t="shared" si="1"/>
        <v>615</v>
      </c>
      <c r="R18" s="28"/>
      <c r="S18" s="7"/>
    </row>
    <row r="19" spans="1:20">
      <c r="A19" s="1" t="s">
        <v>43</v>
      </c>
      <c r="B19" s="5" t="s">
        <v>356</v>
      </c>
      <c r="C19" s="12" t="s">
        <v>3</v>
      </c>
      <c r="D19" s="1">
        <v>8</v>
      </c>
      <c r="G19" s="1">
        <v>20191227</v>
      </c>
      <c r="H19" s="159" t="s">
        <v>699</v>
      </c>
      <c r="I19" s="1" t="s">
        <v>215</v>
      </c>
      <c r="J19" s="7"/>
      <c r="K19" s="12" t="s">
        <v>1762</v>
      </c>
      <c r="L19" s="12" t="s">
        <v>1765</v>
      </c>
      <c r="O19" s="28">
        <v>260</v>
      </c>
      <c r="P19" s="107">
        <f t="shared" si="0"/>
        <v>195</v>
      </c>
      <c r="Q19" s="107">
        <f t="shared" si="1"/>
        <v>1560</v>
      </c>
      <c r="S19" s="7"/>
      <c r="T19" s="1"/>
    </row>
    <row r="20" spans="1:20">
      <c r="A20" s="1" t="s">
        <v>43</v>
      </c>
      <c r="B20" s="5" t="s">
        <v>110</v>
      </c>
      <c r="C20" s="12" t="s">
        <v>3</v>
      </c>
      <c r="D20" s="1">
        <v>1</v>
      </c>
      <c r="G20" s="1">
        <v>20191202</v>
      </c>
      <c r="H20" s="159" t="s">
        <v>699</v>
      </c>
      <c r="J20" s="7"/>
      <c r="K20" s="12" t="s">
        <v>1024</v>
      </c>
      <c r="L20" s="12" t="s">
        <v>1770</v>
      </c>
      <c r="O20" s="28">
        <v>1595</v>
      </c>
      <c r="P20" s="107">
        <f t="shared" si="0"/>
        <v>1196.25</v>
      </c>
      <c r="Q20" s="107">
        <f t="shared" si="1"/>
        <v>1196.25</v>
      </c>
      <c r="S20" s="7"/>
      <c r="T20" s="1"/>
    </row>
    <row r="21" spans="1:20">
      <c r="A21" s="1" t="s">
        <v>43</v>
      </c>
      <c r="B21" s="5" t="s">
        <v>111</v>
      </c>
      <c r="C21" s="12" t="s">
        <v>3</v>
      </c>
      <c r="D21" s="1">
        <v>1</v>
      </c>
      <c r="G21" s="1">
        <v>20191202</v>
      </c>
      <c r="H21" s="159" t="s">
        <v>699</v>
      </c>
      <c r="J21" s="7"/>
      <c r="K21" s="12" t="s">
        <v>1024</v>
      </c>
      <c r="L21" s="12" t="s">
        <v>1771</v>
      </c>
      <c r="O21" s="28">
        <v>1727</v>
      </c>
      <c r="P21" s="107">
        <f t="shared" si="0"/>
        <v>1295.25</v>
      </c>
      <c r="Q21" s="107">
        <f t="shared" si="1"/>
        <v>1295.25</v>
      </c>
      <c r="S21" s="7"/>
      <c r="T21" s="1"/>
    </row>
    <row r="22" spans="1:20">
      <c r="A22" s="1" t="s">
        <v>84</v>
      </c>
      <c r="B22" s="5" t="s">
        <v>1774</v>
      </c>
      <c r="C22" s="12" t="s">
        <v>3</v>
      </c>
      <c r="D22" s="1">
        <v>4</v>
      </c>
      <c r="G22" s="1">
        <v>20191227</v>
      </c>
      <c r="H22" s="159" t="s">
        <v>699</v>
      </c>
      <c r="I22" s="1" t="s">
        <v>659</v>
      </c>
      <c r="J22" s="7"/>
      <c r="K22" s="12" t="s">
        <v>1773</v>
      </c>
      <c r="L22" s="12" t="s">
        <v>1406</v>
      </c>
      <c r="O22" s="28">
        <v>1440</v>
      </c>
      <c r="P22" s="107">
        <f t="shared" si="0"/>
        <v>1080</v>
      </c>
      <c r="Q22" s="107">
        <f t="shared" si="1"/>
        <v>4320</v>
      </c>
      <c r="S22" s="7"/>
      <c r="T22" s="1"/>
    </row>
    <row r="23" spans="1:20">
      <c r="A23" s="1" t="s">
        <v>90</v>
      </c>
      <c r="B23" s="5" t="s">
        <v>1772</v>
      </c>
      <c r="C23" s="12" t="s">
        <v>3</v>
      </c>
      <c r="D23" s="1">
        <v>2</v>
      </c>
      <c r="G23" s="1">
        <v>20191227</v>
      </c>
      <c r="H23" s="159" t="s">
        <v>699</v>
      </c>
      <c r="I23" s="1" t="s">
        <v>659</v>
      </c>
      <c r="J23" s="7"/>
      <c r="K23" s="12" t="s">
        <v>1773</v>
      </c>
      <c r="L23" s="12" t="s">
        <v>1406</v>
      </c>
      <c r="O23" s="28">
        <v>1500</v>
      </c>
      <c r="P23" s="107">
        <f t="shared" si="0"/>
        <v>1125</v>
      </c>
      <c r="Q23" s="107">
        <f t="shared" si="1"/>
        <v>2250</v>
      </c>
      <c r="S23" s="7"/>
      <c r="T23" s="1"/>
    </row>
    <row r="24" spans="1:20">
      <c r="A24" s="1" t="s">
        <v>97</v>
      </c>
      <c r="B24" s="5" t="s">
        <v>96</v>
      </c>
      <c r="C24" s="12" t="s">
        <v>3</v>
      </c>
      <c r="D24" s="1">
        <v>1</v>
      </c>
      <c r="G24" s="1">
        <v>20200302</v>
      </c>
      <c r="H24" s="159" t="s">
        <v>699</v>
      </c>
      <c r="J24" s="7"/>
      <c r="K24" s="12" t="s">
        <v>1024</v>
      </c>
      <c r="L24" s="12" t="s">
        <v>1409</v>
      </c>
      <c r="O24" s="28">
        <v>700</v>
      </c>
      <c r="P24" s="107">
        <f t="shared" si="0"/>
        <v>525</v>
      </c>
      <c r="Q24" s="107">
        <f t="shared" si="1"/>
        <v>525</v>
      </c>
      <c r="S24" s="7"/>
      <c r="T24" s="1"/>
    </row>
    <row r="25" spans="1:20">
      <c r="A25" s="1" t="s">
        <v>91</v>
      </c>
      <c r="B25" s="5" t="s">
        <v>355</v>
      </c>
      <c r="C25" s="1" t="s">
        <v>3</v>
      </c>
      <c r="D25" s="1">
        <v>1</v>
      </c>
      <c r="G25" s="1">
        <v>20200207</v>
      </c>
      <c r="H25" s="159" t="s">
        <v>699</v>
      </c>
      <c r="J25" s="21"/>
      <c r="K25" s="12" t="s">
        <v>1378</v>
      </c>
      <c r="L25" s="12" t="s">
        <v>1767</v>
      </c>
      <c r="O25" s="28">
        <v>830</v>
      </c>
      <c r="P25" s="107">
        <f t="shared" si="0"/>
        <v>622.5</v>
      </c>
      <c r="Q25" s="107">
        <f t="shared" si="1"/>
        <v>622.5</v>
      </c>
      <c r="S25" s="21"/>
      <c r="T25" s="1"/>
    </row>
    <row r="26" spans="1:20">
      <c r="A26" s="6" t="s">
        <v>43</v>
      </c>
      <c r="B26" s="5" t="s">
        <v>249</v>
      </c>
      <c r="C26" s="6" t="s">
        <v>1794</v>
      </c>
      <c r="D26" s="6">
        <v>34</v>
      </c>
      <c r="E26" s="6"/>
      <c r="F26" s="6"/>
      <c r="G26" s="6">
        <v>20200523</v>
      </c>
      <c r="H26" s="159" t="s">
        <v>699</v>
      </c>
      <c r="I26" s="1" t="s">
        <v>193</v>
      </c>
      <c r="J26" s="21"/>
      <c r="K26" s="84" t="s">
        <v>1784</v>
      </c>
      <c r="L26" s="12" t="s">
        <v>1783</v>
      </c>
      <c r="O26" s="28">
        <v>750</v>
      </c>
      <c r="P26" s="107">
        <f t="shared" ref="P26:P43" si="2">O26*0.75</f>
        <v>562.5</v>
      </c>
      <c r="Q26" s="107">
        <f t="shared" ref="Q26:Q43" si="3">D26*P26</f>
        <v>19125</v>
      </c>
      <c r="S26" s="21"/>
    </row>
    <row r="27" spans="1:20">
      <c r="A27" s="6" t="s">
        <v>43</v>
      </c>
      <c r="B27" s="5" t="s">
        <v>252</v>
      </c>
      <c r="C27" s="6" t="s">
        <v>1794</v>
      </c>
      <c r="D27" s="6">
        <v>1</v>
      </c>
      <c r="E27" s="6"/>
      <c r="F27" s="6"/>
      <c r="G27" s="6">
        <v>20190830</v>
      </c>
      <c r="H27" s="159" t="s">
        <v>699</v>
      </c>
      <c r="J27" s="21"/>
      <c r="K27" s="12" t="s">
        <v>1022</v>
      </c>
      <c r="L27" s="12" t="s">
        <v>1388</v>
      </c>
      <c r="O27" s="28">
        <v>2820</v>
      </c>
      <c r="P27" s="107">
        <f t="shared" si="2"/>
        <v>2115</v>
      </c>
      <c r="Q27" s="107">
        <f t="shared" si="3"/>
        <v>2115</v>
      </c>
      <c r="S27" s="21"/>
    </row>
    <row r="28" spans="1:20" ht="16.8" thickBot="1">
      <c r="A28" s="6" t="s">
        <v>43</v>
      </c>
      <c r="B28" s="5" t="s">
        <v>251</v>
      </c>
      <c r="C28" s="12" t="s">
        <v>1794</v>
      </c>
      <c r="D28" s="6">
        <v>1</v>
      </c>
      <c r="E28" s="6"/>
      <c r="F28" s="6">
        <v>20240201</v>
      </c>
      <c r="G28" s="6">
        <v>20240321</v>
      </c>
      <c r="H28" s="159" t="s">
        <v>699</v>
      </c>
      <c r="J28" s="103"/>
      <c r="K28" s="12" t="s">
        <v>1024</v>
      </c>
      <c r="L28" s="12" t="s">
        <v>1393</v>
      </c>
      <c r="N28" s="12" t="s">
        <v>2296</v>
      </c>
      <c r="O28" s="28">
        <v>1520</v>
      </c>
      <c r="P28" s="107">
        <f t="shared" ref="P28" si="4">O28*0.75</f>
        <v>1140</v>
      </c>
      <c r="Q28" s="107">
        <f t="shared" ref="Q28" si="5">D28*P28</f>
        <v>1140</v>
      </c>
      <c r="S28" s="21"/>
    </row>
    <row r="29" spans="1:20">
      <c r="A29" s="6" t="s">
        <v>43</v>
      </c>
      <c r="B29" s="223" t="s">
        <v>251</v>
      </c>
      <c r="C29" s="224" t="s">
        <v>1794</v>
      </c>
      <c r="D29" s="225">
        <v>1</v>
      </c>
      <c r="E29" s="225"/>
      <c r="F29" s="225"/>
      <c r="G29" s="225">
        <v>20191009</v>
      </c>
      <c r="H29" s="179" t="s">
        <v>699</v>
      </c>
      <c r="I29" s="177"/>
      <c r="J29" s="226" t="s">
        <v>599</v>
      </c>
      <c r="K29" s="12" t="s">
        <v>1024</v>
      </c>
      <c r="L29" s="12" t="s">
        <v>1393</v>
      </c>
      <c r="O29" s="28">
        <v>1520</v>
      </c>
      <c r="P29" s="107">
        <f t="shared" si="2"/>
        <v>1140</v>
      </c>
      <c r="Q29" s="107">
        <f t="shared" si="3"/>
        <v>1140</v>
      </c>
      <c r="S29" s="21"/>
    </row>
    <row r="30" spans="1:20" ht="16.8" thickBot="1">
      <c r="A30" s="6" t="s">
        <v>43</v>
      </c>
      <c r="B30" s="227" t="s">
        <v>133</v>
      </c>
      <c r="C30" s="228" t="s">
        <v>1794</v>
      </c>
      <c r="D30" s="229">
        <v>1</v>
      </c>
      <c r="E30" s="229"/>
      <c r="F30" s="229"/>
      <c r="G30" s="229">
        <v>20191009</v>
      </c>
      <c r="H30" s="185" t="s">
        <v>699</v>
      </c>
      <c r="I30" s="230" t="s">
        <v>216</v>
      </c>
      <c r="J30" s="231"/>
      <c r="K30" s="12" t="s">
        <v>1024</v>
      </c>
      <c r="L30" s="12" t="s">
        <v>1394</v>
      </c>
      <c r="O30" s="28">
        <v>2820</v>
      </c>
      <c r="P30" s="107">
        <f t="shared" si="2"/>
        <v>2115</v>
      </c>
      <c r="Q30" s="107">
        <f t="shared" si="3"/>
        <v>2115</v>
      </c>
      <c r="S30" s="21"/>
    </row>
    <row r="31" spans="1:20">
      <c r="A31" s="1" t="s">
        <v>43</v>
      </c>
      <c r="B31" s="20" t="s">
        <v>391</v>
      </c>
      <c r="C31" s="12" t="s">
        <v>1794</v>
      </c>
      <c r="D31" s="1">
        <v>6</v>
      </c>
      <c r="G31" s="1">
        <v>20200612</v>
      </c>
      <c r="H31" s="159" t="s">
        <v>699</v>
      </c>
      <c r="J31" s="21"/>
      <c r="K31" s="12" t="s">
        <v>1024</v>
      </c>
      <c r="L31" s="12" t="s">
        <v>1398</v>
      </c>
      <c r="O31" s="28">
        <v>1480</v>
      </c>
      <c r="P31" s="107">
        <f t="shared" si="2"/>
        <v>1110</v>
      </c>
      <c r="Q31" s="107">
        <f t="shared" si="3"/>
        <v>6660</v>
      </c>
      <c r="S31" s="21"/>
      <c r="T31" s="1"/>
    </row>
    <row r="32" spans="1:20">
      <c r="A32" s="1" t="s">
        <v>43</v>
      </c>
      <c r="B32" s="5" t="s">
        <v>135</v>
      </c>
      <c r="C32" s="12" t="s">
        <v>103</v>
      </c>
      <c r="D32" s="1">
        <v>4</v>
      </c>
      <c r="G32" s="1">
        <v>20200416</v>
      </c>
      <c r="H32" s="159" t="s">
        <v>699</v>
      </c>
      <c r="J32" s="21"/>
      <c r="K32" s="12" t="s">
        <v>1024</v>
      </c>
      <c r="L32" s="12" t="s">
        <v>1399</v>
      </c>
      <c r="O32" s="28">
        <v>840</v>
      </c>
      <c r="P32" s="107">
        <f t="shared" ref="P32:P37" si="6">O32*0.75</f>
        <v>630</v>
      </c>
      <c r="Q32" s="107">
        <f t="shared" ref="Q32:Q37" si="7">D32*P32</f>
        <v>2520</v>
      </c>
      <c r="S32" s="21"/>
      <c r="T32" s="1"/>
    </row>
    <row r="33" spans="1:20">
      <c r="A33" s="1" t="s">
        <v>43</v>
      </c>
      <c r="B33" s="5" t="s">
        <v>255</v>
      </c>
      <c r="C33" s="12" t="s">
        <v>103</v>
      </c>
      <c r="D33" s="1">
        <v>4</v>
      </c>
      <c r="G33" s="1">
        <v>20200416</v>
      </c>
      <c r="H33" s="159" t="s">
        <v>699</v>
      </c>
      <c r="J33" s="21"/>
      <c r="K33" s="12" t="s">
        <v>1361</v>
      </c>
      <c r="L33" s="12" t="s">
        <v>1400</v>
      </c>
      <c r="O33" s="28">
        <v>780</v>
      </c>
      <c r="P33" s="107">
        <f t="shared" si="6"/>
        <v>585</v>
      </c>
      <c r="Q33" s="107">
        <f t="shared" si="7"/>
        <v>2340</v>
      </c>
      <c r="S33" s="21"/>
      <c r="T33" s="1"/>
    </row>
    <row r="34" spans="1:20">
      <c r="A34" s="1" t="s">
        <v>43</v>
      </c>
      <c r="B34" s="5" t="s">
        <v>354</v>
      </c>
      <c r="C34" s="12" t="s">
        <v>103</v>
      </c>
      <c r="D34" s="1">
        <v>4</v>
      </c>
      <c r="G34" s="1">
        <v>20200416</v>
      </c>
      <c r="H34" s="159" t="s">
        <v>699</v>
      </c>
      <c r="J34" s="21"/>
      <c r="K34" s="12" t="s">
        <v>1401</v>
      </c>
      <c r="L34" s="12" t="s">
        <v>1779</v>
      </c>
      <c r="O34" s="28">
        <v>780</v>
      </c>
      <c r="P34" s="107">
        <f t="shared" si="6"/>
        <v>585</v>
      </c>
      <c r="Q34" s="107">
        <f t="shared" si="7"/>
        <v>2340</v>
      </c>
      <c r="S34" s="21"/>
      <c r="T34" s="1"/>
    </row>
    <row r="35" spans="1:20">
      <c r="A35" s="1" t="s">
        <v>43</v>
      </c>
      <c r="B35" s="5" t="s">
        <v>294</v>
      </c>
      <c r="C35" s="1" t="s">
        <v>103</v>
      </c>
      <c r="D35" s="1">
        <v>2</v>
      </c>
      <c r="G35" s="1">
        <v>20200702</v>
      </c>
      <c r="H35" s="159" t="s">
        <v>699</v>
      </c>
      <c r="J35" s="7"/>
      <c r="K35" s="12" t="s">
        <v>1289</v>
      </c>
      <c r="L35" s="12" t="s">
        <v>1395</v>
      </c>
      <c r="O35" s="28">
        <v>1170</v>
      </c>
      <c r="P35" s="107">
        <f t="shared" si="6"/>
        <v>877.5</v>
      </c>
      <c r="Q35" s="107">
        <f t="shared" si="7"/>
        <v>1755</v>
      </c>
      <c r="S35" s="7"/>
    </row>
    <row r="36" spans="1:20">
      <c r="A36" s="1" t="s">
        <v>43</v>
      </c>
      <c r="B36" s="5" t="s">
        <v>656</v>
      </c>
      <c r="C36" s="1" t="s">
        <v>103</v>
      </c>
      <c r="D36" s="1">
        <v>2</v>
      </c>
      <c r="G36" s="1">
        <v>20200702</v>
      </c>
      <c r="H36" s="159" t="s">
        <v>699</v>
      </c>
      <c r="J36" s="7"/>
      <c r="K36" s="12" t="s">
        <v>1289</v>
      </c>
      <c r="L36" s="12" t="s">
        <v>1396</v>
      </c>
      <c r="O36" s="28">
        <v>1035</v>
      </c>
      <c r="P36" s="107">
        <f t="shared" si="6"/>
        <v>776.25</v>
      </c>
      <c r="Q36" s="107">
        <f t="shared" si="7"/>
        <v>1552.5</v>
      </c>
      <c r="S36" s="7"/>
    </row>
    <row r="37" spans="1:20" s="6" customFormat="1">
      <c r="A37" s="6" t="s">
        <v>43</v>
      </c>
      <c r="B37" s="5" t="s">
        <v>630</v>
      </c>
      <c r="C37" s="6" t="s">
        <v>2615</v>
      </c>
      <c r="D37" s="6">
        <v>5</v>
      </c>
      <c r="G37" s="6">
        <v>20240926</v>
      </c>
      <c r="H37" s="159" t="s">
        <v>699</v>
      </c>
      <c r="J37" s="7"/>
      <c r="K37" s="12" t="s">
        <v>1050</v>
      </c>
      <c r="L37" s="12" t="s">
        <v>1995</v>
      </c>
      <c r="N37" s="12"/>
      <c r="O37" s="28">
        <v>670</v>
      </c>
      <c r="P37" s="250">
        <f t="shared" si="6"/>
        <v>502.5</v>
      </c>
      <c r="Q37" s="250">
        <f t="shared" si="7"/>
        <v>2512.5</v>
      </c>
      <c r="R37" s="74"/>
      <c r="S37" s="7"/>
    </row>
    <row r="38" spans="1:20">
      <c r="A38" s="1" t="s">
        <v>43</v>
      </c>
      <c r="B38" s="5" t="s">
        <v>1016</v>
      </c>
      <c r="C38" s="6" t="s">
        <v>2615</v>
      </c>
      <c r="D38" s="1">
        <v>5</v>
      </c>
      <c r="E38" s="6"/>
      <c r="G38" s="6">
        <v>20240926</v>
      </c>
      <c r="H38" s="159" t="s">
        <v>699</v>
      </c>
      <c r="K38" s="12" t="s">
        <v>1816</v>
      </c>
      <c r="L38" s="12" t="s">
        <v>1822</v>
      </c>
      <c r="O38" s="74">
        <v>157</v>
      </c>
      <c r="P38" s="107">
        <f t="shared" ref="P38:P40" si="8">O38*0.75</f>
        <v>117.75</v>
      </c>
      <c r="Q38" s="107">
        <f t="shared" ref="Q38:Q40" si="9">D38*P38</f>
        <v>588.75</v>
      </c>
      <c r="R38" s="74"/>
      <c r="T38" s="1"/>
    </row>
    <row r="39" spans="1:20" s="6" customFormat="1">
      <c r="A39" s="6" t="s">
        <v>43</v>
      </c>
      <c r="B39" s="5" t="s">
        <v>636</v>
      </c>
      <c r="C39" s="6" t="s">
        <v>2615</v>
      </c>
      <c r="D39" s="6">
        <v>5</v>
      </c>
      <c r="G39" s="6">
        <v>20220318</v>
      </c>
      <c r="H39" s="159" t="s">
        <v>699</v>
      </c>
      <c r="J39" s="7"/>
      <c r="K39" s="12" t="s">
        <v>1050</v>
      </c>
      <c r="L39" s="12" t="s">
        <v>1994</v>
      </c>
      <c r="N39" s="12"/>
      <c r="O39" s="28">
        <v>650</v>
      </c>
      <c r="P39" s="250">
        <f t="shared" si="8"/>
        <v>487.5</v>
      </c>
      <c r="Q39" s="250">
        <f t="shared" si="9"/>
        <v>2437.5</v>
      </c>
      <c r="R39" s="74"/>
      <c r="S39" s="7"/>
    </row>
    <row r="40" spans="1:20" s="6" customFormat="1">
      <c r="A40" s="6" t="s">
        <v>43</v>
      </c>
      <c r="B40" s="5" t="s">
        <v>2686</v>
      </c>
      <c r="C40" s="6" t="s">
        <v>2641</v>
      </c>
      <c r="D40" s="6">
        <v>5</v>
      </c>
      <c r="F40" s="6">
        <v>20240712</v>
      </c>
      <c r="G40" s="6">
        <v>20240930</v>
      </c>
      <c r="H40" s="159">
        <v>10</v>
      </c>
      <c r="J40" s="7"/>
      <c r="K40" s="12" t="s">
        <v>2684</v>
      </c>
      <c r="L40" s="12" t="s">
        <v>2685</v>
      </c>
      <c r="M40" s="6" t="s">
        <v>2687</v>
      </c>
      <c r="N40" s="12"/>
      <c r="O40" s="28">
        <v>900</v>
      </c>
      <c r="P40" s="250">
        <f t="shared" si="8"/>
        <v>675</v>
      </c>
      <c r="Q40" s="250">
        <f t="shared" si="9"/>
        <v>3375</v>
      </c>
      <c r="R40" s="74"/>
      <c r="S40" s="7"/>
    </row>
    <row r="41" spans="1:20" s="6" customFormat="1" ht="32.4">
      <c r="A41" s="6" t="s">
        <v>43</v>
      </c>
      <c r="B41" s="5" t="s">
        <v>504</v>
      </c>
      <c r="C41" s="6" t="s">
        <v>2615</v>
      </c>
      <c r="D41" s="6">
        <v>8</v>
      </c>
      <c r="F41" s="6">
        <v>20240314</v>
      </c>
      <c r="G41" s="6">
        <v>20250103</v>
      </c>
      <c r="H41" s="159">
        <v>10</v>
      </c>
      <c r="K41" s="12" t="s">
        <v>1816</v>
      </c>
      <c r="L41" s="12" t="s">
        <v>1837</v>
      </c>
      <c r="M41" s="6" t="s">
        <v>2766</v>
      </c>
      <c r="N41" s="66" t="s">
        <v>2767</v>
      </c>
      <c r="O41" s="32">
        <v>759</v>
      </c>
      <c r="P41" s="267">
        <f>O41*0.75</f>
        <v>569.25</v>
      </c>
      <c r="Q41" s="267">
        <f>D41*P41</f>
        <v>4554</v>
      </c>
      <c r="R41" s="32"/>
      <c r="T41" s="59"/>
    </row>
    <row r="42" spans="1:20">
      <c r="A42" s="6" t="s">
        <v>43</v>
      </c>
      <c r="B42" s="5" t="s">
        <v>390</v>
      </c>
      <c r="C42" s="6" t="s">
        <v>389</v>
      </c>
      <c r="D42" s="7">
        <v>2</v>
      </c>
      <c r="E42" s="6"/>
      <c r="F42" s="6">
        <v>20200906</v>
      </c>
      <c r="G42" s="6">
        <v>20201106</v>
      </c>
      <c r="H42" s="159" t="s">
        <v>699</v>
      </c>
      <c r="J42" s="21"/>
      <c r="K42" s="12" t="s">
        <v>1024</v>
      </c>
      <c r="L42" s="12" t="s">
        <v>1397</v>
      </c>
      <c r="O42" s="28">
        <v>410</v>
      </c>
      <c r="P42" s="107">
        <f t="shared" si="2"/>
        <v>307.5</v>
      </c>
      <c r="Q42" s="107">
        <f t="shared" si="3"/>
        <v>615</v>
      </c>
      <c r="S42" s="21"/>
    </row>
    <row r="43" spans="1:20">
      <c r="A43" s="6" t="s">
        <v>43</v>
      </c>
      <c r="B43" s="5" t="s">
        <v>493</v>
      </c>
      <c r="C43" s="6" t="s">
        <v>492</v>
      </c>
      <c r="D43" s="6">
        <v>1</v>
      </c>
      <c r="E43" s="6"/>
      <c r="F43" s="6">
        <v>20210430</v>
      </c>
      <c r="G43" s="6">
        <v>20210630</v>
      </c>
      <c r="H43" s="159" t="s">
        <v>699</v>
      </c>
      <c r="J43" s="21"/>
      <c r="K43" s="12" t="s">
        <v>1778</v>
      </c>
      <c r="L43" s="12" t="s">
        <v>1777</v>
      </c>
      <c r="O43" s="28">
        <v>1815</v>
      </c>
      <c r="P43" s="107">
        <f t="shared" si="2"/>
        <v>1361.25</v>
      </c>
      <c r="Q43" s="107">
        <f t="shared" si="3"/>
        <v>1361.25</v>
      </c>
      <c r="S43" s="21"/>
    </row>
    <row r="44" spans="1:20">
      <c r="A44" s="6" t="s">
        <v>43</v>
      </c>
      <c r="B44" s="5" t="s">
        <v>555</v>
      </c>
      <c r="C44" s="6" t="s">
        <v>2864</v>
      </c>
      <c r="D44" s="1">
        <v>2</v>
      </c>
      <c r="E44" s="6"/>
      <c r="F44" s="6">
        <v>20210818</v>
      </c>
      <c r="G44" s="6">
        <v>20211018</v>
      </c>
      <c r="H44" s="159" t="s">
        <v>699</v>
      </c>
      <c r="I44" s="6"/>
      <c r="K44" s="12" t="s">
        <v>1024</v>
      </c>
      <c r="L44" s="12" t="s">
        <v>1356</v>
      </c>
      <c r="N44" s="66"/>
      <c r="O44" s="28">
        <v>770</v>
      </c>
      <c r="P44" s="107">
        <f t="shared" ref="P44:P84" si="10">O44*0.75</f>
        <v>577.5</v>
      </c>
      <c r="Q44" s="107">
        <f t="shared" ref="Q44:Q84" si="11">D44*P44</f>
        <v>1155</v>
      </c>
      <c r="R44" s="107"/>
    </row>
    <row r="45" spans="1:20">
      <c r="A45" s="6" t="s">
        <v>43</v>
      </c>
      <c r="B45" s="5" t="s">
        <v>565</v>
      </c>
      <c r="C45" s="6" t="s">
        <v>2864</v>
      </c>
      <c r="D45" s="1">
        <v>1</v>
      </c>
      <c r="F45" s="6">
        <v>20210828</v>
      </c>
      <c r="G45" s="6">
        <v>20211028</v>
      </c>
      <c r="H45" s="159" t="s">
        <v>699</v>
      </c>
      <c r="I45" s="6"/>
      <c r="K45" s="12" t="s">
        <v>1946</v>
      </c>
      <c r="L45" s="12" t="s">
        <v>1972</v>
      </c>
      <c r="N45" s="66"/>
      <c r="O45" s="28">
        <v>2650</v>
      </c>
      <c r="P45" s="107">
        <f t="shared" si="10"/>
        <v>1987.5</v>
      </c>
      <c r="Q45" s="107">
        <f t="shared" si="11"/>
        <v>1987.5</v>
      </c>
      <c r="R45" s="107"/>
    </row>
    <row r="46" spans="1:20">
      <c r="A46" s="6" t="s">
        <v>43</v>
      </c>
      <c r="B46" s="5" t="s">
        <v>619</v>
      </c>
      <c r="C46" s="6" t="s">
        <v>2864</v>
      </c>
      <c r="D46" s="1">
        <v>1</v>
      </c>
      <c r="F46" s="6">
        <v>20211207</v>
      </c>
      <c r="G46" s="6">
        <v>20220207</v>
      </c>
      <c r="H46" s="159" t="s">
        <v>699</v>
      </c>
      <c r="I46" s="6"/>
      <c r="K46" s="12" t="s">
        <v>1946</v>
      </c>
      <c r="L46" s="12" t="s">
        <v>1973</v>
      </c>
      <c r="N46" s="66"/>
      <c r="O46" s="28">
        <v>2150</v>
      </c>
      <c r="P46" s="107">
        <f t="shared" si="10"/>
        <v>1612.5</v>
      </c>
      <c r="Q46" s="107">
        <f t="shared" si="11"/>
        <v>1612.5</v>
      </c>
      <c r="R46" s="107"/>
    </row>
    <row r="47" spans="1:20">
      <c r="A47" s="6" t="s">
        <v>43</v>
      </c>
      <c r="B47" s="5" t="s">
        <v>535</v>
      </c>
      <c r="C47" s="6" t="s">
        <v>2864</v>
      </c>
      <c r="D47" s="1">
        <v>1</v>
      </c>
      <c r="E47" s="6"/>
      <c r="F47" s="6">
        <v>20210701</v>
      </c>
      <c r="G47" s="6">
        <v>20210901</v>
      </c>
      <c r="H47" s="159" t="s">
        <v>699</v>
      </c>
      <c r="I47" s="6"/>
      <c r="K47" s="12" t="s">
        <v>1946</v>
      </c>
      <c r="L47" s="12" t="s">
        <v>1974</v>
      </c>
      <c r="N47" s="66"/>
      <c r="O47" s="28">
        <v>1950</v>
      </c>
      <c r="P47" s="107">
        <f t="shared" si="10"/>
        <v>1462.5</v>
      </c>
      <c r="Q47" s="107">
        <f t="shared" si="11"/>
        <v>1462.5</v>
      </c>
      <c r="R47" s="107"/>
    </row>
    <row r="48" spans="1:20">
      <c r="A48" s="6" t="s">
        <v>43</v>
      </c>
      <c r="B48" s="5" t="s">
        <v>650</v>
      </c>
      <c r="C48" s="6" t="s">
        <v>2864</v>
      </c>
      <c r="D48" s="1">
        <v>2</v>
      </c>
      <c r="E48" s="6"/>
      <c r="F48" s="6">
        <v>20210630</v>
      </c>
      <c r="G48" s="6">
        <v>20210831</v>
      </c>
      <c r="H48" s="159" t="s">
        <v>699</v>
      </c>
      <c r="I48" s="118"/>
      <c r="K48" s="12" t="s">
        <v>1946</v>
      </c>
      <c r="L48" s="12" t="s">
        <v>1975</v>
      </c>
      <c r="N48" s="66"/>
      <c r="O48" s="28">
        <v>1045</v>
      </c>
      <c r="P48" s="107">
        <f t="shared" si="10"/>
        <v>783.75</v>
      </c>
      <c r="Q48" s="107">
        <f t="shared" si="11"/>
        <v>1567.5</v>
      </c>
      <c r="R48" s="107"/>
    </row>
    <row r="49" spans="1:20">
      <c r="A49" s="6" t="s">
        <v>43</v>
      </c>
      <c r="B49" s="118" t="s">
        <v>536</v>
      </c>
      <c r="C49" s="6" t="s">
        <v>2864</v>
      </c>
      <c r="D49" s="7">
        <v>1</v>
      </c>
      <c r="E49" s="7" t="s">
        <v>2186</v>
      </c>
      <c r="F49" s="6">
        <v>20210630</v>
      </c>
      <c r="G49" s="6">
        <v>20210831</v>
      </c>
      <c r="H49" s="159" t="s">
        <v>699</v>
      </c>
      <c r="I49" s="6"/>
      <c r="K49" s="12" t="s">
        <v>1983</v>
      </c>
      <c r="L49" s="12" t="s">
        <v>1986</v>
      </c>
      <c r="N49" s="66"/>
      <c r="O49" s="28">
        <v>990</v>
      </c>
      <c r="P49" s="107">
        <f t="shared" si="10"/>
        <v>742.5</v>
      </c>
      <c r="Q49" s="107">
        <f t="shared" si="11"/>
        <v>742.5</v>
      </c>
      <c r="R49" s="107"/>
    </row>
    <row r="50" spans="1:20">
      <c r="A50" s="6" t="s">
        <v>43</v>
      </c>
      <c r="B50" s="20" t="s">
        <v>536</v>
      </c>
      <c r="C50" s="6" t="s">
        <v>2864</v>
      </c>
      <c r="D50" s="12">
        <v>10</v>
      </c>
      <c r="E50" s="6"/>
      <c r="F50" s="6">
        <v>20210630</v>
      </c>
      <c r="G50" s="6">
        <v>20210831</v>
      </c>
      <c r="H50" s="159" t="s">
        <v>699</v>
      </c>
      <c r="I50" s="6"/>
      <c r="K50" s="12" t="s">
        <v>1834</v>
      </c>
      <c r="L50" s="12" t="s">
        <v>1986</v>
      </c>
      <c r="M50" s="1" t="s">
        <v>2191</v>
      </c>
      <c r="N50" s="66" t="s">
        <v>2188</v>
      </c>
      <c r="O50" s="28">
        <v>990</v>
      </c>
      <c r="P50" s="107">
        <f t="shared" si="10"/>
        <v>742.5</v>
      </c>
      <c r="Q50" s="107">
        <f t="shared" si="11"/>
        <v>7425</v>
      </c>
      <c r="R50" s="107"/>
    </row>
    <row r="51" spans="1:20">
      <c r="A51" s="6" t="s">
        <v>43</v>
      </c>
      <c r="B51" s="5" t="s">
        <v>537</v>
      </c>
      <c r="C51" s="6" t="s">
        <v>2864</v>
      </c>
      <c r="D51" s="1">
        <v>1</v>
      </c>
      <c r="E51" s="6"/>
      <c r="F51" s="6">
        <v>20210630</v>
      </c>
      <c r="G51" s="6">
        <v>20210831</v>
      </c>
      <c r="H51" s="159" t="s">
        <v>699</v>
      </c>
      <c r="I51" s="6"/>
      <c r="K51" s="12" t="s">
        <v>1946</v>
      </c>
      <c r="L51" s="12" t="s">
        <v>1987</v>
      </c>
      <c r="N51" s="66"/>
      <c r="O51" s="28">
        <v>1210</v>
      </c>
      <c r="P51" s="107">
        <f t="shared" si="10"/>
        <v>907.5</v>
      </c>
      <c r="Q51" s="107">
        <f t="shared" si="11"/>
        <v>907.5</v>
      </c>
      <c r="R51" s="107"/>
    </row>
    <row r="52" spans="1:20">
      <c r="A52" s="1" t="s">
        <v>43</v>
      </c>
      <c r="B52" s="5" t="s">
        <v>581</v>
      </c>
      <c r="C52" s="6" t="s">
        <v>2864</v>
      </c>
      <c r="D52" s="1">
        <v>1</v>
      </c>
      <c r="F52" s="1">
        <v>20210626</v>
      </c>
      <c r="G52" s="1">
        <v>20210826</v>
      </c>
      <c r="H52" s="159" t="s">
        <v>699</v>
      </c>
      <c r="K52" s="12" t="s">
        <v>1946</v>
      </c>
      <c r="L52" s="12" t="s">
        <v>1985</v>
      </c>
      <c r="O52" s="28">
        <v>924</v>
      </c>
      <c r="P52" s="107">
        <f t="shared" si="10"/>
        <v>693</v>
      </c>
      <c r="Q52" s="107">
        <f t="shared" si="11"/>
        <v>693</v>
      </c>
      <c r="R52" s="74"/>
      <c r="T52" s="1"/>
    </row>
    <row r="53" spans="1:20">
      <c r="A53" s="1" t="s">
        <v>43</v>
      </c>
      <c r="B53" s="95" t="s">
        <v>533</v>
      </c>
      <c r="C53" s="96" t="s">
        <v>2864</v>
      </c>
      <c r="D53" s="56">
        <v>2</v>
      </c>
      <c r="E53" s="272" t="s">
        <v>2186</v>
      </c>
      <c r="F53" s="13">
        <v>20210626</v>
      </c>
      <c r="G53" s="13">
        <v>20210826</v>
      </c>
      <c r="H53" s="160" t="s">
        <v>699</v>
      </c>
      <c r="I53" s="56" t="s">
        <v>2208</v>
      </c>
      <c r="K53" s="12" t="s">
        <v>1983</v>
      </c>
      <c r="L53" s="12" t="s">
        <v>1984</v>
      </c>
      <c r="N53" s="12" t="s">
        <v>2210</v>
      </c>
      <c r="O53" s="28">
        <v>990</v>
      </c>
      <c r="P53" s="107">
        <f t="shared" si="10"/>
        <v>742.5</v>
      </c>
      <c r="Q53" s="107">
        <f t="shared" si="11"/>
        <v>1485</v>
      </c>
      <c r="R53" s="74"/>
      <c r="T53" s="1"/>
    </row>
    <row r="54" spans="1:20">
      <c r="A54" s="1" t="s">
        <v>43</v>
      </c>
      <c r="B54" s="97" t="s">
        <v>533</v>
      </c>
      <c r="C54" s="64" t="s">
        <v>2864</v>
      </c>
      <c r="D54" s="40">
        <v>4</v>
      </c>
      <c r="E54" s="17"/>
      <c r="F54" s="14">
        <v>20231122</v>
      </c>
      <c r="G54" s="14">
        <v>20240109</v>
      </c>
      <c r="H54" s="161" t="s">
        <v>699</v>
      </c>
      <c r="I54" s="40" t="s">
        <v>2209</v>
      </c>
      <c r="K54" s="12" t="s">
        <v>1834</v>
      </c>
      <c r="L54" s="12" t="s">
        <v>1984</v>
      </c>
      <c r="M54" s="1" t="s">
        <v>2190</v>
      </c>
      <c r="N54" s="12" t="s">
        <v>2069</v>
      </c>
      <c r="O54" s="28">
        <v>990</v>
      </c>
      <c r="P54" s="107">
        <f t="shared" si="10"/>
        <v>742.5</v>
      </c>
      <c r="Q54" s="107">
        <f t="shared" si="11"/>
        <v>2970</v>
      </c>
      <c r="R54" s="74"/>
      <c r="T54" s="1"/>
    </row>
    <row r="55" spans="1:20">
      <c r="A55" s="6" t="s">
        <v>43</v>
      </c>
      <c r="B55" s="5">
        <v>119957</v>
      </c>
      <c r="C55" s="6" t="s">
        <v>2864</v>
      </c>
      <c r="D55" s="1">
        <v>5</v>
      </c>
      <c r="E55" s="6"/>
      <c r="F55" s="6">
        <v>20210706</v>
      </c>
      <c r="G55" s="6">
        <v>20210906</v>
      </c>
      <c r="H55" s="159" t="s">
        <v>699</v>
      </c>
      <c r="I55" s="6"/>
      <c r="K55" s="12" t="s">
        <v>1946</v>
      </c>
      <c r="L55" s="12" t="s">
        <v>1981</v>
      </c>
      <c r="N55" s="66" t="s">
        <v>583</v>
      </c>
      <c r="O55" s="28">
        <v>523</v>
      </c>
      <c r="P55" s="107">
        <f t="shared" si="10"/>
        <v>392.25</v>
      </c>
      <c r="Q55" s="107">
        <f t="shared" si="11"/>
        <v>1961.25</v>
      </c>
      <c r="R55" s="107"/>
    </row>
    <row r="56" spans="1:20" ht="32.4">
      <c r="A56" s="1" t="s">
        <v>43</v>
      </c>
      <c r="B56" s="5" t="s">
        <v>817</v>
      </c>
      <c r="C56" s="6" t="s">
        <v>2864</v>
      </c>
      <c r="D56" s="1">
        <v>2</v>
      </c>
      <c r="F56" s="1">
        <v>20221029</v>
      </c>
      <c r="G56" s="1">
        <v>20221229</v>
      </c>
      <c r="H56" s="159" t="s">
        <v>699</v>
      </c>
      <c r="I56" s="57" t="s">
        <v>2025</v>
      </c>
      <c r="K56" s="12" t="s">
        <v>1946</v>
      </c>
      <c r="L56" s="12" t="s">
        <v>1980</v>
      </c>
      <c r="M56" s="1" t="s">
        <v>818</v>
      </c>
      <c r="O56" s="28">
        <v>2150</v>
      </c>
      <c r="P56" s="107">
        <f t="shared" si="10"/>
        <v>1612.5</v>
      </c>
      <c r="Q56" s="107">
        <f t="shared" si="11"/>
        <v>3225</v>
      </c>
    </row>
    <row r="57" spans="1:20">
      <c r="A57" s="6" t="s">
        <v>43</v>
      </c>
      <c r="B57" s="5" t="s">
        <v>690</v>
      </c>
      <c r="C57" s="6" t="s">
        <v>2864</v>
      </c>
      <c r="D57" s="1">
        <v>1</v>
      </c>
      <c r="E57" s="6"/>
      <c r="F57" s="6">
        <v>20220420</v>
      </c>
      <c r="G57" s="6">
        <v>20220620</v>
      </c>
      <c r="H57" s="159" t="s">
        <v>699</v>
      </c>
      <c r="I57" s="6"/>
      <c r="K57" s="12" t="s">
        <v>1978</v>
      </c>
      <c r="L57" s="12" t="s">
        <v>1979</v>
      </c>
      <c r="M57" s="1" t="s">
        <v>691</v>
      </c>
      <c r="N57" s="66"/>
      <c r="O57" s="28">
        <v>1570</v>
      </c>
      <c r="P57" s="107">
        <f t="shared" si="10"/>
        <v>1177.5</v>
      </c>
      <c r="Q57" s="107">
        <f t="shared" si="11"/>
        <v>1177.5</v>
      </c>
      <c r="R57" s="107"/>
    </row>
    <row r="58" spans="1:20" ht="32.4">
      <c r="A58" s="1" t="s">
        <v>43</v>
      </c>
      <c r="B58" s="20" t="s">
        <v>553</v>
      </c>
      <c r="C58" s="6" t="s">
        <v>2864</v>
      </c>
      <c r="D58" s="12">
        <v>2</v>
      </c>
      <c r="F58" s="1">
        <v>20220724</v>
      </c>
      <c r="G58" s="1">
        <v>20220924</v>
      </c>
      <c r="H58" s="159" t="s">
        <v>699</v>
      </c>
      <c r="K58" s="12" t="s">
        <v>1989</v>
      </c>
      <c r="L58" s="12" t="s">
        <v>1988</v>
      </c>
      <c r="M58" s="3" t="s">
        <v>1976</v>
      </c>
      <c r="N58" s="12" t="s">
        <v>754</v>
      </c>
      <c r="O58" s="28">
        <v>1530</v>
      </c>
      <c r="P58" s="107">
        <f t="shared" si="10"/>
        <v>1147.5</v>
      </c>
      <c r="Q58" s="107">
        <f t="shared" si="11"/>
        <v>2295</v>
      </c>
      <c r="R58" s="74"/>
      <c r="T58" s="1"/>
    </row>
    <row r="59" spans="1:20">
      <c r="A59" s="6" t="s">
        <v>43</v>
      </c>
      <c r="B59" s="5" t="s">
        <v>538</v>
      </c>
      <c r="C59" s="6" t="s">
        <v>2864</v>
      </c>
      <c r="D59" s="1">
        <v>1</v>
      </c>
      <c r="E59" s="6"/>
      <c r="F59" s="6">
        <v>2021703</v>
      </c>
      <c r="G59" s="6">
        <v>20210903</v>
      </c>
      <c r="H59" s="159" t="s">
        <v>699</v>
      </c>
      <c r="I59" s="6"/>
      <c r="K59" s="12" t="s">
        <v>1990</v>
      </c>
      <c r="L59" s="12" t="s">
        <v>1991</v>
      </c>
      <c r="N59" s="66"/>
      <c r="O59" s="28">
        <v>2400</v>
      </c>
      <c r="P59" s="107">
        <f t="shared" si="10"/>
        <v>1800</v>
      </c>
      <c r="Q59" s="107">
        <f t="shared" si="11"/>
        <v>1800</v>
      </c>
      <c r="R59" s="107"/>
    </row>
    <row r="60" spans="1:20">
      <c r="A60" s="6" t="s">
        <v>43</v>
      </c>
      <c r="B60" s="5" t="s">
        <v>755</v>
      </c>
      <c r="C60" s="6" t="s">
        <v>2864</v>
      </c>
      <c r="D60" s="12">
        <v>1</v>
      </c>
      <c r="F60" s="1">
        <v>20220724</v>
      </c>
      <c r="G60" s="1">
        <v>20220924</v>
      </c>
      <c r="H60" s="159" t="s">
        <v>699</v>
      </c>
      <c r="I60" s="6"/>
      <c r="K60" s="12" t="s">
        <v>1357</v>
      </c>
      <c r="L60" s="12" t="s">
        <v>1358</v>
      </c>
      <c r="M60" s="1" t="s">
        <v>756</v>
      </c>
      <c r="N60" s="66"/>
      <c r="O60" s="28">
        <v>996</v>
      </c>
      <c r="P60" s="107">
        <f t="shared" si="10"/>
        <v>747</v>
      </c>
      <c r="Q60" s="107">
        <f t="shared" si="11"/>
        <v>747</v>
      </c>
      <c r="R60" s="107"/>
    </row>
    <row r="61" spans="1:20">
      <c r="A61" s="6" t="s">
        <v>43</v>
      </c>
      <c r="B61" s="5" t="s">
        <v>685</v>
      </c>
      <c r="C61" s="6" t="s">
        <v>2864</v>
      </c>
      <c r="D61" s="1">
        <v>1</v>
      </c>
      <c r="E61" s="6"/>
      <c r="F61" s="6">
        <v>20220416</v>
      </c>
      <c r="G61" s="6">
        <v>20220616</v>
      </c>
      <c r="H61" s="159" t="s">
        <v>699</v>
      </c>
      <c r="I61" s="6"/>
      <c r="K61" s="12" t="s">
        <v>1955</v>
      </c>
      <c r="L61" s="12" t="s">
        <v>1822</v>
      </c>
      <c r="M61" s="1" t="s">
        <v>686</v>
      </c>
      <c r="N61" s="66"/>
      <c r="O61" s="28">
        <v>1375</v>
      </c>
      <c r="P61" s="107">
        <f t="shared" si="10"/>
        <v>1031.25</v>
      </c>
      <c r="Q61" s="107">
        <f t="shared" si="11"/>
        <v>1031.25</v>
      </c>
      <c r="R61" s="107"/>
    </row>
    <row r="62" spans="1:20">
      <c r="A62" s="6" t="s">
        <v>43</v>
      </c>
      <c r="B62" s="5" t="s">
        <v>511</v>
      </c>
      <c r="C62" s="6" t="s">
        <v>2864</v>
      </c>
      <c r="D62" s="1">
        <v>5</v>
      </c>
      <c r="E62" s="6"/>
      <c r="F62" s="6">
        <v>20201008</v>
      </c>
      <c r="G62" s="6">
        <v>20201208</v>
      </c>
      <c r="H62" s="159" t="s">
        <v>699</v>
      </c>
      <c r="I62" s="6"/>
      <c r="J62" s="1" t="s">
        <v>510</v>
      </c>
      <c r="K62" s="12" t="s">
        <v>1992</v>
      </c>
      <c r="L62" s="12" t="s">
        <v>1993</v>
      </c>
      <c r="N62" s="66"/>
      <c r="O62" s="28">
        <v>858</v>
      </c>
      <c r="P62" s="107">
        <f t="shared" si="10"/>
        <v>643.5</v>
      </c>
      <c r="Q62" s="107">
        <f t="shared" si="11"/>
        <v>3217.5</v>
      </c>
      <c r="R62" s="107"/>
      <c r="T62" s="1"/>
    </row>
    <row r="63" spans="1:20">
      <c r="A63" s="1" t="s">
        <v>403</v>
      </c>
      <c r="B63" s="20" t="s">
        <v>2588</v>
      </c>
      <c r="C63" s="6" t="s">
        <v>2864</v>
      </c>
      <c r="D63" s="1">
        <v>81</v>
      </c>
      <c r="E63"/>
      <c r="F63" s="1">
        <v>20200610</v>
      </c>
      <c r="G63" s="1">
        <v>20200901</v>
      </c>
      <c r="H63" s="159" t="s">
        <v>699</v>
      </c>
      <c r="J63" s="21"/>
      <c r="K63" s="12" t="s">
        <v>1024</v>
      </c>
      <c r="L63" s="12" t="s">
        <v>1333</v>
      </c>
      <c r="O63" s="28">
        <v>695</v>
      </c>
      <c r="P63" s="107">
        <f t="shared" si="10"/>
        <v>521.25</v>
      </c>
      <c r="Q63" s="107">
        <f t="shared" si="11"/>
        <v>42221.25</v>
      </c>
      <c r="R63" s="74"/>
      <c r="S63" s="21"/>
    </row>
    <row r="64" spans="1:20">
      <c r="A64" s="1" t="s">
        <v>403</v>
      </c>
      <c r="B64" s="20" t="s">
        <v>404</v>
      </c>
      <c r="C64" s="6" t="s">
        <v>2864</v>
      </c>
      <c r="D64" s="1">
        <v>1</v>
      </c>
      <c r="E64"/>
      <c r="F64" s="1">
        <v>20200822</v>
      </c>
      <c r="G64" s="1">
        <v>20201022</v>
      </c>
      <c r="H64" s="159" t="s">
        <v>699</v>
      </c>
      <c r="J64" s="21"/>
      <c r="K64" s="12" t="s">
        <v>1359</v>
      </c>
      <c r="L64" s="12" t="s">
        <v>1360</v>
      </c>
      <c r="O64" s="28">
        <v>745</v>
      </c>
      <c r="P64" s="107">
        <f t="shared" si="10"/>
        <v>558.75</v>
      </c>
      <c r="Q64" s="107">
        <f t="shared" si="11"/>
        <v>558.75</v>
      </c>
      <c r="R64" s="74"/>
      <c r="S64" s="21"/>
    </row>
    <row r="65" spans="1:20">
      <c r="A65" s="1" t="s">
        <v>403</v>
      </c>
      <c r="B65" s="20" t="s">
        <v>405</v>
      </c>
      <c r="C65" s="6" t="s">
        <v>2864</v>
      </c>
      <c r="D65" s="1">
        <v>2</v>
      </c>
      <c r="E65"/>
      <c r="F65" s="1">
        <v>20200826</v>
      </c>
      <c r="G65" s="1">
        <v>20201026</v>
      </c>
      <c r="H65" s="159" t="s">
        <v>699</v>
      </c>
      <c r="I65" s="4"/>
      <c r="J65" s="21"/>
      <c r="K65" s="12" t="s">
        <v>1361</v>
      </c>
      <c r="L65" s="12" t="s">
        <v>1362</v>
      </c>
      <c r="O65" s="28">
        <v>2200</v>
      </c>
      <c r="P65" s="107">
        <f t="shared" si="10"/>
        <v>1650</v>
      </c>
      <c r="Q65" s="107">
        <f t="shared" si="11"/>
        <v>3300</v>
      </c>
      <c r="R65" s="74"/>
      <c r="S65" s="21"/>
    </row>
    <row r="66" spans="1:20">
      <c r="A66" s="1" t="s">
        <v>43</v>
      </c>
      <c r="B66" s="5" t="s">
        <v>241</v>
      </c>
      <c r="C66" s="6" t="s">
        <v>2864</v>
      </c>
      <c r="D66" s="1">
        <v>6</v>
      </c>
      <c r="F66" s="1">
        <v>20201008</v>
      </c>
      <c r="G66" s="1">
        <v>20201208</v>
      </c>
      <c r="H66" s="159" t="s">
        <v>699</v>
      </c>
      <c r="J66" s="67"/>
      <c r="K66" s="12" t="s">
        <v>1363</v>
      </c>
      <c r="L66" s="12" t="s">
        <v>1364</v>
      </c>
      <c r="O66" s="28">
        <v>1780</v>
      </c>
      <c r="P66" s="107">
        <f t="shared" si="10"/>
        <v>1335</v>
      </c>
      <c r="Q66" s="107">
        <f t="shared" si="11"/>
        <v>8010</v>
      </c>
      <c r="R66" s="74"/>
      <c r="S66" s="21"/>
      <c r="T66" s="1"/>
    </row>
    <row r="67" spans="1:20">
      <c r="A67" s="1" t="s">
        <v>43</v>
      </c>
      <c r="B67" s="5" t="s">
        <v>415</v>
      </c>
      <c r="C67" s="6" t="s">
        <v>2864</v>
      </c>
      <c r="D67" s="1">
        <v>2</v>
      </c>
      <c r="F67" s="1">
        <v>20201011</v>
      </c>
      <c r="G67" s="1">
        <v>20201211</v>
      </c>
      <c r="H67" s="159" t="s">
        <v>699</v>
      </c>
      <c r="J67" s="21"/>
      <c r="K67" s="12" t="s">
        <v>1024</v>
      </c>
      <c r="L67" s="12" t="s">
        <v>1365</v>
      </c>
      <c r="O67" s="28">
        <v>1550</v>
      </c>
      <c r="P67" s="107">
        <f t="shared" si="10"/>
        <v>1162.5</v>
      </c>
      <c r="Q67" s="107">
        <f t="shared" si="11"/>
        <v>2325</v>
      </c>
      <c r="R67" s="74"/>
      <c r="S67" s="21"/>
      <c r="T67" s="1"/>
    </row>
    <row r="68" spans="1:20">
      <c r="A68" s="1" t="s">
        <v>43</v>
      </c>
      <c r="B68" s="5" t="s">
        <v>414</v>
      </c>
      <c r="C68" s="6" t="s">
        <v>2864</v>
      </c>
      <c r="D68" s="1">
        <v>4</v>
      </c>
      <c r="F68" s="1">
        <v>20201010</v>
      </c>
      <c r="G68" s="1">
        <v>20201210</v>
      </c>
      <c r="H68" s="159" t="s">
        <v>699</v>
      </c>
      <c r="J68" s="21"/>
      <c r="K68" s="12" t="s">
        <v>1024</v>
      </c>
      <c r="L68" s="12" t="s">
        <v>1366</v>
      </c>
      <c r="N68" s="12" t="s">
        <v>582</v>
      </c>
      <c r="O68" s="28">
        <v>3108</v>
      </c>
      <c r="P68" s="107">
        <f t="shared" si="10"/>
        <v>2331</v>
      </c>
      <c r="Q68" s="107">
        <f t="shared" si="11"/>
        <v>9324</v>
      </c>
      <c r="R68" s="74"/>
      <c r="S68" s="21"/>
      <c r="T68" s="1"/>
    </row>
    <row r="69" spans="1:20">
      <c r="A69" s="1" t="s">
        <v>43</v>
      </c>
      <c r="B69" s="5" t="s">
        <v>423</v>
      </c>
      <c r="C69" s="6" t="s">
        <v>2864</v>
      </c>
      <c r="D69" s="1">
        <v>1</v>
      </c>
      <c r="F69" s="1">
        <v>20201128</v>
      </c>
      <c r="G69" s="1">
        <v>20210128</v>
      </c>
      <c r="H69" s="159" t="s">
        <v>699</v>
      </c>
      <c r="I69" s="1" t="s">
        <v>444</v>
      </c>
      <c r="J69" s="1" t="s">
        <v>510</v>
      </c>
      <c r="K69" s="12" t="s">
        <v>1996</v>
      </c>
      <c r="L69" s="12" t="s">
        <v>1997</v>
      </c>
      <c r="O69" s="28">
        <v>400</v>
      </c>
      <c r="P69" s="107">
        <f t="shared" si="10"/>
        <v>300</v>
      </c>
      <c r="Q69" s="107">
        <f t="shared" si="11"/>
        <v>300</v>
      </c>
      <c r="R69" s="74"/>
      <c r="T69" s="1"/>
    </row>
    <row r="70" spans="1:20">
      <c r="A70" s="1" t="s">
        <v>43</v>
      </c>
      <c r="B70" s="5" t="s">
        <v>425</v>
      </c>
      <c r="C70" s="6" t="s">
        <v>2864</v>
      </c>
      <c r="D70" s="1">
        <v>1</v>
      </c>
      <c r="F70" s="1">
        <v>20201128</v>
      </c>
      <c r="G70" s="1">
        <v>20210128</v>
      </c>
      <c r="H70" s="159" t="s">
        <v>699</v>
      </c>
      <c r="K70" s="12" t="s">
        <v>1279</v>
      </c>
      <c r="L70" s="12" t="s">
        <v>1367</v>
      </c>
      <c r="O70" s="28">
        <v>1320</v>
      </c>
      <c r="P70" s="107">
        <f t="shared" si="10"/>
        <v>990</v>
      </c>
      <c r="Q70" s="107">
        <f t="shared" si="11"/>
        <v>990</v>
      </c>
      <c r="R70" s="74"/>
      <c r="T70" s="1"/>
    </row>
    <row r="71" spans="1:20">
      <c r="A71" s="1" t="s">
        <v>43</v>
      </c>
      <c r="B71" s="5" t="s">
        <v>352</v>
      </c>
      <c r="C71" s="6" t="s">
        <v>2864</v>
      </c>
      <c r="D71" s="1">
        <v>4</v>
      </c>
      <c r="G71" s="1">
        <v>20200504</v>
      </c>
      <c r="H71" s="159" t="s">
        <v>699</v>
      </c>
      <c r="J71" s="21"/>
      <c r="K71" s="12" t="s">
        <v>1279</v>
      </c>
      <c r="L71" s="12" t="s">
        <v>1367</v>
      </c>
      <c r="O71" s="28">
        <v>1320</v>
      </c>
      <c r="P71" s="107">
        <f t="shared" si="10"/>
        <v>990</v>
      </c>
      <c r="Q71" s="107">
        <f t="shared" si="11"/>
        <v>3960</v>
      </c>
      <c r="S71" s="21"/>
      <c r="T71" s="1"/>
    </row>
    <row r="72" spans="1:20">
      <c r="A72" s="1" t="s">
        <v>43</v>
      </c>
      <c r="B72" s="5" t="s">
        <v>514</v>
      </c>
      <c r="C72" s="6" t="s">
        <v>2864</v>
      </c>
      <c r="D72" s="1">
        <v>1</v>
      </c>
      <c r="F72" s="1">
        <v>20210611</v>
      </c>
      <c r="G72" s="1">
        <v>20210811</v>
      </c>
      <c r="H72" s="159" t="s">
        <v>699</v>
      </c>
      <c r="K72" s="12" t="s">
        <v>1946</v>
      </c>
      <c r="L72" s="12" t="s">
        <v>1998</v>
      </c>
      <c r="O72" s="28">
        <v>1830</v>
      </c>
      <c r="P72" s="107">
        <f t="shared" si="10"/>
        <v>1372.5</v>
      </c>
      <c r="Q72" s="107">
        <f t="shared" si="11"/>
        <v>1372.5</v>
      </c>
      <c r="R72" s="74"/>
      <c r="T72" s="1"/>
    </row>
    <row r="73" spans="1:20">
      <c r="A73" s="1" t="s">
        <v>43</v>
      </c>
      <c r="B73" s="5" t="s">
        <v>515</v>
      </c>
      <c r="C73" s="6" t="s">
        <v>2864</v>
      </c>
      <c r="D73" s="1">
        <v>1</v>
      </c>
      <c r="F73" s="1">
        <v>20210613</v>
      </c>
      <c r="G73" s="1">
        <v>20210813</v>
      </c>
      <c r="H73" s="159" t="s">
        <v>699</v>
      </c>
      <c r="K73" s="12" t="s">
        <v>1964</v>
      </c>
      <c r="L73" s="12" t="s">
        <v>1999</v>
      </c>
      <c r="O73" s="28">
        <v>1985</v>
      </c>
      <c r="P73" s="107">
        <f t="shared" si="10"/>
        <v>1488.75</v>
      </c>
      <c r="Q73" s="107">
        <f t="shared" si="11"/>
        <v>1488.75</v>
      </c>
      <c r="R73" s="74"/>
      <c r="T73" s="1"/>
    </row>
    <row r="74" spans="1:20">
      <c r="A74" s="1" t="s">
        <v>43</v>
      </c>
      <c r="B74" s="5">
        <v>111273</v>
      </c>
      <c r="C74" s="6" t="s">
        <v>2864</v>
      </c>
      <c r="D74" s="1">
        <v>1</v>
      </c>
      <c r="F74" s="1">
        <v>20210627</v>
      </c>
      <c r="G74" s="1">
        <v>20210827</v>
      </c>
      <c r="H74" s="159" t="s">
        <v>699</v>
      </c>
      <c r="K74" s="1" t="s">
        <v>1361</v>
      </c>
      <c r="L74" s="12" t="s">
        <v>1368</v>
      </c>
      <c r="O74" s="28">
        <v>1735</v>
      </c>
      <c r="P74" s="107">
        <f t="shared" si="10"/>
        <v>1301.25</v>
      </c>
      <c r="Q74" s="107">
        <f t="shared" si="11"/>
        <v>1301.25</v>
      </c>
      <c r="R74" s="74"/>
      <c r="T74" s="1"/>
    </row>
    <row r="75" spans="1:20">
      <c r="A75" s="1" t="s">
        <v>43</v>
      </c>
      <c r="B75" s="174" t="s">
        <v>2020</v>
      </c>
      <c r="C75" s="6" t="s">
        <v>2864</v>
      </c>
      <c r="D75" s="1">
        <v>1</v>
      </c>
      <c r="F75" s="1">
        <v>20210801</v>
      </c>
      <c r="G75" s="1">
        <v>20211001</v>
      </c>
      <c r="H75" s="159" t="s">
        <v>699</v>
      </c>
      <c r="I75" s="21" t="s">
        <v>2019</v>
      </c>
      <c r="K75" s="1" t="s">
        <v>1982</v>
      </c>
      <c r="L75" s="12" t="s">
        <v>2021</v>
      </c>
      <c r="O75" s="28">
        <v>2365</v>
      </c>
      <c r="P75" s="107">
        <f t="shared" si="10"/>
        <v>1773.75</v>
      </c>
      <c r="Q75" s="107">
        <f t="shared" si="11"/>
        <v>1773.75</v>
      </c>
      <c r="R75" s="74"/>
      <c r="T75" s="1"/>
    </row>
    <row r="76" spans="1:20">
      <c r="A76" s="1" t="s">
        <v>43</v>
      </c>
      <c r="B76" s="5" t="s">
        <v>549</v>
      </c>
      <c r="C76" s="6" t="s">
        <v>2864</v>
      </c>
      <c r="D76" s="1">
        <v>3</v>
      </c>
      <c r="F76" s="1">
        <v>20210805</v>
      </c>
      <c r="G76" s="1">
        <v>20211005</v>
      </c>
      <c r="H76" s="159" t="s">
        <v>699</v>
      </c>
      <c r="K76" s="12" t="s">
        <v>2018</v>
      </c>
      <c r="L76" s="12" t="s">
        <v>2017</v>
      </c>
      <c r="O76" s="28">
        <v>675</v>
      </c>
      <c r="P76" s="107">
        <f t="shared" si="10"/>
        <v>506.25</v>
      </c>
      <c r="Q76" s="107">
        <f t="shared" si="11"/>
        <v>1518.75</v>
      </c>
      <c r="R76" s="74"/>
      <c r="T76" s="1"/>
    </row>
    <row r="77" spans="1:20">
      <c r="A77" s="1" t="s">
        <v>43</v>
      </c>
      <c r="B77" s="5" t="s">
        <v>550</v>
      </c>
      <c r="C77" s="6" t="s">
        <v>2864</v>
      </c>
      <c r="D77" s="1">
        <v>1</v>
      </c>
      <c r="F77" s="1">
        <v>20210804</v>
      </c>
      <c r="G77" s="1">
        <v>20211004</v>
      </c>
      <c r="H77" s="159" t="s">
        <v>699</v>
      </c>
      <c r="K77" s="12" t="s">
        <v>1024</v>
      </c>
      <c r="L77" s="12" t="s">
        <v>1369</v>
      </c>
      <c r="O77" s="28">
        <v>660</v>
      </c>
      <c r="P77" s="107">
        <f t="shared" si="10"/>
        <v>495</v>
      </c>
      <c r="Q77" s="107">
        <f t="shared" si="11"/>
        <v>495</v>
      </c>
      <c r="R77" s="74"/>
      <c r="T77" s="1"/>
    </row>
    <row r="78" spans="1:20">
      <c r="A78" s="1" t="s">
        <v>43</v>
      </c>
      <c r="B78" s="5" t="s">
        <v>551</v>
      </c>
      <c r="C78" s="6" t="s">
        <v>2864</v>
      </c>
      <c r="D78" s="1">
        <v>1</v>
      </c>
      <c r="F78" s="1">
        <v>20210806</v>
      </c>
      <c r="G78" s="1">
        <v>20211006</v>
      </c>
      <c r="H78" s="159" t="s">
        <v>699</v>
      </c>
      <c r="K78" s="12" t="s">
        <v>1370</v>
      </c>
      <c r="L78" s="12" t="s">
        <v>1096</v>
      </c>
      <c r="O78" s="28">
        <v>1650</v>
      </c>
      <c r="P78" s="107">
        <f t="shared" si="10"/>
        <v>1237.5</v>
      </c>
      <c r="Q78" s="107">
        <f t="shared" si="11"/>
        <v>1237.5</v>
      </c>
      <c r="R78" s="74"/>
      <c r="T78" s="1"/>
    </row>
    <row r="79" spans="1:20">
      <c r="A79" s="1" t="s">
        <v>43</v>
      </c>
      <c r="B79" s="50" t="s">
        <v>552</v>
      </c>
      <c r="C79" s="6" t="s">
        <v>2864</v>
      </c>
      <c r="D79" s="1">
        <v>1</v>
      </c>
      <c r="F79" s="1">
        <v>20210818</v>
      </c>
      <c r="G79" s="1">
        <v>20211018</v>
      </c>
      <c r="H79" s="159" t="s">
        <v>699</v>
      </c>
      <c r="K79" s="12" t="s">
        <v>1371</v>
      </c>
      <c r="L79" s="12" t="s">
        <v>1372</v>
      </c>
      <c r="O79" s="28">
        <v>2350</v>
      </c>
      <c r="P79" s="107">
        <f t="shared" si="10"/>
        <v>1762.5</v>
      </c>
      <c r="Q79" s="107">
        <f t="shared" si="11"/>
        <v>1762.5</v>
      </c>
      <c r="R79" s="74"/>
      <c r="T79" s="1"/>
    </row>
    <row r="80" spans="1:20" ht="32.4">
      <c r="A80" s="1" t="s">
        <v>43</v>
      </c>
      <c r="B80" s="5" t="s">
        <v>554</v>
      </c>
      <c r="C80" s="6" t="s">
        <v>2864</v>
      </c>
      <c r="D80" s="1">
        <v>1</v>
      </c>
      <c r="F80" s="1">
        <v>20210812</v>
      </c>
      <c r="G80" s="1">
        <v>20211012</v>
      </c>
      <c r="H80" s="159" t="s">
        <v>699</v>
      </c>
      <c r="K80" s="66" t="s">
        <v>2033</v>
      </c>
      <c r="L80" s="12" t="s">
        <v>1373</v>
      </c>
      <c r="O80" s="74">
        <v>2900</v>
      </c>
      <c r="P80" s="107">
        <f t="shared" si="10"/>
        <v>2175</v>
      </c>
      <c r="Q80" s="107">
        <f t="shared" si="11"/>
        <v>2175</v>
      </c>
      <c r="R80" s="74"/>
      <c r="T80" s="1"/>
    </row>
    <row r="81" spans="1:20">
      <c r="A81" s="1" t="s">
        <v>43</v>
      </c>
      <c r="B81" s="5" t="s">
        <v>577</v>
      </c>
      <c r="C81" s="6" t="s">
        <v>2864</v>
      </c>
      <c r="D81" s="1">
        <v>1</v>
      </c>
      <c r="F81" s="1">
        <v>20211002</v>
      </c>
      <c r="G81" s="1">
        <v>20211202</v>
      </c>
      <c r="H81" s="159" t="s">
        <v>699</v>
      </c>
      <c r="J81" s="1" t="s">
        <v>579</v>
      </c>
      <c r="K81" s="12" t="s">
        <v>1024</v>
      </c>
      <c r="L81" s="12" t="s">
        <v>1374</v>
      </c>
      <c r="O81" s="28">
        <v>1450</v>
      </c>
      <c r="P81" s="107">
        <f t="shared" si="10"/>
        <v>1087.5</v>
      </c>
      <c r="Q81" s="107">
        <f t="shared" si="11"/>
        <v>1087.5</v>
      </c>
      <c r="R81" s="74"/>
      <c r="T81" s="1"/>
    </row>
    <row r="82" spans="1:20">
      <c r="A82" s="1" t="s">
        <v>974</v>
      </c>
      <c r="B82" s="135">
        <v>3610863</v>
      </c>
      <c r="C82" s="6" t="s">
        <v>2864</v>
      </c>
      <c r="D82" s="1">
        <v>2</v>
      </c>
      <c r="E82" s="21" t="s">
        <v>975</v>
      </c>
      <c r="F82" s="1">
        <v>20211003</v>
      </c>
      <c r="G82" s="1">
        <v>20211203</v>
      </c>
      <c r="H82" s="159" t="s">
        <v>967</v>
      </c>
      <c r="J82" s="4" t="s">
        <v>578</v>
      </c>
      <c r="K82" s="12" t="s">
        <v>1814</v>
      </c>
      <c r="L82" s="12" t="s">
        <v>1815</v>
      </c>
      <c r="O82" s="28">
        <v>1045</v>
      </c>
      <c r="P82" s="107">
        <f t="shared" si="10"/>
        <v>783.75</v>
      </c>
      <c r="Q82" s="107">
        <f t="shared" si="11"/>
        <v>1567.5</v>
      </c>
      <c r="T82" s="1"/>
    </row>
    <row r="83" spans="1:20">
      <c r="A83" s="1" t="s">
        <v>974</v>
      </c>
      <c r="B83" s="133">
        <v>3610863</v>
      </c>
      <c r="C83" s="6" t="s">
        <v>2864</v>
      </c>
      <c r="D83" s="1">
        <v>1</v>
      </c>
      <c r="E83" s="21"/>
      <c r="F83" s="1">
        <v>20220727</v>
      </c>
      <c r="G83" s="1">
        <v>20220927</v>
      </c>
      <c r="H83" s="159" t="s">
        <v>967</v>
      </c>
      <c r="J83" s="4" t="s">
        <v>47</v>
      </c>
      <c r="K83" s="12" t="s">
        <v>1814</v>
      </c>
      <c r="L83" s="12" t="s">
        <v>1815</v>
      </c>
      <c r="M83" s="1" t="s">
        <v>976</v>
      </c>
      <c r="O83" s="28">
        <v>1045</v>
      </c>
      <c r="P83" s="107">
        <f t="shared" si="10"/>
        <v>783.75</v>
      </c>
      <c r="Q83" s="107">
        <f t="shared" si="11"/>
        <v>783.75</v>
      </c>
      <c r="T83" s="1"/>
    </row>
    <row r="84" spans="1:20">
      <c r="A84" s="1" t="s">
        <v>43</v>
      </c>
      <c r="B84" s="5">
        <v>101433</v>
      </c>
      <c r="C84" s="6" t="s">
        <v>2864</v>
      </c>
      <c r="D84" s="1">
        <v>1</v>
      </c>
      <c r="F84" s="1">
        <v>20211003</v>
      </c>
      <c r="G84" s="1">
        <v>20211203</v>
      </c>
      <c r="H84" s="159" t="s">
        <v>699</v>
      </c>
      <c r="K84" s="12" t="s">
        <v>1816</v>
      </c>
      <c r="L84" s="12" t="s">
        <v>1817</v>
      </c>
      <c r="O84" s="74">
        <v>2035</v>
      </c>
      <c r="P84" s="107">
        <f t="shared" si="10"/>
        <v>1526.25</v>
      </c>
      <c r="Q84" s="107">
        <f t="shared" si="11"/>
        <v>1526.25</v>
      </c>
      <c r="R84" s="74"/>
      <c r="T84" s="1"/>
    </row>
    <row r="85" spans="1:20">
      <c r="A85" s="1" t="s">
        <v>43</v>
      </c>
      <c r="B85" s="5" t="s">
        <v>584</v>
      </c>
      <c r="C85" s="6" t="s">
        <v>2864</v>
      </c>
      <c r="D85" s="1">
        <v>1</v>
      </c>
      <c r="F85" s="1">
        <v>20211010</v>
      </c>
      <c r="G85" s="1">
        <v>202011210</v>
      </c>
      <c r="H85" s="159" t="s">
        <v>699</v>
      </c>
      <c r="I85" s="1" t="s">
        <v>639</v>
      </c>
      <c r="K85" s="12" t="s">
        <v>1818</v>
      </c>
      <c r="L85" s="12" t="s">
        <v>1819</v>
      </c>
      <c r="O85" s="74">
        <v>3800</v>
      </c>
      <c r="P85" s="107">
        <f t="shared" ref="P85:P139" si="12">O85*0.75</f>
        <v>2850</v>
      </c>
      <c r="Q85" s="107">
        <f t="shared" ref="Q85:Q139" si="13">D85*P85</f>
        <v>2850</v>
      </c>
      <c r="R85" s="74"/>
      <c r="T85" s="1"/>
    </row>
    <row r="86" spans="1:20">
      <c r="A86" s="1" t="s">
        <v>43</v>
      </c>
      <c r="B86" s="20" t="s">
        <v>608</v>
      </c>
      <c r="C86" s="6" t="s">
        <v>2864</v>
      </c>
      <c r="D86" s="1">
        <v>1</v>
      </c>
      <c r="F86" s="1">
        <v>20211106</v>
      </c>
      <c r="G86" s="1">
        <v>20220106</v>
      </c>
      <c r="H86" s="159" t="s">
        <v>699</v>
      </c>
      <c r="K86" s="12" t="s">
        <v>1818</v>
      </c>
      <c r="L86" s="12" t="s">
        <v>1820</v>
      </c>
      <c r="O86" s="28">
        <v>2345</v>
      </c>
      <c r="P86" s="107">
        <f t="shared" si="12"/>
        <v>1758.75</v>
      </c>
      <c r="Q86" s="107">
        <f t="shared" si="13"/>
        <v>1758.75</v>
      </c>
      <c r="R86" s="74"/>
      <c r="T86" s="1"/>
    </row>
    <row r="87" spans="1:20">
      <c r="A87" s="1" t="s">
        <v>43</v>
      </c>
      <c r="B87" s="141">
        <v>130150903</v>
      </c>
      <c r="C87" s="6" t="s">
        <v>2864</v>
      </c>
      <c r="D87" s="1">
        <v>3</v>
      </c>
      <c r="E87" s="21" t="s">
        <v>1008</v>
      </c>
      <c r="F87" s="1">
        <v>20211117</v>
      </c>
      <c r="G87" s="1">
        <v>20220117</v>
      </c>
      <c r="H87" s="159" t="s">
        <v>699</v>
      </c>
      <c r="K87" s="12" t="s">
        <v>1818</v>
      </c>
      <c r="L87" s="12" t="s">
        <v>1821</v>
      </c>
      <c r="O87" s="74">
        <v>792</v>
      </c>
      <c r="P87" s="107">
        <f t="shared" si="12"/>
        <v>594</v>
      </c>
      <c r="Q87" s="107">
        <f t="shared" si="13"/>
        <v>1782</v>
      </c>
      <c r="R87" s="74"/>
      <c r="T87" s="1"/>
    </row>
    <row r="88" spans="1:20">
      <c r="A88" s="1" t="s">
        <v>43</v>
      </c>
      <c r="B88" s="157">
        <v>130150903</v>
      </c>
      <c r="C88" s="6" t="s">
        <v>2864</v>
      </c>
      <c r="D88" s="1">
        <v>2</v>
      </c>
      <c r="F88" s="1">
        <v>20211117</v>
      </c>
      <c r="G88" s="1">
        <v>20220117</v>
      </c>
      <c r="H88" s="159" t="s">
        <v>699</v>
      </c>
      <c r="K88" s="12" t="s">
        <v>1050</v>
      </c>
      <c r="L88" s="12" t="s">
        <v>1821</v>
      </c>
      <c r="O88" s="74">
        <v>792</v>
      </c>
      <c r="P88" s="107">
        <f t="shared" si="12"/>
        <v>594</v>
      </c>
      <c r="Q88" s="107">
        <f t="shared" si="13"/>
        <v>1188</v>
      </c>
      <c r="R88" s="74"/>
      <c r="T88" s="1"/>
    </row>
    <row r="89" spans="1:20">
      <c r="A89" s="1" t="s">
        <v>43</v>
      </c>
      <c r="B89" s="5" t="s">
        <v>1016</v>
      </c>
      <c r="C89" s="6" t="s">
        <v>2864</v>
      </c>
      <c r="D89" s="1">
        <v>8</v>
      </c>
      <c r="E89" s="21" t="s">
        <v>2352</v>
      </c>
      <c r="G89" s="1">
        <v>20230928</v>
      </c>
      <c r="H89" s="159" t="s">
        <v>699</v>
      </c>
      <c r="K89" s="12" t="s">
        <v>1816</v>
      </c>
      <c r="L89" s="12" t="s">
        <v>1822</v>
      </c>
      <c r="O89" s="74">
        <v>157</v>
      </c>
      <c r="P89" s="107">
        <f t="shared" si="12"/>
        <v>117.75</v>
      </c>
      <c r="Q89" s="107">
        <f t="shared" si="13"/>
        <v>942</v>
      </c>
      <c r="R89" s="74"/>
      <c r="T89" s="1"/>
    </row>
    <row r="90" spans="1:20">
      <c r="A90" s="1" t="s">
        <v>43</v>
      </c>
      <c r="B90" s="5" t="s">
        <v>627</v>
      </c>
      <c r="C90" s="6" t="s">
        <v>2864</v>
      </c>
      <c r="D90" s="6">
        <v>1</v>
      </c>
      <c r="F90" s="6">
        <v>20220104</v>
      </c>
      <c r="G90" s="6">
        <v>20220304</v>
      </c>
      <c r="H90" s="159" t="s">
        <v>699</v>
      </c>
      <c r="I90" s="6"/>
      <c r="K90" s="12" t="s">
        <v>1823</v>
      </c>
      <c r="L90" s="12" t="s">
        <v>1824</v>
      </c>
      <c r="N90" s="66"/>
      <c r="O90" s="74">
        <v>5750</v>
      </c>
      <c r="P90" s="107">
        <f t="shared" si="12"/>
        <v>4312.5</v>
      </c>
      <c r="Q90" s="107">
        <f t="shared" si="13"/>
        <v>4312.5</v>
      </c>
      <c r="R90" s="107"/>
      <c r="T90" s="1"/>
    </row>
    <row r="91" spans="1:20">
      <c r="A91" s="1" t="s">
        <v>43</v>
      </c>
      <c r="B91" s="5" t="s">
        <v>651</v>
      </c>
      <c r="C91" s="6" t="s">
        <v>2864</v>
      </c>
      <c r="D91" s="12">
        <v>1</v>
      </c>
      <c r="F91" s="6">
        <v>20220220</v>
      </c>
      <c r="G91" s="6">
        <v>20220420</v>
      </c>
      <c r="H91" s="159" t="s">
        <v>699</v>
      </c>
      <c r="I91" s="6"/>
      <c r="K91" s="12" t="s">
        <v>1825</v>
      </c>
      <c r="L91" s="12" t="s">
        <v>1826</v>
      </c>
      <c r="N91" s="66"/>
      <c r="O91" s="74">
        <v>2600</v>
      </c>
      <c r="P91" s="107">
        <f t="shared" si="12"/>
        <v>1950</v>
      </c>
      <c r="Q91" s="107">
        <f t="shared" si="13"/>
        <v>1950</v>
      </c>
      <c r="R91" s="107"/>
      <c r="T91" s="1"/>
    </row>
    <row r="92" spans="1:20">
      <c r="A92" s="1" t="s">
        <v>43</v>
      </c>
      <c r="B92" s="141" t="s">
        <v>2327</v>
      </c>
      <c r="C92" s="6" t="s">
        <v>2864</v>
      </c>
      <c r="D92" s="6">
        <v>12</v>
      </c>
      <c r="F92" s="6">
        <v>20240229</v>
      </c>
      <c r="G92" s="6">
        <v>20240502</v>
      </c>
      <c r="H92" s="159">
        <v>10</v>
      </c>
      <c r="I92" s="6"/>
      <c r="K92" s="12" t="s">
        <v>1050</v>
      </c>
      <c r="L92" s="12" t="s">
        <v>2241</v>
      </c>
      <c r="M92" s="1" t="s">
        <v>2361</v>
      </c>
      <c r="N92" s="66" t="s">
        <v>2284</v>
      </c>
      <c r="O92" s="74">
        <v>842</v>
      </c>
      <c r="P92" s="107">
        <f t="shared" si="12"/>
        <v>631.5</v>
      </c>
      <c r="Q92" s="107">
        <f t="shared" si="13"/>
        <v>7578</v>
      </c>
      <c r="R92" s="107"/>
      <c r="T92" s="1"/>
    </row>
    <row r="93" spans="1:20">
      <c r="A93" s="1" t="s">
        <v>43</v>
      </c>
      <c r="B93" s="240" t="s">
        <v>2400</v>
      </c>
      <c r="C93" s="6" t="s">
        <v>2864</v>
      </c>
      <c r="D93" s="6">
        <v>8</v>
      </c>
      <c r="F93" s="6">
        <v>20240230</v>
      </c>
      <c r="G93" s="6">
        <v>20240502</v>
      </c>
      <c r="H93" s="159">
        <v>10</v>
      </c>
      <c r="I93" s="7" t="s">
        <v>2403</v>
      </c>
      <c r="K93" s="12" t="s">
        <v>1050</v>
      </c>
      <c r="L93" s="12" t="s">
        <v>2241</v>
      </c>
      <c r="N93" s="66" t="s">
        <v>2401</v>
      </c>
      <c r="O93" s="74">
        <v>842</v>
      </c>
      <c r="P93" s="107">
        <f t="shared" si="12"/>
        <v>631.5</v>
      </c>
      <c r="Q93" s="107">
        <f t="shared" si="13"/>
        <v>5052</v>
      </c>
      <c r="R93" s="107"/>
      <c r="T93" s="1"/>
    </row>
    <row r="94" spans="1:20">
      <c r="A94" s="6" t="s">
        <v>43</v>
      </c>
      <c r="B94" s="5" t="s">
        <v>511</v>
      </c>
      <c r="C94" s="6" t="s">
        <v>2864</v>
      </c>
      <c r="D94" s="1">
        <v>1</v>
      </c>
      <c r="E94" s="6"/>
      <c r="F94" s="6">
        <v>20201008</v>
      </c>
      <c r="G94" s="6">
        <v>20201208</v>
      </c>
      <c r="H94" s="159" t="s">
        <v>699</v>
      </c>
      <c r="I94" s="6"/>
      <c r="K94" s="12" t="s">
        <v>1818</v>
      </c>
      <c r="L94" s="12" t="s">
        <v>1379</v>
      </c>
      <c r="N94" s="66"/>
      <c r="O94" s="28">
        <v>858</v>
      </c>
      <c r="P94" s="107">
        <f t="shared" si="12"/>
        <v>643.5</v>
      </c>
      <c r="Q94" s="107">
        <f t="shared" si="13"/>
        <v>643.5</v>
      </c>
      <c r="R94" s="29"/>
      <c r="T94" s="1"/>
    </row>
    <row r="95" spans="1:20">
      <c r="A95" s="6" t="s">
        <v>43</v>
      </c>
      <c r="B95" s="5" t="s">
        <v>413</v>
      </c>
      <c r="C95" s="6" t="s">
        <v>2864</v>
      </c>
      <c r="D95" s="1">
        <v>14</v>
      </c>
      <c r="E95" s="6"/>
      <c r="F95" s="6">
        <v>20201007</v>
      </c>
      <c r="G95" s="6">
        <v>20201207</v>
      </c>
      <c r="H95" s="159" t="s">
        <v>699</v>
      </c>
      <c r="I95" s="6"/>
      <c r="K95" s="12" t="s">
        <v>1818</v>
      </c>
      <c r="L95" s="12" t="s">
        <v>1827</v>
      </c>
      <c r="N95" s="66"/>
      <c r="O95" s="28">
        <v>1510</v>
      </c>
      <c r="P95" s="107">
        <f t="shared" si="12"/>
        <v>1132.5</v>
      </c>
      <c r="Q95" s="107">
        <f t="shared" si="13"/>
        <v>15855</v>
      </c>
      <c r="R95" s="29"/>
      <c r="T95" s="1"/>
    </row>
    <row r="96" spans="1:20">
      <c r="A96" s="1" t="s">
        <v>43</v>
      </c>
      <c r="B96" s="5" t="s">
        <v>607</v>
      </c>
      <c r="C96" s="6" t="s">
        <v>2864</v>
      </c>
      <c r="D96" s="6">
        <v>2</v>
      </c>
      <c r="F96" s="6">
        <v>20211028</v>
      </c>
      <c r="G96" s="6">
        <v>20211228</v>
      </c>
      <c r="H96" s="159" t="s">
        <v>699</v>
      </c>
      <c r="I96" s="6"/>
      <c r="K96" s="12" t="s">
        <v>1818</v>
      </c>
      <c r="L96" s="12" t="s">
        <v>1828</v>
      </c>
      <c r="N96" s="66"/>
      <c r="O96" s="74">
        <v>795</v>
      </c>
      <c r="P96" s="107">
        <f t="shared" si="12"/>
        <v>596.25</v>
      </c>
      <c r="Q96" s="107">
        <f t="shared" si="13"/>
        <v>1192.5</v>
      </c>
      <c r="R96" s="29"/>
      <c r="T96" s="1"/>
    </row>
    <row r="97" spans="1:20">
      <c r="A97" s="1" t="s">
        <v>43</v>
      </c>
      <c r="B97" s="5" t="s">
        <v>422</v>
      </c>
      <c r="C97" s="6" t="s">
        <v>2864</v>
      </c>
      <c r="D97" s="6">
        <v>5</v>
      </c>
      <c r="E97" s="6"/>
      <c r="F97" s="6">
        <v>20201112</v>
      </c>
      <c r="G97" s="6">
        <v>20210112</v>
      </c>
      <c r="H97" s="159" t="s">
        <v>699</v>
      </c>
      <c r="I97" s="6"/>
      <c r="K97" s="12" t="s">
        <v>1829</v>
      </c>
      <c r="L97" s="12" t="s">
        <v>1830</v>
      </c>
      <c r="N97" s="66" t="s">
        <v>712</v>
      </c>
      <c r="O97" s="28">
        <v>1030</v>
      </c>
      <c r="P97" s="107">
        <f t="shared" si="12"/>
        <v>772.5</v>
      </c>
      <c r="Q97" s="107">
        <f t="shared" si="13"/>
        <v>3862.5</v>
      </c>
      <c r="R97" s="29"/>
      <c r="T97" s="1"/>
    </row>
    <row r="98" spans="1:20">
      <c r="A98" s="1" t="s">
        <v>43</v>
      </c>
      <c r="B98" s="5" t="s">
        <v>675</v>
      </c>
      <c r="C98" s="6" t="s">
        <v>2864</v>
      </c>
      <c r="D98" s="6">
        <v>1</v>
      </c>
      <c r="F98" s="1">
        <v>20220324</v>
      </c>
      <c r="G98" s="1">
        <v>20220524</v>
      </c>
      <c r="H98" s="159" t="s">
        <v>699</v>
      </c>
      <c r="J98" s="67"/>
      <c r="K98" s="12" t="s">
        <v>1829</v>
      </c>
      <c r="L98" s="12" t="s">
        <v>1831</v>
      </c>
      <c r="O98" s="28">
        <v>2050</v>
      </c>
      <c r="P98" s="107">
        <f t="shared" si="12"/>
        <v>1537.5</v>
      </c>
      <c r="Q98" s="107">
        <f t="shared" si="13"/>
        <v>1537.5</v>
      </c>
      <c r="R98" s="74"/>
      <c r="S98" s="21"/>
      <c r="T98" s="1"/>
    </row>
    <row r="99" spans="1:20">
      <c r="A99" s="1" t="s">
        <v>43</v>
      </c>
      <c r="B99" s="5" t="s">
        <v>339</v>
      </c>
      <c r="C99" s="6" t="s">
        <v>2864</v>
      </c>
      <c r="D99" s="6">
        <v>5</v>
      </c>
      <c r="F99" s="1">
        <v>20220323</v>
      </c>
      <c r="G99" s="1">
        <v>20220523</v>
      </c>
      <c r="H99" s="159" t="s">
        <v>699</v>
      </c>
      <c r="I99" s="21" t="s">
        <v>677</v>
      </c>
      <c r="J99" s="67" t="s">
        <v>741</v>
      </c>
      <c r="K99" s="12" t="s">
        <v>1818</v>
      </c>
      <c r="L99" s="12" t="s">
        <v>1339</v>
      </c>
      <c r="O99" s="28">
        <v>850</v>
      </c>
      <c r="P99" s="107">
        <f t="shared" si="12"/>
        <v>637.5</v>
      </c>
      <c r="Q99" s="107">
        <f t="shared" si="13"/>
        <v>3187.5</v>
      </c>
      <c r="R99" s="74"/>
      <c r="S99" s="21"/>
      <c r="T99" s="1"/>
    </row>
    <row r="100" spans="1:20">
      <c r="A100" s="1" t="s">
        <v>43</v>
      </c>
      <c r="B100" s="5" t="s">
        <v>620</v>
      </c>
      <c r="C100" s="6" t="s">
        <v>2864</v>
      </c>
      <c r="D100" s="6">
        <v>1</v>
      </c>
      <c r="F100" s="1">
        <v>20211224</v>
      </c>
      <c r="G100" s="1">
        <v>20220224</v>
      </c>
      <c r="H100" s="159" t="s">
        <v>699</v>
      </c>
      <c r="I100" s="6"/>
      <c r="J100" s="21"/>
      <c r="K100" s="12" t="s">
        <v>1832</v>
      </c>
      <c r="L100" s="12" t="s">
        <v>1833</v>
      </c>
      <c r="O100" s="28">
        <v>2650</v>
      </c>
      <c r="P100" s="107">
        <f t="shared" si="12"/>
        <v>1987.5</v>
      </c>
      <c r="Q100" s="107">
        <f t="shared" si="13"/>
        <v>1987.5</v>
      </c>
      <c r="S100" s="21"/>
    </row>
    <row r="101" spans="1:20">
      <c r="A101" s="1" t="s">
        <v>43</v>
      </c>
      <c r="B101" s="5" t="s">
        <v>628</v>
      </c>
      <c r="C101" s="6" t="s">
        <v>2864</v>
      </c>
      <c r="D101" s="6">
        <v>10</v>
      </c>
      <c r="F101" s="1">
        <v>20220108</v>
      </c>
      <c r="G101" s="1">
        <v>20220308</v>
      </c>
      <c r="H101" s="159" t="s">
        <v>699</v>
      </c>
      <c r="I101" s="6"/>
      <c r="J101" s="21"/>
      <c r="K101" s="12" t="s">
        <v>1832</v>
      </c>
      <c r="L101" s="12" t="s">
        <v>1406</v>
      </c>
      <c r="O101" s="28">
        <v>1350</v>
      </c>
      <c r="P101" s="107">
        <f t="shared" si="12"/>
        <v>1012.5</v>
      </c>
      <c r="Q101" s="107">
        <f t="shared" si="13"/>
        <v>10125</v>
      </c>
      <c r="S101" s="21"/>
    </row>
    <row r="102" spans="1:20">
      <c r="A102" s="1" t="s">
        <v>43</v>
      </c>
      <c r="B102" s="5" t="s">
        <v>637</v>
      </c>
      <c r="C102" s="6" t="s">
        <v>2864</v>
      </c>
      <c r="D102" s="6">
        <v>1</v>
      </c>
      <c r="F102" s="1">
        <v>20220211</v>
      </c>
      <c r="G102" s="1">
        <v>20220212</v>
      </c>
      <c r="H102" s="159" t="s">
        <v>699</v>
      </c>
      <c r="I102" s="6"/>
      <c r="J102" s="21"/>
      <c r="K102" s="12" t="s">
        <v>1834</v>
      </c>
      <c r="L102" s="12" t="s">
        <v>1835</v>
      </c>
      <c r="O102" s="28">
        <v>2540</v>
      </c>
      <c r="P102" s="107">
        <f t="shared" si="12"/>
        <v>1905</v>
      </c>
      <c r="Q102" s="107">
        <f t="shared" si="13"/>
        <v>1905</v>
      </c>
      <c r="S102" s="21"/>
    </row>
    <row r="103" spans="1:20">
      <c r="A103" s="1" t="s">
        <v>43</v>
      </c>
      <c r="B103" s="5">
        <v>121112301</v>
      </c>
      <c r="C103" s="6" t="s">
        <v>2864</v>
      </c>
      <c r="D103" s="1">
        <v>5</v>
      </c>
      <c r="F103" s="1">
        <v>20210119</v>
      </c>
      <c r="G103" s="1">
        <v>20220119</v>
      </c>
      <c r="H103" s="159" t="s">
        <v>699</v>
      </c>
      <c r="K103" s="12" t="s">
        <v>1818</v>
      </c>
      <c r="L103" s="12" t="s">
        <v>1821</v>
      </c>
      <c r="O103" s="28">
        <v>495</v>
      </c>
      <c r="P103" s="107">
        <f t="shared" si="12"/>
        <v>371.25</v>
      </c>
      <c r="Q103" s="107">
        <f t="shared" si="13"/>
        <v>1856.25</v>
      </c>
      <c r="T103" s="1"/>
    </row>
    <row r="104" spans="1:20">
      <c r="A104" s="1" t="s">
        <v>43</v>
      </c>
      <c r="B104" s="5" t="s">
        <v>652</v>
      </c>
      <c r="C104" s="6" t="s">
        <v>2864</v>
      </c>
      <c r="D104" s="1">
        <v>50</v>
      </c>
      <c r="F104" s="1">
        <v>20210411</v>
      </c>
      <c r="G104" s="1">
        <v>20210611</v>
      </c>
      <c r="H104" s="159" t="s">
        <v>699</v>
      </c>
      <c r="I104" s="1" t="s">
        <v>92</v>
      </c>
      <c r="K104" s="84" t="s">
        <v>1836</v>
      </c>
      <c r="L104" s="12" t="s">
        <v>1375</v>
      </c>
      <c r="O104" s="28">
        <v>1120</v>
      </c>
      <c r="P104" s="107">
        <f t="shared" si="12"/>
        <v>840</v>
      </c>
      <c r="Q104" s="107">
        <f t="shared" si="13"/>
        <v>42000</v>
      </c>
    </row>
    <row r="105" spans="1:20">
      <c r="A105" s="6" t="s">
        <v>43</v>
      </c>
      <c r="B105" s="5" t="s">
        <v>556</v>
      </c>
      <c r="C105" s="6" t="s">
        <v>2864</v>
      </c>
      <c r="D105" s="1">
        <v>1</v>
      </c>
      <c r="E105" s="6"/>
      <c r="F105" s="6">
        <v>20210814</v>
      </c>
      <c r="G105" s="6">
        <v>20211014</v>
      </c>
      <c r="H105" s="159" t="s">
        <v>699</v>
      </c>
      <c r="I105" s="6"/>
      <c r="K105" s="12" t="s">
        <v>1818</v>
      </c>
      <c r="L105" s="12" t="s">
        <v>1838</v>
      </c>
      <c r="N105" s="66"/>
      <c r="O105" s="28">
        <v>710</v>
      </c>
      <c r="P105" s="107">
        <f t="shared" si="12"/>
        <v>532.5</v>
      </c>
      <c r="Q105" s="107">
        <f t="shared" si="13"/>
        <v>532.5</v>
      </c>
      <c r="R105" s="107"/>
    </row>
    <row r="106" spans="1:20">
      <c r="A106" s="1" t="s">
        <v>43</v>
      </c>
      <c r="B106" s="5" t="s">
        <v>505</v>
      </c>
      <c r="C106" s="6" t="s">
        <v>2864</v>
      </c>
      <c r="D106" s="1">
        <v>1</v>
      </c>
      <c r="F106" s="1">
        <v>20210529</v>
      </c>
      <c r="G106" s="1">
        <v>20210729</v>
      </c>
      <c r="H106" s="159" t="s">
        <v>699</v>
      </c>
      <c r="K106" s="12" t="s">
        <v>1834</v>
      </c>
      <c r="L106" s="12" t="s">
        <v>1839</v>
      </c>
      <c r="O106" s="28">
        <v>1300</v>
      </c>
      <c r="P106" s="107">
        <f t="shared" si="12"/>
        <v>975</v>
      </c>
      <c r="Q106" s="107">
        <f t="shared" si="13"/>
        <v>975</v>
      </c>
    </row>
    <row r="107" spans="1:20">
      <c r="A107" s="1" t="s">
        <v>43</v>
      </c>
      <c r="B107" s="5">
        <v>108606</v>
      </c>
      <c r="C107" s="6" t="s">
        <v>2864</v>
      </c>
      <c r="D107" s="1">
        <v>2</v>
      </c>
      <c r="F107" s="1">
        <v>20210609</v>
      </c>
      <c r="G107" s="1">
        <v>20210809</v>
      </c>
      <c r="H107" s="159" t="s">
        <v>699</v>
      </c>
      <c r="K107" s="12" t="s">
        <v>1816</v>
      </c>
      <c r="L107" s="12" t="s">
        <v>1840</v>
      </c>
      <c r="N107" s="12" t="s">
        <v>546</v>
      </c>
      <c r="O107" s="28">
        <v>1507</v>
      </c>
      <c r="P107" s="107">
        <f t="shared" si="12"/>
        <v>1130.25</v>
      </c>
      <c r="Q107" s="107">
        <f t="shared" si="13"/>
        <v>2260.5</v>
      </c>
    </row>
    <row r="108" spans="1:20">
      <c r="A108" s="1" t="s">
        <v>43</v>
      </c>
      <c r="B108" s="5" t="s">
        <v>508</v>
      </c>
      <c r="C108" s="6" t="s">
        <v>2864</v>
      </c>
      <c r="D108" s="1">
        <v>1</v>
      </c>
      <c r="F108" s="1">
        <v>20210609</v>
      </c>
      <c r="G108" s="1">
        <v>20210809</v>
      </c>
      <c r="H108" s="159" t="s">
        <v>699</v>
      </c>
      <c r="J108" s="1" t="s">
        <v>509</v>
      </c>
      <c r="K108" s="12" t="s">
        <v>1024</v>
      </c>
      <c r="L108" s="12" t="s">
        <v>1374</v>
      </c>
      <c r="O108" s="28">
        <v>1450</v>
      </c>
      <c r="P108" s="107">
        <f t="shared" si="12"/>
        <v>1087.5</v>
      </c>
      <c r="Q108" s="107">
        <f t="shared" si="13"/>
        <v>1087.5</v>
      </c>
    </row>
    <row r="109" spans="1:20">
      <c r="A109" s="1" t="s">
        <v>43</v>
      </c>
      <c r="B109" s="5" t="s">
        <v>542</v>
      </c>
      <c r="C109" s="6" t="s">
        <v>2864</v>
      </c>
      <c r="D109" s="6">
        <v>1</v>
      </c>
      <c r="E109" s="6"/>
      <c r="F109" s="6">
        <v>20210710</v>
      </c>
      <c r="G109" s="6">
        <v>20210910</v>
      </c>
      <c r="H109" s="159" t="s">
        <v>699</v>
      </c>
      <c r="I109" s="6"/>
      <c r="K109" s="12" t="s">
        <v>1818</v>
      </c>
      <c r="L109" s="12" t="s">
        <v>1841</v>
      </c>
      <c r="N109" s="66"/>
      <c r="O109" s="28">
        <v>1530</v>
      </c>
      <c r="P109" s="107">
        <f t="shared" si="12"/>
        <v>1147.5</v>
      </c>
      <c r="Q109" s="107">
        <f t="shared" si="13"/>
        <v>1147.5</v>
      </c>
      <c r="R109" s="29"/>
      <c r="T109" s="1"/>
    </row>
    <row r="110" spans="1:20">
      <c r="A110" s="1" t="s">
        <v>43</v>
      </c>
      <c r="B110" s="5" t="s">
        <v>600</v>
      </c>
      <c r="C110" s="6" t="s">
        <v>2864</v>
      </c>
      <c r="D110" s="6">
        <v>1</v>
      </c>
      <c r="F110" s="6">
        <v>20211014</v>
      </c>
      <c r="G110" s="6">
        <v>20211214</v>
      </c>
      <c r="H110" s="159" t="s">
        <v>699</v>
      </c>
      <c r="I110" s="6"/>
      <c r="K110" s="12" t="s">
        <v>1842</v>
      </c>
      <c r="L110" s="12" t="s">
        <v>1843</v>
      </c>
      <c r="N110" s="66"/>
      <c r="O110" s="28">
        <v>1815</v>
      </c>
      <c r="P110" s="107">
        <f t="shared" si="12"/>
        <v>1361.25</v>
      </c>
      <c r="Q110" s="107">
        <f t="shared" si="13"/>
        <v>1361.25</v>
      </c>
      <c r="R110" s="29"/>
      <c r="T110" s="1"/>
    </row>
    <row r="111" spans="1:20">
      <c r="A111" s="1" t="s">
        <v>43</v>
      </c>
      <c r="B111" s="5" t="s">
        <v>558</v>
      </c>
      <c r="C111" s="6" t="s">
        <v>2864</v>
      </c>
      <c r="D111" s="6">
        <v>1</v>
      </c>
      <c r="F111" s="6">
        <v>20210819</v>
      </c>
      <c r="G111" s="6">
        <v>20211019</v>
      </c>
      <c r="H111" s="159" t="s">
        <v>699</v>
      </c>
      <c r="I111" s="6"/>
      <c r="K111" s="12" t="s">
        <v>1982</v>
      </c>
      <c r="L111" s="12" t="s">
        <v>1376</v>
      </c>
      <c r="N111" s="66"/>
      <c r="O111" s="28">
        <v>1925</v>
      </c>
      <c r="P111" s="107">
        <f t="shared" si="12"/>
        <v>1443.75</v>
      </c>
      <c r="Q111" s="107">
        <f t="shared" si="13"/>
        <v>1443.75</v>
      </c>
      <c r="R111" s="29"/>
      <c r="T111" s="1"/>
    </row>
    <row r="112" spans="1:20">
      <c r="A112" s="1" t="s">
        <v>43</v>
      </c>
      <c r="B112" s="5" t="s">
        <v>764</v>
      </c>
      <c r="C112" s="6" t="s">
        <v>2864</v>
      </c>
      <c r="D112" s="1">
        <v>1</v>
      </c>
      <c r="F112" s="1">
        <v>20220819</v>
      </c>
      <c r="G112" s="1">
        <v>20221019</v>
      </c>
      <c r="H112" s="159" t="s">
        <v>699</v>
      </c>
      <c r="K112" s="12" t="s">
        <v>1022</v>
      </c>
      <c r="L112" s="12" t="s">
        <v>1377</v>
      </c>
      <c r="M112" s="1" t="s">
        <v>765</v>
      </c>
      <c r="O112" s="28">
        <v>2790</v>
      </c>
      <c r="P112" s="107">
        <f t="shared" si="12"/>
        <v>2092.5</v>
      </c>
      <c r="Q112" s="107">
        <f t="shared" si="13"/>
        <v>2092.5</v>
      </c>
    </row>
    <row r="113" spans="1:20">
      <c r="A113" s="1" t="s">
        <v>43</v>
      </c>
      <c r="B113" s="5" t="s">
        <v>424</v>
      </c>
      <c r="C113" s="6" t="s">
        <v>2864</v>
      </c>
      <c r="D113" s="1">
        <v>32</v>
      </c>
      <c r="F113" s="1">
        <v>20201127</v>
      </c>
      <c r="G113" s="1">
        <v>20210127</v>
      </c>
      <c r="H113" s="159" t="s">
        <v>699</v>
      </c>
      <c r="K113" s="12" t="s">
        <v>1378</v>
      </c>
      <c r="L113" s="12" t="s">
        <v>1379</v>
      </c>
      <c r="O113" s="28">
        <v>330</v>
      </c>
      <c r="P113" s="107">
        <f t="shared" si="12"/>
        <v>247.5</v>
      </c>
      <c r="Q113" s="107">
        <f t="shared" si="13"/>
        <v>7920</v>
      </c>
    </row>
    <row r="114" spans="1:20">
      <c r="A114" s="1" t="s">
        <v>43</v>
      </c>
      <c r="B114" s="5" t="s">
        <v>621</v>
      </c>
      <c r="C114" s="6" t="s">
        <v>2864</v>
      </c>
      <c r="D114" s="6">
        <v>3</v>
      </c>
      <c r="F114" s="1">
        <v>20211222</v>
      </c>
      <c r="G114" s="1">
        <v>20220222</v>
      </c>
      <c r="H114" s="159" t="s">
        <v>699</v>
      </c>
      <c r="I114" s="6"/>
      <c r="J114" s="21"/>
      <c r="K114" s="12" t="s">
        <v>1977</v>
      </c>
      <c r="L114" s="12" t="s">
        <v>1339</v>
      </c>
      <c r="N114" s="12" t="s">
        <v>624</v>
      </c>
      <c r="O114" s="28">
        <v>746</v>
      </c>
      <c r="P114" s="107">
        <f t="shared" si="12"/>
        <v>559.5</v>
      </c>
      <c r="Q114" s="107">
        <f t="shared" si="13"/>
        <v>1678.5</v>
      </c>
      <c r="S114" s="21"/>
    </row>
    <row r="115" spans="1:20">
      <c r="A115" s="1" t="s">
        <v>43</v>
      </c>
      <c r="B115" s="5" t="s">
        <v>564</v>
      </c>
      <c r="C115" s="6" t="s">
        <v>2864</v>
      </c>
      <c r="D115" s="6">
        <v>1</v>
      </c>
      <c r="F115" s="6">
        <v>20210826</v>
      </c>
      <c r="G115" s="6">
        <v>20211026</v>
      </c>
      <c r="H115" s="159" t="s">
        <v>699</v>
      </c>
      <c r="I115" s="6"/>
      <c r="K115" s="12" t="s">
        <v>1289</v>
      </c>
      <c r="L115" s="12" t="s">
        <v>1380</v>
      </c>
      <c r="N115" s="66"/>
      <c r="O115" s="28">
        <v>746</v>
      </c>
      <c r="P115" s="107">
        <f t="shared" si="12"/>
        <v>559.5</v>
      </c>
      <c r="Q115" s="107">
        <f t="shared" si="13"/>
        <v>559.5</v>
      </c>
      <c r="R115" s="29"/>
      <c r="T115" s="1"/>
    </row>
    <row r="116" spans="1:20">
      <c r="A116" s="1" t="s">
        <v>43</v>
      </c>
      <c r="B116" s="5" t="s">
        <v>567</v>
      </c>
      <c r="C116" s="6" t="s">
        <v>2864</v>
      </c>
      <c r="D116" s="6">
        <v>1</v>
      </c>
      <c r="F116" s="6">
        <v>20210909</v>
      </c>
      <c r="G116" s="6">
        <v>20211109</v>
      </c>
      <c r="H116" s="159" t="s">
        <v>699</v>
      </c>
      <c r="I116" s="6"/>
      <c r="K116" s="12" t="s">
        <v>1955</v>
      </c>
      <c r="L116" s="12" t="s">
        <v>2016</v>
      </c>
      <c r="N116" s="66"/>
      <c r="O116" s="28">
        <v>1380</v>
      </c>
      <c r="P116" s="107">
        <f t="shared" si="12"/>
        <v>1035</v>
      </c>
      <c r="Q116" s="107">
        <f t="shared" si="13"/>
        <v>1035</v>
      </c>
      <c r="R116" s="29"/>
      <c r="T116" s="1"/>
    </row>
    <row r="117" spans="1:20">
      <c r="A117" s="1" t="s">
        <v>43</v>
      </c>
      <c r="B117" s="5" t="s">
        <v>562</v>
      </c>
      <c r="C117" s="6" t="s">
        <v>2864</v>
      </c>
      <c r="D117" s="6">
        <v>1</v>
      </c>
      <c r="F117" s="6">
        <v>20210826</v>
      </c>
      <c r="G117" s="6">
        <v>20211026</v>
      </c>
      <c r="H117" s="159" t="s">
        <v>699</v>
      </c>
      <c r="I117" s="6"/>
      <c r="K117" s="12" t="s">
        <v>2014</v>
      </c>
      <c r="L117" s="12" t="s">
        <v>1381</v>
      </c>
      <c r="N117" s="66"/>
      <c r="O117" s="28">
        <v>1550</v>
      </c>
      <c r="P117" s="107">
        <f t="shared" si="12"/>
        <v>1162.5</v>
      </c>
      <c r="Q117" s="107">
        <f t="shared" si="13"/>
        <v>1162.5</v>
      </c>
      <c r="R117" s="29"/>
      <c r="T117" s="1"/>
    </row>
    <row r="118" spans="1:20">
      <c r="A118" s="1" t="s">
        <v>43</v>
      </c>
      <c r="B118" s="5" t="s">
        <v>446</v>
      </c>
      <c r="C118" s="6" t="s">
        <v>2864</v>
      </c>
      <c r="D118" s="1">
        <v>5</v>
      </c>
      <c r="F118" s="1">
        <v>20210122</v>
      </c>
      <c r="G118" s="1">
        <v>20210322</v>
      </c>
      <c r="H118" s="159" t="s">
        <v>699</v>
      </c>
      <c r="K118" s="12" t="s">
        <v>2014</v>
      </c>
      <c r="L118" s="12" t="s">
        <v>2015</v>
      </c>
      <c r="N118" s="12" t="s">
        <v>642</v>
      </c>
      <c r="O118" s="28">
        <v>810</v>
      </c>
      <c r="P118" s="107">
        <f t="shared" si="12"/>
        <v>607.5</v>
      </c>
      <c r="Q118" s="107">
        <f t="shared" si="13"/>
        <v>3037.5</v>
      </c>
    </row>
    <row r="119" spans="1:20">
      <c r="A119" s="1" t="s">
        <v>43</v>
      </c>
      <c r="B119" s="5" t="s">
        <v>466</v>
      </c>
      <c r="C119" s="6" t="s">
        <v>2864</v>
      </c>
      <c r="D119" s="1">
        <v>60</v>
      </c>
      <c r="F119" s="1">
        <v>20210220</v>
      </c>
      <c r="G119" s="1">
        <v>20210420</v>
      </c>
      <c r="H119" s="159" t="s">
        <v>699</v>
      </c>
      <c r="K119" s="12" t="s">
        <v>1343</v>
      </c>
      <c r="L119" s="12" t="s">
        <v>1344</v>
      </c>
      <c r="N119" s="12" t="s">
        <v>529</v>
      </c>
      <c r="O119" s="28">
        <v>815</v>
      </c>
      <c r="P119" s="107">
        <f t="shared" si="12"/>
        <v>611.25</v>
      </c>
      <c r="Q119" s="107">
        <f t="shared" si="13"/>
        <v>36675</v>
      </c>
    </row>
    <row r="120" spans="1:20">
      <c r="A120" s="1" t="s">
        <v>43</v>
      </c>
      <c r="B120" s="5" t="s">
        <v>682</v>
      </c>
      <c r="C120" s="6" t="s">
        <v>2864</v>
      </c>
      <c r="D120" s="6">
        <v>1</v>
      </c>
      <c r="F120" s="6">
        <v>20220407</v>
      </c>
      <c r="G120" s="6">
        <v>20220607</v>
      </c>
      <c r="H120" s="159" t="s">
        <v>699</v>
      </c>
      <c r="I120" s="6"/>
      <c r="K120" s="12" t="s">
        <v>1946</v>
      </c>
      <c r="L120" s="12" t="s">
        <v>2011</v>
      </c>
      <c r="N120" s="66"/>
      <c r="O120" s="28">
        <v>3500</v>
      </c>
      <c r="P120" s="107">
        <f t="shared" si="12"/>
        <v>2625</v>
      </c>
      <c r="Q120" s="107">
        <f t="shared" si="13"/>
        <v>2625</v>
      </c>
      <c r="R120" s="29"/>
      <c r="T120" s="1"/>
    </row>
    <row r="121" spans="1:20">
      <c r="A121" s="1" t="s">
        <v>43</v>
      </c>
      <c r="B121" s="5" t="s">
        <v>2012</v>
      </c>
      <c r="C121" s="6" t="s">
        <v>2864</v>
      </c>
      <c r="D121" s="6">
        <v>2</v>
      </c>
      <c r="F121" s="6">
        <v>20210826</v>
      </c>
      <c r="G121" s="6">
        <v>20211026</v>
      </c>
      <c r="H121" s="159" t="s">
        <v>699</v>
      </c>
      <c r="I121" s="6"/>
      <c r="K121" s="12" t="s">
        <v>1382</v>
      </c>
      <c r="L121" s="12" t="s">
        <v>2013</v>
      </c>
      <c r="N121" s="66"/>
      <c r="O121" s="28">
        <v>2002</v>
      </c>
      <c r="P121" s="107">
        <f t="shared" si="12"/>
        <v>1501.5</v>
      </c>
      <c r="Q121" s="107">
        <f t="shared" si="13"/>
        <v>3003</v>
      </c>
      <c r="R121" s="29"/>
      <c r="T121" s="1"/>
    </row>
    <row r="122" spans="1:20">
      <c r="A122" s="1" t="s">
        <v>43</v>
      </c>
      <c r="B122" s="5" t="s">
        <v>559</v>
      </c>
      <c r="C122" s="6" t="s">
        <v>2864</v>
      </c>
      <c r="D122" s="6">
        <v>1</v>
      </c>
      <c r="F122" s="6">
        <v>20210820</v>
      </c>
      <c r="G122" s="6">
        <v>20211020</v>
      </c>
      <c r="H122" s="159" t="s">
        <v>699</v>
      </c>
      <c r="I122" s="6"/>
      <c r="K122" s="12" t="s">
        <v>1946</v>
      </c>
      <c r="L122" s="12" t="s">
        <v>2010</v>
      </c>
      <c r="N122" s="66"/>
      <c r="O122" s="28">
        <v>2550</v>
      </c>
      <c r="P122" s="107">
        <f t="shared" si="12"/>
        <v>1912.5</v>
      </c>
      <c r="Q122" s="107">
        <f t="shared" si="13"/>
        <v>1912.5</v>
      </c>
      <c r="R122" s="29"/>
      <c r="T122" s="1"/>
    </row>
    <row r="123" spans="1:20">
      <c r="A123" s="1" t="s">
        <v>43</v>
      </c>
      <c r="B123" s="5" t="s">
        <v>633</v>
      </c>
      <c r="C123" s="6" t="s">
        <v>2864</v>
      </c>
      <c r="D123" s="6">
        <v>1</v>
      </c>
      <c r="F123" s="6">
        <v>20210827</v>
      </c>
      <c r="G123" s="6">
        <v>20211027</v>
      </c>
      <c r="H123" s="159" t="s">
        <v>699</v>
      </c>
      <c r="I123" s="6"/>
      <c r="K123" s="12" t="s">
        <v>1946</v>
      </c>
      <c r="L123" s="12" t="s">
        <v>2009</v>
      </c>
      <c r="N123" s="66"/>
      <c r="O123" s="28">
        <v>4250</v>
      </c>
      <c r="P123" s="107">
        <f t="shared" si="12"/>
        <v>3187.5</v>
      </c>
      <c r="Q123" s="107">
        <f t="shared" si="13"/>
        <v>3187.5</v>
      </c>
      <c r="R123" s="29"/>
      <c r="T123" s="1"/>
    </row>
    <row r="124" spans="1:20">
      <c r="A124" s="1" t="s">
        <v>43</v>
      </c>
      <c r="B124" s="5" t="s">
        <v>681</v>
      </c>
      <c r="C124" s="6" t="s">
        <v>2864</v>
      </c>
      <c r="D124" s="6">
        <v>1</v>
      </c>
      <c r="F124" s="1">
        <v>20220402</v>
      </c>
      <c r="G124" s="1">
        <v>20220602</v>
      </c>
      <c r="H124" s="159" t="s">
        <v>699</v>
      </c>
      <c r="I124" s="6"/>
      <c r="K124" s="12" t="s">
        <v>2005</v>
      </c>
      <c r="L124" s="12" t="s">
        <v>2008</v>
      </c>
      <c r="N124" s="66"/>
      <c r="O124" s="28">
        <v>1360</v>
      </c>
      <c r="P124" s="107">
        <f t="shared" si="12"/>
        <v>1020</v>
      </c>
      <c r="Q124" s="107">
        <f t="shared" si="13"/>
        <v>1020</v>
      </c>
      <c r="R124" s="29"/>
      <c r="T124" s="1"/>
    </row>
    <row r="125" spans="1:20">
      <c r="A125" s="1" t="s">
        <v>43</v>
      </c>
      <c r="B125" s="5" t="s">
        <v>676</v>
      </c>
      <c r="C125" s="6" t="s">
        <v>2864</v>
      </c>
      <c r="D125" s="6">
        <v>1</v>
      </c>
      <c r="F125" s="1">
        <v>20220324</v>
      </c>
      <c r="G125" s="1">
        <v>20220524</v>
      </c>
      <c r="H125" s="159" t="s">
        <v>699</v>
      </c>
      <c r="I125" s="6"/>
      <c r="K125" s="12" t="s">
        <v>2005</v>
      </c>
      <c r="L125" s="12" t="s">
        <v>2006</v>
      </c>
      <c r="N125" s="66"/>
      <c r="O125" s="28">
        <v>1550</v>
      </c>
      <c r="P125" s="107">
        <f t="shared" si="12"/>
        <v>1162.5</v>
      </c>
      <c r="Q125" s="107">
        <f t="shared" si="13"/>
        <v>1162.5</v>
      </c>
      <c r="R125" s="29"/>
      <c r="T125" s="1"/>
    </row>
    <row r="126" spans="1:20">
      <c r="A126" s="1" t="s">
        <v>43</v>
      </c>
      <c r="B126" s="5" t="s">
        <v>563</v>
      </c>
      <c r="C126" s="6" t="s">
        <v>2864</v>
      </c>
      <c r="D126" s="6">
        <v>2</v>
      </c>
      <c r="F126" s="6">
        <v>20210827</v>
      </c>
      <c r="G126" s="6">
        <v>20211027</v>
      </c>
      <c r="H126" s="159" t="s">
        <v>699</v>
      </c>
      <c r="I126" s="6"/>
      <c r="K126" s="12" t="s">
        <v>1946</v>
      </c>
      <c r="L126" s="12" t="s">
        <v>2007</v>
      </c>
      <c r="N126" s="66"/>
      <c r="O126" s="28">
        <v>880</v>
      </c>
      <c r="P126" s="107">
        <f t="shared" si="12"/>
        <v>660</v>
      </c>
      <c r="Q126" s="107">
        <f t="shared" si="13"/>
        <v>1320</v>
      </c>
      <c r="R126" s="29"/>
      <c r="T126" s="1"/>
    </row>
    <row r="127" spans="1:20">
      <c r="A127" s="1" t="s">
        <v>43</v>
      </c>
      <c r="B127" s="5" t="s">
        <v>572</v>
      </c>
      <c r="C127" s="6" t="s">
        <v>2864</v>
      </c>
      <c r="D127" s="6">
        <v>3</v>
      </c>
      <c r="F127" s="6">
        <v>20210919</v>
      </c>
      <c r="G127" s="6">
        <v>20211119</v>
      </c>
      <c r="H127" s="159" t="s">
        <v>699</v>
      </c>
      <c r="I127" s="6"/>
      <c r="K127" s="12" t="s">
        <v>1024</v>
      </c>
      <c r="L127" s="12" t="s">
        <v>1383</v>
      </c>
      <c r="N127" s="66" t="s">
        <v>643</v>
      </c>
      <c r="O127" s="28">
        <v>1089</v>
      </c>
      <c r="P127" s="107">
        <f t="shared" si="12"/>
        <v>816.75</v>
      </c>
      <c r="Q127" s="107">
        <f t="shared" si="13"/>
        <v>2450.25</v>
      </c>
      <c r="R127" s="29"/>
      <c r="T127" s="1"/>
    </row>
    <row r="128" spans="1:20">
      <c r="A128" s="1" t="s">
        <v>673</v>
      </c>
      <c r="B128" s="5" t="s">
        <v>573</v>
      </c>
      <c r="C128" s="6" t="s">
        <v>2864</v>
      </c>
      <c r="D128" s="6">
        <v>1</v>
      </c>
      <c r="F128" s="6">
        <v>20210915</v>
      </c>
      <c r="G128" s="6">
        <v>20211115</v>
      </c>
      <c r="H128" s="159" t="s">
        <v>699</v>
      </c>
      <c r="I128" s="6"/>
      <c r="K128" s="12" t="s">
        <v>1946</v>
      </c>
      <c r="L128" s="12" t="s">
        <v>1385</v>
      </c>
      <c r="N128" s="66"/>
      <c r="O128" s="28">
        <v>2000</v>
      </c>
      <c r="P128" s="107">
        <f t="shared" si="12"/>
        <v>1500</v>
      </c>
      <c r="Q128" s="107">
        <f t="shared" si="13"/>
        <v>1500</v>
      </c>
      <c r="R128" s="29"/>
      <c r="T128" s="1"/>
    </row>
    <row r="129" spans="1:20">
      <c r="A129" s="1" t="s">
        <v>673</v>
      </c>
      <c r="B129" s="5" t="s">
        <v>674</v>
      </c>
      <c r="C129" s="6" t="s">
        <v>2864</v>
      </c>
      <c r="D129" s="6">
        <v>1</v>
      </c>
      <c r="F129" s="6">
        <v>20220310</v>
      </c>
      <c r="G129" s="6">
        <v>20220510</v>
      </c>
      <c r="H129" s="159" t="s">
        <v>699</v>
      </c>
      <c r="I129" s="6"/>
      <c r="K129" s="12" t="s">
        <v>1378</v>
      </c>
      <c r="L129" s="12" t="s">
        <v>1386</v>
      </c>
      <c r="N129" s="66"/>
      <c r="O129" s="28">
        <v>1520</v>
      </c>
      <c r="P129" s="107">
        <f t="shared" si="12"/>
        <v>1140</v>
      </c>
      <c r="Q129" s="107">
        <f t="shared" si="13"/>
        <v>1140</v>
      </c>
      <c r="R129" s="29"/>
      <c r="T129" s="1"/>
    </row>
    <row r="130" spans="1:20">
      <c r="A130" s="1" t="s">
        <v>43</v>
      </c>
      <c r="B130" s="5" t="s">
        <v>507</v>
      </c>
      <c r="C130" s="6" t="s">
        <v>2864</v>
      </c>
      <c r="D130" s="6">
        <v>3</v>
      </c>
      <c r="F130" s="1">
        <v>20210610</v>
      </c>
      <c r="G130" s="1">
        <v>20210810</v>
      </c>
      <c r="H130" s="159" t="s">
        <v>699</v>
      </c>
      <c r="I130" s="6"/>
      <c r="J130" s="1" t="s">
        <v>509</v>
      </c>
      <c r="K130" s="12" t="s">
        <v>1996</v>
      </c>
      <c r="L130" s="12" t="s">
        <v>1997</v>
      </c>
      <c r="N130" s="12" t="s">
        <v>643</v>
      </c>
      <c r="O130" s="28">
        <v>462</v>
      </c>
      <c r="P130" s="107">
        <f t="shared" si="12"/>
        <v>346.5</v>
      </c>
      <c r="Q130" s="107">
        <f t="shared" si="13"/>
        <v>1039.5</v>
      </c>
    </row>
    <row r="131" spans="1:20">
      <c r="A131" s="1" t="s">
        <v>43</v>
      </c>
      <c r="B131" s="5" t="s">
        <v>601</v>
      </c>
      <c r="C131" s="6" t="s">
        <v>2864</v>
      </c>
      <c r="D131" s="6">
        <v>5</v>
      </c>
      <c r="F131" s="6">
        <v>20211016</v>
      </c>
      <c r="G131" s="6">
        <v>20211216</v>
      </c>
      <c r="H131" s="159" t="s">
        <v>699</v>
      </c>
      <c r="I131" s="6"/>
      <c r="K131" s="12" t="s">
        <v>1956</v>
      </c>
      <c r="L131" s="12" t="s">
        <v>2002</v>
      </c>
      <c r="N131" s="66"/>
      <c r="O131" s="28">
        <v>666</v>
      </c>
      <c r="P131" s="107">
        <f t="shared" si="12"/>
        <v>499.5</v>
      </c>
      <c r="Q131" s="107">
        <f t="shared" si="13"/>
        <v>2497.5</v>
      </c>
      <c r="R131" s="29"/>
      <c r="T131" s="1"/>
    </row>
    <row r="132" spans="1:20">
      <c r="A132" s="1" t="s">
        <v>43</v>
      </c>
      <c r="B132" s="95" t="s">
        <v>606</v>
      </c>
      <c r="C132" s="96" t="s">
        <v>2864</v>
      </c>
      <c r="D132" s="232">
        <v>1</v>
      </c>
      <c r="E132" s="21" t="s">
        <v>2095</v>
      </c>
      <c r="F132" s="1">
        <v>20211024</v>
      </c>
      <c r="G132" s="1">
        <v>20211224</v>
      </c>
      <c r="H132" s="159" t="s">
        <v>699</v>
      </c>
      <c r="I132" s="6"/>
      <c r="J132" s="21"/>
      <c r="K132" s="12" t="s">
        <v>1946</v>
      </c>
      <c r="L132" s="12" t="s">
        <v>2003</v>
      </c>
      <c r="N132" s="12" t="s">
        <v>2338</v>
      </c>
      <c r="O132" s="28">
        <v>580</v>
      </c>
      <c r="P132" s="107">
        <f t="shared" si="12"/>
        <v>435</v>
      </c>
      <c r="Q132" s="107">
        <f t="shared" si="13"/>
        <v>435</v>
      </c>
      <c r="S132" s="21"/>
    </row>
    <row r="133" spans="1:20">
      <c r="A133" s="1" t="s">
        <v>43</v>
      </c>
      <c r="B133" s="234" t="s">
        <v>606</v>
      </c>
      <c r="C133" s="6" t="s">
        <v>2864</v>
      </c>
      <c r="D133" s="202">
        <v>2</v>
      </c>
      <c r="F133" s="1">
        <v>20231110</v>
      </c>
      <c r="G133" s="1">
        <v>20231211</v>
      </c>
      <c r="H133" s="159">
        <v>10</v>
      </c>
      <c r="I133" s="6"/>
      <c r="J133" s="21"/>
      <c r="K133" s="12" t="s">
        <v>1050</v>
      </c>
      <c r="L133" s="12" t="s">
        <v>2003</v>
      </c>
      <c r="M133" s="1" t="s">
        <v>2337</v>
      </c>
      <c r="N133" s="12" t="s">
        <v>2331</v>
      </c>
      <c r="O133" s="28">
        <v>580</v>
      </c>
      <c r="P133" s="107">
        <f t="shared" si="12"/>
        <v>435</v>
      </c>
      <c r="Q133" s="107">
        <f t="shared" si="13"/>
        <v>870</v>
      </c>
      <c r="S133" s="21"/>
    </row>
    <row r="134" spans="1:20">
      <c r="A134" s="1" t="s">
        <v>403</v>
      </c>
      <c r="B134" s="97" t="s">
        <v>2334</v>
      </c>
      <c r="C134" s="64" t="s">
        <v>2864</v>
      </c>
      <c r="D134" s="233">
        <v>3</v>
      </c>
      <c r="F134" s="1">
        <v>20240223</v>
      </c>
      <c r="G134" s="1">
        <v>20240418</v>
      </c>
      <c r="H134" s="159">
        <v>10</v>
      </c>
      <c r="I134" s="6"/>
      <c r="J134" s="21"/>
      <c r="K134" s="12" t="s">
        <v>1024</v>
      </c>
      <c r="L134" s="12" t="s">
        <v>2003</v>
      </c>
      <c r="M134" s="1" t="s">
        <v>2335</v>
      </c>
      <c r="N134" s="12" t="s">
        <v>2336</v>
      </c>
      <c r="O134" s="28">
        <v>580</v>
      </c>
      <c r="P134" s="107">
        <v>435</v>
      </c>
      <c r="Q134" s="107">
        <v>870</v>
      </c>
      <c r="S134" s="21"/>
    </row>
    <row r="135" spans="1:20">
      <c r="A135" s="1" t="s">
        <v>43</v>
      </c>
      <c r="B135" s="5">
        <v>101454</v>
      </c>
      <c r="C135" s="6" t="s">
        <v>2864</v>
      </c>
      <c r="D135" s="6">
        <v>1</v>
      </c>
      <c r="F135" s="6">
        <v>20211023</v>
      </c>
      <c r="G135" s="6">
        <v>20211223</v>
      </c>
      <c r="H135" s="159" t="s">
        <v>699</v>
      </c>
      <c r="I135" s="6"/>
      <c r="K135" s="12" t="s">
        <v>2004</v>
      </c>
      <c r="L135" s="12" t="s">
        <v>1763</v>
      </c>
      <c r="N135" s="66"/>
      <c r="O135" s="28">
        <v>2123</v>
      </c>
      <c r="P135" s="107">
        <f t="shared" si="12"/>
        <v>1592.25</v>
      </c>
      <c r="Q135" s="107">
        <f t="shared" si="13"/>
        <v>1592.25</v>
      </c>
      <c r="R135" s="29"/>
      <c r="T135" s="1"/>
    </row>
    <row r="136" spans="1:20">
      <c r="A136" s="1" t="s">
        <v>43</v>
      </c>
      <c r="B136" s="5">
        <v>80641</v>
      </c>
      <c r="C136" s="6" t="s">
        <v>2864</v>
      </c>
      <c r="D136" s="6">
        <v>3</v>
      </c>
      <c r="F136" s="6">
        <v>20211023</v>
      </c>
      <c r="G136" s="6">
        <v>20211223</v>
      </c>
      <c r="H136" s="159" t="s">
        <v>699</v>
      </c>
      <c r="I136" s="6"/>
      <c r="K136" s="12" t="s">
        <v>1946</v>
      </c>
      <c r="L136" s="12" t="s">
        <v>1763</v>
      </c>
      <c r="N136" s="66" t="s">
        <v>644</v>
      </c>
      <c r="O136" s="28">
        <v>1210</v>
      </c>
      <c r="P136" s="107">
        <f t="shared" si="12"/>
        <v>907.5</v>
      </c>
      <c r="Q136" s="107">
        <f t="shared" si="13"/>
        <v>2722.5</v>
      </c>
      <c r="R136" s="29"/>
      <c r="T136" s="1"/>
    </row>
    <row r="137" spans="1:20">
      <c r="A137" s="1" t="s">
        <v>43</v>
      </c>
      <c r="B137" s="5" t="s">
        <v>604</v>
      </c>
      <c r="C137" s="6" t="s">
        <v>2864</v>
      </c>
      <c r="D137" s="6">
        <v>1</v>
      </c>
      <c r="F137" s="6">
        <v>20211023</v>
      </c>
      <c r="G137" s="6">
        <v>20211223</v>
      </c>
      <c r="H137" s="159" t="s">
        <v>699</v>
      </c>
      <c r="I137" s="6"/>
      <c r="K137" s="12" t="s">
        <v>1946</v>
      </c>
      <c r="L137" s="12" t="s">
        <v>2001</v>
      </c>
      <c r="N137" s="66"/>
      <c r="O137" s="28">
        <v>1056</v>
      </c>
      <c r="P137" s="107">
        <f t="shared" si="12"/>
        <v>792</v>
      </c>
      <c r="Q137" s="107">
        <f t="shared" si="13"/>
        <v>792</v>
      </c>
      <c r="R137" s="29"/>
      <c r="T137" s="1"/>
    </row>
    <row r="138" spans="1:20">
      <c r="A138" s="1" t="s">
        <v>43</v>
      </c>
      <c r="B138" s="5" t="s">
        <v>605</v>
      </c>
      <c r="C138" s="6" t="s">
        <v>2864</v>
      </c>
      <c r="D138" s="6">
        <v>1</v>
      </c>
      <c r="F138" s="6">
        <v>20211023</v>
      </c>
      <c r="G138" s="6">
        <v>20211223</v>
      </c>
      <c r="H138" s="159" t="s">
        <v>699</v>
      </c>
      <c r="I138" s="6"/>
      <c r="K138" s="12" t="s">
        <v>2000</v>
      </c>
      <c r="L138" s="12" t="s">
        <v>1350</v>
      </c>
      <c r="N138" s="66"/>
      <c r="O138" s="28">
        <v>5630</v>
      </c>
      <c r="P138" s="107">
        <f t="shared" si="12"/>
        <v>4222.5</v>
      </c>
      <c r="Q138" s="107">
        <f t="shared" si="13"/>
        <v>4222.5</v>
      </c>
      <c r="R138" s="29"/>
      <c r="T138" s="1"/>
    </row>
    <row r="139" spans="1:20">
      <c r="A139" s="1" t="s">
        <v>43</v>
      </c>
      <c r="B139" s="5">
        <v>3000445541</v>
      </c>
      <c r="C139" s="6" t="s">
        <v>2864</v>
      </c>
      <c r="D139" s="6">
        <v>2</v>
      </c>
      <c r="F139" s="1">
        <v>20211024</v>
      </c>
      <c r="G139" s="1">
        <v>20211224</v>
      </c>
      <c r="H139" s="159" t="s">
        <v>699</v>
      </c>
      <c r="I139" s="6"/>
      <c r="J139" s="21"/>
      <c r="K139" s="12" t="s">
        <v>1050</v>
      </c>
      <c r="L139" s="12" t="s">
        <v>1782</v>
      </c>
      <c r="O139" s="28">
        <v>693</v>
      </c>
      <c r="P139" s="107">
        <f t="shared" si="12"/>
        <v>519.75</v>
      </c>
      <c r="Q139" s="107">
        <f t="shared" si="13"/>
        <v>1039.5</v>
      </c>
      <c r="S139" s="21"/>
    </row>
    <row r="140" spans="1:20">
      <c r="A140" s="1" t="s">
        <v>43</v>
      </c>
      <c r="B140" s="5" t="s">
        <v>358</v>
      </c>
      <c r="C140" s="6" t="s">
        <v>2864</v>
      </c>
      <c r="D140" s="1">
        <v>1</v>
      </c>
      <c r="F140" s="1">
        <v>20200807</v>
      </c>
      <c r="G140" s="1">
        <v>20201007</v>
      </c>
      <c r="H140" s="159" t="s">
        <v>699</v>
      </c>
      <c r="J140" s="21"/>
      <c r="K140" s="12" t="s">
        <v>1024</v>
      </c>
      <c r="L140" s="12" t="s">
        <v>1403</v>
      </c>
      <c r="O140" s="28">
        <v>950</v>
      </c>
      <c r="P140" s="107">
        <f t="shared" ref="P140:P145" si="14">O140*0.75</f>
        <v>712.5</v>
      </c>
      <c r="Q140" s="107">
        <f t="shared" ref="Q140:Q145" si="15">D140*P140</f>
        <v>712.5</v>
      </c>
      <c r="S140" s="21"/>
      <c r="T140" s="1"/>
    </row>
    <row r="141" spans="1:20">
      <c r="A141" s="1" t="s">
        <v>43</v>
      </c>
      <c r="B141" s="5" t="s">
        <v>363</v>
      </c>
      <c r="C141" s="6" t="s">
        <v>2864</v>
      </c>
      <c r="D141" s="1">
        <v>1</v>
      </c>
      <c r="F141" s="1">
        <v>20200813</v>
      </c>
      <c r="G141" s="1">
        <v>20201013</v>
      </c>
      <c r="H141" s="159" t="s">
        <v>699</v>
      </c>
      <c r="J141" s="21"/>
      <c r="K141" s="12" t="s">
        <v>1024</v>
      </c>
      <c r="L141" s="12" t="s">
        <v>1404</v>
      </c>
      <c r="O141" s="28">
        <v>980</v>
      </c>
      <c r="P141" s="107">
        <f t="shared" si="14"/>
        <v>735</v>
      </c>
      <c r="Q141" s="107">
        <f t="shared" si="15"/>
        <v>735</v>
      </c>
      <c r="S141" s="21"/>
      <c r="T141" s="1"/>
    </row>
    <row r="142" spans="1:20">
      <c r="A142" s="1" t="s">
        <v>43</v>
      </c>
      <c r="B142" s="5" t="s">
        <v>365</v>
      </c>
      <c r="C142" s="6" t="s">
        <v>2864</v>
      </c>
      <c r="D142" s="1">
        <v>1</v>
      </c>
      <c r="F142" s="1">
        <v>20200805</v>
      </c>
      <c r="G142" s="1">
        <v>20201005</v>
      </c>
      <c r="H142" s="159" t="s">
        <v>699</v>
      </c>
      <c r="I142" s="1" t="s">
        <v>364</v>
      </c>
      <c r="J142" s="21"/>
      <c r="K142" s="12" t="s">
        <v>1405</v>
      </c>
      <c r="L142" s="12" t="s">
        <v>1406</v>
      </c>
      <c r="O142" s="28">
        <v>1020</v>
      </c>
      <c r="P142" s="107">
        <f t="shared" si="14"/>
        <v>765</v>
      </c>
      <c r="Q142" s="107">
        <f t="shared" si="15"/>
        <v>765</v>
      </c>
      <c r="S142" s="21"/>
      <c r="T142" s="1"/>
    </row>
    <row r="143" spans="1:20">
      <c r="A143" s="1" t="s">
        <v>43</v>
      </c>
      <c r="B143" s="5" t="s">
        <v>351</v>
      </c>
      <c r="C143" s="6" t="s">
        <v>2864</v>
      </c>
      <c r="D143" s="1">
        <v>1</v>
      </c>
      <c r="G143" s="1">
        <v>20200908</v>
      </c>
      <c r="H143" s="159" t="s">
        <v>699</v>
      </c>
      <c r="J143" s="21"/>
      <c r="K143" s="12" t="s">
        <v>1760</v>
      </c>
      <c r="L143" s="12" t="s">
        <v>1761</v>
      </c>
      <c r="O143" s="28">
        <v>1530</v>
      </c>
      <c r="P143" s="107">
        <f t="shared" si="14"/>
        <v>1147.5</v>
      </c>
      <c r="Q143" s="107">
        <f t="shared" si="15"/>
        <v>1147.5</v>
      </c>
      <c r="S143" s="21"/>
      <c r="T143" s="1"/>
    </row>
    <row r="144" spans="1:20">
      <c r="A144" s="1" t="s">
        <v>43</v>
      </c>
      <c r="B144" s="5" t="s">
        <v>342</v>
      </c>
      <c r="C144" s="6" t="s">
        <v>2864</v>
      </c>
      <c r="D144" s="1">
        <v>1</v>
      </c>
      <c r="F144" s="1">
        <v>20200707</v>
      </c>
      <c r="G144" s="1">
        <v>20200908</v>
      </c>
      <c r="H144" s="159" t="s">
        <v>699</v>
      </c>
      <c r="J144" s="21"/>
      <c r="K144" s="12" t="s">
        <v>1361</v>
      </c>
      <c r="L144" s="12" t="s">
        <v>1407</v>
      </c>
      <c r="O144" s="28">
        <v>2670</v>
      </c>
      <c r="P144" s="107">
        <f t="shared" si="14"/>
        <v>2002.5</v>
      </c>
      <c r="Q144" s="107">
        <f t="shared" si="15"/>
        <v>2002.5</v>
      </c>
      <c r="S144" s="21"/>
      <c r="T144" s="1"/>
    </row>
    <row r="145" spans="1:20">
      <c r="A145" s="1" t="s">
        <v>43</v>
      </c>
      <c r="B145" s="5" t="s">
        <v>357</v>
      </c>
      <c r="C145" s="6" t="s">
        <v>2864</v>
      </c>
      <c r="D145" s="1">
        <v>1</v>
      </c>
      <c r="F145" s="1">
        <v>20200806</v>
      </c>
      <c r="G145" s="1">
        <v>20201006</v>
      </c>
      <c r="H145" s="159" t="s">
        <v>699</v>
      </c>
      <c r="J145" s="21"/>
      <c r="K145" s="12" t="s">
        <v>1361</v>
      </c>
      <c r="L145" s="12" t="s">
        <v>1408</v>
      </c>
      <c r="O145" s="28">
        <v>2200</v>
      </c>
      <c r="P145" s="107">
        <f t="shared" si="14"/>
        <v>1650</v>
      </c>
      <c r="Q145" s="107">
        <f t="shared" si="15"/>
        <v>1650</v>
      </c>
      <c r="S145" s="21"/>
      <c r="T145" s="1"/>
    </row>
    <row r="146" spans="1:20" ht="32.4">
      <c r="A146" s="1" t="s">
        <v>43</v>
      </c>
      <c r="B146" s="20" t="s">
        <v>661</v>
      </c>
      <c r="C146" s="6" t="s">
        <v>2864</v>
      </c>
      <c r="D146" s="1">
        <v>5</v>
      </c>
      <c r="G146" s="1">
        <v>20200416</v>
      </c>
      <c r="H146" s="159" t="s">
        <v>699</v>
      </c>
      <c r="I146" s="176" t="s">
        <v>2030</v>
      </c>
      <c r="J146" s="21"/>
      <c r="K146" s="84" t="s">
        <v>2032</v>
      </c>
      <c r="L146" s="12" t="s">
        <v>1287</v>
      </c>
      <c r="O146" s="28">
        <v>750</v>
      </c>
      <c r="P146" s="107">
        <f t="shared" ref="P146:P192" si="16">O146*0.75</f>
        <v>562.5</v>
      </c>
      <c r="Q146" s="107">
        <f t="shared" ref="Q146:Q192" si="17">D146*P146</f>
        <v>2812.5</v>
      </c>
      <c r="S146" s="21"/>
      <c r="T146" s="1"/>
    </row>
    <row r="147" spans="1:20" ht="48.6">
      <c r="A147" s="1" t="s">
        <v>43</v>
      </c>
      <c r="B147" s="20" t="s">
        <v>660</v>
      </c>
      <c r="C147" s="6" t="s">
        <v>2864</v>
      </c>
      <c r="D147" s="1">
        <v>1</v>
      </c>
      <c r="G147" s="1">
        <v>20201119</v>
      </c>
      <c r="H147" s="159" t="s">
        <v>699</v>
      </c>
      <c r="I147" s="175" t="s">
        <v>2029</v>
      </c>
      <c r="J147" s="21"/>
      <c r="K147" s="12" t="s">
        <v>1024</v>
      </c>
      <c r="L147" s="12" t="s">
        <v>1288</v>
      </c>
      <c r="O147" s="28">
        <v>1025</v>
      </c>
      <c r="P147" s="107">
        <f t="shared" si="16"/>
        <v>768.75</v>
      </c>
      <c r="Q147" s="107">
        <f t="shared" si="17"/>
        <v>768.75</v>
      </c>
      <c r="S147" s="21"/>
      <c r="T147" s="1"/>
    </row>
    <row r="148" spans="1:20">
      <c r="A148" s="1" t="s">
        <v>43</v>
      </c>
      <c r="B148" s="20" t="s">
        <v>344</v>
      </c>
      <c r="C148" s="6" t="s">
        <v>2864</v>
      </c>
      <c r="D148" s="1">
        <v>1</v>
      </c>
      <c r="G148" s="1">
        <v>20200921</v>
      </c>
      <c r="H148" s="159" t="s">
        <v>699</v>
      </c>
      <c r="I148" s="6"/>
      <c r="J148" s="21"/>
      <c r="K148" s="12" t="s">
        <v>1955</v>
      </c>
      <c r="L148" s="12" t="s">
        <v>1958</v>
      </c>
      <c r="O148" s="28">
        <v>1850</v>
      </c>
      <c r="P148" s="107">
        <f t="shared" si="16"/>
        <v>1387.5</v>
      </c>
      <c r="Q148" s="107">
        <f t="shared" si="17"/>
        <v>1387.5</v>
      </c>
      <c r="S148" s="21"/>
      <c r="T148" s="1"/>
    </row>
    <row r="149" spans="1:20">
      <c r="A149" s="1" t="s">
        <v>43</v>
      </c>
      <c r="B149" s="20" t="s">
        <v>345</v>
      </c>
      <c r="C149" s="6" t="s">
        <v>2864</v>
      </c>
      <c r="D149" s="1">
        <v>1</v>
      </c>
      <c r="G149" s="1">
        <v>20200921</v>
      </c>
      <c r="H149" s="159" t="s">
        <v>699</v>
      </c>
      <c r="I149" s="6"/>
      <c r="J149" s="21"/>
      <c r="K149" s="12" t="s">
        <v>1946</v>
      </c>
      <c r="L149" s="12" t="s">
        <v>1947</v>
      </c>
      <c r="O149" s="28">
        <v>2013</v>
      </c>
      <c r="P149" s="107">
        <f t="shared" si="16"/>
        <v>1509.75</v>
      </c>
      <c r="Q149" s="107">
        <f t="shared" si="17"/>
        <v>1509.75</v>
      </c>
      <c r="S149" s="21"/>
      <c r="T149" s="1"/>
    </row>
    <row r="150" spans="1:20">
      <c r="A150" s="1" t="s">
        <v>43</v>
      </c>
      <c r="B150" s="20" t="s">
        <v>346</v>
      </c>
      <c r="C150" s="6" t="s">
        <v>2864</v>
      </c>
      <c r="D150" s="1">
        <v>1</v>
      </c>
      <c r="G150" s="1">
        <v>20200921</v>
      </c>
      <c r="H150" s="159" t="s">
        <v>699</v>
      </c>
      <c r="I150" s="6"/>
      <c r="J150" s="21"/>
      <c r="K150" s="12" t="s">
        <v>1946</v>
      </c>
      <c r="L150" s="12" t="s">
        <v>1948</v>
      </c>
      <c r="O150" s="28">
        <v>2365</v>
      </c>
      <c r="P150" s="107">
        <f t="shared" si="16"/>
        <v>1773.75</v>
      </c>
      <c r="Q150" s="107">
        <f t="shared" si="17"/>
        <v>1773.75</v>
      </c>
      <c r="S150" s="21"/>
      <c r="T150" s="1"/>
    </row>
    <row r="151" spans="1:20">
      <c r="A151" s="1" t="s">
        <v>43</v>
      </c>
      <c r="B151" s="20" t="s">
        <v>347</v>
      </c>
      <c r="C151" s="6" t="s">
        <v>2864</v>
      </c>
      <c r="D151" s="1">
        <v>1</v>
      </c>
      <c r="G151" s="1">
        <v>20200921</v>
      </c>
      <c r="H151" s="159" t="s">
        <v>699</v>
      </c>
      <c r="I151" s="6"/>
      <c r="J151" s="21"/>
      <c r="K151" s="12" t="s">
        <v>1289</v>
      </c>
      <c r="L151" s="12" t="s">
        <v>1949</v>
      </c>
      <c r="O151" s="28">
        <v>1660</v>
      </c>
      <c r="P151" s="107">
        <f t="shared" si="16"/>
        <v>1245</v>
      </c>
      <c r="Q151" s="107">
        <f t="shared" si="17"/>
        <v>1245</v>
      </c>
      <c r="S151" s="21"/>
      <c r="T151" s="1"/>
    </row>
    <row r="152" spans="1:20">
      <c r="A152" s="1" t="s">
        <v>43</v>
      </c>
      <c r="B152" s="5" t="s">
        <v>228</v>
      </c>
      <c r="C152" s="6" t="s">
        <v>2864</v>
      </c>
      <c r="D152" s="1">
        <v>1</v>
      </c>
      <c r="G152" s="1">
        <v>20190917</v>
      </c>
      <c r="H152" s="159" t="s">
        <v>699</v>
      </c>
      <c r="J152" s="21"/>
      <c r="K152" s="12" t="s">
        <v>1279</v>
      </c>
      <c r="L152" s="12" t="s">
        <v>1290</v>
      </c>
      <c r="O152" s="28">
        <v>1550</v>
      </c>
      <c r="P152" s="107">
        <f t="shared" si="16"/>
        <v>1162.5</v>
      </c>
      <c r="Q152" s="107">
        <f t="shared" si="17"/>
        <v>1162.5</v>
      </c>
      <c r="S152" s="21"/>
      <c r="T152" s="1"/>
    </row>
    <row r="153" spans="1:20" s="6" customFormat="1">
      <c r="A153" s="1" t="s">
        <v>43</v>
      </c>
      <c r="B153" s="5" t="s">
        <v>112</v>
      </c>
      <c r="C153" s="6" t="s">
        <v>2864</v>
      </c>
      <c r="D153" s="1">
        <v>24</v>
      </c>
      <c r="E153" s="1"/>
      <c r="F153" s="1"/>
      <c r="G153" s="1">
        <v>20200416</v>
      </c>
      <c r="H153" s="159" t="s">
        <v>699</v>
      </c>
      <c r="I153" s="6" t="s">
        <v>192</v>
      </c>
      <c r="J153" s="21"/>
      <c r="K153" s="84" t="s">
        <v>2032</v>
      </c>
      <c r="L153" s="12" t="s">
        <v>1287</v>
      </c>
      <c r="M153" s="1"/>
      <c r="N153" s="12"/>
      <c r="O153" s="28">
        <v>750</v>
      </c>
      <c r="P153" s="107">
        <f t="shared" si="16"/>
        <v>562.5</v>
      </c>
      <c r="Q153" s="107">
        <f t="shared" si="17"/>
        <v>13500</v>
      </c>
      <c r="R153" s="28"/>
      <c r="S153" s="21"/>
    </row>
    <row r="154" spans="1:20">
      <c r="A154" s="1" t="s">
        <v>43</v>
      </c>
      <c r="B154" s="20" t="s">
        <v>229</v>
      </c>
      <c r="C154" s="6" t="s">
        <v>2864</v>
      </c>
      <c r="D154" s="1">
        <v>30</v>
      </c>
      <c r="G154" s="1">
        <v>20190924</v>
      </c>
      <c r="H154" s="159" t="s">
        <v>699</v>
      </c>
      <c r="J154" s="21"/>
      <c r="K154" s="84" t="s">
        <v>2031</v>
      </c>
      <c r="L154" s="12" t="s">
        <v>1291</v>
      </c>
      <c r="O154" s="28">
        <v>830</v>
      </c>
      <c r="P154" s="107">
        <f t="shared" si="16"/>
        <v>622.5</v>
      </c>
      <c r="Q154" s="107">
        <f t="shared" si="17"/>
        <v>18675</v>
      </c>
      <c r="S154" s="21"/>
      <c r="T154" s="1"/>
    </row>
    <row r="155" spans="1:20">
      <c r="A155" s="1" t="s">
        <v>43</v>
      </c>
      <c r="B155" s="5" t="s">
        <v>230</v>
      </c>
      <c r="C155" s="6" t="s">
        <v>2864</v>
      </c>
      <c r="D155" s="1">
        <v>1</v>
      </c>
      <c r="G155" s="1">
        <v>20200416</v>
      </c>
      <c r="H155" s="159" t="s">
        <v>699</v>
      </c>
      <c r="J155" s="21"/>
      <c r="K155" s="12" t="s">
        <v>1024</v>
      </c>
      <c r="L155" s="12" t="s">
        <v>1292</v>
      </c>
      <c r="O155" s="28">
        <v>1750</v>
      </c>
      <c r="P155" s="107">
        <f t="shared" si="16"/>
        <v>1312.5</v>
      </c>
      <c r="Q155" s="107">
        <f t="shared" si="17"/>
        <v>1312.5</v>
      </c>
      <c r="S155" s="21"/>
      <c r="T155" s="1"/>
    </row>
    <row r="156" spans="1:20" s="6" customFormat="1">
      <c r="A156" s="1" t="s">
        <v>43</v>
      </c>
      <c r="B156" s="5">
        <v>130150903</v>
      </c>
      <c r="C156" s="6" t="s">
        <v>2864</v>
      </c>
      <c r="D156" s="6">
        <v>1</v>
      </c>
      <c r="E156" s="7" t="s">
        <v>1897</v>
      </c>
      <c r="G156" s="6">
        <v>20200921</v>
      </c>
      <c r="H156" s="159" t="s">
        <v>699</v>
      </c>
      <c r="J156" s="21"/>
      <c r="K156" s="12" t="s">
        <v>1946</v>
      </c>
      <c r="L156" s="12" t="s">
        <v>1821</v>
      </c>
      <c r="M156" s="1"/>
      <c r="N156" s="12"/>
      <c r="O156" s="28">
        <v>792</v>
      </c>
      <c r="P156" s="107">
        <f t="shared" si="16"/>
        <v>594</v>
      </c>
      <c r="Q156" s="107">
        <f t="shared" si="17"/>
        <v>594</v>
      </c>
      <c r="R156" s="28"/>
      <c r="S156" s="21"/>
    </row>
    <row r="157" spans="1:20">
      <c r="A157" s="1" t="s">
        <v>43</v>
      </c>
      <c r="B157" s="5" t="s">
        <v>239</v>
      </c>
      <c r="C157" s="6" t="s">
        <v>2864</v>
      </c>
      <c r="D157" s="1">
        <v>2</v>
      </c>
      <c r="G157" s="1">
        <v>20200416</v>
      </c>
      <c r="H157" s="159" t="s">
        <v>699</v>
      </c>
      <c r="J157" s="21"/>
      <c r="K157" s="12" t="s">
        <v>1024</v>
      </c>
      <c r="L157" s="12" t="s">
        <v>1293</v>
      </c>
      <c r="O157" s="28">
        <v>1600</v>
      </c>
      <c r="P157" s="107">
        <f t="shared" si="16"/>
        <v>1200</v>
      </c>
      <c r="Q157" s="107">
        <f t="shared" si="17"/>
        <v>2400</v>
      </c>
      <c r="S157" s="21"/>
      <c r="T157" s="1"/>
    </row>
    <row r="158" spans="1:20">
      <c r="A158" s="1" t="s">
        <v>43</v>
      </c>
      <c r="B158" s="5" t="s">
        <v>183</v>
      </c>
      <c r="C158" s="6" t="s">
        <v>2864</v>
      </c>
      <c r="D158" s="1">
        <v>2</v>
      </c>
      <c r="G158" s="1">
        <v>20200416</v>
      </c>
      <c r="H158" s="159" t="s">
        <v>699</v>
      </c>
      <c r="J158" s="21"/>
      <c r="K158" s="12" t="s">
        <v>1024</v>
      </c>
      <c r="L158" s="12" t="s">
        <v>1294</v>
      </c>
      <c r="O158" s="28">
        <v>1600</v>
      </c>
      <c r="P158" s="107">
        <f t="shared" si="16"/>
        <v>1200</v>
      </c>
      <c r="Q158" s="107">
        <f t="shared" si="17"/>
        <v>2400</v>
      </c>
      <c r="S158" s="21"/>
      <c r="T158" s="1"/>
    </row>
    <row r="159" spans="1:20">
      <c r="A159" s="1" t="s">
        <v>43</v>
      </c>
      <c r="B159" s="5" t="s">
        <v>235</v>
      </c>
      <c r="C159" s="6" t="s">
        <v>2864</v>
      </c>
      <c r="D159" s="1">
        <v>1</v>
      </c>
      <c r="G159" s="1">
        <v>20200416</v>
      </c>
      <c r="H159" s="159" t="s">
        <v>699</v>
      </c>
      <c r="J159" s="21"/>
      <c r="K159" s="12" t="s">
        <v>1046</v>
      </c>
      <c r="L159" s="12" t="s">
        <v>1295</v>
      </c>
      <c r="O159" s="28">
        <v>1450</v>
      </c>
      <c r="P159" s="107">
        <f t="shared" si="16"/>
        <v>1087.5</v>
      </c>
      <c r="Q159" s="107">
        <f t="shared" si="17"/>
        <v>1087.5</v>
      </c>
      <c r="S159" s="21"/>
      <c r="T159" s="1"/>
    </row>
    <row r="160" spans="1:20">
      <c r="A160" s="1" t="s">
        <v>43</v>
      </c>
      <c r="B160" s="5" t="s">
        <v>141</v>
      </c>
      <c r="C160" s="6" t="s">
        <v>2864</v>
      </c>
      <c r="D160" s="1">
        <v>2</v>
      </c>
      <c r="G160" s="1">
        <v>20200416</v>
      </c>
      <c r="H160" s="159" t="s">
        <v>699</v>
      </c>
      <c r="J160" s="21"/>
      <c r="K160" s="12" t="s">
        <v>1946</v>
      </c>
      <c r="L160" s="12" t="s">
        <v>1952</v>
      </c>
      <c r="O160" s="28">
        <v>1200</v>
      </c>
      <c r="P160" s="107">
        <f t="shared" si="16"/>
        <v>900</v>
      </c>
      <c r="Q160" s="107">
        <f t="shared" si="17"/>
        <v>1800</v>
      </c>
      <c r="S160" s="21"/>
      <c r="T160" s="1"/>
    </row>
    <row r="161" spans="1:20">
      <c r="A161" s="1" t="s">
        <v>43</v>
      </c>
      <c r="B161" s="5" t="s">
        <v>248</v>
      </c>
      <c r="C161" s="6" t="s">
        <v>2864</v>
      </c>
      <c r="D161" s="1">
        <v>2</v>
      </c>
      <c r="G161" s="1">
        <v>20200416</v>
      </c>
      <c r="H161" s="159" t="s">
        <v>699</v>
      </c>
      <c r="J161" s="21"/>
      <c r="K161" s="12" t="s">
        <v>1946</v>
      </c>
      <c r="L161" s="12" t="s">
        <v>1951</v>
      </c>
      <c r="O161" s="28">
        <v>1750</v>
      </c>
      <c r="P161" s="107">
        <f t="shared" si="16"/>
        <v>1312.5</v>
      </c>
      <c r="Q161" s="107">
        <f t="shared" si="17"/>
        <v>2625</v>
      </c>
      <c r="S161" s="21"/>
      <c r="T161" s="1"/>
    </row>
    <row r="162" spans="1:20" s="6" customFormat="1">
      <c r="A162" s="6" t="s">
        <v>43</v>
      </c>
      <c r="B162" s="20" t="s">
        <v>309</v>
      </c>
      <c r="C162" s="6" t="s">
        <v>2864</v>
      </c>
      <c r="D162" s="6">
        <v>4</v>
      </c>
      <c r="G162" s="6">
        <v>20200724</v>
      </c>
      <c r="H162" s="159" t="s">
        <v>699</v>
      </c>
      <c r="I162" s="67"/>
      <c r="K162" s="12" t="s">
        <v>1953</v>
      </c>
      <c r="L162" s="12" t="s">
        <v>1296</v>
      </c>
      <c r="M162" s="1"/>
      <c r="N162" s="12"/>
      <c r="O162" s="28">
        <v>935</v>
      </c>
      <c r="P162" s="107">
        <f t="shared" si="16"/>
        <v>701.25</v>
      </c>
      <c r="Q162" s="107">
        <f t="shared" si="17"/>
        <v>2805</v>
      </c>
      <c r="R162" s="28"/>
      <c r="S162" s="7"/>
    </row>
    <row r="163" spans="1:20">
      <c r="A163" s="1" t="s">
        <v>43</v>
      </c>
      <c r="B163" s="5" t="s">
        <v>338</v>
      </c>
      <c r="C163" s="6" t="s">
        <v>2864</v>
      </c>
      <c r="D163" s="1">
        <v>1</v>
      </c>
      <c r="G163" s="1">
        <v>20200715</v>
      </c>
      <c r="H163" s="159" t="s">
        <v>699</v>
      </c>
      <c r="I163" s="1" t="s">
        <v>657</v>
      </c>
      <c r="J163" s="21"/>
      <c r="K163" s="5" t="s">
        <v>1816</v>
      </c>
      <c r="L163" s="12" t="s">
        <v>2216</v>
      </c>
      <c r="O163" s="28">
        <v>500</v>
      </c>
      <c r="P163" s="107">
        <f t="shared" si="16"/>
        <v>375</v>
      </c>
      <c r="Q163" s="107">
        <f t="shared" si="17"/>
        <v>375</v>
      </c>
      <c r="S163" s="21"/>
      <c r="T163" s="1"/>
    </row>
    <row r="164" spans="1:20">
      <c r="A164" s="1" t="s">
        <v>43</v>
      </c>
      <c r="B164" s="5" t="s">
        <v>311</v>
      </c>
      <c r="C164" s="6" t="s">
        <v>2864</v>
      </c>
      <c r="D164" s="1">
        <v>1</v>
      </c>
      <c r="G164" s="1">
        <v>20200724</v>
      </c>
      <c r="H164" s="159" t="s">
        <v>699</v>
      </c>
      <c r="J164" s="21"/>
      <c r="K164" s="12" t="s">
        <v>1955</v>
      </c>
      <c r="L164" s="12" t="s">
        <v>1902</v>
      </c>
      <c r="O164" s="28">
        <v>1606</v>
      </c>
      <c r="P164" s="107">
        <f t="shared" si="16"/>
        <v>1204.5</v>
      </c>
      <c r="Q164" s="107">
        <f t="shared" si="17"/>
        <v>1204.5</v>
      </c>
      <c r="S164" s="21"/>
      <c r="T164" s="1"/>
    </row>
    <row r="165" spans="1:20">
      <c r="A165" s="1" t="s">
        <v>43</v>
      </c>
      <c r="B165" s="5">
        <v>125638</v>
      </c>
      <c r="C165" s="6" t="s">
        <v>2864</v>
      </c>
      <c r="D165" s="1">
        <v>1</v>
      </c>
      <c r="G165" s="1">
        <v>20200416</v>
      </c>
      <c r="H165" s="159" t="s">
        <v>699</v>
      </c>
      <c r="J165" s="21"/>
      <c r="K165" s="12" t="s">
        <v>1956</v>
      </c>
      <c r="L165" s="12" t="s">
        <v>1957</v>
      </c>
      <c r="O165" s="28">
        <v>1650</v>
      </c>
      <c r="P165" s="107">
        <f t="shared" si="16"/>
        <v>1237.5</v>
      </c>
      <c r="Q165" s="107">
        <f t="shared" si="17"/>
        <v>1237.5</v>
      </c>
      <c r="S165" s="21"/>
      <c r="T165" s="1"/>
    </row>
    <row r="166" spans="1:20">
      <c r="A166" s="1" t="s">
        <v>43</v>
      </c>
      <c r="B166" s="5" t="s">
        <v>136</v>
      </c>
      <c r="C166" s="6" t="s">
        <v>2864</v>
      </c>
      <c r="D166" s="1">
        <v>1</v>
      </c>
      <c r="G166" s="1">
        <v>20200416</v>
      </c>
      <c r="H166" s="159" t="s">
        <v>699</v>
      </c>
      <c r="J166" s="21"/>
      <c r="K166" s="12" t="s">
        <v>1024</v>
      </c>
      <c r="L166" s="12" t="s">
        <v>1297</v>
      </c>
      <c r="O166" s="28">
        <v>900</v>
      </c>
      <c r="P166" s="107">
        <f t="shared" si="16"/>
        <v>675</v>
      </c>
      <c r="Q166" s="107">
        <f t="shared" si="17"/>
        <v>675</v>
      </c>
      <c r="S166" s="21"/>
      <c r="T166" s="1"/>
    </row>
    <row r="167" spans="1:20">
      <c r="A167" s="1" t="s">
        <v>43</v>
      </c>
      <c r="B167" s="5" t="s">
        <v>256</v>
      </c>
      <c r="C167" s="6" t="s">
        <v>2864</v>
      </c>
      <c r="D167" s="1">
        <v>1</v>
      </c>
      <c r="G167" s="1">
        <v>20200416</v>
      </c>
      <c r="H167" s="159" t="s">
        <v>699</v>
      </c>
      <c r="J167" s="21"/>
      <c r="K167" s="12" t="s">
        <v>1024</v>
      </c>
      <c r="L167" s="12" t="s">
        <v>1298</v>
      </c>
      <c r="O167" s="28">
        <v>1050</v>
      </c>
      <c r="P167" s="107">
        <f t="shared" si="16"/>
        <v>787.5</v>
      </c>
      <c r="Q167" s="107">
        <f t="shared" si="17"/>
        <v>787.5</v>
      </c>
      <c r="S167" s="21"/>
      <c r="T167" s="1"/>
    </row>
    <row r="168" spans="1:20">
      <c r="A168" s="1" t="s">
        <v>43</v>
      </c>
      <c r="B168" s="5" t="s">
        <v>393</v>
      </c>
      <c r="C168" s="6" t="s">
        <v>2864</v>
      </c>
      <c r="D168" s="1">
        <v>1</v>
      </c>
      <c r="G168" s="1">
        <v>20201119</v>
      </c>
      <c r="H168" s="159" t="s">
        <v>699</v>
      </c>
      <c r="J168" s="21"/>
      <c r="K168" s="12"/>
      <c r="L168" s="12" t="s">
        <v>1954</v>
      </c>
      <c r="O168" s="28">
        <v>0</v>
      </c>
      <c r="P168" s="107">
        <f t="shared" si="16"/>
        <v>0</v>
      </c>
      <c r="Q168" s="107">
        <f t="shared" si="17"/>
        <v>0</v>
      </c>
      <c r="R168" s="205" t="s">
        <v>2211</v>
      </c>
      <c r="S168" s="21"/>
      <c r="T168" s="1"/>
    </row>
    <row r="169" spans="1:20">
      <c r="A169" s="1" t="s">
        <v>43</v>
      </c>
      <c r="B169" s="5" t="s">
        <v>137</v>
      </c>
      <c r="C169" s="6" t="s">
        <v>2864</v>
      </c>
      <c r="D169" s="1">
        <v>1</v>
      </c>
      <c r="G169" s="1">
        <v>20200416</v>
      </c>
      <c r="H169" s="159" t="s">
        <v>699</v>
      </c>
      <c r="J169" s="21"/>
      <c r="K169" s="1" t="s">
        <v>1946</v>
      </c>
      <c r="L169" s="12" t="s">
        <v>1958</v>
      </c>
      <c r="O169" s="28">
        <v>1500</v>
      </c>
      <c r="P169" s="107">
        <f t="shared" si="16"/>
        <v>1125</v>
      </c>
      <c r="Q169" s="107">
        <f t="shared" si="17"/>
        <v>1125</v>
      </c>
      <c r="S169" s="21"/>
      <c r="T169" s="1"/>
    </row>
    <row r="170" spans="1:20">
      <c r="A170" s="1" t="s">
        <v>43</v>
      </c>
      <c r="B170" s="20" t="s">
        <v>138</v>
      </c>
      <c r="C170" s="6" t="s">
        <v>2864</v>
      </c>
      <c r="D170" s="1">
        <v>2</v>
      </c>
      <c r="G170" s="1">
        <v>20200416</v>
      </c>
      <c r="H170" s="159" t="s">
        <v>699</v>
      </c>
      <c r="J170" s="21"/>
      <c r="K170" s="12" t="s">
        <v>1299</v>
      </c>
      <c r="L170" s="145" t="s">
        <v>1960</v>
      </c>
      <c r="O170" s="28">
        <v>0</v>
      </c>
      <c r="P170" s="107">
        <f t="shared" si="16"/>
        <v>0</v>
      </c>
      <c r="Q170" s="107">
        <f t="shared" si="17"/>
        <v>0</v>
      </c>
      <c r="R170" s="205" t="s">
        <v>2211</v>
      </c>
      <c r="S170" s="21"/>
      <c r="T170" s="1"/>
    </row>
    <row r="171" spans="1:20">
      <c r="A171" s="1" t="s">
        <v>43</v>
      </c>
      <c r="B171" s="20" t="s">
        <v>44</v>
      </c>
      <c r="C171" s="6" t="s">
        <v>2864</v>
      </c>
      <c r="D171" s="1">
        <v>13</v>
      </c>
      <c r="G171" s="1">
        <v>20200416</v>
      </c>
      <c r="H171" s="159" t="s">
        <v>699</v>
      </c>
      <c r="J171" s="21"/>
      <c r="K171" s="12" t="s">
        <v>1300</v>
      </c>
      <c r="L171" s="145" t="s">
        <v>1961</v>
      </c>
      <c r="O171" s="28">
        <v>0</v>
      </c>
      <c r="P171" s="107">
        <f t="shared" si="16"/>
        <v>0</v>
      </c>
      <c r="Q171" s="107">
        <f t="shared" si="17"/>
        <v>0</v>
      </c>
      <c r="R171" s="205" t="s">
        <v>2211</v>
      </c>
      <c r="S171" s="21"/>
      <c r="T171" s="1"/>
    </row>
    <row r="172" spans="1:20">
      <c r="A172" s="1" t="s">
        <v>43</v>
      </c>
      <c r="B172" s="20" t="s">
        <v>139</v>
      </c>
      <c r="C172" s="6" t="s">
        <v>2864</v>
      </c>
      <c r="D172" s="1">
        <v>15</v>
      </c>
      <c r="G172" s="1">
        <v>20200416</v>
      </c>
      <c r="H172" s="159" t="s">
        <v>699</v>
      </c>
      <c r="J172" s="21"/>
      <c r="K172" s="12" t="s">
        <v>1301</v>
      </c>
      <c r="L172" s="145" t="s">
        <v>1961</v>
      </c>
      <c r="M172" s="12"/>
      <c r="O172" s="28">
        <v>0</v>
      </c>
      <c r="P172" s="107">
        <f t="shared" si="16"/>
        <v>0</v>
      </c>
      <c r="Q172" s="107">
        <f t="shared" si="17"/>
        <v>0</v>
      </c>
      <c r="R172" s="205" t="s">
        <v>2211</v>
      </c>
      <c r="S172" s="21"/>
      <c r="T172" s="1"/>
    </row>
    <row r="173" spans="1:20">
      <c r="A173" s="1" t="s">
        <v>43</v>
      </c>
      <c r="B173" s="20" t="s">
        <v>140</v>
      </c>
      <c r="C173" s="6" t="s">
        <v>2864</v>
      </c>
      <c r="D173" s="1">
        <v>2</v>
      </c>
      <c r="G173" s="1">
        <v>20200416</v>
      </c>
      <c r="H173" s="159" t="s">
        <v>699</v>
      </c>
      <c r="I173" s="1" t="s">
        <v>108</v>
      </c>
      <c r="J173" s="21"/>
      <c r="K173" s="12" t="s">
        <v>1024</v>
      </c>
      <c r="L173" s="12" t="s">
        <v>1302</v>
      </c>
      <c r="O173" s="28">
        <v>750</v>
      </c>
      <c r="P173" s="107">
        <f t="shared" si="16"/>
        <v>562.5</v>
      </c>
      <c r="Q173" s="107">
        <f t="shared" si="17"/>
        <v>1125</v>
      </c>
      <c r="S173" s="21"/>
      <c r="T173" s="1"/>
    </row>
    <row r="174" spans="1:20">
      <c r="A174" s="1" t="s">
        <v>43</v>
      </c>
      <c r="B174" s="20" t="s">
        <v>257</v>
      </c>
      <c r="C174" s="6" t="s">
        <v>2864</v>
      </c>
      <c r="D174" s="1">
        <v>2</v>
      </c>
      <c r="G174" s="1">
        <v>20200416</v>
      </c>
      <c r="H174" s="159" t="s">
        <v>699</v>
      </c>
      <c r="J174" s="21"/>
      <c r="K174" s="12" t="s">
        <v>1024</v>
      </c>
      <c r="L174" s="12" t="s">
        <v>1303</v>
      </c>
      <c r="O174" s="28">
        <v>750</v>
      </c>
      <c r="P174" s="107">
        <f t="shared" si="16"/>
        <v>562.5</v>
      </c>
      <c r="Q174" s="107">
        <f t="shared" si="17"/>
        <v>1125</v>
      </c>
      <c r="S174" s="21"/>
      <c r="T174" s="1"/>
    </row>
    <row r="175" spans="1:20">
      <c r="A175" s="1" t="s">
        <v>43</v>
      </c>
      <c r="B175" s="5" t="s">
        <v>258</v>
      </c>
      <c r="C175" s="6" t="s">
        <v>2864</v>
      </c>
      <c r="D175" s="1">
        <v>1</v>
      </c>
      <c r="G175" s="1">
        <v>20200416</v>
      </c>
      <c r="H175" s="159" t="s">
        <v>699</v>
      </c>
      <c r="J175" s="21"/>
      <c r="K175" s="12" t="s">
        <v>1024</v>
      </c>
      <c r="L175" s="12" t="s">
        <v>1304</v>
      </c>
      <c r="O175" s="28">
        <v>740</v>
      </c>
      <c r="P175" s="107">
        <f t="shared" si="16"/>
        <v>555</v>
      </c>
      <c r="Q175" s="107">
        <f t="shared" si="17"/>
        <v>555</v>
      </c>
      <c r="S175" s="21"/>
      <c r="T175" s="1"/>
    </row>
    <row r="176" spans="1:20">
      <c r="A176" s="1" t="s">
        <v>43</v>
      </c>
      <c r="B176" s="5" t="s">
        <v>259</v>
      </c>
      <c r="C176" s="6" t="s">
        <v>2864</v>
      </c>
      <c r="D176" s="1">
        <v>1</v>
      </c>
      <c r="G176" s="1">
        <v>20200416</v>
      </c>
      <c r="H176" s="159" t="s">
        <v>699</v>
      </c>
      <c r="J176" s="21"/>
      <c r="K176" s="12" t="s">
        <v>1024</v>
      </c>
      <c r="L176" s="12" t="s">
        <v>1305</v>
      </c>
      <c r="O176" s="28">
        <v>800</v>
      </c>
      <c r="P176" s="107">
        <f t="shared" si="16"/>
        <v>600</v>
      </c>
      <c r="Q176" s="107">
        <f t="shared" si="17"/>
        <v>600</v>
      </c>
      <c r="S176" s="21"/>
      <c r="T176" s="1"/>
    </row>
    <row r="177" spans="1:20">
      <c r="A177" s="1" t="s">
        <v>43</v>
      </c>
      <c r="B177" s="5" t="s">
        <v>260</v>
      </c>
      <c r="C177" s="6" t="s">
        <v>2864</v>
      </c>
      <c r="D177" s="1">
        <v>1</v>
      </c>
      <c r="G177" s="1">
        <v>20200416</v>
      </c>
      <c r="H177" s="159" t="s">
        <v>699</v>
      </c>
      <c r="J177" s="21"/>
      <c r="K177" s="12" t="s">
        <v>1024</v>
      </c>
      <c r="L177" s="12" t="s">
        <v>1306</v>
      </c>
      <c r="O177" s="28">
        <v>1250</v>
      </c>
      <c r="P177" s="107">
        <f t="shared" si="16"/>
        <v>937.5</v>
      </c>
      <c r="Q177" s="107">
        <f t="shared" si="17"/>
        <v>937.5</v>
      </c>
      <c r="S177" s="21"/>
      <c r="T177" s="1"/>
    </row>
    <row r="178" spans="1:20">
      <c r="A178" s="1" t="s">
        <v>43</v>
      </c>
      <c r="B178" s="20" t="s">
        <v>261</v>
      </c>
      <c r="C178" s="6" t="s">
        <v>2864</v>
      </c>
      <c r="D178" s="1">
        <v>1</v>
      </c>
      <c r="G178" s="1">
        <v>20200416</v>
      </c>
      <c r="H178" s="159" t="s">
        <v>699</v>
      </c>
      <c r="J178" s="21"/>
      <c r="K178" s="12" t="s">
        <v>1024</v>
      </c>
      <c r="L178" s="12" t="s">
        <v>1306</v>
      </c>
      <c r="O178" s="28">
        <v>1230</v>
      </c>
      <c r="P178" s="107">
        <f t="shared" si="16"/>
        <v>922.5</v>
      </c>
      <c r="Q178" s="107">
        <f t="shared" si="17"/>
        <v>922.5</v>
      </c>
      <c r="S178" s="21"/>
      <c r="T178" s="1"/>
    </row>
    <row r="179" spans="1:20">
      <c r="A179" s="1" t="s">
        <v>43</v>
      </c>
      <c r="B179" s="5" t="s">
        <v>262</v>
      </c>
      <c r="C179" s="6" t="s">
        <v>2864</v>
      </c>
      <c r="D179" s="4">
        <v>1</v>
      </c>
      <c r="G179" s="1">
        <v>20200416</v>
      </c>
      <c r="H179" s="159" t="s">
        <v>699</v>
      </c>
      <c r="J179" s="21"/>
      <c r="K179" s="12" t="s">
        <v>1024</v>
      </c>
      <c r="L179" s="12" t="s">
        <v>1307</v>
      </c>
      <c r="O179" s="28">
        <v>780</v>
      </c>
      <c r="P179" s="107">
        <f t="shared" si="16"/>
        <v>585</v>
      </c>
      <c r="Q179" s="107">
        <f t="shared" si="17"/>
        <v>585</v>
      </c>
      <c r="S179" s="21"/>
      <c r="T179" s="1"/>
    </row>
    <row r="180" spans="1:20">
      <c r="A180" s="1" t="s">
        <v>43</v>
      </c>
      <c r="B180" s="5" t="s">
        <v>263</v>
      </c>
      <c r="C180" s="6" t="s">
        <v>2864</v>
      </c>
      <c r="D180" s="1">
        <v>1</v>
      </c>
      <c r="G180" s="1">
        <v>20200416</v>
      </c>
      <c r="H180" s="159" t="s">
        <v>699</v>
      </c>
      <c r="J180" s="21"/>
      <c r="K180" s="12" t="s">
        <v>1946</v>
      </c>
      <c r="L180" s="12" t="s">
        <v>1962</v>
      </c>
      <c r="O180" s="28">
        <v>2240</v>
      </c>
      <c r="P180" s="107">
        <f t="shared" si="16"/>
        <v>1680</v>
      </c>
      <c r="Q180" s="107">
        <f t="shared" si="17"/>
        <v>1680</v>
      </c>
      <c r="S180" s="21"/>
      <c r="T180" s="1"/>
    </row>
    <row r="181" spans="1:20">
      <c r="A181" s="1" t="s">
        <v>43</v>
      </c>
      <c r="B181" s="5" t="s">
        <v>51</v>
      </c>
      <c r="C181" s="6" t="s">
        <v>2864</v>
      </c>
      <c r="D181" s="1">
        <v>1</v>
      </c>
      <c r="G181" s="1">
        <v>20200416</v>
      </c>
      <c r="H181" s="159" t="s">
        <v>699</v>
      </c>
      <c r="J181" s="21"/>
      <c r="K181" s="12" t="s">
        <v>1946</v>
      </c>
      <c r="L181" s="12" t="s">
        <v>1963</v>
      </c>
      <c r="O181" s="28">
        <v>1750</v>
      </c>
      <c r="P181" s="107">
        <f t="shared" si="16"/>
        <v>1312.5</v>
      </c>
      <c r="Q181" s="107">
        <f t="shared" si="17"/>
        <v>1312.5</v>
      </c>
      <c r="S181" s="21"/>
      <c r="T181" s="1"/>
    </row>
    <row r="182" spans="1:20">
      <c r="A182" s="1" t="s">
        <v>43</v>
      </c>
      <c r="B182" s="20" t="s">
        <v>218</v>
      </c>
      <c r="C182" s="6" t="s">
        <v>2864</v>
      </c>
      <c r="D182" s="1">
        <v>1</v>
      </c>
      <c r="G182" s="119" t="s">
        <v>1793</v>
      </c>
      <c r="H182" s="159" t="s">
        <v>699</v>
      </c>
      <c r="J182" s="21"/>
      <c r="K182" s="12" t="s">
        <v>1024</v>
      </c>
      <c r="L182" s="12" t="s">
        <v>1308</v>
      </c>
      <c r="O182" s="28">
        <v>1805</v>
      </c>
      <c r="P182" s="107">
        <f t="shared" si="16"/>
        <v>1353.75</v>
      </c>
      <c r="Q182" s="107">
        <f t="shared" si="17"/>
        <v>1353.75</v>
      </c>
      <c r="S182" s="21"/>
      <c r="T182" s="1"/>
    </row>
    <row r="183" spans="1:20">
      <c r="A183" s="1" t="s">
        <v>43</v>
      </c>
      <c r="B183" s="5" t="s">
        <v>219</v>
      </c>
      <c r="C183" s="6" t="s">
        <v>2864</v>
      </c>
      <c r="D183" s="1">
        <v>1</v>
      </c>
      <c r="G183" s="119" t="s">
        <v>1793</v>
      </c>
      <c r="H183" s="159" t="s">
        <v>699</v>
      </c>
      <c r="I183" s="1" t="s">
        <v>75</v>
      </c>
      <c r="J183" s="21"/>
      <c r="K183" s="12" t="s">
        <v>1309</v>
      </c>
      <c r="L183" s="12" t="s">
        <v>1310</v>
      </c>
      <c r="O183" s="28">
        <v>1770</v>
      </c>
      <c r="P183" s="107">
        <f t="shared" si="16"/>
        <v>1327.5</v>
      </c>
      <c r="Q183" s="107">
        <f t="shared" si="17"/>
        <v>1327.5</v>
      </c>
      <c r="S183" s="21"/>
      <c r="T183" s="1"/>
    </row>
    <row r="184" spans="1:20">
      <c r="A184" s="1" t="s">
        <v>43</v>
      </c>
      <c r="B184" s="5" t="s">
        <v>220</v>
      </c>
      <c r="C184" s="6" t="s">
        <v>2864</v>
      </c>
      <c r="D184" s="1">
        <v>1</v>
      </c>
      <c r="G184" s="119" t="s">
        <v>1793</v>
      </c>
      <c r="H184" s="159" t="s">
        <v>699</v>
      </c>
      <c r="I184" s="1" t="s">
        <v>75</v>
      </c>
      <c r="J184" s="21"/>
      <c r="K184" s="12" t="s">
        <v>1311</v>
      </c>
      <c r="L184" s="12" t="s">
        <v>1312</v>
      </c>
      <c r="O184" s="28">
        <v>1400</v>
      </c>
      <c r="P184" s="107">
        <f t="shared" si="16"/>
        <v>1050</v>
      </c>
      <c r="Q184" s="107">
        <f t="shared" si="17"/>
        <v>1050</v>
      </c>
      <c r="S184" s="21"/>
      <c r="T184" s="1"/>
    </row>
    <row r="185" spans="1:20">
      <c r="A185" s="1" t="s">
        <v>43</v>
      </c>
      <c r="B185" s="5" t="s">
        <v>221</v>
      </c>
      <c r="C185" s="6" t="s">
        <v>2864</v>
      </c>
      <c r="D185" s="1">
        <v>1</v>
      </c>
      <c r="G185" s="119" t="s">
        <v>1793</v>
      </c>
      <c r="H185" s="159" t="s">
        <v>699</v>
      </c>
      <c r="I185" s="1" t="s">
        <v>75</v>
      </c>
      <c r="J185" s="21"/>
      <c r="K185" s="12" t="s">
        <v>1313</v>
      </c>
      <c r="L185" s="12" t="s">
        <v>1314</v>
      </c>
      <c r="O185" s="28">
        <v>1600</v>
      </c>
      <c r="P185" s="107">
        <f t="shared" si="16"/>
        <v>1200</v>
      </c>
      <c r="Q185" s="107">
        <f t="shared" si="17"/>
        <v>1200</v>
      </c>
      <c r="S185" s="21"/>
      <c r="T185" s="1"/>
    </row>
    <row r="186" spans="1:20">
      <c r="A186" s="1" t="s">
        <v>43</v>
      </c>
      <c r="B186" s="5" t="s">
        <v>222</v>
      </c>
      <c r="C186" s="6" t="s">
        <v>2864</v>
      </c>
      <c r="D186" s="1">
        <v>1</v>
      </c>
      <c r="G186" s="119" t="s">
        <v>1793</v>
      </c>
      <c r="H186" s="159" t="s">
        <v>699</v>
      </c>
      <c r="I186" s="1" t="s">
        <v>75</v>
      </c>
      <c r="J186" s="21"/>
      <c r="K186" s="12" t="s">
        <v>1315</v>
      </c>
      <c r="L186" s="12" t="s">
        <v>1316</v>
      </c>
      <c r="O186" s="28">
        <v>1370</v>
      </c>
      <c r="P186" s="107">
        <f t="shared" si="16"/>
        <v>1027.5</v>
      </c>
      <c r="Q186" s="107">
        <f t="shared" si="17"/>
        <v>1027.5</v>
      </c>
      <c r="S186" s="21"/>
      <c r="T186" s="1"/>
    </row>
    <row r="187" spans="1:20">
      <c r="A187" s="1" t="s">
        <v>43</v>
      </c>
      <c r="B187" s="5" t="s">
        <v>223</v>
      </c>
      <c r="C187" s="6" t="s">
        <v>2864</v>
      </c>
      <c r="D187" s="1">
        <v>1</v>
      </c>
      <c r="G187" s="119" t="s">
        <v>1793</v>
      </c>
      <c r="H187" s="159" t="s">
        <v>699</v>
      </c>
      <c r="I187" s="1" t="s">
        <v>75</v>
      </c>
      <c r="J187" s="21"/>
      <c r="K187" s="12" t="s">
        <v>1317</v>
      </c>
      <c r="L187" s="12" t="s">
        <v>1318</v>
      </c>
      <c r="O187" s="28">
        <v>1300</v>
      </c>
      <c r="P187" s="107">
        <f t="shared" si="16"/>
        <v>975</v>
      </c>
      <c r="Q187" s="107">
        <f t="shared" si="17"/>
        <v>975</v>
      </c>
      <c r="S187" s="21"/>
      <c r="T187" s="1"/>
    </row>
    <row r="188" spans="1:20">
      <c r="A188" s="1" t="s">
        <v>43</v>
      </c>
      <c r="B188" s="5" t="s">
        <v>224</v>
      </c>
      <c r="C188" s="6" t="s">
        <v>2864</v>
      </c>
      <c r="D188" s="1">
        <v>6</v>
      </c>
      <c r="G188" s="1">
        <v>20191111</v>
      </c>
      <c r="H188" s="159" t="s">
        <v>699</v>
      </c>
      <c r="I188" s="7"/>
      <c r="J188" s="21"/>
      <c r="K188" s="12" t="s">
        <v>1319</v>
      </c>
      <c r="L188" s="12" t="s">
        <v>1320</v>
      </c>
      <c r="O188" s="28">
        <v>1500</v>
      </c>
      <c r="P188" s="107">
        <f t="shared" si="16"/>
        <v>1125</v>
      </c>
      <c r="Q188" s="107">
        <f t="shared" si="17"/>
        <v>6750</v>
      </c>
      <c r="S188" s="21"/>
      <c r="T188" s="1"/>
    </row>
    <row r="189" spans="1:20">
      <c r="A189" s="1" t="s">
        <v>43</v>
      </c>
      <c r="B189" s="5" t="s">
        <v>225</v>
      </c>
      <c r="C189" s="6" t="s">
        <v>2864</v>
      </c>
      <c r="D189" s="1">
        <v>2</v>
      </c>
      <c r="E189" s="6"/>
      <c r="F189" s="6"/>
      <c r="G189" s="6">
        <v>20190809</v>
      </c>
      <c r="H189" s="159" t="s">
        <v>699</v>
      </c>
      <c r="J189" s="21"/>
      <c r="K189" s="12" t="s">
        <v>1024</v>
      </c>
      <c r="L189" s="12" t="s">
        <v>1321</v>
      </c>
      <c r="O189" s="28">
        <v>1100</v>
      </c>
      <c r="P189" s="107">
        <f t="shared" si="16"/>
        <v>825</v>
      </c>
      <c r="Q189" s="107">
        <f t="shared" si="17"/>
        <v>1650</v>
      </c>
      <c r="S189" s="21"/>
      <c r="T189" s="1"/>
    </row>
    <row r="190" spans="1:20">
      <c r="A190" s="1" t="s">
        <v>43</v>
      </c>
      <c r="B190" s="5" t="s">
        <v>226</v>
      </c>
      <c r="C190" s="6" t="s">
        <v>2864</v>
      </c>
      <c r="D190" s="1">
        <v>2</v>
      </c>
      <c r="E190" s="6"/>
      <c r="F190" s="6"/>
      <c r="G190" s="6">
        <v>20190809</v>
      </c>
      <c r="H190" s="159" t="s">
        <v>699</v>
      </c>
      <c r="J190" s="21"/>
      <c r="K190" s="12" t="s">
        <v>1024</v>
      </c>
      <c r="L190" s="12" t="s">
        <v>1321</v>
      </c>
      <c r="O190" s="28">
        <v>1050</v>
      </c>
      <c r="P190" s="107">
        <f t="shared" si="16"/>
        <v>787.5</v>
      </c>
      <c r="Q190" s="107">
        <f t="shared" si="17"/>
        <v>1575</v>
      </c>
      <c r="S190" s="21"/>
      <c r="T190" s="1"/>
    </row>
    <row r="191" spans="1:20">
      <c r="A191" s="1" t="s">
        <v>43</v>
      </c>
      <c r="B191" s="20" t="s">
        <v>227</v>
      </c>
      <c r="C191" s="6" t="s">
        <v>2864</v>
      </c>
      <c r="D191" s="1">
        <v>4</v>
      </c>
      <c r="G191" s="1">
        <v>20180924</v>
      </c>
      <c r="H191" s="159" t="s">
        <v>699</v>
      </c>
      <c r="J191" s="21"/>
      <c r="K191" s="12" t="s">
        <v>1964</v>
      </c>
      <c r="L191" s="12" t="s">
        <v>1965</v>
      </c>
      <c r="O191" s="28">
        <v>2580</v>
      </c>
      <c r="P191" s="107">
        <f t="shared" si="16"/>
        <v>1935</v>
      </c>
      <c r="Q191" s="107">
        <f t="shared" si="17"/>
        <v>7740</v>
      </c>
      <c r="S191" s="21"/>
      <c r="T191" s="1"/>
    </row>
    <row r="192" spans="1:20">
      <c r="A192" s="1" t="s">
        <v>43</v>
      </c>
      <c r="B192" s="20" t="s">
        <v>300</v>
      </c>
      <c r="C192" s="6" t="s">
        <v>2864</v>
      </c>
      <c r="D192" s="1">
        <v>1</v>
      </c>
      <c r="G192" s="1">
        <v>20200709</v>
      </c>
      <c r="H192" s="159" t="s">
        <v>699</v>
      </c>
      <c r="J192" s="1" t="s">
        <v>741</v>
      </c>
      <c r="K192" s="12" t="s">
        <v>1024</v>
      </c>
      <c r="L192" s="12" t="s">
        <v>1322</v>
      </c>
      <c r="O192" s="28">
        <v>1450</v>
      </c>
      <c r="P192" s="107">
        <f t="shared" si="16"/>
        <v>1087.5</v>
      </c>
      <c r="Q192" s="107">
        <f t="shared" si="17"/>
        <v>1087.5</v>
      </c>
      <c r="S192" s="21"/>
      <c r="T192" s="1"/>
    </row>
    <row r="193" spans="1:20">
      <c r="A193" s="1" t="s">
        <v>43</v>
      </c>
      <c r="B193" s="20" t="s">
        <v>301</v>
      </c>
      <c r="C193" s="6" t="s">
        <v>2864</v>
      </c>
      <c r="D193" s="1">
        <v>1</v>
      </c>
      <c r="G193" s="1">
        <v>20200709</v>
      </c>
      <c r="H193" s="159" t="s">
        <v>699</v>
      </c>
      <c r="I193" s="6"/>
      <c r="J193" s="21"/>
      <c r="K193" s="12" t="s">
        <v>1024</v>
      </c>
      <c r="L193" s="12" t="s">
        <v>1323</v>
      </c>
      <c r="O193" s="28">
        <v>1670</v>
      </c>
      <c r="P193" s="107">
        <f t="shared" ref="P193:P208" si="18">O193*0.75</f>
        <v>1252.5</v>
      </c>
      <c r="Q193" s="107">
        <f t="shared" ref="Q193:Q208" si="19">D193*P193</f>
        <v>1252.5</v>
      </c>
      <c r="S193" s="21"/>
      <c r="T193" s="1"/>
    </row>
    <row r="194" spans="1:20">
      <c r="A194" s="1" t="s">
        <v>43</v>
      </c>
      <c r="B194" s="20" t="s">
        <v>300</v>
      </c>
      <c r="C194" s="6" t="s">
        <v>2864</v>
      </c>
      <c r="D194" s="1">
        <v>1</v>
      </c>
      <c r="G194" s="1">
        <v>20200730</v>
      </c>
      <c r="H194" s="159" t="s">
        <v>699</v>
      </c>
      <c r="J194" s="1" t="s">
        <v>742</v>
      </c>
      <c r="K194" s="12" t="s">
        <v>1024</v>
      </c>
      <c r="L194" s="12" t="s">
        <v>1322</v>
      </c>
      <c r="O194" s="28">
        <v>1450</v>
      </c>
      <c r="P194" s="107">
        <f t="shared" si="18"/>
        <v>1087.5</v>
      </c>
      <c r="Q194" s="107">
        <f t="shared" si="19"/>
        <v>1087.5</v>
      </c>
      <c r="S194" s="21"/>
      <c r="T194" s="1"/>
    </row>
    <row r="195" spans="1:20" s="6" customFormat="1">
      <c r="A195" s="1" t="s">
        <v>43</v>
      </c>
      <c r="B195" s="20" t="s">
        <v>370</v>
      </c>
      <c r="C195" s="6" t="s">
        <v>2864</v>
      </c>
      <c r="D195" s="6">
        <v>1</v>
      </c>
      <c r="G195" s="6">
        <v>20201119</v>
      </c>
      <c r="H195" s="159" t="s">
        <v>699</v>
      </c>
      <c r="J195" s="21"/>
      <c r="K195" s="12" t="s">
        <v>1024</v>
      </c>
      <c r="L195" s="12" t="s">
        <v>1324</v>
      </c>
      <c r="M195" s="1"/>
      <c r="N195" s="12"/>
      <c r="O195" s="28">
        <v>1990</v>
      </c>
      <c r="P195" s="107">
        <f t="shared" si="18"/>
        <v>1492.5</v>
      </c>
      <c r="Q195" s="107">
        <f t="shared" si="19"/>
        <v>1492.5</v>
      </c>
      <c r="R195" s="28"/>
      <c r="S195" s="21"/>
    </row>
    <row r="196" spans="1:20">
      <c r="A196" s="1" t="s">
        <v>43</v>
      </c>
      <c r="B196" s="20" t="s">
        <v>324</v>
      </c>
      <c r="C196" s="6" t="s">
        <v>2864</v>
      </c>
      <c r="D196" s="1">
        <v>1</v>
      </c>
      <c r="G196" s="1">
        <v>20200811</v>
      </c>
      <c r="H196" s="159" t="s">
        <v>699</v>
      </c>
      <c r="J196" s="21"/>
      <c r="K196" s="12" t="s">
        <v>1325</v>
      </c>
      <c r="L196" s="12" t="s">
        <v>1326</v>
      </c>
      <c r="O196" s="28">
        <v>1850</v>
      </c>
      <c r="P196" s="107">
        <f t="shared" si="18"/>
        <v>1387.5</v>
      </c>
      <c r="Q196" s="107">
        <f t="shared" si="19"/>
        <v>1387.5</v>
      </c>
      <c r="S196" s="21"/>
      <c r="T196" s="1"/>
    </row>
    <row r="197" spans="1:20">
      <c r="A197" s="1" t="s">
        <v>43</v>
      </c>
      <c r="B197" s="20" t="s">
        <v>658</v>
      </c>
      <c r="C197" s="6" t="s">
        <v>2864</v>
      </c>
      <c r="D197" s="1">
        <v>1</v>
      </c>
      <c r="G197" s="1">
        <v>20200811</v>
      </c>
      <c r="H197" s="159" t="s">
        <v>699</v>
      </c>
      <c r="J197" s="21"/>
      <c r="K197" s="12" t="s">
        <v>1289</v>
      </c>
      <c r="L197" s="12" t="s">
        <v>1327</v>
      </c>
      <c r="O197" s="28">
        <v>1850</v>
      </c>
      <c r="P197" s="107">
        <f t="shared" si="18"/>
        <v>1387.5</v>
      </c>
      <c r="Q197" s="107">
        <f t="shared" si="19"/>
        <v>1387.5</v>
      </c>
      <c r="S197" s="21"/>
      <c r="T197" s="1"/>
    </row>
    <row r="198" spans="1:20">
      <c r="A198" s="1" t="s">
        <v>43</v>
      </c>
      <c r="B198" s="20">
        <v>3610863</v>
      </c>
      <c r="C198" s="6" t="s">
        <v>2864</v>
      </c>
      <c r="D198" s="1">
        <v>1</v>
      </c>
      <c r="G198" s="1">
        <v>20200811</v>
      </c>
      <c r="H198" s="159" t="s">
        <v>699</v>
      </c>
      <c r="J198" s="1" t="s">
        <v>509</v>
      </c>
      <c r="K198" s="12" t="s">
        <v>1964</v>
      </c>
      <c r="L198" s="12" t="s">
        <v>1815</v>
      </c>
      <c r="O198" s="28">
        <v>803</v>
      </c>
      <c r="P198" s="107">
        <f t="shared" si="18"/>
        <v>602.25</v>
      </c>
      <c r="Q198" s="107">
        <f t="shared" si="19"/>
        <v>602.25</v>
      </c>
      <c r="S198" s="21"/>
      <c r="T198" s="1"/>
    </row>
    <row r="199" spans="1:20">
      <c r="A199" s="1" t="s">
        <v>43</v>
      </c>
      <c r="B199" s="20" t="s">
        <v>322</v>
      </c>
      <c r="C199" s="6" t="s">
        <v>2864</v>
      </c>
      <c r="D199" s="1">
        <v>1</v>
      </c>
      <c r="G199" s="1">
        <v>20200811</v>
      </c>
      <c r="H199" s="159" t="s">
        <v>699</v>
      </c>
      <c r="I199" s="21" t="s">
        <v>323</v>
      </c>
      <c r="J199" s="21"/>
      <c r="K199" s="12" t="s">
        <v>1325</v>
      </c>
      <c r="L199" s="12" t="s">
        <v>1328</v>
      </c>
      <c r="O199" s="28">
        <v>2350</v>
      </c>
      <c r="P199" s="107">
        <f t="shared" si="18"/>
        <v>1762.5</v>
      </c>
      <c r="Q199" s="107">
        <f t="shared" si="19"/>
        <v>1762.5</v>
      </c>
      <c r="S199" s="21"/>
      <c r="T199" s="1"/>
    </row>
    <row r="200" spans="1:20">
      <c r="A200" s="1" t="s">
        <v>43</v>
      </c>
      <c r="B200" s="5" t="s">
        <v>231</v>
      </c>
      <c r="C200" s="6" t="s">
        <v>2864</v>
      </c>
      <c r="D200" s="1">
        <v>16</v>
      </c>
      <c r="G200" s="1">
        <v>20200416</v>
      </c>
      <c r="H200" s="159" t="s">
        <v>699</v>
      </c>
      <c r="I200" s="1" t="s">
        <v>109</v>
      </c>
      <c r="J200" s="21"/>
      <c r="K200" s="12" t="s">
        <v>1966</v>
      </c>
      <c r="L200" s="12" t="s">
        <v>1329</v>
      </c>
      <c r="O200" s="28">
        <v>620</v>
      </c>
      <c r="P200" s="107">
        <f t="shared" si="18"/>
        <v>465</v>
      </c>
      <c r="Q200" s="107">
        <f t="shared" si="19"/>
        <v>7440</v>
      </c>
      <c r="S200" s="21"/>
      <c r="T200" s="1"/>
    </row>
    <row r="201" spans="1:20">
      <c r="A201" s="1" t="s">
        <v>43</v>
      </c>
      <c r="B201" s="5" t="s">
        <v>232</v>
      </c>
      <c r="C201" s="6" t="s">
        <v>2864</v>
      </c>
      <c r="D201" s="1">
        <v>2</v>
      </c>
      <c r="G201" s="1">
        <v>20200416</v>
      </c>
      <c r="H201" s="159" t="s">
        <v>699</v>
      </c>
      <c r="J201" s="21"/>
      <c r="K201" s="12" t="s">
        <v>1024</v>
      </c>
      <c r="L201" s="12" t="s">
        <v>1330</v>
      </c>
      <c r="O201" s="28">
        <v>1750</v>
      </c>
      <c r="P201" s="107">
        <f t="shared" si="18"/>
        <v>1312.5</v>
      </c>
      <c r="Q201" s="107">
        <f t="shared" si="19"/>
        <v>2625</v>
      </c>
      <c r="S201" s="21"/>
      <c r="T201" s="1"/>
    </row>
    <row r="202" spans="1:20" s="6" customFormat="1">
      <c r="A202" s="6" t="s">
        <v>43</v>
      </c>
      <c r="B202" s="5" t="s">
        <v>233</v>
      </c>
      <c r="C202" s="6" t="s">
        <v>2864</v>
      </c>
      <c r="D202" s="6">
        <v>1</v>
      </c>
      <c r="G202" s="6">
        <v>20190820</v>
      </c>
      <c r="H202" s="159" t="s">
        <v>699</v>
      </c>
      <c r="J202" s="21"/>
      <c r="K202" s="12" t="s">
        <v>1024</v>
      </c>
      <c r="L202" s="12" t="s">
        <v>1331</v>
      </c>
      <c r="M202" s="1"/>
      <c r="N202" s="12"/>
      <c r="O202" s="28">
        <v>1500</v>
      </c>
      <c r="P202" s="107">
        <f t="shared" si="18"/>
        <v>1125</v>
      </c>
      <c r="Q202" s="107">
        <f t="shared" si="19"/>
        <v>1125</v>
      </c>
      <c r="R202" s="28"/>
      <c r="S202" s="21"/>
    </row>
    <row r="203" spans="1:20">
      <c r="A203" s="1" t="s">
        <v>43</v>
      </c>
      <c r="B203" s="20" t="s">
        <v>234</v>
      </c>
      <c r="C203" s="6" t="s">
        <v>2864</v>
      </c>
      <c r="D203" s="1">
        <v>1</v>
      </c>
      <c r="G203" s="1">
        <v>20200416</v>
      </c>
      <c r="H203" s="159" t="s">
        <v>699</v>
      </c>
      <c r="J203" s="21"/>
      <c r="K203" s="12" t="s">
        <v>1046</v>
      </c>
      <c r="L203" s="12" t="s">
        <v>1332</v>
      </c>
      <c r="O203" s="28">
        <v>850</v>
      </c>
      <c r="P203" s="107">
        <f t="shared" si="18"/>
        <v>637.5</v>
      </c>
      <c r="Q203" s="107">
        <f t="shared" si="19"/>
        <v>637.5</v>
      </c>
      <c r="S203" s="21"/>
      <c r="T203" s="1"/>
    </row>
    <row r="204" spans="1:20">
      <c r="A204" s="1" t="s">
        <v>43</v>
      </c>
      <c r="B204" s="5" t="s">
        <v>312</v>
      </c>
      <c r="C204" s="6" t="s">
        <v>2864</v>
      </c>
      <c r="D204" s="1">
        <v>1</v>
      </c>
      <c r="G204" s="1">
        <v>20200727</v>
      </c>
      <c r="H204" s="159" t="s">
        <v>699</v>
      </c>
      <c r="J204" s="21"/>
      <c r="K204" s="12" t="s">
        <v>1024</v>
      </c>
      <c r="L204" s="12" t="s">
        <v>1333</v>
      </c>
      <c r="O204" s="28">
        <v>695</v>
      </c>
      <c r="P204" s="107">
        <f t="shared" si="18"/>
        <v>521.25</v>
      </c>
      <c r="Q204" s="107">
        <f t="shared" si="19"/>
        <v>521.25</v>
      </c>
      <c r="S204" s="21"/>
      <c r="T204" s="1"/>
    </row>
    <row r="205" spans="1:20">
      <c r="A205" s="1" t="s">
        <v>43</v>
      </c>
      <c r="B205" s="5" t="s">
        <v>236</v>
      </c>
      <c r="C205" s="6" t="s">
        <v>2864</v>
      </c>
      <c r="D205" s="1">
        <v>1</v>
      </c>
      <c r="G205" s="1">
        <v>20200109</v>
      </c>
      <c r="H205" s="159" t="s">
        <v>699</v>
      </c>
      <c r="J205" s="21"/>
      <c r="K205" s="12" t="s">
        <v>1334</v>
      </c>
      <c r="L205" s="12" t="s">
        <v>1335</v>
      </c>
      <c r="O205" s="28">
        <v>2880</v>
      </c>
      <c r="P205" s="107">
        <f t="shared" si="18"/>
        <v>2160</v>
      </c>
      <c r="Q205" s="107">
        <f t="shared" si="19"/>
        <v>2160</v>
      </c>
      <c r="S205" s="21"/>
      <c r="T205" s="1"/>
    </row>
    <row r="206" spans="1:20">
      <c r="A206" s="1" t="s">
        <v>43</v>
      </c>
      <c r="B206" s="5" t="s">
        <v>237</v>
      </c>
      <c r="C206" s="6" t="s">
        <v>2864</v>
      </c>
      <c r="D206" s="1">
        <v>1</v>
      </c>
      <c r="E206" s="6"/>
      <c r="F206" s="6"/>
      <c r="G206" s="6">
        <v>20190809</v>
      </c>
      <c r="H206" s="159" t="s">
        <v>699</v>
      </c>
      <c r="J206" s="21"/>
      <c r="K206" s="12" t="s">
        <v>1279</v>
      </c>
      <c r="L206" s="12" t="s">
        <v>1336</v>
      </c>
      <c r="O206" s="28">
        <v>1350</v>
      </c>
      <c r="P206" s="107">
        <f t="shared" si="18"/>
        <v>1012.5</v>
      </c>
      <c r="Q206" s="107">
        <f t="shared" si="19"/>
        <v>1012.5</v>
      </c>
      <c r="S206" s="21"/>
      <c r="T206" s="1"/>
    </row>
    <row r="207" spans="1:20">
      <c r="A207" s="1" t="s">
        <v>43</v>
      </c>
      <c r="B207" s="5" t="s">
        <v>238</v>
      </c>
      <c r="C207" s="6" t="s">
        <v>2864</v>
      </c>
      <c r="D207" s="1">
        <v>1</v>
      </c>
      <c r="G207" s="1">
        <v>20190907</v>
      </c>
      <c r="H207" s="159" t="s">
        <v>699</v>
      </c>
      <c r="J207" s="21"/>
      <c r="K207" s="12" t="s">
        <v>1024</v>
      </c>
      <c r="L207" s="12" t="s">
        <v>1337</v>
      </c>
      <c r="O207" s="28">
        <v>900</v>
      </c>
      <c r="P207" s="107">
        <f t="shared" si="18"/>
        <v>675</v>
      </c>
      <c r="Q207" s="107">
        <f t="shared" si="19"/>
        <v>675</v>
      </c>
      <c r="S207" s="21"/>
      <c r="T207" s="1"/>
    </row>
    <row r="208" spans="1:20">
      <c r="A208" s="1" t="s">
        <v>43</v>
      </c>
      <c r="B208" s="5" t="s">
        <v>240</v>
      </c>
      <c r="C208" s="6" t="s">
        <v>2864</v>
      </c>
      <c r="D208" s="1">
        <v>2</v>
      </c>
      <c r="G208" s="1">
        <v>20200416</v>
      </c>
      <c r="H208" s="159" t="s">
        <v>699</v>
      </c>
      <c r="I208" s="1" t="s">
        <v>92</v>
      </c>
      <c r="J208" s="21"/>
      <c r="K208" s="12" t="s">
        <v>1967</v>
      </c>
      <c r="L208" s="12" t="s">
        <v>1968</v>
      </c>
      <c r="O208" s="28">
        <v>800</v>
      </c>
      <c r="P208" s="107">
        <f t="shared" si="18"/>
        <v>600</v>
      </c>
      <c r="Q208" s="107">
        <f t="shared" si="19"/>
        <v>1200</v>
      </c>
      <c r="S208" s="21"/>
      <c r="T208" s="1"/>
    </row>
    <row r="209" spans="1:20">
      <c r="A209" s="1" t="s">
        <v>43</v>
      </c>
      <c r="B209" s="5" t="s">
        <v>242</v>
      </c>
      <c r="C209" s="6" t="s">
        <v>2864</v>
      </c>
      <c r="D209" s="1">
        <v>2</v>
      </c>
      <c r="G209" s="1">
        <v>20200416</v>
      </c>
      <c r="H209" s="159" t="s">
        <v>699</v>
      </c>
      <c r="J209" s="21"/>
      <c r="K209" s="12" t="s">
        <v>1024</v>
      </c>
      <c r="L209" s="12" t="s">
        <v>1338</v>
      </c>
      <c r="O209" s="28">
        <v>1920</v>
      </c>
      <c r="P209" s="107">
        <f t="shared" ref="P209:P227" si="20">O209*0.75</f>
        <v>1440</v>
      </c>
      <c r="Q209" s="107">
        <f t="shared" ref="Q209:Q227" si="21">D209*P209</f>
        <v>2880</v>
      </c>
      <c r="S209" s="21"/>
      <c r="T209" s="1"/>
    </row>
    <row r="210" spans="1:20">
      <c r="A210" s="1" t="s">
        <v>43</v>
      </c>
      <c r="B210" s="5" t="s">
        <v>339</v>
      </c>
      <c r="C210" s="6" t="s">
        <v>2864</v>
      </c>
      <c r="D210" s="1">
        <v>1</v>
      </c>
      <c r="G210" s="1">
        <v>20200416</v>
      </c>
      <c r="H210" s="159" t="s">
        <v>699</v>
      </c>
      <c r="J210" s="67" t="s">
        <v>743</v>
      </c>
      <c r="K210" s="12" t="s">
        <v>1024</v>
      </c>
      <c r="L210" s="12" t="s">
        <v>1339</v>
      </c>
      <c r="O210" s="28">
        <v>1530</v>
      </c>
      <c r="P210" s="107">
        <f t="shared" si="20"/>
        <v>1147.5</v>
      </c>
      <c r="Q210" s="107">
        <f t="shared" si="21"/>
        <v>1147.5</v>
      </c>
      <c r="S210" s="21"/>
      <c r="T210" s="1"/>
    </row>
    <row r="211" spans="1:20" s="6" customFormat="1">
      <c r="A211" s="6" t="s">
        <v>43</v>
      </c>
      <c r="B211" s="5" t="s">
        <v>243</v>
      </c>
      <c r="C211" s="6" t="s">
        <v>2864</v>
      </c>
      <c r="D211" s="6">
        <v>1</v>
      </c>
      <c r="G211" s="6">
        <v>20200902</v>
      </c>
      <c r="H211" s="159" t="s">
        <v>699</v>
      </c>
      <c r="J211" s="21"/>
      <c r="K211" s="12" t="s">
        <v>1024</v>
      </c>
      <c r="L211" s="12" t="s">
        <v>1340</v>
      </c>
      <c r="M211" s="1"/>
      <c r="N211" s="12"/>
      <c r="O211" s="28">
        <v>3200</v>
      </c>
      <c r="P211" s="107">
        <f t="shared" si="20"/>
        <v>2400</v>
      </c>
      <c r="Q211" s="107">
        <f t="shared" si="21"/>
        <v>2400</v>
      </c>
      <c r="R211" s="28"/>
      <c r="S211" s="21"/>
    </row>
    <row r="212" spans="1:20" s="6" customFormat="1">
      <c r="A212" s="6" t="s">
        <v>43</v>
      </c>
      <c r="B212" s="20" t="s">
        <v>244</v>
      </c>
      <c r="C212" s="6" t="s">
        <v>2864</v>
      </c>
      <c r="D212" s="6">
        <v>2</v>
      </c>
      <c r="G212" s="6">
        <v>20191119</v>
      </c>
      <c r="H212" s="159" t="s">
        <v>699</v>
      </c>
      <c r="J212" s="21"/>
      <c r="K212" s="12" t="s">
        <v>1024</v>
      </c>
      <c r="L212" s="12" t="s">
        <v>1341</v>
      </c>
      <c r="M212" s="1"/>
      <c r="N212" s="12"/>
      <c r="O212" s="28">
        <v>518</v>
      </c>
      <c r="P212" s="107">
        <f t="shared" si="20"/>
        <v>388.5</v>
      </c>
      <c r="Q212" s="107">
        <f t="shared" si="21"/>
        <v>777</v>
      </c>
      <c r="R212" s="28"/>
      <c r="S212" s="21"/>
    </row>
    <row r="213" spans="1:20" s="6" customFormat="1">
      <c r="A213" s="6" t="s">
        <v>43</v>
      </c>
      <c r="B213" s="20" t="s">
        <v>77</v>
      </c>
      <c r="C213" s="6" t="s">
        <v>2864</v>
      </c>
      <c r="D213" s="6">
        <v>2</v>
      </c>
      <c r="G213" s="6">
        <v>20191119</v>
      </c>
      <c r="H213" s="159" t="s">
        <v>699</v>
      </c>
      <c r="J213" s="6" t="s">
        <v>744</v>
      </c>
      <c r="K213" s="12" t="s">
        <v>1342</v>
      </c>
      <c r="L213" s="12" t="s">
        <v>1971</v>
      </c>
      <c r="M213" s="1"/>
      <c r="N213" s="12"/>
      <c r="O213" s="28">
        <v>465</v>
      </c>
      <c r="P213" s="107">
        <f t="shared" si="20"/>
        <v>348.75</v>
      </c>
      <c r="Q213" s="107">
        <f t="shared" si="21"/>
        <v>697.5</v>
      </c>
      <c r="R213" s="28"/>
      <c r="S213" s="21"/>
    </row>
    <row r="214" spans="1:20" s="6" customFormat="1">
      <c r="A214" s="6" t="s">
        <v>43</v>
      </c>
      <c r="B214" s="5" t="s">
        <v>245</v>
      </c>
      <c r="C214" s="6" t="s">
        <v>2864</v>
      </c>
      <c r="D214" s="6">
        <v>1</v>
      </c>
      <c r="G214" s="6">
        <v>20191007</v>
      </c>
      <c r="H214" s="159" t="s">
        <v>699</v>
      </c>
      <c r="J214" s="21"/>
      <c r="K214" s="12" t="s">
        <v>1024</v>
      </c>
      <c r="L214" s="12" t="s">
        <v>1970</v>
      </c>
      <c r="M214" s="1"/>
      <c r="N214" s="12"/>
      <c r="O214" s="28">
        <v>1350</v>
      </c>
      <c r="P214" s="107">
        <f t="shared" si="20"/>
        <v>1012.5</v>
      </c>
      <c r="Q214" s="107">
        <f t="shared" si="21"/>
        <v>1012.5</v>
      </c>
      <c r="R214" s="28"/>
      <c r="S214" s="21"/>
    </row>
    <row r="215" spans="1:20" s="6" customFormat="1">
      <c r="A215" s="6" t="s">
        <v>43</v>
      </c>
      <c r="B215" s="5" t="s">
        <v>341</v>
      </c>
      <c r="C215" s="6" t="s">
        <v>2864</v>
      </c>
      <c r="D215" s="6">
        <v>2</v>
      </c>
      <c r="G215" s="6">
        <v>20200908</v>
      </c>
      <c r="H215" s="159" t="s">
        <v>699</v>
      </c>
      <c r="J215" s="21"/>
      <c r="K215" s="12" t="s">
        <v>1343</v>
      </c>
      <c r="L215" s="12" t="s">
        <v>1344</v>
      </c>
      <c r="M215" s="1"/>
      <c r="N215" s="12"/>
      <c r="O215" s="28">
        <v>815</v>
      </c>
      <c r="P215" s="107">
        <f t="shared" si="20"/>
        <v>611.25</v>
      </c>
      <c r="Q215" s="107">
        <f t="shared" si="21"/>
        <v>1222.5</v>
      </c>
      <c r="R215" s="28"/>
      <c r="S215" s="21"/>
    </row>
    <row r="216" spans="1:20">
      <c r="A216" s="1" t="s">
        <v>43</v>
      </c>
      <c r="B216" s="5" t="s">
        <v>246</v>
      </c>
      <c r="C216" s="6" t="s">
        <v>2864</v>
      </c>
      <c r="D216" s="1">
        <v>1</v>
      </c>
      <c r="G216" s="1">
        <v>20200416</v>
      </c>
      <c r="H216" s="159" t="s">
        <v>699</v>
      </c>
      <c r="J216" s="21"/>
      <c r="K216" s="12" t="s">
        <v>1946</v>
      </c>
      <c r="L216" s="12" t="s">
        <v>1969</v>
      </c>
      <c r="O216" s="28">
        <v>1168</v>
      </c>
      <c r="P216" s="107">
        <f t="shared" si="20"/>
        <v>876</v>
      </c>
      <c r="Q216" s="107">
        <f t="shared" si="21"/>
        <v>876</v>
      </c>
      <c r="S216" s="21"/>
      <c r="T216" s="1"/>
    </row>
    <row r="217" spans="1:20" s="6" customFormat="1">
      <c r="A217" s="6" t="s">
        <v>43</v>
      </c>
      <c r="B217" s="5" t="s">
        <v>247</v>
      </c>
      <c r="C217" s="6" t="s">
        <v>2864</v>
      </c>
      <c r="D217" s="6">
        <v>1</v>
      </c>
      <c r="G217" s="6">
        <v>20191119</v>
      </c>
      <c r="H217" s="159" t="s">
        <v>699</v>
      </c>
      <c r="I217" s="7"/>
      <c r="J217" s="21"/>
      <c r="K217" s="12" t="s">
        <v>1345</v>
      </c>
      <c r="L217" s="12" t="s">
        <v>1346</v>
      </c>
      <c r="M217" s="1"/>
      <c r="N217" s="12"/>
      <c r="O217" s="28">
        <v>1650</v>
      </c>
      <c r="P217" s="107">
        <f t="shared" si="20"/>
        <v>1237.5</v>
      </c>
      <c r="Q217" s="107">
        <f t="shared" si="21"/>
        <v>1237.5</v>
      </c>
      <c r="R217" s="28"/>
      <c r="S217" s="21"/>
    </row>
    <row r="218" spans="1:20">
      <c r="A218" s="1" t="s">
        <v>43</v>
      </c>
      <c r="B218" s="5" t="s">
        <v>336</v>
      </c>
      <c r="C218" s="6" t="s">
        <v>2864</v>
      </c>
      <c r="D218" s="1">
        <v>1</v>
      </c>
      <c r="F218" s="1">
        <v>20200826</v>
      </c>
      <c r="G218" s="1">
        <v>20200826</v>
      </c>
      <c r="H218" s="159" t="s">
        <v>699</v>
      </c>
      <c r="J218" s="21"/>
      <c r="K218" s="12" t="s">
        <v>1347</v>
      </c>
      <c r="L218" s="12" t="s">
        <v>1348</v>
      </c>
      <c r="O218" s="28">
        <v>5200</v>
      </c>
      <c r="P218" s="107">
        <f t="shared" si="20"/>
        <v>3900</v>
      </c>
      <c r="Q218" s="107">
        <f t="shared" si="21"/>
        <v>3900</v>
      </c>
      <c r="S218" s="21"/>
      <c r="T218" s="1"/>
    </row>
    <row r="219" spans="1:20">
      <c r="A219" s="6" t="s">
        <v>43</v>
      </c>
      <c r="B219" s="5" t="s">
        <v>377</v>
      </c>
      <c r="C219" s="6" t="s">
        <v>2864</v>
      </c>
      <c r="D219" s="6">
        <v>2</v>
      </c>
      <c r="E219" s="6"/>
      <c r="F219" s="6">
        <v>20200820</v>
      </c>
      <c r="G219" s="6">
        <v>20201020</v>
      </c>
      <c r="H219" s="159" t="s">
        <v>699</v>
      </c>
      <c r="J219" s="21"/>
      <c r="K219" s="12" t="s">
        <v>1022</v>
      </c>
      <c r="L219" s="12" t="s">
        <v>1349</v>
      </c>
      <c r="O219" s="28">
        <v>3500</v>
      </c>
      <c r="P219" s="107">
        <f t="shared" si="20"/>
        <v>2625</v>
      </c>
      <c r="Q219" s="107">
        <f t="shared" si="21"/>
        <v>5250</v>
      </c>
      <c r="S219" s="21"/>
      <c r="T219" s="1"/>
    </row>
    <row r="220" spans="1:20" ht="32.4">
      <c r="A220" s="6" t="s">
        <v>43</v>
      </c>
      <c r="B220" s="5" t="s">
        <v>379</v>
      </c>
      <c r="C220" s="6" t="s">
        <v>2864</v>
      </c>
      <c r="D220" s="6">
        <v>1</v>
      </c>
      <c r="E220" s="6"/>
      <c r="F220" s="6">
        <v>20200807</v>
      </c>
      <c r="G220" s="6">
        <v>20201007</v>
      </c>
      <c r="H220" s="159" t="s">
        <v>699</v>
      </c>
      <c r="J220" s="21"/>
      <c r="K220" s="66" t="s">
        <v>2023</v>
      </c>
      <c r="L220" s="12" t="s">
        <v>1350</v>
      </c>
      <c r="O220" s="28">
        <v>3450</v>
      </c>
      <c r="P220" s="107">
        <f t="shared" si="20"/>
        <v>2587.5</v>
      </c>
      <c r="Q220" s="107">
        <f t="shared" si="21"/>
        <v>2587.5</v>
      </c>
      <c r="S220" s="21"/>
      <c r="T220" s="1"/>
    </row>
    <row r="221" spans="1:20" ht="32.4">
      <c r="A221" s="6" t="s">
        <v>43</v>
      </c>
      <c r="B221" s="5" t="s">
        <v>380</v>
      </c>
      <c r="C221" s="6" t="s">
        <v>2864</v>
      </c>
      <c r="D221" s="6">
        <v>1</v>
      </c>
      <c r="E221" s="6"/>
      <c r="F221" s="6">
        <v>20200816</v>
      </c>
      <c r="G221" s="6">
        <v>20201016</v>
      </c>
      <c r="H221" s="159" t="s">
        <v>699</v>
      </c>
      <c r="J221" s="21"/>
      <c r="K221" s="66" t="s">
        <v>2024</v>
      </c>
      <c r="L221" s="7" t="s">
        <v>2022</v>
      </c>
      <c r="O221" s="28">
        <v>0</v>
      </c>
      <c r="P221" s="107">
        <f t="shared" si="20"/>
        <v>0</v>
      </c>
      <c r="Q221" s="107">
        <f t="shared" si="21"/>
        <v>0</v>
      </c>
      <c r="R221" s="205" t="s">
        <v>2217</v>
      </c>
      <c r="S221" s="21"/>
      <c r="T221" s="1"/>
    </row>
    <row r="222" spans="1:20">
      <c r="A222" s="1" t="s">
        <v>43</v>
      </c>
      <c r="B222" s="5" t="s">
        <v>298</v>
      </c>
      <c r="C222" s="6" t="s">
        <v>2864</v>
      </c>
      <c r="D222" s="1">
        <v>1</v>
      </c>
      <c r="G222" s="1">
        <v>20200416</v>
      </c>
      <c r="H222" s="159" t="s">
        <v>699</v>
      </c>
      <c r="J222" s="21"/>
      <c r="K222" s="12" t="s">
        <v>1279</v>
      </c>
      <c r="L222" s="12" t="s">
        <v>1351</v>
      </c>
      <c r="O222" s="28">
        <v>1680</v>
      </c>
      <c r="P222" s="107">
        <f t="shared" si="20"/>
        <v>1260</v>
      </c>
      <c r="Q222" s="107">
        <f t="shared" si="21"/>
        <v>1260</v>
      </c>
      <c r="S222" s="21"/>
      <c r="T222" s="1"/>
    </row>
    <row r="223" spans="1:20">
      <c r="A223" s="1" t="s">
        <v>43</v>
      </c>
      <c r="B223" s="5" t="s">
        <v>297</v>
      </c>
      <c r="C223" s="6" t="s">
        <v>2864</v>
      </c>
      <c r="D223" s="1">
        <v>1</v>
      </c>
      <c r="G223" s="1">
        <v>20200416</v>
      </c>
      <c r="H223" s="159" t="s">
        <v>699</v>
      </c>
      <c r="J223" s="21"/>
      <c r="K223" s="12" t="s">
        <v>1024</v>
      </c>
      <c r="L223" s="12" t="s">
        <v>1352</v>
      </c>
      <c r="O223" s="28">
        <v>1800</v>
      </c>
      <c r="P223" s="107">
        <f t="shared" si="20"/>
        <v>1350</v>
      </c>
      <c r="Q223" s="107">
        <f t="shared" si="21"/>
        <v>1350</v>
      </c>
      <c r="S223" s="21"/>
      <c r="T223" s="1"/>
    </row>
    <row r="224" spans="1:20">
      <c r="A224" s="1" t="s">
        <v>43</v>
      </c>
      <c r="B224" s="5" t="s">
        <v>134</v>
      </c>
      <c r="C224" s="6" t="s">
        <v>2864</v>
      </c>
      <c r="D224" s="1">
        <v>4</v>
      </c>
      <c r="G224" s="1">
        <v>20200416</v>
      </c>
      <c r="H224" s="159" t="s">
        <v>699</v>
      </c>
      <c r="I224" s="21" t="s">
        <v>217</v>
      </c>
      <c r="K224" s="12" t="s">
        <v>1024</v>
      </c>
      <c r="L224" s="12" t="s">
        <v>1353</v>
      </c>
      <c r="O224" s="28">
        <v>1050</v>
      </c>
      <c r="P224" s="107">
        <f t="shared" si="20"/>
        <v>787.5</v>
      </c>
      <c r="Q224" s="107">
        <f t="shared" si="21"/>
        <v>3150</v>
      </c>
      <c r="S224" s="21"/>
      <c r="T224" s="1"/>
    </row>
    <row r="225" spans="1:20">
      <c r="A225" s="1" t="s">
        <v>43</v>
      </c>
      <c r="B225" s="5" t="s">
        <v>349</v>
      </c>
      <c r="C225" s="6" t="s">
        <v>2864</v>
      </c>
      <c r="D225" s="1">
        <v>1</v>
      </c>
      <c r="G225" s="1">
        <v>20200612</v>
      </c>
      <c r="H225" s="159" t="s">
        <v>699</v>
      </c>
      <c r="J225" s="21"/>
      <c r="K225" s="12" t="s">
        <v>1024</v>
      </c>
      <c r="L225" s="12" t="s">
        <v>1354</v>
      </c>
      <c r="O225" s="28">
        <v>1750</v>
      </c>
      <c r="P225" s="107">
        <f t="shared" si="20"/>
        <v>1312.5</v>
      </c>
      <c r="Q225" s="107">
        <f t="shared" si="21"/>
        <v>1312.5</v>
      </c>
      <c r="S225" s="21"/>
      <c r="T225" s="1"/>
    </row>
    <row r="226" spans="1:20">
      <c r="A226" s="1" t="s">
        <v>43</v>
      </c>
      <c r="B226" s="5" t="s">
        <v>350</v>
      </c>
      <c r="C226" s="6" t="s">
        <v>2864</v>
      </c>
      <c r="D226" s="1">
        <v>1</v>
      </c>
      <c r="G226" s="1">
        <v>20200923</v>
      </c>
      <c r="H226" s="159" t="s">
        <v>699</v>
      </c>
      <c r="J226" s="21"/>
      <c r="K226" s="12" t="s">
        <v>1024</v>
      </c>
      <c r="L226" s="12" t="s">
        <v>1354</v>
      </c>
      <c r="O226" s="28">
        <v>1750</v>
      </c>
      <c r="P226" s="107">
        <f t="shared" si="20"/>
        <v>1312.5</v>
      </c>
      <c r="Q226" s="107">
        <f t="shared" si="21"/>
        <v>1312.5</v>
      </c>
      <c r="S226" s="21"/>
      <c r="T226" s="1"/>
    </row>
    <row r="227" spans="1:20">
      <c r="A227" s="1" t="s">
        <v>43</v>
      </c>
      <c r="B227" s="5" t="s">
        <v>307</v>
      </c>
      <c r="C227" s="6" t="s">
        <v>2864</v>
      </c>
      <c r="D227" s="1">
        <v>1</v>
      </c>
      <c r="G227" s="1">
        <v>20200612</v>
      </c>
      <c r="H227" s="159" t="s">
        <v>699</v>
      </c>
      <c r="J227" s="21"/>
      <c r="K227" s="12" t="s">
        <v>1024</v>
      </c>
      <c r="L227" s="12" t="s">
        <v>1355</v>
      </c>
      <c r="O227" s="28">
        <v>2230</v>
      </c>
      <c r="P227" s="107">
        <f t="shared" si="20"/>
        <v>1672.5</v>
      </c>
      <c r="Q227" s="107">
        <f t="shared" si="21"/>
        <v>1672.5</v>
      </c>
      <c r="S227" s="21"/>
      <c r="T227" s="1"/>
    </row>
    <row r="228" spans="1:20">
      <c r="D228" s="104">
        <f>SUM(D44:D139)</f>
        <v>442</v>
      </c>
      <c r="E228" s="109">
        <f>ROW()-4</f>
        <v>224</v>
      </c>
      <c r="Q228" s="28">
        <f>SUM(Q4:Q227)</f>
        <v>625738.5</v>
      </c>
    </row>
    <row r="230" spans="1:20">
      <c r="O230" s="74"/>
    </row>
    <row r="234" spans="1:20">
      <c r="A234" s="38"/>
      <c r="B234" s="48" t="s">
        <v>326</v>
      </c>
      <c r="C234" s="38"/>
      <c r="D234" s="38"/>
      <c r="E234" s="38"/>
      <c r="F234" s="38"/>
      <c r="G234" s="38"/>
      <c r="H234" s="164"/>
      <c r="I234" s="38"/>
      <c r="J234" s="38"/>
      <c r="K234" s="38"/>
      <c r="L234" s="38"/>
      <c r="M234" s="61"/>
      <c r="N234" s="78"/>
      <c r="O234" s="47"/>
      <c r="P234" s="49"/>
      <c r="Q234" s="49"/>
      <c r="R234" s="49"/>
      <c r="S234" s="38"/>
      <c r="T234" s="1"/>
    </row>
    <row r="235" spans="1:20">
      <c r="A235" s="1" t="s">
        <v>43</v>
      </c>
      <c r="B235" s="349" t="s">
        <v>327</v>
      </c>
      <c r="C235" s="65" t="s">
        <v>2864</v>
      </c>
      <c r="D235" s="65">
        <v>0</v>
      </c>
      <c r="E235" s="21" t="s">
        <v>928</v>
      </c>
      <c r="G235" s="1">
        <v>20191122</v>
      </c>
      <c r="H235" s="159" t="s">
        <v>699</v>
      </c>
      <c r="J235" s="21"/>
      <c r="K235" s="12" t="s">
        <v>1378</v>
      </c>
      <c r="L235" s="12" t="s">
        <v>1950</v>
      </c>
      <c r="O235" s="28">
        <v>95</v>
      </c>
      <c r="P235" s="107">
        <f>O235*0.75</f>
        <v>71.25</v>
      </c>
      <c r="Q235" s="107">
        <f>D235*P235</f>
        <v>0</v>
      </c>
      <c r="S235" s="21"/>
      <c r="T235" s="1"/>
    </row>
    <row r="236" spans="1:20">
      <c r="A236" s="1" t="s">
        <v>43</v>
      </c>
      <c r="B236" s="349" t="s">
        <v>994</v>
      </c>
      <c r="C236" s="65" t="s">
        <v>2864</v>
      </c>
      <c r="D236" s="65">
        <v>0</v>
      </c>
      <c r="F236" s="1">
        <v>20230524</v>
      </c>
      <c r="G236" s="1">
        <v>20230724</v>
      </c>
      <c r="H236" s="159" t="s">
        <v>699</v>
      </c>
      <c r="I236" s="21" t="s">
        <v>995</v>
      </c>
      <c r="K236" s="12" t="s">
        <v>1378</v>
      </c>
      <c r="L236" s="12" t="s">
        <v>1950</v>
      </c>
      <c r="O236" s="28">
        <v>95</v>
      </c>
      <c r="P236" s="107">
        <f>O236*0.75</f>
        <v>71.25</v>
      </c>
      <c r="Q236" s="107">
        <f>D236*P236</f>
        <v>0</v>
      </c>
    </row>
    <row r="237" spans="1:20">
      <c r="O237" s="74"/>
    </row>
  </sheetData>
  <autoFilter ref="A3:N228" xr:uid="{00000000-0009-0000-0000-000004000000}"/>
  <mergeCells count="2">
    <mergeCell ref="A1:J1"/>
    <mergeCell ref="B2:J2"/>
  </mergeCells>
  <phoneticPr fontId="1" type="noConversion"/>
  <conditionalFormatting sqref="A1:Q37 G38 C38:C40 A42:Q474">
    <cfRule type="expression" dxfId="66" priority="10">
      <formula>CELL("ROW")=ROW()</formula>
    </cfRule>
  </conditionalFormatting>
  <conditionalFormatting sqref="A37:Q37 G38 C38:C40">
    <cfRule type="expression" dxfId="65" priority="9">
      <formula>CELL("ROW")=ROW()</formula>
    </cfRule>
  </conditionalFormatting>
  <conditionalFormatting sqref="A38:B38 D38 F38 H38:Q38">
    <cfRule type="expression" dxfId="64" priority="8">
      <formula>CELL("ROW")=ROW()</formula>
    </cfRule>
  </conditionalFormatting>
  <conditionalFormatting sqref="E38">
    <cfRule type="expression" dxfId="63" priority="7">
      <formula>CELL("ROW")=ROW()</formula>
    </cfRule>
  </conditionalFormatting>
  <conditionalFormatting sqref="E38">
    <cfRule type="expression" dxfId="62" priority="6">
      <formula>CELL("ROW")=ROW()</formula>
    </cfRule>
  </conditionalFormatting>
  <conditionalFormatting sqref="D39:D40 F39:Q40 A39:B40">
    <cfRule type="expression" dxfId="61" priority="5">
      <formula>CELL("ROW")=ROW()</formula>
    </cfRule>
  </conditionalFormatting>
  <conditionalFormatting sqref="E39:E40">
    <cfRule type="expression" dxfId="60" priority="4">
      <formula>CELL("ROW")=ROW()</formula>
    </cfRule>
  </conditionalFormatting>
  <conditionalFormatting sqref="E39:E40">
    <cfRule type="expression" dxfId="59" priority="3">
      <formula>CELL("ROW")=ROW()</formula>
    </cfRule>
  </conditionalFormatting>
  <conditionalFormatting sqref="A41:Q41">
    <cfRule type="expression" dxfId="58" priority="2">
      <formula>CELL("ROW")=ROW()</formula>
    </cfRule>
  </conditionalFormatting>
  <conditionalFormatting sqref="A4:Q4">
    <cfRule type="expression" dxfId="57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>
    <tabColor rgb="FFFFC000"/>
  </sheetPr>
  <dimension ref="A1:S162"/>
  <sheetViews>
    <sheetView workbookViewId="0">
      <pane xSplit="1" ySplit="3" topLeftCell="B46" activePane="bottomRight" state="frozen"/>
      <selection activeCell="B33" sqref="B33"/>
      <selection pane="topRight" activeCell="B33" sqref="B33"/>
      <selection pane="bottomLeft" activeCell="B33" sqref="B33"/>
      <selection pane="bottomRight" activeCell="B74" sqref="B74"/>
    </sheetView>
  </sheetViews>
  <sheetFormatPr defaultColWidth="9" defaultRowHeight="16.2"/>
  <cols>
    <col min="1" max="1" width="10.44140625" style="1" bestFit="1" customWidth="1"/>
    <col min="2" max="2" width="22.6640625" style="1" bestFit="1" customWidth="1"/>
    <col min="3" max="3" width="18.6640625" style="1" bestFit="1" customWidth="1"/>
    <col min="4" max="4" width="9" style="1"/>
    <col min="5" max="5" width="10" style="1" customWidth="1"/>
    <col min="6" max="7" width="13.44140625" style="1" bestFit="1" customWidth="1"/>
    <col min="8" max="8" width="9.44140625" style="163" customWidth="1"/>
    <col min="9" max="9" width="18.109375" style="1" customWidth="1"/>
    <col min="10" max="10" width="15.77734375" style="1" customWidth="1"/>
    <col min="11" max="11" width="22.88671875" style="1" customWidth="1"/>
    <col min="12" max="12" width="27.77734375" style="1" bestFit="1" customWidth="1"/>
    <col min="13" max="13" width="17.88671875" style="1" bestFit="1" customWidth="1"/>
    <col min="14" max="14" width="8.6640625" style="1" customWidth="1"/>
    <col min="15" max="15" width="14.77734375" style="32" customWidth="1"/>
    <col min="16" max="16" width="11.44140625" style="32" customWidth="1"/>
    <col min="17" max="17" width="10.88671875" style="32" bestFit="1" customWidth="1"/>
    <col min="18" max="18" width="13" style="32" bestFit="1" customWidth="1"/>
    <col min="19" max="19" width="13.6640625" style="1" bestFit="1" customWidth="1"/>
    <col min="20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79"/>
      <c r="O1" s="116"/>
      <c r="P1" s="116"/>
      <c r="Q1" s="116"/>
      <c r="R1" s="116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243" t="s">
        <v>2584</v>
      </c>
      <c r="L2" s="146" t="s">
        <v>1224</v>
      </c>
      <c r="M2" s="143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1021</v>
      </c>
      <c r="M3" s="1" t="s">
        <v>768</v>
      </c>
      <c r="N3" s="22" t="s">
        <v>501</v>
      </c>
      <c r="O3" s="117" t="s">
        <v>645</v>
      </c>
      <c r="P3" s="117" t="s">
        <v>647</v>
      </c>
      <c r="Q3" s="117" t="s">
        <v>646</v>
      </c>
      <c r="R3" s="117"/>
      <c r="S3" s="117"/>
    </row>
    <row r="4" spans="1:19">
      <c r="A4" s="1" t="s">
        <v>534</v>
      </c>
      <c r="B4" s="1" t="s">
        <v>400</v>
      </c>
      <c r="C4" s="1" t="s">
        <v>438</v>
      </c>
      <c r="D4" s="6">
        <v>21</v>
      </c>
      <c r="E4"/>
      <c r="F4" s="1">
        <v>20201107</v>
      </c>
      <c r="G4" s="1">
        <v>20210107</v>
      </c>
      <c r="H4" s="159" t="s">
        <v>699</v>
      </c>
      <c r="J4" s="1" t="s">
        <v>727</v>
      </c>
      <c r="K4" s="12" t="s">
        <v>1410</v>
      </c>
      <c r="L4" s="12"/>
      <c r="N4" s="1" t="s">
        <v>532</v>
      </c>
      <c r="O4" s="32">
        <v>1520</v>
      </c>
      <c r="P4" s="32">
        <f t="shared" ref="P4:P16" si="0">O4*0.75</f>
        <v>1140</v>
      </c>
      <c r="Q4" s="32">
        <f t="shared" ref="Q4:Q16" si="1">D4*P4</f>
        <v>23940</v>
      </c>
    </row>
    <row r="5" spans="1:19">
      <c r="A5" s="1" t="s">
        <v>58</v>
      </c>
      <c r="B5" s="1" t="s">
        <v>154</v>
      </c>
      <c r="C5" s="6" t="s">
        <v>2693</v>
      </c>
      <c r="D5" s="6">
        <v>20</v>
      </c>
      <c r="F5" s="1">
        <v>20201031</v>
      </c>
      <c r="G5" s="1">
        <v>20201231</v>
      </c>
      <c r="H5" s="159" t="s">
        <v>699</v>
      </c>
      <c r="J5" s="7"/>
      <c r="K5" s="12" t="s">
        <v>1435</v>
      </c>
      <c r="L5" s="12" t="s">
        <v>1436</v>
      </c>
      <c r="O5" s="32">
        <v>530</v>
      </c>
      <c r="P5" s="32">
        <f>O5*0.75</f>
        <v>397.5</v>
      </c>
      <c r="Q5" s="32">
        <f>D5*P5</f>
        <v>7950</v>
      </c>
    </row>
    <row r="6" spans="1:19">
      <c r="A6" s="1" t="s">
        <v>58</v>
      </c>
      <c r="B6" s="1" t="s">
        <v>933</v>
      </c>
      <c r="C6" s="6" t="s">
        <v>439</v>
      </c>
      <c r="D6" s="1">
        <v>1</v>
      </c>
      <c r="F6" s="1">
        <v>20230409</v>
      </c>
      <c r="G6" s="1">
        <v>20230609</v>
      </c>
      <c r="H6" s="159" t="s">
        <v>699</v>
      </c>
      <c r="K6" s="12" t="s">
        <v>1415</v>
      </c>
      <c r="L6" s="12" t="s">
        <v>1437</v>
      </c>
      <c r="M6" s="1" t="s">
        <v>934</v>
      </c>
      <c r="O6" s="32">
        <v>149</v>
      </c>
      <c r="P6" s="32">
        <f>O6*0.75</f>
        <v>111.75</v>
      </c>
      <c r="Q6" s="32">
        <f>D6*P6</f>
        <v>111.75</v>
      </c>
    </row>
    <row r="7" spans="1:19">
      <c r="A7" s="1" t="s">
        <v>58</v>
      </c>
      <c r="B7" s="6" t="s">
        <v>490</v>
      </c>
      <c r="C7" s="1" t="s">
        <v>491</v>
      </c>
      <c r="D7" s="6">
        <v>10</v>
      </c>
      <c r="F7" s="1">
        <v>20210428</v>
      </c>
      <c r="G7" s="1">
        <v>20210628</v>
      </c>
      <c r="H7" s="159" t="s">
        <v>699</v>
      </c>
      <c r="I7" s="75" t="s">
        <v>631</v>
      </c>
      <c r="J7" s="7"/>
      <c r="K7" s="12" t="s">
        <v>2132</v>
      </c>
      <c r="L7" s="12" t="s">
        <v>1433</v>
      </c>
      <c r="N7" s="1" t="s">
        <v>522</v>
      </c>
      <c r="O7" s="32">
        <v>4126</v>
      </c>
      <c r="P7" s="32">
        <f t="shared" si="0"/>
        <v>3094.5</v>
      </c>
      <c r="Q7" s="32">
        <f t="shared" si="1"/>
        <v>30945</v>
      </c>
    </row>
    <row r="8" spans="1:19">
      <c r="A8" s="1" t="s">
        <v>58</v>
      </c>
      <c r="B8" s="6" t="s">
        <v>2682</v>
      </c>
      <c r="C8" s="1" t="s">
        <v>432</v>
      </c>
      <c r="D8" s="6">
        <v>1</v>
      </c>
      <c r="G8" s="1">
        <v>20240930</v>
      </c>
      <c r="H8" s="159">
        <v>10</v>
      </c>
      <c r="I8" s="75"/>
      <c r="J8" s="7"/>
      <c r="K8" s="12" t="s">
        <v>2683</v>
      </c>
      <c r="L8" s="12"/>
      <c r="N8" s="1" t="s">
        <v>2645</v>
      </c>
      <c r="O8" s="32">
        <v>595</v>
      </c>
      <c r="P8" s="32">
        <f t="shared" si="0"/>
        <v>446.25</v>
      </c>
      <c r="Q8" s="32">
        <f t="shared" si="1"/>
        <v>446.25</v>
      </c>
    </row>
    <row r="9" spans="1:19" ht="32.4">
      <c r="A9" s="1" t="s">
        <v>58</v>
      </c>
      <c r="B9" s="1" t="s">
        <v>580</v>
      </c>
      <c r="C9" s="1" t="s">
        <v>432</v>
      </c>
      <c r="D9" s="1">
        <v>6</v>
      </c>
      <c r="F9" s="1">
        <v>20210501</v>
      </c>
      <c r="G9" s="1">
        <v>20210701</v>
      </c>
      <c r="H9" s="159" t="s">
        <v>699</v>
      </c>
      <c r="K9" s="66" t="s">
        <v>2218</v>
      </c>
      <c r="L9" s="12" t="s">
        <v>1434</v>
      </c>
      <c r="N9" s="1" t="s">
        <v>516</v>
      </c>
      <c r="O9" s="32">
        <v>1520</v>
      </c>
      <c r="P9" s="32">
        <f t="shared" si="0"/>
        <v>1140</v>
      </c>
      <c r="Q9" s="32">
        <f t="shared" si="1"/>
        <v>6840</v>
      </c>
    </row>
    <row r="10" spans="1:19">
      <c r="A10" s="1" t="s">
        <v>58</v>
      </c>
      <c r="B10" s="1" t="s">
        <v>3202</v>
      </c>
      <c r="C10" s="1" t="s">
        <v>432</v>
      </c>
      <c r="D10" s="1">
        <v>1</v>
      </c>
      <c r="F10" s="1">
        <v>20250923</v>
      </c>
      <c r="G10" s="1">
        <v>20260115</v>
      </c>
      <c r="H10" s="159">
        <v>10</v>
      </c>
      <c r="K10" s="66" t="s">
        <v>3203</v>
      </c>
      <c r="L10" s="12" t="s">
        <v>3204</v>
      </c>
      <c r="M10" s="1" t="s">
        <v>3205</v>
      </c>
      <c r="N10" s="1" t="s">
        <v>3199</v>
      </c>
      <c r="O10" s="32">
        <v>3880</v>
      </c>
      <c r="P10" s="32">
        <f t="shared" si="0"/>
        <v>2910</v>
      </c>
      <c r="Q10" s="32">
        <f t="shared" si="1"/>
        <v>2910</v>
      </c>
    </row>
    <row r="11" spans="1:19" ht="16.5" customHeight="1">
      <c r="A11" s="1" t="s">
        <v>58</v>
      </c>
      <c r="B11" s="1" t="s">
        <v>3229</v>
      </c>
      <c r="C11" s="1" t="s">
        <v>432</v>
      </c>
      <c r="D11" s="1">
        <v>1</v>
      </c>
      <c r="F11" s="1">
        <v>20251203</v>
      </c>
      <c r="G11" s="1">
        <v>20260115</v>
      </c>
      <c r="H11" s="159">
        <v>10</v>
      </c>
      <c r="K11" s="66" t="s">
        <v>3230</v>
      </c>
      <c r="L11" s="12" t="s">
        <v>3232</v>
      </c>
      <c r="M11" s="1" t="s">
        <v>3231</v>
      </c>
      <c r="N11" s="1" t="s">
        <v>3223</v>
      </c>
      <c r="O11" s="32">
        <v>975</v>
      </c>
      <c r="P11" s="32">
        <f t="shared" si="0"/>
        <v>731.25</v>
      </c>
      <c r="Q11" s="32">
        <f t="shared" si="1"/>
        <v>731.25</v>
      </c>
    </row>
    <row r="12" spans="1:19">
      <c r="A12" s="1" t="s">
        <v>58</v>
      </c>
      <c r="B12" s="1" t="s">
        <v>2952</v>
      </c>
      <c r="C12" s="1" t="s">
        <v>2954</v>
      </c>
      <c r="D12" s="1">
        <v>72</v>
      </c>
      <c r="G12" s="1">
        <v>20250428</v>
      </c>
      <c r="H12" s="159">
        <v>10</v>
      </c>
      <c r="J12" s="1" t="s">
        <v>2953</v>
      </c>
      <c r="K12" s="12" t="s">
        <v>2137</v>
      </c>
      <c r="L12" s="12" t="s">
        <v>2136</v>
      </c>
      <c r="N12" s="1" t="s">
        <v>2955</v>
      </c>
      <c r="O12" s="32">
        <v>193</v>
      </c>
      <c r="P12" s="32">
        <f t="shared" si="0"/>
        <v>144.75</v>
      </c>
      <c r="Q12" s="32">
        <f t="shared" si="1"/>
        <v>10422</v>
      </c>
    </row>
    <row r="13" spans="1:19">
      <c r="A13" s="1" t="s">
        <v>58</v>
      </c>
      <c r="B13" s="1" t="s">
        <v>2956</v>
      </c>
      <c r="C13" s="1" t="s">
        <v>2954</v>
      </c>
      <c r="D13" s="1">
        <v>45</v>
      </c>
      <c r="G13" s="1">
        <v>20250428</v>
      </c>
      <c r="H13" s="159">
        <v>10</v>
      </c>
      <c r="K13" s="1" t="s">
        <v>2958</v>
      </c>
      <c r="L13" s="12" t="s">
        <v>2957</v>
      </c>
      <c r="N13" s="1" t="s">
        <v>2959</v>
      </c>
      <c r="O13" s="32">
        <v>173</v>
      </c>
      <c r="P13" s="32">
        <f t="shared" si="0"/>
        <v>129.75</v>
      </c>
      <c r="Q13" s="32">
        <f t="shared" si="1"/>
        <v>5838.75</v>
      </c>
    </row>
    <row r="14" spans="1:19">
      <c r="A14" s="1" t="s">
        <v>58</v>
      </c>
      <c r="B14" s="1" t="s">
        <v>3038</v>
      </c>
      <c r="C14" s="1" t="s">
        <v>946</v>
      </c>
      <c r="D14" s="1">
        <v>1</v>
      </c>
      <c r="F14" s="1">
        <v>20250411</v>
      </c>
      <c r="G14" s="1">
        <v>20250609</v>
      </c>
      <c r="H14" s="159">
        <v>10</v>
      </c>
      <c r="K14" s="1" t="s">
        <v>3039</v>
      </c>
      <c r="L14" s="12"/>
      <c r="M14" s="1" t="s">
        <v>3040</v>
      </c>
      <c r="N14" s="1" t="s">
        <v>3041</v>
      </c>
      <c r="O14" s="32">
        <v>336</v>
      </c>
      <c r="P14" s="32">
        <f t="shared" si="0"/>
        <v>252</v>
      </c>
      <c r="Q14" s="32">
        <f t="shared" si="1"/>
        <v>252</v>
      </c>
    </row>
    <row r="15" spans="1:19">
      <c r="A15" s="1" t="s">
        <v>58</v>
      </c>
      <c r="B15" s="1" t="s">
        <v>3054</v>
      </c>
      <c r="C15" s="1" t="s">
        <v>946</v>
      </c>
      <c r="D15" s="1">
        <v>10</v>
      </c>
      <c r="G15" s="1">
        <v>20250609</v>
      </c>
      <c r="H15" s="159">
        <v>10</v>
      </c>
      <c r="K15" s="159" t="s">
        <v>2134</v>
      </c>
      <c r="L15" s="6" t="s">
        <v>2729</v>
      </c>
      <c r="N15" s="1" t="s">
        <v>3026</v>
      </c>
      <c r="O15" s="32">
        <v>154</v>
      </c>
      <c r="P15" s="32">
        <f t="shared" si="0"/>
        <v>115.5</v>
      </c>
      <c r="Q15" s="32">
        <f t="shared" si="1"/>
        <v>1155</v>
      </c>
    </row>
    <row r="16" spans="1:19">
      <c r="A16" s="1" t="s">
        <v>58</v>
      </c>
      <c r="B16" s="1" t="s">
        <v>420</v>
      </c>
      <c r="C16" s="6" t="s">
        <v>419</v>
      </c>
      <c r="D16" s="6">
        <v>4</v>
      </c>
      <c r="F16" s="1">
        <v>20201031</v>
      </c>
      <c r="G16" s="1">
        <v>20201231</v>
      </c>
      <c r="H16" s="159" t="s">
        <v>699</v>
      </c>
      <c r="J16" s="7"/>
      <c r="K16" s="12" t="s">
        <v>1891</v>
      </c>
      <c r="L16" s="12" t="s">
        <v>1892</v>
      </c>
      <c r="O16" s="32">
        <v>950</v>
      </c>
      <c r="P16" s="32">
        <f t="shared" si="0"/>
        <v>712.5</v>
      </c>
      <c r="Q16" s="32">
        <f t="shared" si="1"/>
        <v>2850</v>
      </c>
    </row>
    <row r="17" spans="1:18" s="6" customFormat="1">
      <c r="A17" s="6" t="s">
        <v>398</v>
      </c>
      <c r="B17" s="6" t="s">
        <v>495</v>
      </c>
      <c r="C17" s="1" t="s">
        <v>2578</v>
      </c>
      <c r="D17" s="6">
        <v>5</v>
      </c>
      <c r="F17" s="6">
        <v>20240125</v>
      </c>
      <c r="G17" s="6">
        <v>20240418</v>
      </c>
      <c r="H17" s="159" t="s">
        <v>699</v>
      </c>
      <c r="I17" s="169"/>
      <c r="J17" s="7"/>
      <c r="K17" s="12" t="s">
        <v>2134</v>
      </c>
      <c r="L17" s="12" t="s">
        <v>2135</v>
      </c>
      <c r="M17" s="6" t="s">
        <v>2339</v>
      </c>
      <c r="O17" s="32">
        <v>215</v>
      </c>
      <c r="P17" s="32">
        <f>O17*0.75</f>
        <v>161.25</v>
      </c>
      <c r="Q17" s="32">
        <f>D17*P17</f>
        <v>806.25</v>
      </c>
      <c r="R17" s="32"/>
    </row>
    <row r="18" spans="1:18" s="6" customFormat="1">
      <c r="A18" s="6" t="s">
        <v>398</v>
      </c>
      <c r="B18" s="6" t="s">
        <v>2622</v>
      </c>
      <c r="C18" s="1" t="s">
        <v>2623</v>
      </c>
      <c r="D18" s="6">
        <v>6</v>
      </c>
      <c r="F18" s="6">
        <v>20240624</v>
      </c>
      <c r="G18" s="6">
        <v>20240927</v>
      </c>
      <c r="H18" s="159">
        <v>10</v>
      </c>
      <c r="I18" s="169"/>
      <c r="J18" s="7"/>
      <c r="K18" s="12" t="s">
        <v>2624</v>
      </c>
      <c r="L18" s="12"/>
      <c r="M18" s="6" t="s">
        <v>2625</v>
      </c>
      <c r="O18" s="32">
        <v>1650</v>
      </c>
      <c r="P18" s="32">
        <f>O18*0.75</f>
        <v>1237.5</v>
      </c>
      <c r="Q18" s="32">
        <f>D18*P18</f>
        <v>7425</v>
      </c>
      <c r="R18" s="32"/>
    </row>
    <row r="19" spans="1:18">
      <c r="A19" s="1" t="s">
        <v>398</v>
      </c>
      <c r="B19" s="1" t="s">
        <v>401</v>
      </c>
      <c r="C19" s="1" t="s">
        <v>2863</v>
      </c>
      <c r="D19" s="4">
        <v>3</v>
      </c>
      <c r="E19"/>
      <c r="F19" s="1">
        <v>20200723</v>
      </c>
      <c r="G19" s="1">
        <v>20200923</v>
      </c>
      <c r="H19" s="159" t="s">
        <v>699</v>
      </c>
      <c r="J19" s="7"/>
      <c r="K19" s="12" t="s">
        <v>1411</v>
      </c>
      <c r="L19" s="12" t="s">
        <v>1412</v>
      </c>
      <c r="N19" s="1" t="s">
        <v>524</v>
      </c>
      <c r="O19" s="32">
        <v>1150</v>
      </c>
      <c r="P19" s="32">
        <f t="shared" ref="P19:P44" si="2">O19*0.75</f>
        <v>862.5</v>
      </c>
      <c r="Q19" s="32">
        <f t="shared" ref="Q19:Q44" si="3">D19*P19</f>
        <v>2587.5</v>
      </c>
    </row>
    <row r="20" spans="1:18">
      <c r="A20" s="1" t="s">
        <v>398</v>
      </c>
      <c r="B20" s="1" t="s">
        <v>467</v>
      </c>
      <c r="C20" s="1" t="s">
        <v>2863</v>
      </c>
      <c r="D20" s="1">
        <v>3</v>
      </c>
      <c r="F20" s="1">
        <v>20210228</v>
      </c>
      <c r="G20" s="1">
        <v>20210428</v>
      </c>
      <c r="H20" s="159" t="s">
        <v>699</v>
      </c>
      <c r="I20" s="1" t="s">
        <v>2581</v>
      </c>
      <c r="J20" s="7"/>
      <c r="K20" s="12" t="s">
        <v>1413</v>
      </c>
      <c r="L20" s="12" t="s">
        <v>1414</v>
      </c>
      <c r="N20" s="1" t="s">
        <v>525</v>
      </c>
      <c r="O20" s="32">
        <v>180</v>
      </c>
      <c r="P20" s="32">
        <f t="shared" si="2"/>
        <v>135</v>
      </c>
      <c r="Q20" s="32">
        <f t="shared" si="3"/>
        <v>405</v>
      </c>
    </row>
    <row r="21" spans="1:18">
      <c r="A21" s="1" t="s">
        <v>398</v>
      </c>
      <c r="B21" s="1" t="s">
        <v>465</v>
      </c>
      <c r="C21" s="1" t="s">
        <v>2863</v>
      </c>
      <c r="D21" s="1">
        <v>98</v>
      </c>
      <c r="F21" s="1">
        <v>20210215</v>
      </c>
      <c r="G21" s="1">
        <v>20210415</v>
      </c>
      <c r="H21" s="159" t="s">
        <v>699</v>
      </c>
      <c r="I21" s="1" t="s">
        <v>2581</v>
      </c>
      <c r="J21" s="7"/>
      <c r="K21" s="12" t="s">
        <v>1415</v>
      </c>
      <c r="L21" s="12" t="s">
        <v>1416</v>
      </c>
      <c r="N21" s="1" t="s">
        <v>525</v>
      </c>
      <c r="O21" s="32">
        <v>151</v>
      </c>
      <c r="P21" s="32">
        <f t="shared" si="2"/>
        <v>113.25</v>
      </c>
      <c r="Q21" s="32">
        <f t="shared" si="3"/>
        <v>11098.5</v>
      </c>
    </row>
    <row r="22" spans="1:18">
      <c r="A22" s="1" t="s">
        <v>58</v>
      </c>
      <c r="B22" s="6" t="s">
        <v>155</v>
      </c>
      <c r="C22" s="1" t="s">
        <v>2863</v>
      </c>
      <c r="D22" s="6">
        <v>15</v>
      </c>
      <c r="F22" s="1">
        <v>20201018</v>
      </c>
      <c r="G22" s="1">
        <v>20201218</v>
      </c>
      <c r="H22" s="159" t="s">
        <v>699</v>
      </c>
      <c r="J22" s="7"/>
      <c r="K22" s="12" t="s">
        <v>1417</v>
      </c>
      <c r="L22" s="12" t="s">
        <v>1418</v>
      </c>
      <c r="N22" s="1" t="s">
        <v>521</v>
      </c>
      <c r="O22" s="32">
        <v>650</v>
      </c>
      <c r="P22" s="32">
        <f t="shared" si="2"/>
        <v>487.5</v>
      </c>
      <c r="Q22" s="32">
        <f t="shared" si="3"/>
        <v>7312.5</v>
      </c>
    </row>
    <row r="23" spans="1:18">
      <c r="A23" s="1" t="s">
        <v>58</v>
      </c>
      <c r="B23" s="1" t="s">
        <v>105</v>
      </c>
      <c r="C23" s="1" t="s">
        <v>2863</v>
      </c>
      <c r="D23" s="6">
        <v>15</v>
      </c>
      <c r="F23" s="1">
        <v>20201021</v>
      </c>
      <c r="G23" s="1">
        <v>20201221</v>
      </c>
      <c r="H23" s="159" t="s">
        <v>699</v>
      </c>
      <c r="J23" s="7"/>
      <c r="K23" s="12" t="s">
        <v>1419</v>
      </c>
      <c r="L23" s="12" t="s">
        <v>1420</v>
      </c>
      <c r="N23" s="1" t="s">
        <v>521</v>
      </c>
      <c r="O23" s="32">
        <v>820</v>
      </c>
      <c r="P23" s="32">
        <f t="shared" si="2"/>
        <v>615</v>
      </c>
      <c r="Q23" s="32">
        <f t="shared" si="3"/>
        <v>9225</v>
      </c>
    </row>
    <row r="24" spans="1:18">
      <c r="A24" s="1" t="s">
        <v>398</v>
      </c>
      <c r="B24" s="1" t="s">
        <v>402</v>
      </c>
      <c r="C24" s="1" t="s">
        <v>2863</v>
      </c>
      <c r="D24" s="6">
        <v>15</v>
      </c>
      <c r="F24" s="1">
        <v>20201029</v>
      </c>
      <c r="G24" s="1">
        <v>20201229</v>
      </c>
      <c r="H24" s="159" t="s">
        <v>699</v>
      </c>
      <c r="J24" s="7"/>
      <c r="K24" s="12" t="s">
        <v>1421</v>
      </c>
      <c r="L24" s="12" t="s">
        <v>1023</v>
      </c>
      <c r="N24" s="1" t="s">
        <v>521</v>
      </c>
      <c r="O24" s="32">
        <v>910</v>
      </c>
      <c r="P24" s="32">
        <f t="shared" si="2"/>
        <v>682.5</v>
      </c>
      <c r="Q24" s="32">
        <f t="shared" si="3"/>
        <v>10237.5</v>
      </c>
    </row>
    <row r="25" spans="1:18">
      <c r="A25" s="1" t="s">
        <v>398</v>
      </c>
      <c r="B25" s="1" t="s">
        <v>603</v>
      </c>
      <c r="C25" s="1" t="s">
        <v>2863</v>
      </c>
      <c r="D25" s="6">
        <v>55</v>
      </c>
      <c r="F25" s="1">
        <v>20211020</v>
      </c>
      <c r="G25" s="1">
        <v>20211220</v>
      </c>
      <c r="H25" s="159" t="s">
        <v>699</v>
      </c>
      <c r="K25" s="12" t="s">
        <v>2115</v>
      </c>
      <c r="L25" s="12" t="s">
        <v>1422</v>
      </c>
      <c r="N25" s="1" t="s">
        <v>521</v>
      </c>
      <c r="O25" s="32">
        <v>147</v>
      </c>
      <c r="P25" s="32">
        <f t="shared" si="2"/>
        <v>110.25</v>
      </c>
      <c r="Q25" s="32">
        <f t="shared" si="3"/>
        <v>6063.75</v>
      </c>
    </row>
    <row r="26" spans="1:18">
      <c r="A26" s="1" t="s">
        <v>398</v>
      </c>
      <c r="B26" s="134" t="s">
        <v>399</v>
      </c>
      <c r="C26" s="1" t="s">
        <v>2863</v>
      </c>
      <c r="D26" s="6">
        <v>11</v>
      </c>
      <c r="F26" s="1">
        <v>20201021</v>
      </c>
      <c r="G26" s="1">
        <v>20201221</v>
      </c>
      <c r="H26" s="159" t="s">
        <v>699</v>
      </c>
      <c r="J26" s="7"/>
      <c r="K26" s="12" t="s">
        <v>1889</v>
      </c>
      <c r="L26" s="12" t="s">
        <v>1890</v>
      </c>
      <c r="N26" s="1" t="s">
        <v>521</v>
      </c>
      <c r="O26" s="32">
        <v>890</v>
      </c>
      <c r="P26" s="32">
        <f t="shared" si="2"/>
        <v>667.5</v>
      </c>
      <c r="Q26" s="32">
        <f t="shared" si="3"/>
        <v>7342.5</v>
      </c>
    </row>
    <row r="27" spans="1:18">
      <c r="A27" s="1" t="s">
        <v>58</v>
      </c>
      <c r="B27" s="133" t="s">
        <v>766</v>
      </c>
      <c r="C27" s="1" t="s">
        <v>2863</v>
      </c>
      <c r="D27" s="1">
        <v>1</v>
      </c>
      <c r="F27" s="1">
        <v>20220825</v>
      </c>
      <c r="G27" s="1">
        <v>20221025</v>
      </c>
      <c r="H27" s="159" t="s">
        <v>699</v>
      </c>
      <c r="I27" s="21" t="s">
        <v>767</v>
      </c>
      <c r="K27" s="12" t="s">
        <v>1889</v>
      </c>
      <c r="L27" s="12" t="s">
        <v>1890</v>
      </c>
      <c r="N27" s="1" t="s">
        <v>516</v>
      </c>
      <c r="O27" s="32">
        <v>890</v>
      </c>
      <c r="P27" s="32">
        <f t="shared" si="2"/>
        <v>667.5</v>
      </c>
      <c r="Q27" s="32">
        <f t="shared" si="3"/>
        <v>667.5</v>
      </c>
    </row>
    <row r="28" spans="1:18">
      <c r="A28" s="1" t="s">
        <v>58</v>
      </c>
      <c r="B28" s="6" t="s">
        <v>866</v>
      </c>
      <c r="C28" s="1" t="s">
        <v>2863</v>
      </c>
      <c r="D28" s="1">
        <v>2</v>
      </c>
      <c r="F28" s="1">
        <v>20230114</v>
      </c>
      <c r="G28" s="1">
        <v>20230314</v>
      </c>
      <c r="H28" s="159" t="s">
        <v>699</v>
      </c>
      <c r="I28" s="21" t="s">
        <v>867</v>
      </c>
      <c r="K28" s="12" t="s">
        <v>1424</v>
      </c>
      <c r="L28" s="12" t="s">
        <v>1023</v>
      </c>
      <c r="M28" s="1" t="s">
        <v>868</v>
      </c>
      <c r="N28" s="1" t="s">
        <v>929</v>
      </c>
      <c r="O28" s="136">
        <v>0</v>
      </c>
      <c r="P28" s="32">
        <f t="shared" si="2"/>
        <v>0</v>
      </c>
      <c r="Q28" s="32">
        <f t="shared" si="3"/>
        <v>0</v>
      </c>
      <c r="R28" s="208" t="s">
        <v>2211</v>
      </c>
    </row>
    <row r="29" spans="1:18">
      <c r="A29" s="1" t="s">
        <v>58</v>
      </c>
      <c r="B29" s="1" t="s">
        <v>925</v>
      </c>
      <c r="C29" s="1" t="s">
        <v>2863</v>
      </c>
      <c r="D29" s="1">
        <v>3</v>
      </c>
      <c r="F29" s="1">
        <v>20230402</v>
      </c>
      <c r="G29" s="1">
        <v>20230602</v>
      </c>
      <c r="H29" s="159" t="s">
        <v>699</v>
      </c>
      <c r="K29" s="12" t="s">
        <v>1425</v>
      </c>
      <c r="L29" s="12" t="s">
        <v>1023</v>
      </c>
      <c r="M29" s="1" t="s">
        <v>926</v>
      </c>
      <c r="N29" s="1" t="s">
        <v>516</v>
      </c>
      <c r="O29" s="136">
        <v>0</v>
      </c>
      <c r="P29" s="32">
        <f t="shared" si="2"/>
        <v>0</v>
      </c>
      <c r="Q29" s="32">
        <f t="shared" si="3"/>
        <v>0</v>
      </c>
      <c r="R29" s="208" t="s">
        <v>2211</v>
      </c>
    </row>
    <row r="30" spans="1:18">
      <c r="A30" s="1" t="s">
        <v>58</v>
      </c>
      <c r="B30" s="6" t="s">
        <v>924</v>
      </c>
      <c r="C30" s="1" t="s">
        <v>2863</v>
      </c>
      <c r="D30" s="1">
        <v>2</v>
      </c>
      <c r="F30" s="1">
        <v>20230402</v>
      </c>
      <c r="G30" s="1">
        <v>20230602</v>
      </c>
      <c r="H30" s="159" t="s">
        <v>699</v>
      </c>
      <c r="K30" s="12" t="s">
        <v>1425</v>
      </c>
      <c r="L30" s="12" t="s">
        <v>1023</v>
      </c>
      <c r="M30" s="1" t="s">
        <v>927</v>
      </c>
      <c r="N30" s="1" t="s">
        <v>516</v>
      </c>
      <c r="O30" s="136">
        <v>0</v>
      </c>
      <c r="P30" s="32">
        <f t="shared" si="2"/>
        <v>0</v>
      </c>
      <c r="Q30" s="32">
        <f t="shared" si="3"/>
        <v>0</v>
      </c>
      <c r="R30" s="208" t="s">
        <v>2211</v>
      </c>
    </row>
    <row r="31" spans="1:18">
      <c r="A31" s="1" t="s">
        <v>58</v>
      </c>
      <c r="B31" s="1" t="s">
        <v>903</v>
      </c>
      <c r="C31" s="1" t="s">
        <v>2863</v>
      </c>
      <c r="D31" s="1">
        <v>2</v>
      </c>
      <c r="F31" s="1">
        <v>20230302</v>
      </c>
      <c r="G31" s="1">
        <v>20230502</v>
      </c>
      <c r="H31" s="159" t="s">
        <v>699</v>
      </c>
      <c r="K31" s="12" t="s">
        <v>1426</v>
      </c>
      <c r="L31" s="12" t="s">
        <v>1023</v>
      </c>
      <c r="M31" s="1" t="s">
        <v>906</v>
      </c>
      <c r="N31" s="1" t="s">
        <v>516</v>
      </c>
      <c r="O31" s="136">
        <v>4000</v>
      </c>
      <c r="P31" s="32">
        <f t="shared" si="2"/>
        <v>3000</v>
      </c>
      <c r="Q31" s="32">
        <f t="shared" si="3"/>
        <v>6000</v>
      </c>
    </row>
    <row r="32" spans="1:18">
      <c r="A32" s="1" t="s">
        <v>58</v>
      </c>
      <c r="B32" s="6" t="s">
        <v>905</v>
      </c>
      <c r="C32" s="1" t="s">
        <v>2863</v>
      </c>
      <c r="D32" s="1">
        <v>3</v>
      </c>
      <c r="F32" s="1">
        <v>20230302</v>
      </c>
      <c r="G32" s="1">
        <v>20230502</v>
      </c>
      <c r="H32" s="159" t="s">
        <v>699</v>
      </c>
      <c r="K32" s="12" t="s">
        <v>1427</v>
      </c>
      <c r="L32" s="12" t="s">
        <v>1023</v>
      </c>
      <c r="M32" s="1" t="s">
        <v>907</v>
      </c>
      <c r="N32" s="1" t="s">
        <v>516</v>
      </c>
      <c r="O32" s="136">
        <v>0</v>
      </c>
      <c r="P32" s="32">
        <f t="shared" si="2"/>
        <v>0</v>
      </c>
      <c r="Q32" s="32">
        <f t="shared" si="3"/>
        <v>0</v>
      </c>
      <c r="R32" s="208" t="s">
        <v>2211</v>
      </c>
    </row>
    <row r="33" spans="1:18">
      <c r="A33" s="1" t="s">
        <v>58</v>
      </c>
      <c r="B33" s="1" t="s">
        <v>904</v>
      </c>
      <c r="C33" s="1" t="s">
        <v>2863</v>
      </c>
      <c r="D33" s="1">
        <v>2</v>
      </c>
      <c r="F33" s="1">
        <v>20230302</v>
      </c>
      <c r="G33" s="1">
        <v>20230502</v>
      </c>
      <c r="H33" s="159" t="s">
        <v>699</v>
      </c>
      <c r="K33" s="12" t="s">
        <v>1427</v>
      </c>
      <c r="L33" s="12" t="s">
        <v>1023</v>
      </c>
      <c r="M33" s="1" t="s">
        <v>908</v>
      </c>
      <c r="N33" s="1" t="s">
        <v>516</v>
      </c>
      <c r="O33" s="136">
        <v>0</v>
      </c>
      <c r="P33" s="32">
        <f t="shared" si="2"/>
        <v>0</v>
      </c>
      <c r="Q33" s="32">
        <f t="shared" si="3"/>
        <v>0</v>
      </c>
      <c r="R33" s="208" t="s">
        <v>2211</v>
      </c>
    </row>
    <row r="34" spans="1:18">
      <c r="A34" s="1" t="s">
        <v>58</v>
      </c>
      <c r="B34" s="1" t="s">
        <v>1873</v>
      </c>
      <c r="C34" s="1" t="s">
        <v>2863</v>
      </c>
      <c r="D34" s="1">
        <v>5</v>
      </c>
      <c r="F34" s="1">
        <v>20230629</v>
      </c>
      <c r="G34" s="1">
        <v>20230921</v>
      </c>
      <c r="H34" s="159" t="s">
        <v>699</v>
      </c>
      <c r="I34" s="1" t="s">
        <v>1874</v>
      </c>
      <c r="K34" s="12" t="s">
        <v>1878</v>
      </c>
      <c r="L34" s="12"/>
      <c r="N34" s="1" t="s">
        <v>1879</v>
      </c>
      <c r="O34" s="136">
        <v>43</v>
      </c>
      <c r="P34" s="32">
        <f t="shared" si="2"/>
        <v>32.25</v>
      </c>
      <c r="Q34" s="32">
        <f t="shared" si="3"/>
        <v>161.25</v>
      </c>
    </row>
    <row r="35" spans="1:18">
      <c r="A35" s="1" t="s">
        <v>58</v>
      </c>
      <c r="B35" s="1" t="s">
        <v>1875</v>
      </c>
      <c r="C35" s="1" t="s">
        <v>2863</v>
      </c>
      <c r="D35" s="1">
        <v>1</v>
      </c>
      <c r="F35" s="1">
        <v>20220906</v>
      </c>
      <c r="G35" s="1">
        <v>20230921</v>
      </c>
      <c r="H35" s="159" t="s">
        <v>1876</v>
      </c>
      <c r="I35" s="1" t="s">
        <v>1877</v>
      </c>
      <c r="K35" s="12" t="s">
        <v>1878</v>
      </c>
      <c r="L35" s="12"/>
      <c r="N35" s="1" t="s">
        <v>1879</v>
      </c>
      <c r="O35" s="136">
        <v>38</v>
      </c>
      <c r="P35" s="32">
        <f t="shared" si="2"/>
        <v>28.5</v>
      </c>
      <c r="Q35" s="32">
        <f t="shared" si="3"/>
        <v>28.5</v>
      </c>
    </row>
    <row r="36" spans="1:18">
      <c r="A36" s="1" t="s">
        <v>398</v>
      </c>
      <c r="B36" s="4" t="s">
        <v>1017</v>
      </c>
      <c r="C36" s="1" t="s">
        <v>2863</v>
      </c>
      <c r="D36" s="12">
        <v>4</v>
      </c>
      <c r="E36"/>
      <c r="F36" s="1">
        <v>20231206</v>
      </c>
      <c r="G36" s="1">
        <v>20240202</v>
      </c>
      <c r="H36" s="159">
        <v>10</v>
      </c>
      <c r="J36" s="7"/>
      <c r="K36" s="12" t="s">
        <v>1428</v>
      </c>
      <c r="L36" s="12"/>
      <c r="M36" s="1" t="s">
        <v>2248</v>
      </c>
      <c r="N36" s="1" t="s">
        <v>2254</v>
      </c>
      <c r="O36" s="32">
        <v>320</v>
      </c>
      <c r="P36" s="32">
        <f t="shared" si="2"/>
        <v>240</v>
      </c>
      <c r="Q36" s="32">
        <f t="shared" si="3"/>
        <v>960</v>
      </c>
    </row>
    <row r="37" spans="1:18">
      <c r="A37" s="1" t="s">
        <v>398</v>
      </c>
      <c r="B37" s="4" t="s">
        <v>2250</v>
      </c>
      <c r="C37" s="1" t="s">
        <v>2863</v>
      </c>
      <c r="D37" s="12">
        <v>1</v>
      </c>
      <c r="E37"/>
      <c r="F37" s="1">
        <v>20231206</v>
      </c>
      <c r="G37" s="1">
        <v>20240202</v>
      </c>
      <c r="H37" s="159">
        <v>10</v>
      </c>
      <c r="J37" s="7"/>
      <c r="K37" s="12" t="s">
        <v>2251</v>
      </c>
      <c r="L37" s="12"/>
      <c r="M37" s="1" t="s">
        <v>2249</v>
      </c>
      <c r="N37" s="1" t="s">
        <v>2255</v>
      </c>
      <c r="O37" s="32">
        <v>676</v>
      </c>
      <c r="P37" s="32">
        <f t="shared" si="2"/>
        <v>507</v>
      </c>
      <c r="Q37" s="32">
        <f t="shared" si="3"/>
        <v>507</v>
      </c>
    </row>
    <row r="38" spans="1:18">
      <c r="A38" s="1" t="s">
        <v>398</v>
      </c>
      <c r="B38" s="4" t="s">
        <v>2294</v>
      </c>
      <c r="C38" s="1" t="s">
        <v>2863</v>
      </c>
      <c r="D38" s="12">
        <v>1</v>
      </c>
      <c r="E38"/>
      <c r="F38" s="1">
        <v>20231222</v>
      </c>
      <c r="G38" s="1">
        <v>20240321</v>
      </c>
      <c r="H38" s="159">
        <v>10</v>
      </c>
      <c r="J38" s="7"/>
      <c r="K38" s="12" t="s">
        <v>2297</v>
      </c>
      <c r="L38" s="12"/>
      <c r="M38" s="1" t="s">
        <v>2295</v>
      </c>
      <c r="N38" s="1" t="s">
        <v>2296</v>
      </c>
      <c r="O38" s="32">
        <v>1040</v>
      </c>
      <c r="P38" s="32">
        <f t="shared" si="2"/>
        <v>780</v>
      </c>
      <c r="Q38" s="32">
        <f t="shared" si="3"/>
        <v>780</v>
      </c>
      <c r="R38" s="216"/>
    </row>
    <row r="39" spans="1:18" s="6" customFormat="1">
      <c r="A39" s="6" t="s">
        <v>58</v>
      </c>
      <c r="B39" s="6" t="s">
        <v>609</v>
      </c>
      <c r="C39" s="1" t="s">
        <v>2863</v>
      </c>
      <c r="D39" s="6">
        <v>49</v>
      </c>
      <c r="F39" s="6">
        <v>20240321</v>
      </c>
      <c r="G39" s="6">
        <v>20240604</v>
      </c>
      <c r="H39" s="159" t="s">
        <v>699</v>
      </c>
      <c r="J39" s="7"/>
      <c r="K39" s="12" t="s">
        <v>2137</v>
      </c>
      <c r="L39" s="12" t="s">
        <v>2136</v>
      </c>
      <c r="M39" s="6" t="s">
        <v>2448</v>
      </c>
      <c r="N39" s="6" t="s">
        <v>516</v>
      </c>
      <c r="O39" s="32">
        <v>193</v>
      </c>
      <c r="P39" s="32">
        <f t="shared" si="2"/>
        <v>144.75</v>
      </c>
      <c r="Q39" s="32">
        <f t="shared" si="3"/>
        <v>7092.75</v>
      </c>
      <c r="R39" s="32"/>
    </row>
    <row r="40" spans="1:18" s="6" customFormat="1">
      <c r="A40" s="6" t="s">
        <v>58</v>
      </c>
      <c r="B40" s="6" t="s">
        <v>2509</v>
      </c>
      <c r="C40" s="1" t="s">
        <v>2863</v>
      </c>
      <c r="D40" s="6">
        <v>5</v>
      </c>
      <c r="F40" s="6">
        <v>20240513</v>
      </c>
      <c r="G40" s="6">
        <v>20240715</v>
      </c>
      <c r="H40" s="159">
        <v>10</v>
      </c>
      <c r="J40" s="7"/>
      <c r="K40" s="12" t="s">
        <v>2512</v>
      </c>
      <c r="L40" s="12"/>
      <c r="M40" s="6" t="s">
        <v>2511</v>
      </c>
      <c r="N40" s="6" t="s">
        <v>2510</v>
      </c>
      <c r="O40" s="32">
        <v>360</v>
      </c>
      <c r="P40" s="32">
        <f t="shared" si="2"/>
        <v>270</v>
      </c>
      <c r="Q40" s="32">
        <f t="shared" si="3"/>
        <v>1350</v>
      </c>
      <c r="R40" s="32"/>
    </row>
    <row r="41" spans="1:18" s="6" customFormat="1">
      <c r="A41" s="6" t="s">
        <v>58</v>
      </c>
      <c r="B41" s="6" t="s">
        <v>2514</v>
      </c>
      <c r="C41" s="1" t="s">
        <v>2863</v>
      </c>
      <c r="D41" s="6">
        <v>3</v>
      </c>
      <c r="F41" s="6">
        <v>20240509</v>
      </c>
      <c r="G41" s="6">
        <v>20240715</v>
      </c>
      <c r="H41" s="159">
        <v>10</v>
      </c>
      <c r="J41" s="7"/>
      <c r="K41" s="12" t="s">
        <v>2513</v>
      </c>
      <c r="L41" s="12"/>
      <c r="M41" s="6" t="s">
        <v>2515</v>
      </c>
      <c r="N41" s="6" t="s">
        <v>2516</v>
      </c>
      <c r="O41" s="32">
        <v>360</v>
      </c>
      <c r="P41" s="32">
        <f t="shared" si="2"/>
        <v>270</v>
      </c>
      <c r="Q41" s="32">
        <f t="shared" si="3"/>
        <v>810</v>
      </c>
      <c r="R41" s="32"/>
    </row>
    <row r="42" spans="1:18">
      <c r="A42" s="1" t="s">
        <v>58</v>
      </c>
      <c r="B42" s="1" t="s">
        <v>719</v>
      </c>
      <c r="C42" s="1" t="s">
        <v>2863</v>
      </c>
      <c r="D42" s="12">
        <v>211</v>
      </c>
      <c r="F42" s="1">
        <v>20220226</v>
      </c>
      <c r="G42" s="1">
        <v>20220426</v>
      </c>
      <c r="H42" s="159" t="s">
        <v>699</v>
      </c>
      <c r="J42" s="7"/>
      <c r="K42" s="12" t="s">
        <v>1429</v>
      </c>
      <c r="L42" s="12" t="s">
        <v>1430</v>
      </c>
      <c r="N42" s="1" t="s">
        <v>720</v>
      </c>
      <c r="O42" s="32">
        <v>181</v>
      </c>
      <c r="P42" s="32">
        <f t="shared" si="2"/>
        <v>135.75</v>
      </c>
      <c r="Q42" s="32">
        <f t="shared" si="3"/>
        <v>28643.25</v>
      </c>
    </row>
    <row r="43" spans="1:18">
      <c r="A43" s="1" t="s">
        <v>58</v>
      </c>
      <c r="B43" s="1" t="s">
        <v>832</v>
      </c>
      <c r="C43" s="1" t="s">
        <v>2863</v>
      </c>
      <c r="D43" s="12">
        <v>255</v>
      </c>
      <c r="F43" s="1">
        <v>20221116</v>
      </c>
      <c r="G43" s="1">
        <v>20230116</v>
      </c>
      <c r="H43" s="159" t="s">
        <v>699</v>
      </c>
      <c r="J43" s="7"/>
      <c r="K43" s="12" t="s">
        <v>2131</v>
      </c>
      <c r="L43" s="12" t="s">
        <v>1431</v>
      </c>
      <c r="M43" s="1" t="s">
        <v>830</v>
      </c>
      <c r="N43" s="1" t="s">
        <v>831</v>
      </c>
      <c r="O43" s="32">
        <v>296</v>
      </c>
      <c r="P43" s="32">
        <f t="shared" si="2"/>
        <v>222</v>
      </c>
      <c r="Q43" s="32">
        <f t="shared" si="3"/>
        <v>56610</v>
      </c>
    </row>
    <row r="44" spans="1:18">
      <c r="A44" s="1" t="s">
        <v>398</v>
      </c>
      <c r="B44" s="4" t="s">
        <v>634</v>
      </c>
      <c r="C44" s="1" t="s">
        <v>2863</v>
      </c>
      <c r="D44" s="12">
        <v>22</v>
      </c>
      <c r="E44"/>
      <c r="F44" s="1">
        <v>20220129</v>
      </c>
      <c r="G44" s="1">
        <v>20220329</v>
      </c>
      <c r="H44" s="159" t="s">
        <v>699</v>
      </c>
      <c r="J44" s="7"/>
      <c r="K44" s="12" t="s">
        <v>2132</v>
      </c>
      <c r="L44" s="12" t="s">
        <v>1432</v>
      </c>
      <c r="N44" s="1" t="s">
        <v>635</v>
      </c>
      <c r="O44" s="32">
        <v>710</v>
      </c>
      <c r="P44" s="32">
        <f t="shared" si="2"/>
        <v>532.5</v>
      </c>
      <c r="Q44" s="32">
        <f t="shared" si="3"/>
        <v>11715</v>
      </c>
    </row>
    <row r="45" spans="1:18">
      <c r="A45" s="1" t="s">
        <v>58</v>
      </c>
      <c r="B45" s="186" t="s">
        <v>2279</v>
      </c>
      <c r="C45" s="115" t="s">
        <v>2847</v>
      </c>
      <c r="D45" s="115">
        <v>1</v>
      </c>
      <c r="E45" s="115"/>
      <c r="F45" s="13">
        <v>20231116</v>
      </c>
      <c r="G45" s="13">
        <v>20230216</v>
      </c>
      <c r="H45" s="160">
        <v>10</v>
      </c>
      <c r="I45" s="274" t="s">
        <v>2310</v>
      </c>
      <c r="J45" s="56" t="s">
        <v>2311</v>
      </c>
      <c r="K45" s="12" t="s">
        <v>2280</v>
      </c>
      <c r="L45" s="12" t="s">
        <v>2281</v>
      </c>
      <c r="M45" s="1" t="s">
        <v>2282</v>
      </c>
      <c r="N45" s="1" t="s">
        <v>2063</v>
      </c>
      <c r="O45" s="32">
        <v>73000</v>
      </c>
      <c r="P45" s="32">
        <f>O45*0.75</f>
        <v>54750</v>
      </c>
      <c r="Q45" s="32">
        <f>D45*P45</f>
        <v>54750</v>
      </c>
    </row>
    <row r="46" spans="1:18">
      <c r="A46" s="1" t="s">
        <v>58</v>
      </c>
      <c r="B46" s="129" t="s">
        <v>2302</v>
      </c>
      <c r="C46" s="12" t="s">
        <v>2847</v>
      </c>
      <c r="D46" s="12">
        <v>1</v>
      </c>
      <c r="E46" s="12"/>
      <c r="F46" s="1">
        <v>20231116</v>
      </c>
      <c r="G46" s="1">
        <v>20240321</v>
      </c>
      <c r="H46" s="159">
        <v>10</v>
      </c>
      <c r="I46" s="172" t="s">
        <v>2308</v>
      </c>
      <c r="J46" s="80" t="s">
        <v>2311</v>
      </c>
      <c r="K46" s="12" t="s">
        <v>2305</v>
      </c>
      <c r="L46" s="12" t="s">
        <v>2306</v>
      </c>
      <c r="M46" s="1" t="s">
        <v>2304</v>
      </c>
      <c r="N46" s="1" t="s">
        <v>2296</v>
      </c>
      <c r="O46" s="32">
        <v>37510</v>
      </c>
      <c r="P46" s="32">
        <f>O46*0.75</f>
        <v>28132.5</v>
      </c>
      <c r="Q46" s="32">
        <f>D46*P46</f>
        <v>28132.5</v>
      </c>
    </row>
    <row r="47" spans="1:18">
      <c r="A47" s="1" t="s">
        <v>58</v>
      </c>
      <c r="B47" s="12" t="s">
        <v>2303</v>
      </c>
      <c r="C47" s="12" t="s">
        <v>2848</v>
      </c>
      <c r="D47" s="12">
        <v>1</v>
      </c>
      <c r="E47" s="12"/>
      <c r="F47" s="1">
        <v>20231116</v>
      </c>
      <c r="G47" s="1">
        <v>20240321</v>
      </c>
      <c r="H47" s="159">
        <v>10</v>
      </c>
      <c r="I47" s="172" t="s">
        <v>2822</v>
      </c>
      <c r="J47" s="80" t="s">
        <v>2823</v>
      </c>
      <c r="K47" s="12" t="s">
        <v>2132</v>
      </c>
      <c r="L47" s="12" t="s">
        <v>2307</v>
      </c>
      <c r="M47" s="1" t="s">
        <v>2826</v>
      </c>
      <c r="N47" s="1" t="s">
        <v>2063</v>
      </c>
      <c r="O47" s="32">
        <v>22550</v>
      </c>
      <c r="P47" s="32">
        <f>O47*0.75</f>
        <v>16912.5</v>
      </c>
      <c r="Q47" s="32">
        <f>D47*P47</f>
        <v>16912.5</v>
      </c>
    </row>
    <row r="48" spans="1:18">
      <c r="A48" s="1" t="s">
        <v>58</v>
      </c>
      <c r="B48" s="129" t="s">
        <v>718</v>
      </c>
      <c r="C48" s="12" t="s">
        <v>2860</v>
      </c>
      <c r="D48" s="128">
        <v>207</v>
      </c>
      <c r="E48" s="12"/>
      <c r="F48" s="1">
        <v>20220226</v>
      </c>
      <c r="G48" s="1">
        <v>20220426</v>
      </c>
      <c r="H48" s="159" t="s">
        <v>699</v>
      </c>
      <c r="I48" s="1" t="s">
        <v>2363</v>
      </c>
      <c r="J48" s="80" t="s">
        <v>2862</v>
      </c>
      <c r="K48" s="12" t="s">
        <v>2133</v>
      </c>
      <c r="L48" s="12" t="s">
        <v>1423</v>
      </c>
      <c r="O48" s="32">
        <v>315</v>
      </c>
      <c r="P48" s="32">
        <f>O48*0.75</f>
        <v>236.25</v>
      </c>
      <c r="Q48" s="32">
        <f>D48*P48</f>
        <v>48903.75</v>
      </c>
    </row>
    <row r="49" spans="1:19">
      <c r="A49" s="1" t="s">
        <v>58</v>
      </c>
      <c r="B49" s="139" t="s">
        <v>820</v>
      </c>
      <c r="C49" s="14" t="s">
        <v>2861</v>
      </c>
      <c r="D49" s="40">
        <v>9</v>
      </c>
      <c r="E49" s="14"/>
      <c r="F49" s="14">
        <v>20221105</v>
      </c>
      <c r="G49" s="14">
        <v>20230105</v>
      </c>
      <c r="H49" s="161" t="s">
        <v>699</v>
      </c>
      <c r="I49" s="14"/>
      <c r="J49" s="40" t="s">
        <v>2859</v>
      </c>
      <c r="K49" s="12" t="s">
        <v>2115</v>
      </c>
      <c r="L49" s="12" t="s">
        <v>1423</v>
      </c>
      <c r="M49" s="1" t="s">
        <v>821</v>
      </c>
      <c r="N49" s="1" t="s">
        <v>516</v>
      </c>
      <c r="O49" s="32">
        <v>315</v>
      </c>
      <c r="P49" s="32">
        <f>O49*0.75</f>
        <v>236.25</v>
      </c>
      <c r="Q49" s="32">
        <f>D49*P49</f>
        <v>2126.25</v>
      </c>
    </row>
    <row r="50" spans="1:19">
      <c r="D50" s="104">
        <f ca="1">SUM(D4:D54)</f>
        <v>11384</v>
      </c>
      <c r="E50" s="109">
        <f>ROW()-4</f>
        <v>46</v>
      </c>
      <c r="Q50" s="32">
        <f>SUM(Q4:Q49)</f>
        <v>423045.75</v>
      </c>
    </row>
    <row r="53" spans="1:19">
      <c r="B53" s="6"/>
      <c r="F53"/>
      <c r="G53"/>
    </row>
    <row r="54" spans="1:19">
      <c r="A54" s="38"/>
      <c r="B54" s="38" t="s">
        <v>328</v>
      </c>
      <c r="C54" s="38"/>
      <c r="D54" s="38"/>
      <c r="E54" s="38"/>
      <c r="F54" s="38"/>
      <c r="G54" s="38"/>
      <c r="H54" s="164"/>
      <c r="I54" s="38"/>
      <c r="J54" s="38"/>
      <c r="K54" s="38"/>
      <c r="L54" s="38"/>
      <c r="M54" s="38"/>
      <c r="N54" s="38"/>
      <c r="O54" s="54"/>
      <c r="P54" s="54"/>
      <c r="Q54" s="54"/>
      <c r="R54" s="54"/>
      <c r="S54" s="38"/>
    </row>
    <row r="55" spans="1:19">
      <c r="A55" s="1" t="s">
        <v>58</v>
      </c>
      <c r="B55" s="277" t="s">
        <v>2556</v>
      </c>
      <c r="C55" s="278" t="s">
        <v>2850</v>
      </c>
      <c r="D55" s="278">
        <v>0</v>
      </c>
      <c r="E55" s="115"/>
      <c r="F55" s="13">
        <v>20240515</v>
      </c>
      <c r="G55" s="13">
        <v>20240823</v>
      </c>
      <c r="H55" s="160">
        <v>10</v>
      </c>
      <c r="I55" s="13"/>
      <c r="J55" s="357" t="s">
        <v>2311</v>
      </c>
      <c r="K55" s="12" t="s">
        <v>2561</v>
      </c>
      <c r="L55" s="12"/>
      <c r="M55" s="1" t="s">
        <v>2562</v>
      </c>
      <c r="N55" s="3"/>
      <c r="O55" s="32">
        <v>2850</v>
      </c>
      <c r="P55" s="32">
        <f t="shared" ref="P55:P59" si="4">O55*0.75</f>
        <v>2137.5</v>
      </c>
      <c r="Q55" s="32">
        <f t="shared" ref="Q55:Q59" si="5">D55*P55</f>
        <v>0</v>
      </c>
    </row>
    <row r="56" spans="1:19">
      <c r="A56" s="1" t="s">
        <v>58</v>
      </c>
      <c r="B56" s="279" t="s">
        <v>2557</v>
      </c>
      <c r="C56" s="101" t="s">
        <v>2849</v>
      </c>
      <c r="D56" s="101">
        <v>0</v>
      </c>
      <c r="E56" s="12"/>
      <c r="F56" s="1">
        <v>20240515</v>
      </c>
      <c r="G56" s="1">
        <v>20240823</v>
      </c>
      <c r="H56" s="159">
        <v>10</v>
      </c>
      <c r="J56" s="359"/>
      <c r="K56" s="12" t="s">
        <v>2567</v>
      </c>
      <c r="L56" s="12"/>
      <c r="M56" s="1" t="s">
        <v>2563</v>
      </c>
      <c r="N56" s="3"/>
      <c r="O56" s="32">
        <v>2850</v>
      </c>
      <c r="P56" s="32">
        <f t="shared" si="4"/>
        <v>2137.5</v>
      </c>
      <c r="Q56" s="32">
        <f t="shared" si="5"/>
        <v>0</v>
      </c>
    </row>
    <row r="57" spans="1:19">
      <c r="A57" s="1" t="s">
        <v>58</v>
      </c>
      <c r="B57" s="279" t="s">
        <v>2558</v>
      </c>
      <c r="C57" s="101" t="s">
        <v>2849</v>
      </c>
      <c r="D57" s="101">
        <v>0</v>
      </c>
      <c r="E57" s="12"/>
      <c r="F57" s="1">
        <v>20240515</v>
      </c>
      <c r="G57" s="1">
        <v>20240823</v>
      </c>
      <c r="H57" s="159">
        <v>10</v>
      </c>
      <c r="J57" s="359"/>
      <c r="K57" s="12" t="s">
        <v>2568</v>
      </c>
      <c r="L57" s="12"/>
      <c r="M57" s="1" t="s">
        <v>2564</v>
      </c>
      <c r="N57" s="3"/>
      <c r="O57" s="32">
        <v>2850</v>
      </c>
      <c r="P57" s="32">
        <f t="shared" si="4"/>
        <v>2137.5</v>
      </c>
      <c r="Q57" s="32">
        <f t="shared" si="5"/>
        <v>0</v>
      </c>
    </row>
    <row r="58" spans="1:19">
      <c r="A58" s="1" t="s">
        <v>58</v>
      </c>
      <c r="B58" s="279" t="s">
        <v>2559</v>
      </c>
      <c r="C58" s="101" t="s">
        <v>2849</v>
      </c>
      <c r="D58" s="101">
        <v>0</v>
      </c>
      <c r="E58" s="12"/>
      <c r="F58" s="1">
        <v>20240515</v>
      </c>
      <c r="G58" s="1">
        <v>20240823</v>
      </c>
      <c r="H58" s="159">
        <v>10</v>
      </c>
      <c r="J58" s="359"/>
      <c r="K58" s="12" t="s">
        <v>2569</v>
      </c>
      <c r="L58" s="12"/>
      <c r="M58" s="1" t="s">
        <v>2565</v>
      </c>
      <c r="N58" s="3"/>
      <c r="O58" s="32">
        <v>2850</v>
      </c>
      <c r="P58" s="32">
        <f t="shared" si="4"/>
        <v>2137.5</v>
      </c>
      <c r="Q58" s="32">
        <f t="shared" si="5"/>
        <v>0</v>
      </c>
    </row>
    <row r="59" spans="1:19">
      <c r="A59" s="1" t="s">
        <v>58</v>
      </c>
      <c r="B59" s="280" t="s">
        <v>2560</v>
      </c>
      <c r="C59" s="276" t="s">
        <v>2849</v>
      </c>
      <c r="D59" s="276">
        <v>0</v>
      </c>
      <c r="E59" s="88"/>
      <c r="F59" s="14">
        <v>202400515</v>
      </c>
      <c r="G59" s="14">
        <v>20240823</v>
      </c>
      <c r="H59" s="161">
        <v>10</v>
      </c>
      <c r="I59" s="14"/>
      <c r="J59" s="358"/>
      <c r="K59" s="12" t="s">
        <v>2570</v>
      </c>
      <c r="L59" s="12"/>
      <c r="M59" s="1" t="s">
        <v>2566</v>
      </c>
      <c r="N59" s="3"/>
      <c r="O59" s="32">
        <v>2850</v>
      </c>
      <c r="P59" s="32">
        <f t="shared" si="4"/>
        <v>2137.5</v>
      </c>
      <c r="Q59" s="32">
        <f t="shared" si="5"/>
        <v>0</v>
      </c>
    </row>
    <row r="60" spans="1:19">
      <c r="A60" s="1" t="s">
        <v>398</v>
      </c>
      <c r="B60" s="302" t="s">
        <v>2096</v>
      </c>
      <c r="C60" s="65" t="s">
        <v>2863</v>
      </c>
      <c r="D60" s="12">
        <v>0</v>
      </c>
      <c r="E60"/>
      <c r="F60" s="1">
        <v>20230925</v>
      </c>
      <c r="G60" s="1">
        <v>20231211</v>
      </c>
      <c r="H60" s="159">
        <v>10</v>
      </c>
      <c r="J60" s="7"/>
      <c r="K60" s="12" t="s">
        <v>2097</v>
      </c>
      <c r="L60" s="12" t="s">
        <v>2098</v>
      </c>
      <c r="M60" s="1" t="s">
        <v>2099</v>
      </c>
      <c r="O60" s="32">
        <v>157</v>
      </c>
      <c r="P60" s="32">
        <f>O60*0.75</f>
        <v>117.75</v>
      </c>
      <c r="Q60" s="32">
        <f>D60*P60</f>
        <v>0</v>
      </c>
    </row>
    <row r="61" spans="1:19">
      <c r="A61" s="1" t="s">
        <v>58</v>
      </c>
      <c r="B61" s="352" t="s">
        <v>2705</v>
      </c>
      <c r="C61" s="352" t="s">
        <v>432</v>
      </c>
      <c r="D61" s="306">
        <v>1</v>
      </c>
      <c r="F61" s="1">
        <v>20240719</v>
      </c>
      <c r="G61" s="1">
        <v>20241001</v>
      </c>
      <c r="H61" s="159">
        <v>10</v>
      </c>
      <c r="I61" s="75"/>
      <c r="J61" s="7"/>
      <c r="K61" s="12" t="s">
        <v>2706</v>
      </c>
      <c r="L61" s="12"/>
      <c r="M61" s="1" t="s">
        <v>2707</v>
      </c>
      <c r="O61" s="32">
        <v>474</v>
      </c>
      <c r="P61" s="32">
        <f>O61*0.75</f>
        <v>355.5</v>
      </c>
      <c r="Q61" s="32">
        <f>D61*P61</f>
        <v>355.5</v>
      </c>
    </row>
    <row r="62" spans="1:19">
      <c r="A62" s="1" t="s">
        <v>398</v>
      </c>
      <c r="B62" s="302" t="s">
        <v>2276</v>
      </c>
      <c r="C62" s="65" t="s">
        <v>2578</v>
      </c>
      <c r="D62" s="101">
        <v>13</v>
      </c>
      <c r="E62"/>
      <c r="F62" s="1">
        <v>20231206</v>
      </c>
      <c r="G62" s="1">
        <v>20240226</v>
      </c>
      <c r="H62" s="159">
        <v>10</v>
      </c>
      <c r="J62" s="7"/>
      <c r="K62" s="12" t="s">
        <v>2278</v>
      </c>
      <c r="L62" s="12"/>
      <c r="M62" s="1" t="s">
        <v>2277</v>
      </c>
      <c r="N62" s="1" t="s">
        <v>2284</v>
      </c>
      <c r="O62" s="32">
        <v>360</v>
      </c>
      <c r="P62" s="32">
        <f>O62*0.75</f>
        <v>270</v>
      </c>
      <c r="Q62" s="32">
        <f>D62*P62</f>
        <v>3510</v>
      </c>
    </row>
    <row r="63" spans="1:19">
      <c r="A63" s="1" t="s">
        <v>58</v>
      </c>
      <c r="B63" s="65" t="s">
        <v>2756</v>
      </c>
      <c r="C63" s="65" t="s">
        <v>432</v>
      </c>
      <c r="D63" s="65">
        <v>1</v>
      </c>
      <c r="F63" s="1">
        <v>20240925</v>
      </c>
      <c r="G63" s="1">
        <v>20250103</v>
      </c>
      <c r="H63" s="159">
        <v>10</v>
      </c>
      <c r="I63" s="171"/>
      <c r="J63" s="7"/>
      <c r="K63" s="12" t="s">
        <v>2757</v>
      </c>
      <c r="L63" s="12"/>
      <c r="M63" s="1" t="s">
        <v>2758</v>
      </c>
      <c r="N63" s="1" t="s">
        <v>2755</v>
      </c>
      <c r="O63" s="32">
        <v>604</v>
      </c>
      <c r="P63" s="32">
        <f>O63*0.75</f>
        <v>453</v>
      </c>
      <c r="Q63" s="32">
        <f>D63*P63</f>
        <v>453</v>
      </c>
    </row>
    <row r="64" spans="1:19">
      <c r="A64" s="1" t="s">
        <v>3000</v>
      </c>
      <c r="B64" s="301" t="s">
        <v>2998</v>
      </c>
      <c r="C64" s="353" t="s">
        <v>2999</v>
      </c>
      <c r="D64" s="65">
        <v>30</v>
      </c>
      <c r="E64" s="6"/>
      <c r="F64" s="6"/>
      <c r="G64" s="6">
        <v>20250514</v>
      </c>
      <c r="H64" s="158">
        <v>10</v>
      </c>
      <c r="J64" s="4"/>
      <c r="K64" s="4" t="s">
        <v>3001</v>
      </c>
      <c r="L64" s="91" t="s">
        <v>3002</v>
      </c>
      <c r="N64" s="22" t="s">
        <v>3003</v>
      </c>
      <c r="O64" s="117">
        <v>604</v>
      </c>
      <c r="P64" s="117">
        <f>O64*0.75</f>
        <v>453</v>
      </c>
      <c r="Q64" s="117">
        <f>P64*D64</f>
        <v>13590</v>
      </c>
      <c r="R64" s="117"/>
      <c r="S64" s="117"/>
    </row>
    <row r="143" spans="9:18">
      <c r="I143" s="61"/>
      <c r="O143" s="1"/>
      <c r="P143" s="1"/>
      <c r="Q143" s="1"/>
      <c r="R143" s="1"/>
    </row>
    <row r="162" spans="9:18">
      <c r="I162" s="12"/>
      <c r="O162" s="1"/>
      <c r="P162" s="1"/>
      <c r="Q162" s="1"/>
      <c r="R162" s="1"/>
    </row>
  </sheetData>
  <autoFilter ref="A3:N50" xr:uid="{00000000-0009-0000-0000-000005000000}"/>
  <mergeCells count="3">
    <mergeCell ref="A1:M1"/>
    <mergeCell ref="B2:J2"/>
    <mergeCell ref="J55:J59"/>
  </mergeCells>
  <phoneticPr fontId="1" type="noConversion"/>
  <conditionalFormatting sqref="A46:I47 K46:R47 J46 L13:R15 A13:J15 K15 A16:R45 A1:R12 A48:R487">
    <cfRule type="expression" dxfId="56" priority="10">
      <formula>CELL("ROW")=ROW()</formula>
    </cfRule>
  </conditionalFormatting>
  <conditionalFormatting sqref="A39:B41 D39:R41">
    <cfRule type="expression" dxfId="55" priority="9">
      <formula>CELL("ROW")=ROW()</formula>
    </cfRule>
  </conditionalFormatting>
  <conditionalFormatting sqref="A47:R47">
    <cfRule type="expression" dxfId="54" priority="8">
      <formula>CELL("ROW")=ROW()</formula>
    </cfRule>
  </conditionalFormatting>
  <conditionalFormatting sqref="K15:L15">
    <cfRule type="expression" dxfId="53" priority="5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theme="2" tint="-0.499984740745262"/>
  </sheetPr>
  <dimension ref="A1:T222"/>
  <sheetViews>
    <sheetView zoomScaleNormal="100"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D14" sqref="D14"/>
    </sheetView>
  </sheetViews>
  <sheetFormatPr defaultColWidth="9" defaultRowHeight="16.2"/>
  <cols>
    <col min="1" max="1" width="11.6640625" style="1" bestFit="1" customWidth="1"/>
    <col min="2" max="2" width="24.77734375" style="1" bestFit="1" customWidth="1"/>
    <col min="3" max="3" width="16.88671875" style="1" customWidth="1"/>
    <col min="4" max="4" width="8.33203125" style="4" customWidth="1"/>
    <col min="5" max="5" width="10.21875" style="1" bestFit="1" customWidth="1"/>
    <col min="6" max="7" width="10.21875" style="1" customWidth="1"/>
    <col min="8" max="8" width="10.21875" style="163" customWidth="1"/>
    <col min="9" max="9" width="18.88671875" style="1" bestFit="1" customWidth="1"/>
    <col min="10" max="10" width="18.21875" style="1" bestFit="1" customWidth="1"/>
    <col min="11" max="11" width="15.109375" style="1" bestFit="1" customWidth="1"/>
    <col min="12" max="12" width="18.21875" style="1" customWidth="1"/>
    <col min="13" max="13" width="17.77734375" style="1" customWidth="1"/>
    <col min="14" max="14" width="11.44140625" style="1" bestFit="1" customWidth="1"/>
    <col min="15" max="15" width="12.44140625" style="28" customWidth="1"/>
    <col min="16" max="16" width="10.33203125" style="1" bestFit="1" customWidth="1"/>
    <col min="17" max="17" width="10.88671875" style="1" bestFit="1" customWidth="1"/>
    <col min="18" max="18" width="13" style="1" bestFit="1" customWidth="1"/>
    <col min="19" max="19" width="13.6640625" style="1" bestFit="1" customWidth="1"/>
    <col min="20" max="20" width="13.6640625" style="1" customWidth="1"/>
    <col min="21" max="16384" width="9" style="1"/>
  </cols>
  <sheetData>
    <row r="1" spans="1:20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20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1224</v>
      </c>
      <c r="M2" s="143" t="s">
        <v>1000</v>
      </c>
    </row>
    <row r="3" spans="1:20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20">
      <c r="A4" s="1" t="s">
        <v>396</v>
      </c>
      <c r="B4" s="4" t="s">
        <v>397</v>
      </c>
      <c r="C4" s="12" t="s">
        <v>2923</v>
      </c>
      <c r="D4" s="12">
        <v>2</v>
      </c>
      <c r="E4"/>
      <c r="G4" s="1">
        <v>20191022</v>
      </c>
      <c r="H4" s="159" t="s">
        <v>699</v>
      </c>
      <c r="J4" s="57"/>
      <c r="K4" s="22" t="s">
        <v>1105</v>
      </c>
      <c r="L4" s="66" t="s">
        <v>1919</v>
      </c>
      <c r="N4" s="1" t="s">
        <v>871</v>
      </c>
      <c r="O4" s="28">
        <v>5200</v>
      </c>
      <c r="P4" s="74">
        <f t="shared" ref="P4:P23" si="0">O4*0.75</f>
        <v>3900</v>
      </c>
      <c r="Q4" s="74">
        <f t="shared" ref="Q4:Q23" si="1">D4*P4</f>
        <v>7800</v>
      </c>
      <c r="R4" s="28"/>
    </row>
    <row r="5" spans="1:20">
      <c r="A5" s="1" t="s">
        <v>396</v>
      </c>
      <c r="B5" s="6" t="s">
        <v>499</v>
      </c>
      <c r="C5" s="12" t="s">
        <v>2575</v>
      </c>
      <c r="D5" s="12">
        <v>7</v>
      </c>
      <c r="F5" s="1">
        <v>20210522</v>
      </c>
      <c r="G5" s="1">
        <v>20210722</v>
      </c>
      <c r="H5" s="159" t="s">
        <v>699</v>
      </c>
      <c r="J5" s="22"/>
      <c r="K5" s="22" t="s">
        <v>1910</v>
      </c>
      <c r="L5" s="156" t="s">
        <v>1914</v>
      </c>
      <c r="N5" s="1" t="s">
        <v>530</v>
      </c>
      <c r="O5" s="28">
        <v>4900</v>
      </c>
      <c r="P5" s="74">
        <f>O5*0.75</f>
        <v>3675</v>
      </c>
      <c r="Q5" s="74">
        <f>D5*P5</f>
        <v>25725</v>
      </c>
      <c r="R5" s="28"/>
    </row>
    <row r="6" spans="1:20">
      <c r="A6" s="1" t="s">
        <v>396</v>
      </c>
      <c r="B6" s="6" t="s">
        <v>500</v>
      </c>
      <c r="C6" s="12" t="s">
        <v>2575</v>
      </c>
      <c r="D6" s="12">
        <v>6</v>
      </c>
      <c r="F6" s="1">
        <v>20210522</v>
      </c>
      <c r="G6" s="1">
        <v>20210722</v>
      </c>
      <c r="H6" s="159" t="s">
        <v>699</v>
      </c>
      <c r="J6" s="22"/>
      <c r="K6" s="22" t="s">
        <v>1043</v>
      </c>
      <c r="L6" s="173" t="s">
        <v>1912</v>
      </c>
      <c r="N6" s="1" t="s">
        <v>959</v>
      </c>
      <c r="O6" s="28">
        <v>4300</v>
      </c>
      <c r="P6" s="74">
        <f>O6*0.75</f>
        <v>3225</v>
      </c>
      <c r="Q6" s="74">
        <f>D6*P6</f>
        <v>19350</v>
      </c>
      <c r="R6" s="28"/>
    </row>
    <row r="7" spans="1:20" s="6" customFormat="1" ht="32.4">
      <c r="A7" s="6" t="s">
        <v>396</v>
      </c>
      <c r="B7" s="12" t="s">
        <v>638</v>
      </c>
      <c r="C7" s="12" t="s">
        <v>2636</v>
      </c>
      <c r="D7" s="12">
        <v>8</v>
      </c>
      <c r="E7" s="7" t="s">
        <v>2093</v>
      </c>
      <c r="F7" s="6">
        <v>20251218</v>
      </c>
      <c r="G7" s="6">
        <v>20250210</v>
      </c>
      <c r="H7" s="159" t="s">
        <v>699</v>
      </c>
      <c r="J7" s="66"/>
      <c r="K7" s="66" t="s">
        <v>1905</v>
      </c>
      <c r="L7" s="66" t="s">
        <v>1906</v>
      </c>
      <c r="M7" s="6" t="s">
        <v>2829</v>
      </c>
      <c r="N7" s="67" t="s">
        <v>2830</v>
      </c>
      <c r="O7" s="28">
        <v>1010</v>
      </c>
      <c r="P7" s="28">
        <f t="shared" ref="P7" si="2">O7*0.75</f>
        <v>757.5</v>
      </c>
      <c r="Q7" s="28">
        <f t="shared" ref="Q7" si="3">D7*P7</f>
        <v>6060</v>
      </c>
      <c r="R7" s="28"/>
    </row>
    <row r="8" spans="1:20">
      <c r="A8" s="1" t="s">
        <v>42</v>
      </c>
      <c r="B8" s="1" t="s">
        <v>913</v>
      </c>
      <c r="C8" s="12" t="s">
        <v>503</v>
      </c>
      <c r="D8" s="4">
        <v>1</v>
      </c>
      <c r="E8" s="21"/>
      <c r="F8" s="1">
        <v>20230315</v>
      </c>
      <c r="G8" s="1">
        <v>20230515</v>
      </c>
      <c r="H8" s="159" t="s">
        <v>699</v>
      </c>
      <c r="K8" s="1" t="s">
        <v>1910</v>
      </c>
      <c r="L8" s="172" t="s">
        <v>1911</v>
      </c>
      <c r="M8" s="1" t="s">
        <v>914</v>
      </c>
      <c r="O8" s="74">
        <v>4213</v>
      </c>
      <c r="P8" s="74">
        <f t="shared" si="0"/>
        <v>3159.75</v>
      </c>
      <c r="Q8" s="74">
        <f t="shared" si="1"/>
        <v>3159.75</v>
      </c>
    </row>
    <row r="9" spans="1:20" s="6" customFormat="1">
      <c r="A9" s="6" t="s">
        <v>396</v>
      </c>
      <c r="B9" s="12" t="s">
        <v>638</v>
      </c>
      <c r="C9" s="12" t="s">
        <v>503</v>
      </c>
      <c r="D9" s="12">
        <v>1</v>
      </c>
      <c r="E9" s="7"/>
      <c r="G9" s="6">
        <v>20250116</v>
      </c>
      <c r="H9" s="159" t="s">
        <v>699</v>
      </c>
      <c r="J9" s="66"/>
      <c r="K9" s="66" t="s">
        <v>1905</v>
      </c>
      <c r="L9" s="66" t="s">
        <v>1906</v>
      </c>
      <c r="N9" s="67" t="s">
        <v>2063</v>
      </c>
      <c r="O9" s="28">
        <v>1010</v>
      </c>
      <c r="P9" s="28">
        <f>O9*0.75</f>
        <v>757.5</v>
      </c>
      <c r="Q9" s="28">
        <f>D9*P9</f>
        <v>757.5</v>
      </c>
      <c r="R9" s="28"/>
    </row>
    <row r="10" spans="1:20">
      <c r="A10" s="1" t="s">
        <v>396</v>
      </c>
      <c r="B10" s="12" t="s">
        <v>678</v>
      </c>
      <c r="C10" s="12" t="s">
        <v>2637</v>
      </c>
      <c r="D10" s="12">
        <v>1</v>
      </c>
      <c r="F10" s="1">
        <v>20220326</v>
      </c>
      <c r="G10" s="1">
        <v>20220526</v>
      </c>
      <c r="H10" s="159" t="s">
        <v>699</v>
      </c>
      <c r="J10" s="22"/>
      <c r="K10" s="12" t="s">
        <v>1855</v>
      </c>
      <c r="L10" s="12" t="s">
        <v>1856</v>
      </c>
      <c r="O10" s="28">
        <v>2880</v>
      </c>
      <c r="P10" s="74">
        <f>O10*0.75</f>
        <v>2160</v>
      </c>
      <c r="Q10" s="74">
        <f>D10*P10</f>
        <v>2160</v>
      </c>
      <c r="R10" s="28"/>
    </row>
    <row r="11" spans="1:20">
      <c r="A11" s="1" t="s">
        <v>396</v>
      </c>
      <c r="B11" s="12" t="s">
        <v>679</v>
      </c>
      <c r="C11" s="12" t="s">
        <v>2637</v>
      </c>
      <c r="D11" s="12">
        <v>1</v>
      </c>
      <c r="F11" s="1">
        <v>20220326</v>
      </c>
      <c r="G11" s="1">
        <v>20220526</v>
      </c>
      <c r="H11" s="159" t="s">
        <v>699</v>
      </c>
      <c r="J11" s="22"/>
      <c r="K11" s="12" t="s">
        <v>1857</v>
      </c>
      <c r="L11" s="12" t="s">
        <v>1858</v>
      </c>
      <c r="O11" s="28">
        <v>3050</v>
      </c>
      <c r="P11" s="74">
        <f>O11*0.75</f>
        <v>2287.5</v>
      </c>
      <c r="Q11" s="74">
        <f>D11*P11</f>
        <v>2287.5</v>
      </c>
      <c r="R11" s="28"/>
    </row>
    <row r="12" spans="1:20">
      <c r="A12" s="1" t="s">
        <v>396</v>
      </c>
      <c r="B12" s="12" t="s">
        <v>454</v>
      </c>
      <c r="C12" s="12" t="s">
        <v>436</v>
      </c>
      <c r="D12" s="12">
        <v>1</v>
      </c>
      <c r="F12" s="1">
        <v>20211210</v>
      </c>
      <c r="G12" s="1">
        <v>20220210</v>
      </c>
      <c r="H12" s="159" t="s">
        <v>699</v>
      </c>
      <c r="J12" s="22"/>
      <c r="K12" s="12" t="s">
        <v>1438</v>
      </c>
      <c r="L12" s="12" t="s">
        <v>1907</v>
      </c>
      <c r="O12" s="74">
        <v>1650</v>
      </c>
      <c r="P12" s="74">
        <f t="shared" si="0"/>
        <v>1237.5</v>
      </c>
      <c r="Q12" s="74">
        <f t="shared" si="1"/>
        <v>1237.5</v>
      </c>
      <c r="R12" s="28"/>
    </row>
    <row r="13" spans="1:20">
      <c r="A13" s="1" t="s">
        <v>396</v>
      </c>
      <c r="B13" s="6" t="s">
        <v>325</v>
      </c>
      <c r="C13" s="12" t="s">
        <v>436</v>
      </c>
      <c r="D13" s="12">
        <v>2</v>
      </c>
      <c r="F13" s="6">
        <v>20200912</v>
      </c>
      <c r="G13" s="6">
        <v>20201112</v>
      </c>
      <c r="H13" s="159" t="s">
        <v>699</v>
      </c>
      <c r="I13" s="246" t="s">
        <v>2521</v>
      </c>
      <c r="J13" s="6"/>
      <c r="K13" s="12" t="s">
        <v>1439</v>
      </c>
      <c r="L13" s="12" t="s">
        <v>1440</v>
      </c>
      <c r="N13" s="6" t="s">
        <v>574</v>
      </c>
      <c r="O13" s="74">
        <v>2145</v>
      </c>
      <c r="P13" s="74">
        <f t="shared" si="0"/>
        <v>1608.75</v>
      </c>
      <c r="Q13" s="74">
        <f t="shared" si="1"/>
        <v>3217.5</v>
      </c>
      <c r="R13" s="28"/>
      <c r="T13" s="6"/>
    </row>
    <row r="14" spans="1:20">
      <c r="A14" s="1" t="s">
        <v>42</v>
      </c>
      <c r="B14" s="1" t="s">
        <v>845</v>
      </c>
      <c r="C14" s="12" t="s">
        <v>436</v>
      </c>
      <c r="D14" s="4">
        <v>1</v>
      </c>
      <c r="F14" s="1">
        <v>20221215</v>
      </c>
      <c r="G14" s="1">
        <v>20230215</v>
      </c>
      <c r="H14" s="159" t="s">
        <v>699</v>
      </c>
      <c r="K14" s="12" t="s">
        <v>1859</v>
      </c>
      <c r="L14" s="12" t="s">
        <v>1860</v>
      </c>
      <c r="M14" s="1" t="s">
        <v>846</v>
      </c>
      <c r="O14" s="74">
        <v>1760</v>
      </c>
      <c r="P14" s="74">
        <f t="shared" si="0"/>
        <v>1320</v>
      </c>
      <c r="Q14" s="74">
        <f t="shared" si="1"/>
        <v>1320</v>
      </c>
    </row>
    <row r="15" spans="1:20">
      <c r="A15" s="1" t="s">
        <v>396</v>
      </c>
      <c r="B15" s="6" t="s">
        <v>421</v>
      </c>
      <c r="C15" s="12" t="s">
        <v>436</v>
      </c>
      <c r="D15" s="12">
        <v>5</v>
      </c>
      <c r="F15" s="6">
        <v>20201104</v>
      </c>
      <c r="G15" s="6">
        <v>20210104</v>
      </c>
      <c r="H15" s="159" t="s">
        <v>699</v>
      </c>
      <c r="J15" s="6"/>
      <c r="K15" s="12" t="s">
        <v>1441</v>
      </c>
      <c r="L15" s="12" t="s">
        <v>1442</v>
      </c>
      <c r="N15" s="6"/>
      <c r="O15" s="74">
        <v>990</v>
      </c>
      <c r="P15" s="74">
        <f t="shared" si="0"/>
        <v>742.5</v>
      </c>
      <c r="Q15" s="74">
        <f t="shared" si="1"/>
        <v>3712.5</v>
      </c>
      <c r="R15" s="28"/>
      <c r="T15" s="6"/>
    </row>
    <row r="16" spans="1:20">
      <c r="A16" s="1" t="s">
        <v>42</v>
      </c>
      <c r="B16" s="12" t="s">
        <v>700</v>
      </c>
      <c r="C16" s="12" t="s">
        <v>436</v>
      </c>
      <c r="D16" s="12">
        <v>4</v>
      </c>
      <c r="F16" s="6">
        <v>20220508</v>
      </c>
      <c r="G16" s="6">
        <v>20220708</v>
      </c>
      <c r="H16" s="159" t="s">
        <v>699</v>
      </c>
      <c r="J16" s="6"/>
      <c r="K16" s="12" t="s">
        <v>1861</v>
      </c>
      <c r="L16" s="12" t="s">
        <v>1862</v>
      </c>
      <c r="M16" s="1" t="s">
        <v>702</v>
      </c>
      <c r="N16" s="6"/>
      <c r="O16" s="74">
        <v>400</v>
      </c>
      <c r="P16" s="74">
        <f t="shared" si="0"/>
        <v>300</v>
      </c>
      <c r="Q16" s="74">
        <f t="shared" si="1"/>
        <v>1200</v>
      </c>
      <c r="R16" s="28"/>
      <c r="T16" s="6"/>
    </row>
    <row r="17" spans="1:18">
      <c r="A17" s="1" t="s">
        <v>42</v>
      </c>
      <c r="B17" s="1" t="s">
        <v>822</v>
      </c>
      <c r="C17" s="12" t="s">
        <v>436</v>
      </c>
      <c r="D17" s="4">
        <v>1</v>
      </c>
      <c r="F17" s="1">
        <v>20221105</v>
      </c>
      <c r="G17" s="1">
        <v>20230105</v>
      </c>
      <c r="H17" s="159" t="s">
        <v>699</v>
      </c>
      <c r="K17" s="12" t="s">
        <v>1443</v>
      </c>
      <c r="L17" s="145" t="s">
        <v>1904</v>
      </c>
      <c r="O17" s="74">
        <v>5880</v>
      </c>
      <c r="P17" s="74">
        <f t="shared" si="0"/>
        <v>4410</v>
      </c>
      <c r="Q17" s="74">
        <f t="shared" si="1"/>
        <v>4410</v>
      </c>
    </row>
    <row r="18" spans="1:18">
      <c r="A18" s="1" t="s">
        <v>396</v>
      </c>
      <c r="B18" s="1" t="s">
        <v>882</v>
      </c>
      <c r="C18" s="12" t="s">
        <v>436</v>
      </c>
      <c r="D18" s="4">
        <v>1</v>
      </c>
      <c r="E18" s="21"/>
      <c r="F18" s="1">
        <v>20230129</v>
      </c>
      <c r="G18" s="1">
        <v>20230329</v>
      </c>
      <c r="H18" s="159" t="s">
        <v>699</v>
      </c>
      <c r="I18" s="1" t="s">
        <v>884</v>
      </c>
      <c r="K18" s="12" t="s">
        <v>1444</v>
      </c>
      <c r="L18" s="12" t="s">
        <v>1445</v>
      </c>
      <c r="M18" s="1" t="s">
        <v>881</v>
      </c>
      <c r="O18" s="74">
        <v>1925</v>
      </c>
      <c r="P18" s="74">
        <f t="shared" si="0"/>
        <v>1443.75</v>
      </c>
      <c r="Q18" s="74">
        <f t="shared" si="1"/>
        <v>1443.75</v>
      </c>
    </row>
    <row r="19" spans="1:18">
      <c r="A19" s="1" t="s">
        <v>396</v>
      </c>
      <c r="B19" s="1" t="s">
        <v>1011</v>
      </c>
      <c r="C19" s="12" t="s">
        <v>436</v>
      </c>
      <c r="D19" s="4">
        <v>1</v>
      </c>
      <c r="E19" s="21" t="s">
        <v>717</v>
      </c>
      <c r="F19" s="1">
        <v>20230704</v>
      </c>
      <c r="G19" s="1">
        <v>20230821</v>
      </c>
      <c r="H19" s="159" t="s">
        <v>1012</v>
      </c>
      <c r="K19" s="12" t="s">
        <v>1446</v>
      </c>
      <c r="L19" s="12" t="s">
        <v>1447</v>
      </c>
      <c r="M19" s="1" t="s">
        <v>1013</v>
      </c>
      <c r="O19" s="74">
        <v>1020</v>
      </c>
      <c r="P19" s="74">
        <f t="shared" si="0"/>
        <v>765</v>
      </c>
      <c r="Q19" s="74">
        <f t="shared" si="1"/>
        <v>765</v>
      </c>
    </row>
    <row r="20" spans="1:18">
      <c r="A20" s="1" t="s">
        <v>396</v>
      </c>
      <c r="B20" s="1" t="s">
        <v>1011</v>
      </c>
      <c r="C20" s="12" t="s">
        <v>436</v>
      </c>
      <c r="D20" s="4">
        <v>5</v>
      </c>
      <c r="E20" s="21"/>
      <c r="F20" s="1">
        <v>20230810</v>
      </c>
      <c r="G20" s="1">
        <v>20230901</v>
      </c>
      <c r="H20" s="159" t="s">
        <v>1263</v>
      </c>
      <c r="K20" s="12" t="s">
        <v>1446</v>
      </c>
      <c r="L20" s="12" t="s">
        <v>1447</v>
      </c>
      <c r="M20" s="1" t="s">
        <v>1264</v>
      </c>
      <c r="O20" s="74">
        <v>1020</v>
      </c>
      <c r="P20" s="74">
        <f t="shared" si="0"/>
        <v>765</v>
      </c>
      <c r="Q20" s="74">
        <f t="shared" si="1"/>
        <v>3825</v>
      </c>
    </row>
    <row r="21" spans="1:18">
      <c r="A21" s="1" t="s">
        <v>42</v>
      </c>
      <c r="B21" s="1" t="s">
        <v>272</v>
      </c>
      <c r="C21" s="1" t="s">
        <v>436</v>
      </c>
      <c r="D21" s="4">
        <v>5</v>
      </c>
      <c r="G21" s="1">
        <v>20200416</v>
      </c>
      <c r="H21" s="159" t="s">
        <v>699</v>
      </c>
      <c r="K21" s="12" t="s">
        <v>1024</v>
      </c>
      <c r="L21" s="12" t="s">
        <v>1448</v>
      </c>
      <c r="O21" s="28">
        <v>295</v>
      </c>
      <c r="P21" s="74">
        <f t="shared" si="0"/>
        <v>221.25</v>
      </c>
      <c r="Q21" s="74">
        <f t="shared" si="1"/>
        <v>1106.25</v>
      </c>
      <c r="R21" s="28"/>
    </row>
    <row r="22" spans="1:18" s="6" customFormat="1">
      <c r="A22" s="6" t="s">
        <v>42</v>
      </c>
      <c r="B22" s="12" t="s">
        <v>3243</v>
      </c>
      <c r="C22" s="12" t="s">
        <v>2638</v>
      </c>
      <c r="D22" s="12">
        <v>3</v>
      </c>
      <c r="G22" s="6">
        <v>20241029</v>
      </c>
      <c r="H22" s="159" t="s">
        <v>699</v>
      </c>
      <c r="K22" s="12" t="s">
        <v>1439</v>
      </c>
      <c r="L22" s="12" t="s">
        <v>1440</v>
      </c>
      <c r="M22" s="6" t="s">
        <v>2730</v>
      </c>
      <c r="O22" s="74">
        <v>2145</v>
      </c>
      <c r="P22" s="74">
        <f t="shared" si="0"/>
        <v>1608.75</v>
      </c>
      <c r="Q22" s="74">
        <f t="shared" si="1"/>
        <v>4826.25</v>
      </c>
      <c r="R22" s="28"/>
    </row>
    <row r="23" spans="1:18">
      <c r="A23" s="1" t="s">
        <v>42</v>
      </c>
      <c r="B23" s="4" t="s">
        <v>265</v>
      </c>
      <c r="C23" s="12" t="s">
        <v>740</v>
      </c>
      <c r="D23" s="4">
        <v>1</v>
      </c>
      <c r="G23" s="1">
        <v>20200416</v>
      </c>
      <c r="H23" s="159" t="s">
        <v>699</v>
      </c>
      <c r="K23" s="12" t="s">
        <v>1043</v>
      </c>
      <c r="L23" s="145" t="s">
        <v>1928</v>
      </c>
      <c r="O23" s="74">
        <v>3370</v>
      </c>
      <c r="P23" s="74">
        <f t="shared" si="0"/>
        <v>2527.5</v>
      </c>
      <c r="Q23" s="74">
        <f t="shared" si="1"/>
        <v>2527.5</v>
      </c>
      <c r="R23" s="28"/>
    </row>
    <row r="24" spans="1:18" s="6" customFormat="1">
      <c r="A24" s="6" t="s">
        <v>396</v>
      </c>
      <c r="B24" s="186" t="s">
        <v>2077</v>
      </c>
      <c r="C24" s="13" t="s">
        <v>3008</v>
      </c>
      <c r="D24" s="115">
        <v>2</v>
      </c>
      <c r="E24" s="312"/>
      <c r="F24" s="96"/>
      <c r="G24" s="96">
        <v>20191009</v>
      </c>
      <c r="H24" s="160" t="s">
        <v>699</v>
      </c>
      <c r="I24" s="96"/>
      <c r="J24" s="281" t="s">
        <v>2311</v>
      </c>
      <c r="K24" s="6" t="s">
        <v>1050</v>
      </c>
      <c r="L24" s="6" t="s">
        <v>1918</v>
      </c>
      <c r="N24" s="6" t="s">
        <v>2064</v>
      </c>
      <c r="O24" s="28">
        <v>6000</v>
      </c>
      <c r="P24" s="74">
        <f>O24*0.75</f>
        <v>4500</v>
      </c>
      <c r="Q24" s="74">
        <f>D24*P24</f>
        <v>9000</v>
      </c>
      <c r="R24" s="28"/>
    </row>
    <row r="25" spans="1:18">
      <c r="A25" s="1" t="s">
        <v>396</v>
      </c>
      <c r="B25" s="130" t="s">
        <v>410</v>
      </c>
      <c r="C25" s="14" t="s">
        <v>3008</v>
      </c>
      <c r="D25" s="88">
        <v>8</v>
      </c>
      <c r="E25" s="14"/>
      <c r="F25" s="14">
        <v>20200921</v>
      </c>
      <c r="G25" s="14">
        <v>20201124</v>
      </c>
      <c r="H25" s="161" t="s">
        <v>699</v>
      </c>
      <c r="I25" s="14"/>
      <c r="J25" s="311" t="s">
        <v>2311</v>
      </c>
      <c r="K25" s="22"/>
      <c r="L25" s="22" t="s">
        <v>1913</v>
      </c>
      <c r="O25" s="28">
        <v>0</v>
      </c>
      <c r="P25" s="74">
        <f t="shared" ref="P25:P27" si="4">O25*0.75</f>
        <v>0</v>
      </c>
      <c r="Q25" s="74">
        <f t="shared" ref="Q25:Q27" si="5">D25*P25</f>
        <v>0</v>
      </c>
      <c r="R25" s="205" t="s">
        <v>2211</v>
      </c>
    </row>
    <row r="26" spans="1:18">
      <c r="A26" s="1" t="s">
        <v>396</v>
      </c>
      <c r="B26" s="12" t="s">
        <v>410</v>
      </c>
      <c r="C26" s="12" t="s">
        <v>3007</v>
      </c>
      <c r="D26" s="12">
        <v>13</v>
      </c>
      <c r="E26" s="21"/>
      <c r="F26" s="1">
        <v>20200921</v>
      </c>
      <c r="G26" s="1">
        <v>20201124</v>
      </c>
      <c r="H26" s="159" t="s">
        <v>699</v>
      </c>
      <c r="J26" s="22"/>
      <c r="K26" s="22"/>
      <c r="L26" s="22" t="s">
        <v>1913</v>
      </c>
      <c r="O26" s="28">
        <v>0</v>
      </c>
      <c r="P26" s="74">
        <f>O26*0.75</f>
        <v>0</v>
      </c>
      <c r="Q26" s="74">
        <f>D26*P26</f>
        <v>0</v>
      </c>
      <c r="R26" s="205" t="s">
        <v>2211</v>
      </c>
    </row>
    <row r="27" spans="1:18">
      <c r="A27" s="1" t="s">
        <v>396</v>
      </c>
      <c r="B27" s="12" t="s">
        <v>410</v>
      </c>
      <c r="C27" s="12" t="s">
        <v>2856</v>
      </c>
      <c r="D27" s="12">
        <v>4</v>
      </c>
      <c r="F27" s="1">
        <v>20200921</v>
      </c>
      <c r="G27" s="1">
        <v>20201124</v>
      </c>
      <c r="H27" s="159" t="s">
        <v>790</v>
      </c>
      <c r="J27" s="22"/>
      <c r="K27" s="22"/>
      <c r="L27" s="22" t="s">
        <v>2409</v>
      </c>
      <c r="O27" s="28">
        <v>0</v>
      </c>
      <c r="P27" s="74">
        <f t="shared" si="4"/>
        <v>0</v>
      </c>
      <c r="Q27" s="74">
        <f t="shared" si="5"/>
        <v>0</v>
      </c>
      <c r="R27" s="205" t="s">
        <v>2410</v>
      </c>
    </row>
    <row r="28" spans="1:18" s="6" customFormat="1" ht="32.4">
      <c r="A28" s="6" t="s">
        <v>42</v>
      </c>
      <c r="B28" s="186" t="s">
        <v>2943</v>
      </c>
      <c r="C28" s="322" t="s">
        <v>3048</v>
      </c>
      <c r="D28" s="115">
        <v>19</v>
      </c>
      <c r="E28" s="96"/>
      <c r="F28" s="96"/>
      <c r="G28" s="96">
        <v>20250702</v>
      </c>
      <c r="H28" s="160">
        <v>10</v>
      </c>
      <c r="I28" s="96"/>
      <c r="J28" s="328" t="s">
        <v>3064</v>
      </c>
      <c r="K28" s="66" t="s">
        <v>1050</v>
      </c>
      <c r="L28" s="66" t="s">
        <v>2945</v>
      </c>
      <c r="N28" s="67" t="s">
        <v>3065</v>
      </c>
      <c r="O28" s="28">
        <v>670</v>
      </c>
      <c r="P28" s="74">
        <f>O28*0.75</f>
        <v>502.5</v>
      </c>
      <c r="Q28" s="74">
        <f>D28*P28</f>
        <v>9547.5</v>
      </c>
      <c r="R28" s="205"/>
    </row>
    <row r="29" spans="1:18" s="6" customFormat="1">
      <c r="A29" s="6" t="s">
        <v>396</v>
      </c>
      <c r="B29" s="83" t="s">
        <v>576</v>
      </c>
      <c r="C29" s="316" t="s">
        <v>3048</v>
      </c>
      <c r="D29" s="12">
        <v>1</v>
      </c>
      <c r="G29" s="6">
        <v>20250702</v>
      </c>
      <c r="H29" s="159" t="s">
        <v>790</v>
      </c>
      <c r="I29" s="6" t="s">
        <v>2192</v>
      </c>
      <c r="J29" s="202" t="s">
        <v>2598</v>
      </c>
      <c r="K29" s="12" t="s">
        <v>2193</v>
      </c>
      <c r="L29" s="12" t="s">
        <v>1866</v>
      </c>
      <c r="N29" s="6" t="s">
        <v>2194</v>
      </c>
      <c r="O29" s="28">
        <v>5500</v>
      </c>
      <c r="P29" s="74">
        <f>O29*0.75</f>
        <v>4125</v>
      </c>
      <c r="Q29" s="74">
        <f t="shared" ref="Q29:Q30" si="6">D29*P29</f>
        <v>4125</v>
      </c>
      <c r="R29" s="28"/>
    </row>
    <row r="30" spans="1:18" s="6" customFormat="1">
      <c r="A30" s="6" t="s">
        <v>396</v>
      </c>
      <c r="B30" s="139" t="s">
        <v>3067</v>
      </c>
      <c r="C30" s="323" t="s">
        <v>3048</v>
      </c>
      <c r="D30" s="88">
        <v>1</v>
      </c>
      <c r="E30" s="64"/>
      <c r="F30" s="64">
        <v>20250401</v>
      </c>
      <c r="G30" s="64">
        <v>20250704</v>
      </c>
      <c r="H30" s="161">
        <v>10</v>
      </c>
      <c r="I30" s="64"/>
      <c r="J30" s="233" t="s">
        <v>2598</v>
      </c>
      <c r="K30" s="12" t="s">
        <v>3068</v>
      </c>
      <c r="L30" s="12" t="s">
        <v>3069</v>
      </c>
      <c r="M30" s="6" t="s">
        <v>3071</v>
      </c>
      <c r="N30" s="6" t="s">
        <v>3070</v>
      </c>
      <c r="O30" s="28">
        <v>3700</v>
      </c>
      <c r="P30" s="74">
        <f>O30*0.75</f>
        <v>2775</v>
      </c>
      <c r="Q30" s="74">
        <f t="shared" si="6"/>
        <v>2775</v>
      </c>
      <c r="R30" s="28"/>
    </row>
    <row r="31" spans="1:18">
      <c r="D31" s="105">
        <f>SUM(D4:D23)</f>
        <v>57</v>
      </c>
      <c r="E31" s="109">
        <f>ROW()-4</f>
        <v>27</v>
      </c>
      <c r="P31" s="28"/>
      <c r="Q31" s="28">
        <f ca="1">SUM(Q4:Q56)</f>
        <v>132636</v>
      </c>
    </row>
    <row r="32" spans="1:18">
      <c r="O32" s="74"/>
      <c r="P32" s="28"/>
      <c r="Q32" s="28"/>
    </row>
    <row r="33" spans="1:19">
      <c r="P33" s="28"/>
      <c r="Q33" s="28"/>
    </row>
    <row r="34" spans="1:19">
      <c r="O34" s="74"/>
      <c r="P34" s="28"/>
      <c r="Q34" s="28"/>
    </row>
    <row r="35" spans="1:19">
      <c r="A35" s="38"/>
      <c r="B35" s="38" t="s">
        <v>264</v>
      </c>
      <c r="C35" s="38"/>
      <c r="D35" s="51"/>
      <c r="E35" s="38"/>
      <c r="F35" s="38"/>
      <c r="G35" s="38"/>
      <c r="H35" s="164"/>
      <c r="I35" s="38"/>
      <c r="J35" s="38"/>
      <c r="K35" s="38"/>
      <c r="L35" s="38"/>
      <c r="M35" s="38"/>
      <c r="N35" s="38"/>
      <c r="O35" s="47"/>
      <c r="P35" s="38"/>
      <c r="Q35" s="38"/>
      <c r="R35" s="38"/>
      <c r="S35" s="38"/>
    </row>
    <row r="36" spans="1:19" s="6" customFormat="1">
      <c r="A36" s="6" t="s">
        <v>396</v>
      </c>
      <c r="B36" s="277" t="s">
        <v>638</v>
      </c>
      <c r="C36" s="278" t="s">
        <v>2636</v>
      </c>
      <c r="D36" s="286">
        <v>0</v>
      </c>
      <c r="E36" s="7" t="s">
        <v>1007</v>
      </c>
      <c r="F36" s="6">
        <v>20241015</v>
      </c>
      <c r="G36" s="6">
        <v>20250106</v>
      </c>
      <c r="H36" s="159" t="s">
        <v>699</v>
      </c>
      <c r="J36" s="66"/>
      <c r="K36" s="66" t="s">
        <v>1905</v>
      </c>
      <c r="L36" s="66" t="s">
        <v>1906</v>
      </c>
      <c r="M36" s="6" t="s">
        <v>2789</v>
      </c>
      <c r="N36" s="6" t="s">
        <v>1901</v>
      </c>
      <c r="O36" s="28">
        <v>1010</v>
      </c>
      <c r="P36" s="28">
        <f t="shared" ref="P36" si="7">O36*0.75</f>
        <v>757.5</v>
      </c>
      <c r="Q36" s="28">
        <f t="shared" ref="Q36" si="8">D36*P36</f>
        <v>0</v>
      </c>
      <c r="R36" s="28"/>
    </row>
    <row r="37" spans="1:19" s="6" customFormat="1">
      <c r="A37" s="6" t="s">
        <v>396</v>
      </c>
      <c r="B37" s="277" t="s">
        <v>506</v>
      </c>
      <c r="C37" s="283" t="s">
        <v>2844</v>
      </c>
      <c r="D37" s="278">
        <v>0</v>
      </c>
      <c r="E37" s="96"/>
      <c r="F37" s="96">
        <v>20240920</v>
      </c>
      <c r="G37" s="96">
        <v>20250204</v>
      </c>
      <c r="H37" s="160" t="s">
        <v>699</v>
      </c>
      <c r="I37" s="96" t="s">
        <v>2309</v>
      </c>
      <c r="J37" s="232" t="s">
        <v>2598</v>
      </c>
      <c r="K37" s="6" t="s">
        <v>1050</v>
      </c>
      <c r="L37" s="6" t="s">
        <v>1903</v>
      </c>
      <c r="M37" s="6" t="s">
        <v>2827</v>
      </c>
      <c r="N37" s="6" t="s">
        <v>2910</v>
      </c>
      <c r="O37" s="28">
        <v>1900</v>
      </c>
      <c r="P37" s="28">
        <f>O37*0.75</f>
        <v>1425</v>
      </c>
      <c r="Q37" s="28">
        <f>D37*P37</f>
        <v>0</v>
      </c>
      <c r="R37" s="28"/>
    </row>
    <row r="38" spans="1:19" s="6" customFormat="1" ht="32.4">
      <c r="A38" s="6" t="s">
        <v>396</v>
      </c>
      <c r="B38" s="277" t="s">
        <v>638</v>
      </c>
      <c r="C38" s="278" t="s">
        <v>2636</v>
      </c>
      <c r="D38" s="286">
        <v>0</v>
      </c>
      <c r="E38" s="7" t="s">
        <v>1008</v>
      </c>
      <c r="G38" s="6">
        <v>20250116</v>
      </c>
      <c r="H38" s="159" t="s">
        <v>699</v>
      </c>
      <c r="J38" s="66"/>
      <c r="K38" s="66" t="s">
        <v>1905</v>
      </c>
      <c r="L38" s="66" t="s">
        <v>1906</v>
      </c>
      <c r="M38" s="6" t="s">
        <v>2898</v>
      </c>
      <c r="N38" s="67" t="s">
        <v>2920</v>
      </c>
      <c r="O38" s="28">
        <v>1010</v>
      </c>
      <c r="P38" s="28">
        <f>O38*0.75</f>
        <v>757.5</v>
      </c>
      <c r="Q38" s="28">
        <f>D38*P38</f>
        <v>0</v>
      </c>
      <c r="R38" s="28"/>
    </row>
    <row r="39" spans="1:19">
      <c r="A39" s="1" t="s">
        <v>396</v>
      </c>
      <c r="B39" s="101" t="s">
        <v>2075</v>
      </c>
      <c r="C39" s="101" t="s">
        <v>2287</v>
      </c>
      <c r="D39" s="101">
        <v>0</v>
      </c>
      <c r="E39"/>
      <c r="F39"/>
      <c r="G39" s="1">
        <v>20191022</v>
      </c>
      <c r="H39" s="159" t="s">
        <v>699</v>
      </c>
      <c r="K39" s="1" t="s">
        <v>1915</v>
      </c>
      <c r="L39" s="1" t="s">
        <v>1916</v>
      </c>
      <c r="N39" s="1" t="s">
        <v>2182</v>
      </c>
      <c r="O39" s="28">
        <v>4400</v>
      </c>
      <c r="P39" s="74">
        <f>O39*0.75</f>
        <v>3300</v>
      </c>
      <c r="Q39" s="74">
        <f>D39*P39</f>
        <v>0</v>
      </c>
      <c r="R39" s="28"/>
    </row>
    <row r="40" spans="1:19" ht="32.4">
      <c r="A40" s="1" t="s">
        <v>3004</v>
      </c>
      <c r="B40" s="277" t="s">
        <v>2943</v>
      </c>
      <c r="C40" s="283" t="s">
        <v>2844</v>
      </c>
      <c r="D40" s="278">
        <v>0</v>
      </c>
      <c r="E40" s="13"/>
      <c r="F40" s="13">
        <v>20241120</v>
      </c>
      <c r="G40" s="13">
        <v>20250428</v>
      </c>
      <c r="H40" s="160">
        <v>10</v>
      </c>
      <c r="I40" s="13"/>
      <c r="J40" s="308"/>
      <c r="K40" s="22" t="s">
        <v>2939</v>
      </c>
      <c r="L40" s="22" t="s">
        <v>2945</v>
      </c>
      <c r="N40" s="3" t="s">
        <v>2944</v>
      </c>
      <c r="O40" s="28">
        <v>670</v>
      </c>
      <c r="P40" s="74">
        <f>O40*0.75</f>
        <v>502.5</v>
      </c>
      <c r="Q40" s="74">
        <f>D40*P40</f>
        <v>0</v>
      </c>
      <c r="R40" s="205"/>
    </row>
    <row r="41" spans="1:19" s="6" customFormat="1">
      <c r="A41" s="6" t="s">
        <v>396</v>
      </c>
      <c r="B41" s="275" t="s">
        <v>576</v>
      </c>
      <c r="C41" s="68" t="s">
        <v>2844</v>
      </c>
      <c r="D41" s="276">
        <v>0</v>
      </c>
      <c r="E41" s="307"/>
      <c r="F41" s="64">
        <v>20240920</v>
      </c>
      <c r="G41" s="64">
        <v>20250204</v>
      </c>
      <c r="H41" s="161" t="s">
        <v>790</v>
      </c>
      <c r="I41" s="64" t="s">
        <v>2192</v>
      </c>
      <c r="J41" s="233" t="s">
        <v>2598</v>
      </c>
      <c r="K41" s="12" t="s">
        <v>2193</v>
      </c>
      <c r="L41" s="12" t="s">
        <v>1866</v>
      </c>
      <c r="M41" s="6" t="s">
        <v>2828</v>
      </c>
      <c r="N41" s="6" t="s">
        <v>2194</v>
      </c>
      <c r="O41" s="28">
        <v>5500</v>
      </c>
      <c r="P41" s="74">
        <f>O41*0.75</f>
        <v>4125</v>
      </c>
      <c r="Q41" s="74">
        <f t="shared" ref="Q41" si="9">D41*P41</f>
        <v>0</v>
      </c>
      <c r="R41" s="28"/>
    </row>
    <row r="42" spans="1:19">
      <c r="A42" s="1" t="s">
        <v>42</v>
      </c>
      <c r="B42" s="290" t="s">
        <v>623</v>
      </c>
      <c r="C42" s="283" t="s">
        <v>2857</v>
      </c>
      <c r="D42" s="278">
        <v>0</v>
      </c>
      <c r="E42" s="13"/>
      <c r="F42" s="13">
        <v>20230510</v>
      </c>
      <c r="G42" s="13">
        <v>20230710</v>
      </c>
      <c r="H42" s="160" t="s">
        <v>699</v>
      </c>
      <c r="I42" s="13"/>
      <c r="J42" s="281" t="s">
        <v>2858</v>
      </c>
      <c r="K42" s="1" t="s">
        <v>1863</v>
      </c>
      <c r="L42" s="172" t="s">
        <v>1909</v>
      </c>
      <c r="M42" s="3"/>
      <c r="O42" s="74">
        <v>2300</v>
      </c>
      <c r="P42" s="74">
        <f t="shared" ref="P42" si="10">O42*0.75</f>
        <v>1725</v>
      </c>
      <c r="Q42" s="74">
        <f t="shared" ref="Q42" si="11">D42*P42</f>
        <v>0</v>
      </c>
    </row>
    <row r="43" spans="1:19" ht="45">
      <c r="A43" s="1" t="s">
        <v>42</v>
      </c>
      <c r="B43" s="65" t="s">
        <v>623</v>
      </c>
      <c r="C43" s="101" t="s">
        <v>2637</v>
      </c>
      <c r="D43" s="101">
        <v>0</v>
      </c>
      <c r="F43" s="1">
        <v>20230510</v>
      </c>
      <c r="G43" s="1">
        <v>20230710</v>
      </c>
      <c r="H43" s="159" t="s">
        <v>699</v>
      </c>
      <c r="I43" s="212" t="s">
        <v>3066</v>
      </c>
      <c r="K43" s="1" t="s">
        <v>1908</v>
      </c>
      <c r="L43" s="172" t="s">
        <v>1909</v>
      </c>
      <c r="M43" s="3" t="s">
        <v>964</v>
      </c>
      <c r="O43" s="74">
        <v>2300</v>
      </c>
      <c r="P43" s="74">
        <f t="shared" ref="P43:P48" si="12">O43*0.75</f>
        <v>1725</v>
      </c>
      <c r="Q43" s="74">
        <f t="shared" ref="Q43:Q48" si="13">D43*P43</f>
        <v>0</v>
      </c>
    </row>
    <row r="44" spans="1:19" s="6" customFormat="1">
      <c r="A44" s="6" t="s">
        <v>396</v>
      </c>
      <c r="B44" s="279" t="s">
        <v>3047</v>
      </c>
      <c r="C44" s="324" t="s">
        <v>3048</v>
      </c>
      <c r="D44" s="101">
        <v>0</v>
      </c>
      <c r="F44" s="6">
        <v>20241230</v>
      </c>
      <c r="G44" s="6">
        <v>20250609</v>
      </c>
      <c r="H44" s="159">
        <v>10</v>
      </c>
      <c r="I44" s="6" t="s">
        <v>3049</v>
      </c>
      <c r="J44" s="202" t="s">
        <v>3064</v>
      </c>
      <c r="K44" s="6" t="s">
        <v>3050</v>
      </c>
      <c r="L44" s="6" t="s">
        <v>3051</v>
      </c>
      <c r="M44" s="6" t="s">
        <v>3046</v>
      </c>
      <c r="N44" s="6" t="s">
        <v>3026</v>
      </c>
      <c r="O44" s="28">
        <v>583</v>
      </c>
      <c r="P44" s="28">
        <f t="shared" si="12"/>
        <v>437.25</v>
      </c>
      <c r="Q44" s="28">
        <f t="shared" si="13"/>
        <v>0</v>
      </c>
      <c r="R44" s="28"/>
    </row>
    <row r="45" spans="1:19" s="6" customFormat="1">
      <c r="A45" s="6" t="s">
        <v>396</v>
      </c>
      <c r="B45" s="277" t="s">
        <v>506</v>
      </c>
      <c r="C45" s="327" t="s">
        <v>3048</v>
      </c>
      <c r="D45" s="278">
        <v>0</v>
      </c>
      <c r="E45" s="96"/>
      <c r="F45" s="96">
        <v>20231120</v>
      </c>
      <c r="G45" s="96">
        <v>20250326</v>
      </c>
      <c r="H45" s="160" t="s">
        <v>699</v>
      </c>
      <c r="I45" s="96" t="s">
        <v>2309</v>
      </c>
      <c r="J45" s="232" t="s">
        <v>3064</v>
      </c>
      <c r="K45" s="6" t="s">
        <v>1050</v>
      </c>
      <c r="L45" s="6" t="s">
        <v>1903</v>
      </c>
      <c r="M45" s="6" t="s">
        <v>2908</v>
      </c>
      <c r="N45" s="6" t="s">
        <v>2909</v>
      </c>
      <c r="O45" s="28">
        <v>1900</v>
      </c>
      <c r="P45" s="28">
        <f t="shared" si="12"/>
        <v>1425</v>
      </c>
      <c r="Q45" s="28">
        <f t="shared" si="13"/>
        <v>0</v>
      </c>
      <c r="R45" s="28"/>
    </row>
    <row r="46" spans="1:19">
      <c r="A46" s="1" t="s">
        <v>42</v>
      </c>
      <c r="B46" s="8" t="s">
        <v>2426</v>
      </c>
      <c r="C46" s="101" t="s">
        <v>2636</v>
      </c>
      <c r="D46" s="302">
        <v>0</v>
      </c>
      <c r="E46" s="21"/>
      <c r="F46" s="1">
        <v>20240429</v>
      </c>
      <c r="G46" s="1">
        <v>20240604</v>
      </c>
      <c r="H46" s="159">
        <v>10</v>
      </c>
      <c r="K46" s="12" t="s">
        <v>2427</v>
      </c>
      <c r="L46" s="145" t="s">
        <v>2428</v>
      </c>
      <c r="M46" s="1" t="s">
        <v>2429</v>
      </c>
      <c r="N46" s="1" t="s">
        <v>2430</v>
      </c>
      <c r="O46" s="74">
        <v>1350</v>
      </c>
      <c r="P46" s="74">
        <f t="shared" si="12"/>
        <v>1012.5</v>
      </c>
      <c r="Q46" s="74">
        <f t="shared" si="13"/>
        <v>0</v>
      </c>
    </row>
    <row r="47" spans="1:19">
      <c r="A47" s="1" t="s">
        <v>42</v>
      </c>
      <c r="B47" s="1" t="s">
        <v>268</v>
      </c>
      <c r="C47" s="21" t="s">
        <v>2574</v>
      </c>
      <c r="D47" s="4">
        <v>3</v>
      </c>
      <c r="G47" s="1">
        <v>20200416</v>
      </c>
      <c r="H47" s="159" t="s">
        <v>699</v>
      </c>
      <c r="I47" s="21" t="s">
        <v>2932</v>
      </c>
      <c r="J47" s="21" t="s">
        <v>2865</v>
      </c>
      <c r="K47" s="1" t="s">
        <v>1917</v>
      </c>
      <c r="L47" s="1" t="s">
        <v>1927</v>
      </c>
      <c r="O47" s="74">
        <v>0</v>
      </c>
      <c r="P47" s="74">
        <f t="shared" si="12"/>
        <v>0</v>
      </c>
      <c r="Q47" s="74">
        <f t="shared" si="13"/>
        <v>0</v>
      </c>
      <c r="R47" s="28"/>
    </row>
    <row r="48" spans="1:19">
      <c r="A48" s="1" t="s">
        <v>42</v>
      </c>
      <c r="B48" s="1" t="s">
        <v>266</v>
      </c>
      <c r="C48" s="7" t="s">
        <v>2574</v>
      </c>
      <c r="D48" s="4">
        <v>5</v>
      </c>
      <c r="G48" s="1">
        <v>20200416</v>
      </c>
      <c r="H48" s="159" t="s">
        <v>699</v>
      </c>
      <c r="I48" s="7" t="s">
        <v>2932</v>
      </c>
      <c r="J48" s="7" t="s">
        <v>2865</v>
      </c>
      <c r="K48" s="1" t="s">
        <v>1925</v>
      </c>
      <c r="L48" s="1" t="s">
        <v>1926</v>
      </c>
      <c r="O48" s="74">
        <v>0</v>
      </c>
      <c r="P48" s="74">
        <f t="shared" si="12"/>
        <v>0</v>
      </c>
      <c r="Q48" s="74">
        <f t="shared" si="13"/>
        <v>0</v>
      </c>
      <c r="R48" s="205" t="s">
        <v>2211</v>
      </c>
    </row>
    <row r="49" spans="1:18">
      <c r="A49" s="1" t="s">
        <v>42</v>
      </c>
      <c r="B49" s="1" t="s">
        <v>267</v>
      </c>
      <c r="C49" s="7" t="s">
        <v>2574</v>
      </c>
      <c r="D49" s="4">
        <v>1</v>
      </c>
      <c r="G49" s="1">
        <v>20191105</v>
      </c>
      <c r="H49" s="159" t="s">
        <v>699</v>
      </c>
      <c r="I49" s="7" t="s">
        <v>2932</v>
      </c>
      <c r="J49" s="7" t="s">
        <v>2865</v>
      </c>
      <c r="K49" s="1" t="s">
        <v>1923</v>
      </c>
      <c r="L49" s="1" t="s">
        <v>1924</v>
      </c>
      <c r="O49" s="74">
        <v>0</v>
      </c>
      <c r="P49" s="74">
        <f t="shared" ref="P49:P56" si="14">O49*0.75</f>
        <v>0</v>
      </c>
      <c r="Q49" s="74">
        <f t="shared" ref="Q49:Q56" si="15">D49*P49</f>
        <v>0</v>
      </c>
      <c r="R49" s="28"/>
    </row>
    <row r="50" spans="1:18">
      <c r="A50" s="1" t="s">
        <v>42</v>
      </c>
      <c r="B50" s="1" t="s">
        <v>275</v>
      </c>
      <c r="C50" s="7" t="s">
        <v>2574</v>
      </c>
      <c r="D50" s="4">
        <v>1</v>
      </c>
      <c r="G50" s="1">
        <v>20200416</v>
      </c>
      <c r="H50" s="159" t="s">
        <v>699</v>
      </c>
      <c r="I50" s="7" t="s">
        <v>2932</v>
      </c>
      <c r="J50" s="7" t="s">
        <v>2865</v>
      </c>
      <c r="K50" s="1" t="s">
        <v>1917</v>
      </c>
      <c r="L50" s="1" t="s">
        <v>1913</v>
      </c>
      <c r="O50" s="28">
        <v>0</v>
      </c>
      <c r="P50" s="74">
        <f t="shared" si="14"/>
        <v>0</v>
      </c>
      <c r="Q50" s="74">
        <f t="shared" si="15"/>
        <v>0</v>
      </c>
      <c r="R50" s="205" t="s">
        <v>2211</v>
      </c>
    </row>
    <row r="51" spans="1:18">
      <c r="A51" s="1" t="s">
        <v>42</v>
      </c>
      <c r="B51" s="1" t="s">
        <v>276</v>
      </c>
      <c r="C51" s="7" t="s">
        <v>2574</v>
      </c>
      <c r="D51" s="4">
        <v>1</v>
      </c>
      <c r="G51" s="1">
        <v>20200416</v>
      </c>
      <c r="H51" s="159" t="s">
        <v>699</v>
      </c>
      <c r="I51" s="7" t="s">
        <v>2932</v>
      </c>
      <c r="J51" s="7" t="s">
        <v>2865</v>
      </c>
      <c r="K51" s="1" t="s">
        <v>1917</v>
      </c>
      <c r="L51" s="1" t="s">
        <v>1913</v>
      </c>
      <c r="O51" s="74">
        <v>0</v>
      </c>
      <c r="P51" s="74">
        <f t="shared" si="14"/>
        <v>0</v>
      </c>
      <c r="Q51" s="74">
        <f t="shared" si="15"/>
        <v>0</v>
      </c>
      <c r="R51" s="205" t="s">
        <v>2211</v>
      </c>
    </row>
    <row r="52" spans="1:18">
      <c r="A52" s="1" t="s">
        <v>42</v>
      </c>
      <c r="B52" s="1" t="s">
        <v>273</v>
      </c>
      <c r="C52" s="7" t="s">
        <v>2574</v>
      </c>
      <c r="D52" s="4">
        <v>1</v>
      </c>
      <c r="G52" s="1">
        <v>20200416</v>
      </c>
      <c r="H52" s="159" t="s">
        <v>699</v>
      </c>
      <c r="I52" s="7" t="s">
        <v>2932</v>
      </c>
      <c r="J52" s="7" t="s">
        <v>2865</v>
      </c>
      <c r="K52" s="1" t="s">
        <v>1920</v>
      </c>
      <c r="L52" s="1" t="s">
        <v>1922</v>
      </c>
      <c r="O52" s="28">
        <v>0</v>
      </c>
      <c r="P52" s="74">
        <f t="shared" si="14"/>
        <v>0</v>
      </c>
      <c r="Q52" s="74">
        <f t="shared" si="15"/>
        <v>0</v>
      </c>
      <c r="R52" s="28"/>
    </row>
    <row r="53" spans="1:18">
      <c r="A53" s="1" t="s">
        <v>42</v>
      </c>
      <c r="B53" s="1" t="s">
        <v>274</v>
      </c>
      <c r="C53" s="7" t="s">
        <v>2574</v>
      </c>
      <c r="D53" s="4">
        <v>1</v>
      </c>
      <c r="G53" s="1">
        <v>20200416</v>
      </c>
      <c r="H53" s="159" t="s">
        <v>699</v>
      </c>
      <c r="I53" s="7" t="s">
        <v>2932</v>
      </c>
      <c r="J53" s="7" t="s">
        <v>2865</v>
      </c>
      <c r="K53" s="1" t="s">
        <v>1920</v>
      </c>
      <c r="L53" s="1" t="s">
        <v>1921</v>
      </c>
      <c r="O53" s="28">
        <v>0</v>
      </c>
      <c r="P53" s="74">
        <f t="shared" si="14"/>
        <v>0</v>
      </c>
      <c r="Q53" s="74">
        <f t="shared" si="15"/>
        <v>0</v>
      </c>
      <c r="R53" s="28"/>
    </row>
    <row r="54" spans="1:18">
      <c r="A54" s="1" t="s">
        <v>42</v>
      </c>
      <c r="B54" s="1" t="s">
        <v>269</v>
      </c>
      <c r="C54" s="7" t="s">
        <v>2574</v>
      </c>
      <c r="D54" s="4">
        <v>1</v>
      </c>
      <c r="G54" s="1">
        <v>20200416</v>
      </c>
      <c r="H54" s="159" t="s">
        <v>699</v>
      </c>
      <c r="I54" s="7" t="s">
        <v>2932</v>
      </c>
      <c r="J54" s="7" t="s">
        <v>2865</v>
      </c>
      <c r="K54" s="1" t="s">
        <v>1917</v>
      </c>
      <c r="L54" s="1" t="s">
        <v>1913</v>
      </c>
      <c r="O54" s="28">
        <v>0</v>
      </c>
      <c r="P54" s="74">
        <f t="shared" si="14"/>
        <v>0</v>
      </c>
      <c r="Q54" s="74">
        <f t="shared" si="15"/>
        <v>0</v>
      </c>
      <c r="R54" s="205" t="s">
        <v>2211</v>
      </c>
    </row>
    <row r="55" spans="1:18">
      <c r="A55" s="1" t="s">
        <v>42</v>
      </c>
      <c r="B55" s="1" t="s">
        <v>270</v>
      </c>
      <c r="C55" s="7" t="s">
        <v>2574</v>
      </c>
      <c r="D55" s="4">
        <v>1</v>
      </c>
      <c r="G55" s="1">
        <v>20200416</v>
      </c>
      <c r="H55" s="159" t="s">
        <v>699</v>
      </c>
      <c r="I55" s="7" t="s">
        <v>2932</v>
      </c>
      <c r="J55" s="7" t="s">
        <v>2865</v>
      </c>
      <c r="K55" s="1" t="s">
        <v>1917</v>
      </c>
      <c r="L55" s="1" t="s">
        <v>1913</v>
      </c>
      <c r="O55" s="28">
        <v>0</v>
      </c>
      <c r="P55" s="74">
        <f t="shared" si="14"/>
        <v>0</v>
      </c>
      <c r="Q55" s="74">
        <f t="shared" si="15"/>
        <v>0</v>
      </c>
      <c r="R55" s="205" t="s">
        <v>2211</v>
      </c>
    </row>
    <row r="56" spans="1:18">
      <c r="A56" s="1" t="s">
        <v>42</v>
      </c>
      <c r="B56" s="1" t="s">
        <v>271</v>
      </c>
      <c r="C56" s="7" t="s">
        <v>2574</v>
      </c>
      <c r="D56" s="4">
        <v>1</v>
      </c>
      <c r="G56" s="1">
        <v>20200416</v>
      </c>
      <c r="H56" s="159" t="s">
        <v>699</v>
      </c>
      <c r="I56" s="7" t="s">
        <v>2932</v>
      </c>
      <c r="J56" s="7" t="s">
        <v>2865</v>
      </c>
      <c r="K56" s="1" t="s">
        <v>1917</v>
      </c>
      <c r="L56" s="1" t="s">
        <v>1913</v>
      </c>
      <c r="O56" s="28">
        <v>0</v>
      </c>
      <c r="P56" s="74">
        <f t="shared" si="14"/>
        <v>0</v>
      </c>
      <c r="Q56" s="74">
        <f t="shared" si="15"/>
        <v>0</v>
      </c>
      <c r="R56" s="205" t="s">
        <v>2211</v>
      </c>
    </row>
    <row r="57" spans="1:18" s="6" customFormat="1">
      <c r="A57" s="6" t="s">
        <v>42</v>
      </c>
      <c r="B57" s="65" t="s">
        <v>547</v>
      </c>
      <c r="C57" s="101" t="s">
        <v>2638</v>
      </c>
      <c r="D57" s="101">
        <v>0</v>
      </c>
      <c r="F57" s="6">
        <v>20210801</v>
      </c>
      <c r="G57" s="6">
        <v>20211001</v>
      </c>
      <c r="H57" s="159" t="s">
        <v>699</v>
      </c>
      <c r="K57" s="12" t="s">
        <v>1864</v>
      </c>
      <c r="L57" s="12" t="s">
        <v>1865</v>
      </c>
      <c r="M57" s="6" t="s">
        <v>1014</v>
      </c>
      <c r="O57" s="28">
        <v>4015</v>
      </c>
      <c r="P57" s="74">
        <f>O57*0.75</f>
        <v>3011.25</v>
      </c>
      <c r="Q57" s="74">
        <f>D57*P57</f>
        <v>0</v>
      </c>
      <c r="R57" s="28"/>
    </row>
    <row r="59" spans="1:18">
      <c r="O59" s="1"/>
    </row>
    <row r="63" spans="1:18">
      <c r="O63" s="1"/>
    </row>
    <row r="65" spans="15:15">
      <c r="O65" s="1"/>
    </row>
    <row r="71" spans="15:15">
      <c r="O71" s="74"/>
    </row>
    <row r="72" spans="15:15">
      <c r="O72" s="74"/>
    </row>
    <row r="73" spans="15:15">
      <c r="O73" s="74"/>
    </row>
    <row r="77" spans="15:15">
      <c r="O77" s="74"/>
    </row>
    <row r="113" spans="9:13">
      <c r="I113" s="61"/>
      <c r="M113" s="61"/>
    </row>
    <row r="132" spans="9:13">
      <c r="I132" s="12"/>
      <c r="M132" s="12"/>
    </row>
    <row r="176" spans="15:15">
      <c r="O176" s="74"/>
    </row>
    <row r="203" spans="15:15">
      <c r="O203" s="74"/>
    </row>
    <row r="219" spans="15:15">
      <c r="O219" s="74"/>
    </row>
    <row r="222" spans="15:15">
      <c r="O222" s="74"/>
    </row>
  </sheetData>
  <autoFilter ref="A3:N31" xr:uid="{00000000-0009-0000-0000-000006000000}"/>
  <mergeCells count="2">
    <mergeCell ref="A1:J1"/>
    <mergeCell ref="B2:J2"/>
  </mergeCells>
  <phoneticPr fontId="1" type="noConversion"/>
  <conditionalFormatting sqref="A23:R23 K24:R24 A27:O27 K25:O26 P25:R27 A24:J26 A1:R6 A26:R26 A8:R8 A31:R437 A10:R21">
    <cfRule type="expression" dxfId="52" priority="37">
      <formula>CELL("ROW")=ROW()</formula>
    </cfRule>
  </conditionalFormatting>
  <conditionalFormatting sqref="A24:B24">
    <cfRule type="expression" dxfId="51" priority="32">
      <formula>CELL("ROW")=ROW()</formula>
    </cfRule>
  </conditionalFormatting>
  <conditionalFormatting sqref="A46:R48">
    <cfRule type="expression" dxfId="50" priority="27">
      <formula>CELL("ROW")=ROW()</formula>
    </cfRule>
  </conditionalFormatting>
  <conditionalFormatting sqref="A22:R22">
    <cfRule type="expression" dxfId="49" priority="25">
      <formula>CELL("ROW")=ROW()</formula>
    </cfRule>
  </conditionalFormatting>
  <conditionalFormatting sqref="A22:R22">
    <cfRule type="expression" dxfId="48" priority="24">
      <formula>CELL("ROW")=ROW()</formula>
    </cfRule>
  </conditionalFormatting>
  <conditionalFormatting sqref="A36:R45">
    <cfRule type="expression" dxfId="47" priority="23">
      <formula>CELL("ROW")=ROW()</formula>
    </cfRule>
  </conditionalFormatting>
  <conditionalFormatting sqref="A38:R45">
    <cfRule type="expression" dxfId="46" priority="22">
      <formula>CELL("ROW")=ROW()</formula>
    </cfRule>
  </conditionalFormatting>
  <conditionalFormatting sqref="A7:R7">
    <cfRule type="expression" dxfId="45" priority="17">
      <formula>CELL("ROW")=ROW()</formula>
    </cfRule>
  </conditionalFormatting>
  <conditionalFormatting sqref="A7:R7">
    <cfRule type="expression" dxfId="44" priority="16">
      <formula>CELL("ROW")=ROW()</formula>
    </cfRule>
  </conditionalFormatting>
  <conditionalFormatting sqref="A7:R7">
    <cfRule type="expression" dxfId="43" priority="15">
      <formula>CELL("ROW")=ROW()</formula>
    </cfRule>
  </conditionalFormatting>
  <conditionalFormatting sqref="A7:R7">
    <cfRule type="expression" dxfId="42" priority="14">
      <formula>CELL("ROW")=ROW()</formula>
    </cfRule>
  </conditionalFormatting>
  <conditionalFormatting sqref="A7:R7">
    <cfRule type="expression" dxfId="41" priority="13">
      <formula>CELL("ROW")=ROW()</formula>
    </cfRule>
  </conditionalFormatting>
  <conditionalFormatting sqref="A42:B45 D42:I45 K42:R45">
    <cfRule type="expression" dxfId="40" priority="12">
      <formula>CELL("ROW")=ROW()</formula>
    </cfRule>
  </conditionalFormatting>
  <conditionalFormatting sqref="C42:C45">
    <cfRule type="expression" dxfId="39" priority="11">
      <formula>CELL("ROW")=ROW()</formula>
    </cfRule>
  </conditionalFormatting>
  <conditionalFormatting sqref="C28:C30">
    <cfRule type="expression" dxfId="38" priority="9">
      <formula>CELL("ROW")=ROW()</formula>
    </cfRule>
  </conditionalFormatting>
  <conditionalFormatting sqref="C40:C45">
    <cfRule type="expression" dxfId="37" priority="8">
      <formula>CELL("ROW")=ROW()</formula>
    </cfRule>
  </conditionalFormatting>
  <conditionalFormatting sqref="A28:B30 D28:R30">
    <cfRule type="expression" dxfId="36" priority="7">
      <formula>CELL("ROW")=ROW()</formula>
    </cfRule>
  </conditionalFormatting>
  <conditionalFormatting sqref="A28:B30 D28:R30">
    <cfRule type="expression" dxfId="35" priority="6">
      <formula>CELL("ROW")=ROW()</formula>
    </cfRule>
  </conditionalFormatting>
  <conditionalFormatting sqref="A28:B30 D28:R30">
    <cfRule type="expression" dxfId="34" priority="5">
      <formula>CELL("ROW")=ROW()</formula>
    </cfRule>
  </conditionalFormatting>
  <conditionalFormatting sqref="A9:R9">
    <cfRule type="expression" dxfId="33" priority="3">
      <formula>CELL("ROW")=ROW()</formula>
    </cfRule>
  </conditionalFormatting>
  <conditionalFormatting sqref="A9:R9">
    <cfRule type="expression" dxfId="32" priority="2">
      <formula>CELL("ROW")=ROW()</formula>
    </cfRule>
  </conditionalFormatting>
  <conditionalFormatting sqref="A9:R9">
    <cfRule type="expression" dxfId="31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>
    <tabColor theme="8" tint="0.39997558519241921"/>
  </sheetPr>
  <dimension ref="A1:S235"/>
  <sheetViews>
    <sheetView workbookViewId="0">
      <pane xSplit="1" ySplit="3" topLeftCell="B37" activePane="bottomRight" state="frozen"/>
      <selection activeCell="B33" sqref="B33"/>
      <selection pane="topRight" activeCell="B33" sqref="B33"/>
      <selection pane="bottomLeft" activeCell="B33" sqref="B33"/>
      <selection pane="bottomRight" activeCell="C59" sqref="C59"/>
    </sheetView>
  </sheetViews>
  <sheetFormatPr defaultRowHeight="16.2"/>
  <cols>
    <col min="1" max="1" width="12" customWidth="1"/>
    <col min="2" max="2" width="16.33203125" style="1" customWidth="1"/>
    <col min="3" max="3" width="13.77734375" bestFit="1" customWidth="1"/>
    <col min="6" max="7" width="11.77734375" customWidth="1"/>
    <col min="8" max="8" width="11.77734375" style="167" customWidth="1"/>
    <col min="9" max="9" width="19.77734375" style="1" customWidth="1"/>
    <col min="10" max="10" width="17.88671875" style="12" bestFit="1" customWidth="1"/>
    <col min="11" max="11" width="22.21875" style="12" bestFit="1" customWidth="1"/>
    <col min="12" max="12" width="22.33203125" style="12" bestFit="1" customWidth="1"/>
    <col min="13" max="13" width="14" style="1" customWidth="1"/>
    <col min="14" max="14" width="9" style="1"/>
    <col min="15" max="15" width="12.44140625" style="28" customWidth="1"/>
    <col min="16" max="16" width="10.6640625" style="30" bestFit="1" customWidth="1"/>
    <col min="17" max="17" width="9.21875" style="30" customWidth="1"/>
    <col min="18" max="18" width="13" style="30" bestFit="1" customWidth="1"/>
    <col min="19" max="19" width="13.6640625" bestFit="1" customWidth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1224</v>
      </c>
      <c r="M2" s="144" t="s">
        <v>1000</v>
      </c>
      <c r="N2"/>
      <c r="O2"/>
      <c r="P2"/>
      <c r="Q2"/>
      <c r="R2"/>
    </row>
    <row r="3" spans="1:19" s="1" customFormat="1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 s="1" customFormat="1" ht="16.5" customHeight="1">
      <c r="A4" s="1" t="s">
        <v>48</v>
      </c>
      <c r="B4" s="2" t="s">
        <v>543</v>
      </c>
      <c r="C4" s="86" t="s">
        <v>503</v>
      </c>
      <c r="D4" s="1">
        <v>28</v>
      </c>
      <c r="E4" s="6"/>
      <c r="F4" s="6">
        <v>20210711</v>
      </c>
      <c r="G4" s="6">
        <v>20210911</v>
      </c>
      <c r="H4" s="159" t="s">
        <v>699</v>
      </c>
      <c r="J4" s="4"/>
      <c r="K4" s="12" t="s">
        <v>1024</v>
      </c>
      <c r="L4" s="12" t="s">
        <v>1450</v>
      </c>
      <c r="N4" s="22" t="s">
        <v>602</v>
      </c>
      <c r="O4" s="28">
        <v>1120</v>
      </c>
      <c r="P4" s="28">
        <f t="shared" ref="P4:P43" si="0">O4*0.75</f>
        <v>840</v>
      </c>
      <c r="Q4" s="28">
        <f t="shared" ref="Q4:Q43" si="1">D4*P4</f>
        <v>23520</v>
      </c>
      <c r="R4" s="29"/>
      <c r="S4" s="29"/>
    </row>
    <row r="5" spans="1:19" s="1" customFormat="1" ht="16.5" customHeight="1">
      <c r="A5" s="4" t="s">
        <v>48</v>
      </c>
      <c r="B5" s="2" t="s">
        <v>544</v>
      </c>
      <c r="C5" s="86" t="s">
        <v>503</v>
      </c>
      <c r="D5" s="1">
        <v>8</v>
      </c>
      <c r="E5" s="6"/>
      <c r="F5" s="6">
        <v>20210711</v>
      </c>
      <c r="G5" s="6">
        <v>20210911</v>
      </c>
      <c r="H5" s="159" t="s">
        <v>699</v>
      </c>
      <c r="J5" s="4"/>
      <c r="K5" s="12" t="s">
        <v>1024</v>
      </c>
      <c r="L5" s="12" t="s">
        <v>1451</v>
      </c>
      <c r="N5" s="22"/>
      <c r="O5" s="28">
        <v>1585</v>
      </c>
      <c r="P5" s="28">
        <f t="shared" si="0"/>
        <v>1188.75</v>
      </c>
      <c r="Q5" s="28">
        <f t="shared" si="1"/>
        <v>9510</v>
      </c>
      <c r="R5" s="29"/>
      <c r="S5" s="29"/>
    </row>
    <row r="6" spans="1:19" s="59" customFormat="1">
      <c r="A6" s="1" t="s">
        <v>48</v>
      </c>
      <c r="B6" s="6" t="s">
        <v>49</v>
      </c>
      <c r="C6" s="86" t="s">
        <v>503</v>
      </c>
      <c r="D6" s="6">
        <v>5</v>
      </c>
      <c r="E6" s="6"/>
      <c r="F6" s="6">
        <v>20200911</v>
      </c>
      <c r="G6" s="6">
        <v>20201111</v>
      </c>
      <c r="H6" s="159" t="s">
        <v>699</v>
      </c>
      <c r="I6" s="6"/>
      <c r="J6" s="12"/>
      <c r="K6" s="12" t="s">
        <v>1024</v>
      </c>
      <c r="L6" s="12" t="s">
        <v>1452</v>
      </c>
      <c r="M6" s="1"/>
      <c r="N6" s="6"/>
      <c r="O6" s="28">
        <v>1380</v>
      </c>
      <c r="P6" s="28">
        <f t="shared" si="0"/>
        <v>1035</v>
      </c>
      <c r="Q6" s="28">
        <f t="shared" si="1"/>
        <v>5175</v>
      </c>
      <c r="R6" s="28"/>
      <c r="S6" s="6"/>
    </row>
    <row r="7" spans="1:19" s="1" customFormat="1" ht="16.5" customHeight="1">
      <c r="A7" s="1" t="s">
        <v>48</v>
      </c>
      <c r="B7" s="2" t="s">
        <v>545</v>
      </c>
      <c r="C7" s="86" t="s">
        <v>503</v>
      </c>
      <c r="D7" s="1">
        <v>27</v>
      </c>
      <c r="E7" s="6"/>
      <c r="F7" s="6">
        <v>20210710</v>
      </c>
      <c r="G7" s="6">
        <v>20210910</v>
      </c>
      <c r="H7" s="159" t="s">
        <v>699</v>
      </c>
      <c r="J7" s="4"/>
      <c r="K7" s="12" t="s">
        <v>1936</v>
      </c>
      <c r="L7" s="12" t="s">
        <v>1937</v>
      </c>
      <c r="N7" s="22"/>
      <c r="O7" s="28">
        <v>1580</v>
      </c>
      <c r="P7" s="28">
        <f t="shared" si="0"/>
        <v>1185</v>
      </c>
      <c r="Q7" s="28">
        <f t="shared" si="1"/>
        <v>31995</v>
      </c>
      <c r="R7" s="29"/>
      <c r="S7" s="29"/>
    </row>
    <row r="8" spans="1:19" s="1" customFormat="1" ht="16.5" customHeight="1">
      <c r="A8" s="1" t="s">
        <v>48</v>
      </c>
      <c r="B8" s="2" t="s">
        <v>571</v>
      </c>
      <c r="C8" s="86" t="s">
        <v>503</v>
      </c>
      <c r="D8" s="1">
        <v>1</v>
      </c>
      <c r="E8" s="6"/>
      <c r="F8" s="6">
        <v>20210818</v>
      </c>
      <c r="G8" s="6">
        <v>20211018</v>
      </c>
      <c r="H8" s="159" t="s">
        <v>699</v>
      </c>
      <c r="J8" s="4"/>
      <c r="K8" s="1" t="s">
        <v>1935</v>
      </c>
      <c r="L8" s="12" t="s">
        <v>1938</v>
      </c>
      <c r="N8" s="22"/>
      <c r="O8" s="28">
        <v>1650</v>
      </c>
      <c r="P8" s="28">
        <f t="shared" si="0"/>
        <v>1237.5</v>
      </c>
      <c r="Q8" s="28">
        <f t="shared" si="1"/>
        <v>1237.5</v>
      </c>
      <c r="R8" s="29"/>
      <c r="S8" s="29"/>
    </row>
    <row r="9" spans="1:19" s="1" customFormat="1">
      <c r="A9" s="1" t="s">
        <v>48</v>
      </c>
      <c r="B9" s="2" t="s">
        <v>502</v>
      </c>
      <c r="C9" s="86" t="s">
        <v>503</v>
      </c>
      <c r="D9" s="6">
        <v>1</v>
      </c>
      <c r="F9" s="1">
        <v>20210529</v>
      </c>
      <c r="G9" s="1">
        <v>20210729</v>
      </c>
      <c r="H9" s="159" t="s">
        <v>699</v>
      </c>
      <c r="J9" s="4"/>
      <c r="K9" s="12" t="s">
        <v>1939</v>
      </c>
      <c r="L9" s="12" t="s">
        <v>1940</v>
      </c>
      <c r="N9" s="3"/>
      <c r="O9" s="28">
        <v>1990</v>
      </c>
      <c r="P9" s="28">
        <f t="shared" si="0"/>
        <v>1492.5</v>
      </c>
      <c r="Q9" s="28">
        <f t="shared" si="1"/>
        <v>1492.5</v>
      </c>
      <c r="R9" s="29"/>
    </row>
    <row r="10" spans="1:19">
      <c r="A10" s="4" t="s">
        <v>48</v>
      </c>
      <c r="B10" s="4" t="s">
        <v>207</v>
      </c>
      <c r="C10" s="86" t="s">
        <v>503</v>
      </c>
      <c r="D10" s="12">
        <v>20</v>
      </c>
      <c r="E10" s="7"/>
      <c r="F10" s="12">
        <v>20200903</v>
      </c>
      <c r="G10" s="12">
        <v>20201103</v>
      </c>
      <c r="H10" s="159" t="s">
        <v>699</v>
      </c>
      <c r="I10" s="7" t="s">
        <v>383</v>
      </c>
      <c r="K10" s="12" t="s">
        <v>1453</v>
      </c>
      <c r="L10" s="12" t="s">
        <v>1454</v>
      </c>
      <c r="N10" s="1" t="s">
        <v>640</v>
      </c>
      <c r="O10" s="28">
        <v>1222</v>
      </c>
      <c r="P10" s="28">
        <f t="shared" si="0"/>
        <v>916.5</v>
      </c>
      <c r="Q10" s="28">
        <f t="shared" si="1"/>
        <v>18330</v>
      </c>
      <c r="R10" s="28"/>
      <c r="S10" s="1"/>
    </row>
    <row r="11" spans="1:19">
      <c r="A11" s="1" t="s">
        <v>385</v>
      </c>
      <c r="B11" s="13" t="s">
        <v>386</v>
      </c>
      <c r="C11" s="90" t="s">
        <v>503</v>
      </c>
      <c r="D11" s="13">
        <v>3</v>
      </c>
      <c r="E11" s="374"/>
      <c r="F11" s="13">
        <v>20200906</v>
      </c>
      <c r="G11" s="13">
        <v>20201106</v>
      </c>
      <c r="H11" s="160" t="s">
        <v>699</v>
      </c>
      <c r="I11" s="357" t="s">
        <v>388</v>
      </c>
      <c r="J11" s="391" t="s">
        <v>745</v>
      </c>
      <c r="K11" s="12" t="s">
        <v>1455</v>
      </c>
      <c r="L11" s="12" t="s">
        <v>1456</v>
      </c>
      <c r="N11" s="355" t="s">
        <v>519</v>
      </c>
      <c r="O11" s="28">
        <v>4100</v>
      </c>
      <c r="P11" s="28">
        <f t="shared" si="0"/>
        <v>3075</v>
      </c>
      <c r="Q11" s="28">
        <f t="shared" si="1"/>
        <v>9225</v>
      </c>
      <c r="R11" s="28"/>
      <c r="S11" s="1"/>
    </row>
    <row r="12" spans="1:19">
      <c r="A12" s="1" t="s">
        <v>385</v>
      </c>
      <c r="B12" s="14" t="s">
        <v>387</v>
      </c>
      <c r="C12" s="86" t="s">
        <v>503</v>
      </c>
      <c r="D12" s="14">
        <v>3</v>
      </c>
      <c r="E12" s="375"/>
      <c r="F12" s="14">
        <v>20200906</v>
      </c>
      <c r="G12" s="14">
        <v>20201106</v>
      </c>
      <c r="H12" s="161" t="s">
        <v>699</v>
      </c>
      <c r="I12" s="358"/>
      <c r="J12" s="391"/>
      <c r="K12" s="12" t="s">
        <v>1457</v>
      </c>
      <c r="L12" s="12" t="s">
        <v>1458</v>
      </c>
      <c r="N12" s="355"/>
      <c r="O12" s="28">
        <v>5780</v>
      </c>
      <c r="P12" s="28">
        <f t="shared" si="0"/>
        <v>4335</v>
      </c>
      <c r="Q12" s="28">
        <f t="shared" si="1"/>
        <v>13005</v>
      </c>
      <c r="R12" s="28"/>
      <c r="S12" s="1"/>
    </row>
    <row r="13" spans="1:19">
      <c r="A13" s="1" t="s">
        <v>48</v>
      </c>
      <c r="B13" s="15" t="s">
        <v>665</v>
      </c>
      <c r="C13" s="87" t="s">
        <v>2592</v>
      </c>
      <c r="D13" s="13">
        <v>10</v>
      </c>
      <c r="E13" s="13"/>
      <c r="F13" s="13">
        <v>20220229</v>
      </c>
      <c r="G13" s="13">
        <v>20220429</v>
      </c>
      <c r="H13" s="160" t="s">
        <v>699</v>
      </c>
      <c r="I13" s="395" t="s">
        <v>664</v>
      </c>
      <c r="K13" s="12" t="s">
        <v>1459</v>
      </c>
      <c r="L13" s="12" t="s">
        <v>1941</v>
      </c>
      <c r="O13" s="28">
        <v>1115</v>
      </c>
      <c r="P13" s="28">
        <f t="shared" si="0"/>
        <v>836.25</v>
      </c>
      <c r="Q13" s="28">
        <f t="shared" si="1"/>
        <v>8362.5</v>
      </c>
      <c r="R13" s="28"/>
      <c r="S13" s="1"/>
    </row>
    <row r="14" spans="1:19">
      <c r="A14" s="1" t="s">
        <v>48</v>
      </c>
      <c r="B14" s="17" t="s">
        <v>666</v>
      </c>
      <c r="C14" s="39" t="s">
        <v>2592</v>
      </c>
      <c r="D14" s="14">
        <v>10</v>
      </c>
      <c r="E14" s="14"/>
      <c r="F14" s="14">
        <v>20220229</v>
      </c>
      <c r="G14" s="14">
        <v>20220429</v>
      </c>
      <c r="H14" s="161" t="s">
        <v>699</v>
      </c>
      <c r="I14" s="396"/>
      <c r="K14" s="12" t="s">
        <v>1453</v>
      </c>
      <c r="L14" s="12" t="s">
        <v>1454</v>
      </c>
      <c r="O14" s="28">
        <v>1222</v>
      </c>
      <c r="P14" s="28">
        <f t="shared" si="0"/>
        <v>916.5</v>
      </c>
      <c r="Q14" s="28">
        <f t="shared" si="1"/>
        <v>9165</v>
      </c>
      <c r="R14" s="28"/>
      <c r="S14" s="1"/>
    </row>
    <row r="15" spans="1:19">
      <c r="A15" s="1" t="s">
        <v>48</v>
      </c>
      <c r="B15" s="1" t="s">
        <v>368</v>
      </c>
      <c r="C15" s="119" t="s">
        <v>2593</v>
      </c>
      <c r="D15" s="1">
        <v>4</v>
      </c>
      <c r="E15" s="1"/>
      <c r="F15" s="1"/>
      <c r="G15" s="1">
        <v>20201019</v>
      </c>
      <c r="H15" s="159" t="s">
        <v>699</v>
      </c>
      <c r="I15" s="21"/>
      <c r="K15" s="12" t="s">
        <v>1459</v>
      </c>
      <c r="L15" s="12" t="s">
        <v>1941</v>
      </c>
      <c r="O15" s="28">
        <v>1115</v>
      </c>
      <c r="P15" s="28">
        <f t="shared" si="0"/>
        <v>836.25</v>
      </c>
      <c r="Q15" s="28">
        <f t="shared" si="1"/>
        <v>3345</v>
      </c>
      <c r="R15" s="28"/>
      <c r="S15" s="1"/>
    </row>
    <row r="16" spans="1:19">
      <c r="A16" s="1" t="s">
        <v>48</v>
      </c>
      <c r="B16" s="1" t="s">
        <v>367</v>
      </c>
      <c r="C16" s="119" t="s">
        <v>2593</v>
      </c>
      <c r="D16" s="1">
        <v>4</v>
      </c>
      <c r="E16" s="1"/>
      <c r="F16" s="1"/>
      <c r="G16" s="1">
        <v>20201019</v>
      </c>
      <c r="H16" s="159" t="s">
        <v>699</v>
      </c>
      <c r="I16" s="21"/>
      <c r="K16" s="12" t="s">
        <v>1460</v>
      </c>
      <c r="L16" s="12" t="s">
        <v>1942</v>
      </c>
      <c r="O16" s="28">
        <v>680</v>
      </c>
      <c r="P16" s="28">
        <f t="shared" si="0"/>
        <v>510</v>
      </c>
      <c r="Q16" s="28">
        <f t="shared" si="1"/>
        <v>2040</v>
      </c>
      <c r="R16" s="28"/>
      <c r="S16" s="1"/>
    </row>
    <row r="17" spans="1:19">
      <c r="A17" s="1" t="s">
        <v>48</v>
      </c>
      <c r="B17" s="1" t="s">
        <v>206</v>
      </c>
      <c r="C17" s="119" t="s">
        <v>2593</v>
      </c>
      <c r="D17" s="1">
        <v>4</v>
      </c>
      <c r="E17" s="1"/>
      <c r="F17" s="1"/>
      <c r="G17" s="1">
        <v>20201019</v>
      </c>
      <c r="H17" s="159" t="s">
        <v>699</v>
      </c>
      <c r="I17" s="21"/>
      <c r="K17" s="12" t="s">
        <v>1461</v>
      </c>
      <c r="L17" s="12" t="s">
        <v>1462</v>
      </c>
      <c r="O17" s="28">
        <v>1086</v>
      </c>
      <c r="P17" s="28">
        <f t="shared" si="0"/>
        <v>814.5</v>
      </c>
      <c r="Q17" s="28">
        <f t="shared" si="1"/>
        <v>3258</v>
      </c>
      <c r="R17" s="28"/>
      <c r="S17" s="1"/>
    </row>
    <row r="18" spans="1:19">
      <c r="A18" s="1" t="s">
        <v>48</v>
      </c>
      <c r="B18" s="15" t="s">
        <v>367</v>
      </c>
      <c r="C18" s="87" t="s">
        <v>2593</v>
      </c>
      <c r="D18" s="13">
        <v>10</v>
      </c>
      <c r="E18" s="13"/>
      <c r="F18" s="13">
        <v>20220229</v>
      </c>
      <c r="G18" s="13">
        <v>20220429</v>
      </c>
      <c r="H18" s="160" t="s">
        <v>699</v>
      </c>
      <c r="I18" s="397" t="s">
        <v>664</v>
      </c>
      <c r="K18" s="12" t="s">
        <v>1460</v>
      </c>
      <c r="L18" s="12" t="s">
        <v>1942</v>
      </c>
      <c r="O18" s="28">
        <v>680</v>
      </c>
      <c r="P18" s="28">
        <f t="shared" si="0"/>
        <v>510</v>
      </c>
      <c r="Q18" s="28">
        <f t="shared" si="1"/>
        <v>5100</v>
      </c>
      <c r="R18" s="28"/>
      <c r="S18" s="1"/>
    </row>
    <row r="19" spans="1:19">
      <c r="A19" s="1" t="s">
        <v>48</v>
      </c>
      <c r="B19" s="17" t="s">
        <v>369</v>
      </c>
      <c r="C19" s="39" t="s">
        <v>2593</v>
      </c>
      <c r="D19" s="14">
        <v>10</v>
      </c>
      <c r="E19" s="14"/>
      <c r="F19" s="14">
        <v>20220229</v>
      </c>
      <c r="G19" s="14">
        <v>20220429</v>
      </c>
      <c r="H19" s="161" t="s">
        <v>699</v>
      </c>
      <c r="I19" s="396"/>
      <c r="K19" s="12" t="s">
        <v>1461</v>
      </c>
      <c r="L19" s="12" t="s">
        <v>1462</v>
      </c>
      <c r="O19" s="28">
        <v>1086</v>
      </c>
      <c r="P19" s="28">
        <f t="shared" si="0"/>
        <v>814.5</v>
      </c>
      <c r="Q19" s="28">
        <f t="shared" si="1"/>
        <v>8145</v>
      </c>
      <c r="R19" s="28"/>
      <c r="S19" s="1"/>
    </row>
    <row r="20" spans="1:19">
      <c r="A20" s="1" t="s">
        <v>385</v>
      </c>
      <c r="B20" s="13" t="s">
        <v>181</v>
      </c>
      <c r="C20" s="87" t="s">
        <v>2573</v>
      </c>
      <c r="D20" s="13">
        <v>1</v>
      </c>
      <c r="E20" s="374"/>
      <c r="F20" s="13"/>
      <c r="G20" s="13">
        <v>20200617</v>
      </c>
      <c r="H20" s="160" t="s">
        <v>699</v>
      </c>
      <c r="I20" s="395" t="s">
        <v>395</v>
      </c>
      <c r="J20" s="391" t="s">
        <v>485</v>
      </c>
      <c r="K20" s="12" t="s">
        <v>1455</v>
      </c>
      <c r="L20" s="12" t="s">
        <v>1456</v>
      </c>
      <c r="O20" s="28">
        <v>4100</v>
      </c>
      <c r="P20" s="28">
        <f>O20*0.75</f>
        <v>3075</v>
      </c>
      <c r="Q20" s="28">
        <f>D20*P20</f>
        <v>3075</v>
      </c>
      <c r="R20" s="28"/>
      <c r="S20" s="1"/>
    </row>
    <row r="21" spans="1:19">
      <c r="A21" s="1" t="s">
        <v>385</v>
      </c>
      <c r="B21" s="14" t="s">
        <v>290</v>
      </c>
      <c r="C21" s="39" t="s">
        <v>2573</v>
      </c>
      <c r="D21" s="14">
        <v>1</v>
      </c>
      <c r="E21" s="375"/>
      <c r="F21" s="14"/>
      <c r="G21" s="14">
        <v>20200617</v>
      </c>
      <c r="H21" s="161" t="s">
        <v>699</v>
      </c>
      <c r="I21" s="396"/>
      <c r="J21" s="391"/>
      <c r="K21" s="12" t="s">
        <v>1457</v>
      </c>
      <c r="L21" s="12" t="s">
        <v>1789</v>
      </c>
      <c r="O21" s="28">
        <v>5780</v>
      </c>
      <c r="P21" s="28">
        <f>O21*0.75</f>
        <v>4335</v>
      </c>
      <c r="Q21" s="28">
        <f>D21*P21</f>
        <v>4335</v>
      </c>
      <c r="R21" s="28"/>
      <c r="S21" s="1"/>
    </row>
    <row r="22" spans="1:19">
      <c r="A22" s="1" t="s">
        <v>385</v>
      </c>
      <c r="B22" s="1" t="s">
        <v>2100</v>
      </c>
      <c r="C22" s="119" t="s">
        <v>2573</v>
      </c>
      <c r="D22" s="1">
        <v>1</v>
      </c>
      <c r="E22" s="1"/>
      <c r="F22" s="1">
        <v>20231101</v>
      </c>
      <c r="G22" s="1">
        <v>20231211</v>
      </c>
      <c r="H22" s="159">
        <v>10</v>
      </c>
      <c r="I22" s="115"/>
      <c r="K22" s="12" t="s">
        <v>2104</v>
      </c>
      <c r="L22" s="12" t="s">
        <v>2101</v>
      </c>
      <c r="M22" s="1" t="s">
        <v>2102</v>
      </c>
      <c r="N22" s="1" t="s">
        <v>2103</v>
      </c>
      <c r="O22" s="28">
        <v>1850</v>
      </c>
      <c r="P22" s="28">
        <f>O22*0.75</f>
        <v>1387.5</v>
      </c>
      <c r="Q22" s="28">
        <f>D22*P22</f>
        <v>1387.5</v>
      </c>
      <c r="R22" s="28"/>
      <c r="S22" s="1"/>
    </row>
    <row r="23" spans="1:19">
      <c r="A23" s="1" t="s">
        <v>385</v>
      </c>
      <c r="B23" s="14" t="s">
        <v>289</v>
      </c>
      <c r="C23" s="14" t="s">
        <v>1788</v>
      </c>
      <c r="D23" s="14">
        <v>3</v>
      </c>
      <c r="E23" s="14"/>
      <c r="F23" s="14"/>
      <c r="G23" s="14">
        <v>20200617</v>
      </c>
      <c r="H23" s="161" t="s">
        <v>699</v>
      </c>
      <c r="I23" s="262"/>
      <c r="J23" s="12" t="s">
        <v>746</v>
      </c>
      <c r="K23" s="12" t="s">
        <v>1457</v>
      </c>
      <c r="L23" s="12" t="s">
        <v>1458</v>
      </c>
      <c r="O23" s="28">
        <v>5780</v>
      </c>
      <c r="P23" s="28">
        <f t="shared" si="0"/>
        <v>4335</v>
      </c>
      <c r="Q23" s="28">
        <f t="shared" si="1"/>
        <v>13005</v>
      </c>
      <c r="R23" s="28"/>
      <c r="S23" s="1"/>
    </row>
    <row r="24" spans="1:19">
      <c r="A24" s="1" t="s">
        <v>48</v>
      </c>
      <c r="B24" s="23" t="s">
        <v>208</v>
      </c>
      <c r="C24" s="13" t="s">
        <v>1788</v>
      </c>
      <c r="D24" s="13">
        <v>4</v>
      </c>
      <c r="E24" s="374"/>
      <c r="F24" s="13"/>
      <c r="G24" s="13">
        <v>20191230</v>
      </c>
      <c r="H24" s="160" t="s">
        <v>699</v>
      </c>
      <c r="I24" s="357" t="s">
        <v>54</v>
      </c>
      <c r="K24" s="12" t="s">
        <v>1467</v>
      </c>
      <c r="L24" s="12" t="s">
        <v>1468</v>
      </c>
      <c r="N24" s="355" t="s">
        <v>598</v>
      </c>
      <c r="O24" s="28">
        <v>4140</v>
      </c>
      <c r="P24" s="28">
        <f t="shared" si="0"/>
        <v>3105</v>
      </c>
      <c r="Q24" s="28">
        <f t="shared" si="1"/>
        <v>12420</v>
      </c>
      <c r="R24" s="28"/>
      <c r="S24" s="1"/>
    </row>
    <row r="25" spans="1:19">
      <c r="A25" s="1" t="s">
        <v>48</v>
      </c>
      <c r="B25" s="26" t="s">
        <v>570</v>
      </c>
      <c r="C25" s="14" t="s">
        <v>1791</v>
      </c>
      <c r="D25" s="14">
        <v>4</v>
      </c>
      <c r="E25" s="375"/>
      <c r="F25" s="14"/>
      <c r="G25" s="14">
        <v>20191230</v>
      </c>
      <c r="H25" s="161" t="s">
        <v>699</v>
      </c>
      <c r="I25" s="358"/>
      <c r="K25" s="12" t="s">
        <v>1449</v>
      </c>
      <c r="L25" s="145" t="s">
        <v>1943</v>
      </c>
      <c r="N25" s="355"/>
      <c r="O25" s="28">
        <v>1200</v>
      </c>
      <c r="P25" s="28">
        <f t="shared" si="0"/>
        <v>900</v>
      </c>
      <c r="Q25" s="28">
        <f t="shared" si="1"/>
        <v>3600</v>
      </c>
      <c r="R25" s="28"/>
      <c r="S25" s="1"/>
    </row>
    <row r="26" spans="1:19">
      <c r="A26" s="4" t="s">
        <v>48</v>
      </c>
      <c r="B26" s="4" t="s">
        <v>207</v>
      </c>
      <c r="C26" s="1" t="s">
        <v>1788</v>
      </c>
      <c r="D26" s="12">
        <v>5</v>
      </c>
      <c r="E26" s="7"/>
      <c r="F26" s="7"/>
      <c r="G26" s="12">
        <v>20191114</v>
      </c>
      <c r="H26" s="159" t="s">
        <v>699</v>
      </c>
      <c r="I26" s="7"/>
      <c r="K26" s="12" t="s">
        <v>1453</v>
      </c>
      <c r="L26" s="12" t="s">
        <v>1454</v>
      </c>
      <c r="O26" s="28">
        <v>1222</v>
      </c>
      <c r="P26" s="28">
        <f t="shared" si="0"/>
        <v>916.5</v>
      </c>
      <c r="Q26" s="28">
        <f t="shared" si="1"/>
        <v>4582.5</v>
      </c>
      <c r="R26" s="28"/>
      <c r="S26" s="1"/>
    </row>
    <row r="27" spans="1:19">
      <c r="A27" s="4" t="s">
        <v>48</v>
      </c>
      <c r="B27" s="4" t="s">
        <v>206</v>
      </c>
      <c r="C27" s="1" t="s">
        <v>1788</v>
      </c>
      <c r="D27" s="12">
        <v>20</v>
      </c>
      <c r="E27" s="7"/>
      <c r="F27" s="7"/>
      <c r="G27" s="12">
        <v>20191114</v>
      </c>
      <c r="H27" s="159" t="s">
        <v>699</v>
      </c>
      <c r="I27" s="7"/>
      <c r="K27" s="12" t="s">
        <v>1461</v>
      </c>
      <c r="L27" s="12" t="s">
        <v>1462</v>
      </c>
      <c r="O27" s="28">
        <v>1086</v>
      </c>
      <c r="P27" s="28">
        <f t="shared" si="0"/>
        <v>814.5</v>
      </c>
      <c r="Q27" s="28">
        <f t="shared" si="1"/>
        <v>16290</v>
      </c>
      <c r="R27" s="28"/>
      <c r="S27" s="1"/>
    </row>
    <row r="28" spans="1:19">
      <c r="A28" s="1" t="s">
        <v>48</v>
      </c>
      <c r="B28" s="1" t="s">
        <v>202</v>
      </c>
      <c r="C28" s="1" t="s">
        <v>1788</v>
      </c>
      <c r="D28" s="1">
        <v>1</v>
      </c>
      <c r="E28" s="1"/>
      <c r="F28" s="1"/>
      <c r="G28" s="1">
        <v>20200319</v>
      </c>
      <c r="H28" s="159" t="s">
        <v>699</v>
      </c>
      <c r="K28" s="12" t="s">
        <v>1024</v>
      </c>
      <c r="L28" s="12" t="s">
        <v>1944</v>
      </c>
      <c r="O28" s="28">
        <v>7900</v>
      </c>
      <c r="P28" s="28">
        <f t="shared" si="0"/>
        <v>5925</v>
      </c>
      <c r="Q28" s="28">
        <f t="shared" si="1"/>
        <v>5925</v>
      </c>
      <c r="R28" s="28"/>
      <c r="S28" s="1"/>
    </row>
    <row r="29" spans="1:19">
      <c r="A29" s="1" t="s">
        <v>48</v>
      </c>
      <c r="B29" s="1" t="s">
        <v>182</v>
      </c>
      <c r="C29" s="1" t="s">
        <v>1788</v>
      </c>
      <c r="D29" s="1">
        <v>1</v>
      </c>
      <c r="E29" s="1"/>
      <c r="F29" s="1"/>
      <c r="G29" s="1">
        <v>20200319</v>
      </c>
      <c r="H29" s="159" t="s">
        <v>699</v>
      </c>
      <c r="K29" s="12" t="s">
        <v>1024</v>
      </c>
      <c r="L29" s="12" t="s">
        <v>1944</v>
      </c>
      <c r="O29" s="28">
        <v>3275</v>
      </c>
      <c r="P29" s="28">
        <f t="shared" si="0"/>
        <v>2456.25</v>
      </c>
      <c r="Q29" s="28">
        <f t="shared" si="1"/>
        <v>2456.25</v>
      </c>
      <c r="R29" s="28"/>
      <c r="S29" s="1"/>
    </row>
    <row r="30" spans="1:19">
      <c r="A30" s="1" t="s">
        <v>48</v>
      </c>
      <c r="B30" s="1" t="s">
        <v>203</v>
      </c>
      <c r="C30" s="1" t="s">
        <v>1788</v>
      </c>
      <c r="D30" s="1">
        <v>1</v>
      </c>
      <c r="E30" s="1"/>
      <c r="F30" s="1"/>
      <c r="G30" s="1">
        <v>20200319</v>
      </c>
      <c r="H30" s="159" t="s">
        <v>699</v>
      </c>
      <c r="K30" s="12" t="s">
        <v>1024</v>
      </c>
      <c r="L30" s="12" t="s">
        <v>1944</v>
      </c>
      <c r="O30" s="28">
        <v>3870</v>
      </c>
      <c r="P30" s="28">
        <f t="shared" si="0"/>
        <v>2902.5</v>
      </c>
      <c r="Q30" s="28">
        <f t="shared" si="1"/>
        <v>2902.5</v>
      </c>
      <c r="R30" s="28"/>
      <c r="S30" s="1"/>
    </row>
    <row r="31" spans="1:19">
      <c r="A31" s="1" t="s">
        <v>48</v>
      </c>
      <c r="B31" s="1" t="s">
        <v>50</v>
      </c>
      <c r="C31" s="1" t="s">
        <v>1788</v>
      </c>
      <c r="D31" s="1">
        <v>1</v>
      </c>
      <c r="E31" s="1"/>
      <c r="F31" s="1"/>
      <c r="G31" s="1">
        <v>20200319</v>
      </c>
      <c r="H31" s="159" t="s">
        <v>699</v>
      </c>
      <c r="K31" s="12" t="s">
        <v>1024</v>
      </c>
      <c r="L31" s="12" t="s">
        <v>1944</v>
      </c>
      <c r="O31" s="28">
        <v>828</v>
      </c>
      <c r="P31" s="28">
        <f t="shared" si="0"/>
        <v>621</v>
      </c>
      <c r="Q31" s="28">
        <f t="shared" si="1"/>
        <v>621</v>
      </c>
      <c r="R31" s="28"/>
      <c r="S31" s="1"/>
    </row>
    <row r="32" spans="1:19">
      <c r="A32" s="1" t="s">
        <v>48</v>
      </c>
      <c r="B32" s="1" t="s">
        <v>204</v>
      </c>
      <c r="C32" s="1" t="s">
        <v>1788</v>
      </c>
      <c r="D32" s="1">
        <v>1</v>
      </c>
      <c r="E32" s="1"/>
      <c r="F32" s="1"/>
      <c r="G32" s="1">
        <v>20200319</v>
      </c>
      <c r="H32" s="159" t="s">
        <v>699</v>
      </c>
      <c r="K32" s="12" t="s">
        <v>1024</v>
      </c>
      <c r="L32" s="12" t="s">
        <v>1944</v>
      </c>
      <c r="O32" s="28">
        <v>1366</v>
      </c>
      <c r="P32" s="28">
        <f t="shared" si="0"/>
        <v>1024.5</v>
      </c>
      <c r="Q32" s="28">
        <f t="shared" si="1"/>
        <v>1024.5</v>
      </c>
      <c r="R32" s="28"/>
      <c r="S32" s="1"/>
    </row>
    <row r="33" spans="1:19">
      <c r="A33" s="1" t="s">
        <v>48</v>
      </c>
      <c r="B33" s="1" t="s">
        <v>462</v>
      </c>
      <c r="C33" s="1" t="s">
        <v>1788</v>
      </c>
      <c r="D33" s="1">
        <v>1</v>
      </c>
      <c r="E33" s="1"/>
      <c r="F33" s="1"/>
      <c r="G33" s="1">
        <v>20200319</v>
      </c>
      <c r="H33" s="159" t="s">
        <v>699</v>
      </c>
      <c r="I33" s="1" t="s">
        <v>464</v>
      </c>
      <c r="K33" s="12" t="s">
        <v>69</v>
      </c>
      <c r="L33" s="12" t="s">
        <v>1463</v>
      </c>
      <c r="O33" s="28">
        <v>2350</v>
      </c>
      <c r="P33" s="28">
        <f t="shared" si="0"/>
        <v>1762.5</v>
      </c>
      <c r="Q33" s="28">
        <f t="shared" si="1"/>
        <v>1762.5</v>
      </c>
      <c r="R33" s="28"/>
      <c r="S33" s="1"/>
    </row>
    <row r="34" spans="1:19">
      <c r="A34" s="1" t="s">
        <v>48</v>
      </c>
      <c r="B34" s="1" t="s">
        <v>463</v>
      </c>
      <c r="C34" s="1" t="s">
        <v>1788</v>
      </c>
      <c r="D34" s="1">
        <v>1</v>
      </c>
      <c r="E34" s="1"/>
      <c r="F34" s="1"/>
      <c r="G34" s="1">
        <v>20200319</v>
      </c>
      <c r="H34" s="159" t="s">
        <v>699</v>
      </c>
      <c r="I34" s="1" t="s">
        <v>464</v>
      </c>
      <c r="K34" s="12" t="s">
        <v>1122</v>
      </c>
      <c r="L34" s="12" t="s">
        <v>1464</v>
      </c>
      <c r="O34" s="28">
        <v>1400</v>
      </c>
      <c r="P34" s="28">
        <f t="shared" si="0"/>
        <v>1050</v>
      </c>
      <c r="Q34" s="28">
        <f t="shared" si="1"/>
        <v>1050</v>
      </c>
      <c r="R34" s="28"/>
      <c r="S34" s="1"/>
    </row>
    <row r="35" spans="1:19">
      <c r="A35" s="1" t="s">
        <v>48</v>
      </c>
      <c r="B35" s="4" t="s">
        <v>200</v>
      </c>
      <c r="C35" s="1" t="s">
        <v>1788</v>
      </c>
      <c r="D35" s="1">
        <v>1</v>
      </c>
      <c r="E35" s="1"/>
      <c r="F35" s="1"/>
      <c r="G35" s="1">
        <v>20200319</v>
      </c>
      <c r="H35" s="159" t="s">
        <v>699</v>
      </c>
      <c r="K35" s="12" t="s">
        <v>1024</v>
      </c>
      <c r="L35" s="12" t="s">
        <v>1944</v>
      </c>
      <c r="O35" s="28">
        <v>0</v>
      </c>
      <c r="P35" s="28">
        <f t="shared" si="0"/>
        <v>0</v>
      </c>
      <c r="Q35" s="28">
        <f t="shared" si="1"/>
        <v>0</v>
      </c>
      <c r="R35" s="205" t="s">
        <v>2211</v>
      </c>
      <c r="S35" s="1"/>
    </row>
    <row r="36" spans="1:19">
      <c r="A36" s="1" t="s">
        <v>48</v>
      </c>
      <c r="B36" s="1" t="s">
        <v>180</v>
      </c>
      <c r="C36" s="6" t="s">
        <v>1790</v>
      </c>
      <c r="D36" s="6">
        <v>15</v>
      </c>
      <c r="E36" s="1"/>
      <c r="F36" s="1"/>
      <c r="G36" s="1">
        <v>20200319</v>
      </c>
      <c r="H36" s="159" t="s">
        <v>699</v>
      </c>
      <c r="I36" s="4" t="s">
        <v>107</v>
      </c>
      <c r="K36" s="12" t="s">
        <v>1465</v>
      </c>
      <c r="L36" s="12" t="s">
        <v>1945</v>
      </c>
      <c r="O36" s="28">
        <v>938</v>
      </c>
      <c r="P36" s="28">
        <f t="shared" si="0"/>
        <v>703.5</v>
      </c>
      <c r="Q36" s="28">
        <f t="shared" si="1"/>
        <v>10552.5</v>
      </c>
      <c r="R36" s="28"/>
      <c r="S36" s="1"/>
    </row>
    <row r="37" spans="1:19">
      <c r="A37" s="1" t="s">
        <v>48</v>
      </c>
      <c r="B37" s="6" t="s">
        <v>201</v>
      </c>
      <c r="C37" s="6" t="s">
        <v>1790</v>
      </c>
      <c r="D37" s="6">
        <v>15</v>
      </c>
      <c r="E37" s="1"/>
      <c r="F37" s="1"/>
      <c r="G37" s="1">
        <v>20200319</v>
      </c>
      <c r="H37" s="159" t="s">
        <v>699</v>
      </c>
      <c r="I37" s="12" t="s">
        <v>106</v>
      </c>
      <c r="K37" s="12" t="s">
        <v>1466</v>
      </c>
      <c r="L37" s="12" t="s">
        <v>2039</v>
      </c>
      <c r="O37" s="28">
        <v>497</v>
      </c>
      <c r="P37" s="28">
        <f t="shared" si="0"/>
        <v>372.75</v>
      </c>
      <c r="Q37" s="28">
        <f t="shared" si="1"/>
        <v>5591.25</v>
      </c>
      <c r="R37" s="28"/>
      <c r="S37" s="1"/>
    </row>
    <row r="38" spans="1:19">
      <c r="A38" s="1" t="s">
        <v>48</v>
      </c>
      <c r="B38" s="1" t="s">
        <v>205</v>
      </c>
      <c r="C38" s="1" t="s">
        <v>103</v>
      </c>
      <c r="D38" s="1">
        <v>2</v>
      </c>
      <c r="E38" s="1"/>
      <c r="F38" s="1">
        <v>20200215</v>
      </c>
      <c r="G38" s="1">
        <v>20200415</v>
      </c>
      <c r="H38" s="159" t="s">
        <v>699</v>
      </c>
      <c r="K38" s="12" t="s">
        <v>1024</v>
      </c>
      <c r="L38" s="12" t="s">
        <v>1451</v>
      </c>
      <c r="O38" s="28">
        <v>1585</v>
      </c>
      <c r="P38" s="28">
        <f t="shared" si="0"/>
        <v>1188.75</v>
      </c>
      <c r="Q38" s="28">
        <f t="shared" si="1"/>
        <v>2377.5</v>
      </c>
      <c r="R38" s="28"/>
      <c r="S38" s="1"/>
    </row>
    <row r="39" spans="1:19">
      <c r="A39" s="1" t="s">
        <v>48</v>
      </c>
      <c r="B39" s="1" t="s">
        <v>2445</v>
      </c>
      <c r="C39" s="1" t="s">
        <v>103</v>
      </c>
      <c r="D39" s="1">
        <v>2</v>
      </c>
      <c r="E39" s="1"/>
      <c r="F39" s="1">
        <v>20240506</v>
      </c>
      <c r="G39" s="1">
        <v>20240604</v>
      </c>
      <c r="H39" s="159">
        <v>10</v>
      </c>
      <c r="K39" s="12" t="s">
        <v>2446</v>
      </c>
      <c r="L39" s="12" t="s">
        <v>2447</v>
      </c>
      <c r="O39" s="28">
        <v>0</v>
      </c>
      <c r="P39" s="28">
        <f t="shared" si="0"/>
        <v>0</v>
      </c>
      <c r="Q39" s="28">
        <f t="shared" si="1"/>
        <v>0</v>
      </c>
      <c r="R39" s="28"/>
      <c r="S39" s="1"/>
    </row>
    <row r="40" spans="1:19">
      <c r="A40" s="1" t="s">
        <v>48</v>
      </c>
      <c r="B40" s="1" t="s">
        <v>2258</v>
      </c>
      <c r="C40" s="1" t="s">
        <v>2577</v>
      </c>
      <c r="D40" s="1">
        <v>10</v>
      </c>
      <c r="E40" s="1"/>
      <c r="F40" s="1">
        <v>20240109</v>
      </c>
      <c r="G40" s="1">
        <v>20240215</v>
      </c>
      <c r="H40" s="159">
        <v>10</v>
      </c>
      <c r="I40" s="21"/>
      <c r="K40" s="12" t="s">
        <v>2261</v>
      </c>
      <c r="L40" s="12" t="s">
        <v>1452</v>
      </c>
      <c r="M40" s="1" t="s">
        <v>2263</v>
      </c>
      <c r="N40" s="1" t="s">
        <v>2268</v>
      </c>
      <c r="O40" s="28">
        <v>1500</v>
      </c>
      <c r="P40" s="28">
        <f t="shared" si="0"/>
        <v>1125</v>
      </c>
      <c r="Q40" s="28">
        <f t="shared" si="1"/>
        <v>11250</v>
      </c>
      <c r="R40" s="28"/>
      <c r="S40" s="1"/>
    </row>
    <row r="41" spans="1:19">
      <c r="A41" s="1" t="s">
        <v>48</v>
      </c>
      <c r="B41" s="1" t="s">
        <v>2259</v>
      </c>
      <c r="C41" s="1" t="s">
        <v>2577</v>
      </c>
      <c r="D41" s="1">
        <v>15</v>
      </c>
      <c r="E41" s="1"/>
      <c r="F41" s="1">
        <v>20240109</v>
      </c>
      <c r="G41" s="1">
        <v>20240215</v>
      </c>
      <c r="H41" s="159">
        <v>10</v>
      </c>
      <c r="I41" s="21"/>
      <c r="K41" s="12" t="s">
        <v>1933</v>
      </c>
      <c r="L41" s="12" t="s">
        <v>1934</v>
      </c>
      <c r="M41" s="1" t="s">
        <v>2262</v>
      </c>
      <c r="N41" s="1" t="s">
        <v>2269</v>
      </c>
      <c r="O41" s="28">
        <v>2500</v>
      </c>
      <c r="P41" s="28">
        <f t="shared" si="0"/>
        <v>1875</v>
      </c>
      <c r="Q41" s="28">
        <f t="shared" si="1"/>
        <v>28125</v>
      </c>
      <c r="R41" s="28"/>
      <c r="S41" s="1"/>
    </row>
    <row r="42" spans="1:19" ht="32.4">
      <c r="A42" s="1" t="s">
        <v>48</v>
      </c>
      <c r="B42" s="1" t="s">
        <v>2260</v>
      </c>
      <c r="C42" s="1" t="s">
        <v>2577</v>
      </c>
      <c r="D42" s="1">
        <v>15</v>
      </c>
      <c r="E42" s="1"/>
      <c r="F42" s="1">
        <v>20240109</v>
      </c>
      <c r="G42" s="1">
        <v>20240215</v>
      </c>
      <c r="H42" s="159">
        <v>10</v>
      </c>
      <c r="I42" s="21"/>
      <c r="K42" s="12" t="s">
        <v>1929</v>
      </c>
      <c r="L42" s="12" t="s">
        <v>1930</v>
      </c>
      <c r="M42" s="1" t="s">
        <v>2267</v>
      </c>
      <c r="N42" s="3" t="s">
        <v>2270</v>
      </c>
      <c r="O42" s="28">
        <v>2500</v>
      </c>
      <c r="P42" s="28">
        <f t="shared" si="0"/>
        <v>1875</v>
      </c>
      <c r="Q42" s="28">
        <f t="shared" si="1"/>
        <v>28125</v>
      </c>
      <c r="R42" s="28"/>
      <c r="S42" s="1"/>
    </row>
    <row r="43" spans="1:19">
      <c r="A43" s="1" t="s">
        <v>48</v>
      </c>
      <c r="B43" s="1" t="s">
        <v>2264</v>
      </c>
      <c r="C43" s="1" t="s">
        <v>2577</v>
      </c>
      <c r="D43" s="1">
        <v>15</v>
      </c>
      <c r="E43" s="1"/>
      <c r="F43" s="1">
        <v>20240109</v>
      </c>
      <c r="G43" s="1">
        <v>20240215</v>
      </c>
      <c r="H43" s="159">
        <v>10</v>
      </c>
      <c r="I43" s="21"/>
      <c r="K43" s="12" t="s">
        <v>2265</v>
      </c>
      <c r="L43" s="12" t="s">
        <v>1931</v>
      </c>
      <c r="M43" s="1" t="s">
        <v>2266</v>
      </c>
      <c r="N43" s="1" t="s">
        <v>2271</v>
      </c>
      <c r="O43" s="28">
        <v>5000</v>
      </c>
      <c r="P43" s="28">
        <f t="shared" si="0"/>
        <v>3750</v>
      </c>
      <c r="Q43" s="28">
        <f t="shared" si="1"/>
        <v>56250</v>
      </c>
      <c r="R43" s="28"/>
      <c r="S43" s="1"/>
    </row>
    <row r="44" spans="1:19">
      <c r="D44" s="104">
        <f>SUM(D4:D43)</f>
        <v>284</v>
      </c>
      <c r="E44" s="109">
        <f>ROW()-4</f>
        <v>40</v>
      </c>
      <c r="Q44" s="30">
        <f>SUM(Q4:Q43)</f>
        <v>369613.5</v>
      </c>
    </row>
    <row r="45" spans="1:19">
      <c r="O45" s="74"/>
    </row>
    <row r="48" spans="1:19">
      <c r="O48" s="74"/>
    </row>
    <row r="49" spans="1:19">
      <c r="O49" s="74"/>
    </row>
    <row r="51" spans="1:19">
      <c r="O51" s="74"/>
    </row>
    <row r="52" spans="1:19">
      <c r="O52" s="74"/>
    </row>
    <row r="53" spans="1:19">
      <c r="A53" s="43"/>
      <c r="B53" s="38" t="s">
        <v>316</v>
      </c>
      <c r="C53" s="43"/>
      <c r="D53" s="43"/>
      <c r="E53" s="43"/>
      <c r="F53" s="43"/>
      <c r="G53" s="43"/>
      <c r="H53" s="168"/>
      <c r="I53" s="38"/>
      <c r="J53" s="78"/>
      <c r="K53" s="78"/>
      <c r="L53" s="78"/>
      <c r="M53" s="61"/>
      <c r="N53" s="38"/>
      <c r="O53" s="47"/>
      <c r="P53" s="44"/>
      <c r="Q53" s="44"/>
      <c r="R53" s="44"/>
      <c r="S53" s="43"/>
    </row>
    <row r="54" spans="1:19" s="59" customFormat="1" ht="16.2" customHeight="1">
      <c r="A54" s="1" t="s">
        <v>48</v>
      </c>
      <c r="B54" s="65" t="s">
        <v>55</v>
      </c>
      <c r="C54" s="330" t="s">
        <v>503</v>
      </c>
      <c r="D54" s="65">
        <v>5</v>
      </c>
      <c r="E54" s="6"/>
      <c r="F54" s="6">
        <v>20200912</v>
      </c>
      <c r="G54" s="6">
        <v>20201112</v>
      </c>
      <c r="H54" s="159" t="s">
        <v>699</v>
      </c>
      <c r="I54" s="6"/>
      <c r="J54" s="12"/>
      <c r="K54" s="12" t="s">
        <v>1933</v>
      </c>
      <c r="L54" s="12" t="s">
        <v>1934</v>
      </c>
      <c r="M54" s="1"/>
      <c r="N54" s="6"/>
      <c r="O54" s="28">
        <v>2320</v>
      </c>
      <c r="P54" s="28">
        <f>O54*0.75</f>
        <v>1740</v>
      </c>
      <c r="Q54" s="28">
        <f>D54*P54</f>
        <v>8700</v>
      </c>
      <c r="R54" s="28"/>
      <c r="S54" s="6"/>
    </row>
    <row r="55" spans="1:19" s="1" customFormat="1">
      <c r="A55" s="1" t="s">
        <v>48</v>
      </c>
      <c r="B55" s="301" t="s">
        <v>378</v>
      </c>
      <c r="C55" s="330" t="s">
        <v>503</v>
      </c>
      <c r="D55" s="65">
        <v>5</v>
      </c>
      <c r="G55" s="1">
        <v>20201028</v>
      </c>
      <c r="H55" s="159" t="s">
        <v>699</v>
      </c>
      <c r="J55" s="12"/>
      <c r="K55" s="12" t="s">
        <v>1929</v>
      </c>
      <c r="L55" s="12" t="s">
        <v>1930</v>
      </c>
      <c r="N55" s="3"/>
      <c r="O55" s="28">
        <v>2320</v>
      </c>
      <c r="P55" s="28">
        <f>O55*0.75</f>
        <v>1740</v>
      </c>
      <c r="Q55" s="28">
        <f>D55*P55</f>
        <v>8700</v>
      </c>
      <c r="R55" s="28"/>
    </row>
    <row r="56" spans="1:19" s="1" customFormat="1">
      <c r="A56" s="1" t="s">
        <v>48</v>
      </c>
      <c r="B56" s="350" t="s">
        <v>381</v>
      </c>
      <c r="C56" s="330" t="s">
        <v>503</v>
      </c>
      <c r="D56" s="65">
        <v>5</v>
      </c>
      <c r="G56" s="1">
        <v>20201103</v>
      </c>
      <c r="H56" s="159" t="s">
        <v>699</v>
      </c>
      <c r="J56" s="12"/>
      <c r="K56" s="12" t="s">
        <v>1932</v>
      </c>
      <c r="L56" s="12" t="s">
        <v>1931</v>
      </c>
      <c r="N56" s="3" t="s">
        <v>519</v>
      </c>
      <c r="O56" s="28">
        <v>3680</v>
      </c>
      <c r="P56" s="28">
        <f>O56*0.75</f>
        <v>2760</v>
      </c>
      <c r="Q56" s="28">
        <f>D56*P56</f>
        <v>13800</v>
      </c>
      <c r="R56" s="28"/>
    </row>
    <row r="58" spans="1:19">
      <c r="O58" s="74"/>
    </row>
    <row r="66" spans="15:15">
      <c r="O66" s="1"/>
    </row>
    <row r="69" spans="15:15">
      <c r="O69" s="1"/>
    </row>
    <row r="72" spans="15:15">
      <c r="O72" s="1"/>
    </row>
    <row r="76" spans="15:15">
      <c r="O76" s="1"/>
    </row>
    <row r="78" spans="15:15">
      <c r="O78" s="1"/>
    </row>
    <row r="84" spans="15:15">
      <c r="O84" s="74"/>
    </row>
    <row r="85" spans="15:15">
      <c r="O85" s="74"/>
    </row>
    <row r="86" spans="15:15">
      <c r="O86" s="74"/>
    </row>
    <row r="90" spans="15:15">
      <c r="O90" s="74"/>
    </row>
    <row r="146" spans="13:13">
      <c r="M146" s="12"/>
    </row>
    <row r="189" spans="15:15">
      <c r="O189" s="74"/>
    </row>
    <row r="216" spans="15:15">
      <c r="O216" s="74"/>
    </row>
    <row r="232" spans="15:15">
      <c r="O232" s="74"/>
    </row>
    <row r="235" spans="15:15">
      <c r="O235" s="74"/>
    </row>
  </sheetData>
  <autoFilter ref="A3:N3" xr:uid="{00000000-0009-0000-0000-000007000000}"/>
  <mergeCells count="14">
    <mergeCell ref="A1:J1"/>
    <mergeCell ref="N11:N12"/>
    <mergeCell ref="J11:J12"/>
    <mergeCell ref="B2:J2"/>
    <mergeCell ref="N24:N25"/>
    <mergeCell ref="J20:J21"/>
    <mergeCell ref="I24:I25"/>
    <mergeCell ref="I11:I12"/>
    <mergeCell ref="E24:E25"/>
    <mergeCell ref="E20:E21"/>
    <mergeCell ref="I20:I21"/>
    <mergeCell ref="E11:E12"/>
    <mergeCell ref="I13:I14"/>
    <mergeCell ref="I18:I19"/>
  </mergeCells>
  <phoneticPr fontId="1" type="noConversion"/>
  <conditionalFormatting sqref="A1:R298">
    <cfRule type="expression" dxfId="30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8" tint="0.59999389629810485"/>
  </sheetPr>
  <dimension ref="A1:S226"/>
  <sheetViews>
    <sheetView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Q18" sqref="Q18"/>
    </sheetView>
  </sheetViews>
  <sheetFormatPr defaultColWidth="9" defaultRowHeight="16.2"/>
  <cols>
    <col min="1" max="1" width="11.6640625" style="1" bestFit="1" customWidth="1"/>
    <col min="2" max="2" width="15.21875" style="1" bestFit="1" customWidth="1"/>
    <col min="3" max="3" width="17.33203125" style="1" bestFit="1" customWidth="1"/>
    <col min="4" max="4" width="8.33203125" style="1" customWidth="1"/>
    <col min="5" max="5" width="11.77734375" style="1" bestFit="1" customWidth="1"/>
    <col min="6" max="7" width="11.77734375" style="1" customWidth="1"/>
    <col min="8" max="8" width="11.77734375" style="163" customWidth="1"/>
    <col min="9" max="9" width="18.33203125" style="1" customWidth="1"/>
    <col min="10" max="10" width="17.88671875" style="1" bestFit="1" customWidth="1"/>
    <col min="11" max="11" width="21.44140625" style="1" bestFit="1" customWidth="1"/>
    <col min="12" max="12" width="17.88671875" style="1" customWidth="1"/>
    <col min="13" max="13" width="14" style="1" customWidth="1"/>
    <col min="14" max="14" width="11.88671875" style="1" bestFit="1" customWidth="1"/>
    <col min="15" max="15" width="12.44140625" style="28" customWidth="1"/>
    <col min="16" max="16" width="10.6640625" style="1" bestFit="1" customWidth="1"/>
    <col min="17" max="17" width="9.44140625" style="1" bestFit="1" customWidth="1"/>
    <col min="18" max="18" width="13.6640625" style="1" bestFit="1" customWidth="1"/>
    <col min="19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2047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40</v>
      </c>
      <c r="B4" s="1" t="s">
        <v>776</v>
      </c>
      <c r="C4" s="6" t="s">
        <v>435</v>
      </c>
      <c r="D4" s="1">
        <v>1</v>
      </c>
      <c r="F4" s="1">
        <v>20220904</v>
      </c>
      <c r="G4" s="1">
        <v>20221104</v>
      </c>
      <c r="H4" s="159" t="s">
        <v>699</v>
      </c>
      <c r="K4" s="12" t="s">
        <v>1469</v>
      </c>
      <c r="L4" s="12" t="s">
        <v>1470</v>
      </c>
      <c r="M4" s="1" t="s">
        <v>777</v>
      </c>
      <c r="O4" s="28">
        <v>3300</v>
      </c>
      <c r="P4" s="28">
        <f>O4*0.75</f>
        <v>2475</v>
      </c>
      <c r="Q4" s="31">
        <f>D4*P4</f>
        <v>2475</v>
      </c>
    </row>
    <row r="5" spans="1:19">
      <c r="A5" s="1" t="s">
        <v>40</v>
      </c>
      <c r="B5" s="1" t="s">
        <v>557</v>
      </c>
      <c r="C5" s="6" t="s">
        <v>435</v>
      </c>
      <c r="D5" s="6">
        <v>59</v>
      </c>
      <c r="F5" s="1">
        <v>20210814</v>
      </c>
      <c r="G5" s="1">
        <v>20211014</v>
      </c>
      <c r="H5" s="159" t="s">
        <v>699</v>
      </c>
      <c r="I5" s="7"/>
      <c r="K5" s="1" t="s">
        <v>2040</v>
      </c>
      <c r="L5" s="145" t="s">
        <v>2048</v>
      </c>
      <c r="N5" s="28" t="s">
        <v>618</v>
      </c>
      <c r="O5" s="28">
        <v>1265</v>
      </c>
      <c r="P5" s="28">
        <f t="shared" ref="P5:P16" si="0">O5*0.75</f>
        <v>948.75</v>
      </c>
      <c r="Q5" s="31">
        <f t="shared" ref="Q5:Q16" si="1">D5*P5</f>
        <v>55976.25</v>
      </c>
    </row>
    <row r="6" spans="1:19">
      <c r="A6" s="1" t="s">
        <v>40</v>
      </c>
      <c r="B6" s="1" t="s">
        <v>447</v>
      </c>
      <c r="C6" s="6" t="s">
        <v>435</v>
      </c>
      <c r="D6" s="6">
        <v>3</v>
      </c>
      <c r="F6" s="1">
        <v>20220317</v>
      </c>
      <c r="G6" s="1">
        <v>20220517</v>
      </c>
      <c r="H6" s="159" t="s">
        <v>699</v>
      </c>
      <c r="I6" s="7"/>
      <c r="K6" s="12" t="s">
        <v>2040</v>
      </c>
      <c r="L6" s="145" t="s">
        <v>2049</v>
      </c>
      <c r="N6" s="28"/>
      <c r="O6" s="28">
        <v>1300</v>
      </c>
      <c r="P6" s="28">
        <f t="shared" si="0"/>
        <v>975</v>
      </c>
      <c r="Q6" s="31">
        <f t="shared" si="1"/>
        <v>2925</v>
      </c>
    </row>
    <row r="7" spans="1:19">
      <c r="A7" s="1" t="s">
        <v>40</v>
      </c>
      <c r="B7" s="1" t="s">
        <v>416</v>
      </c>
      <c r="C7" s="6" t="s">
        <v>435</v>
      </c>
      <c r="D7" s="6">
        <v>6</v>
      </c>
      <c r="F7" s="1">
        <v>20201028</v>
      </c>
      <c r="G7" s="1">
        <v>20201228</v>
      </c>
      <c r="H7" s="159" t="s">
        <v>699</v>
      </c>
      <c r="I7" s="7"/>
      <c r="K7" s="12" t="s">
        <v>1024</v>
      </c>
      <c r="L7" s="12" t="s">
        <v>1471</v>
      </c>
      <c r="N7" s="28"/>
      <c r="O7" s="28">
        <v>3200</v>
      </c>
      <c r="P7" s="28">
        <f t="shared" si="0"/>
        <v>2400</v>
      </c>
      <c r="Q7" s="31">
        <f t="shared" si="1"/>
        <v>14400</v>
      </c>
    </row>
    <row r="8" spans="1:19">
      <c r="A8" s="1" t="s">
        <v>40</v>
      </c>
      <c r="B8" s="4" t="s">
        <v>195</v>
      </c>
      <c r="C8" s="1" t="s">
        <v>596</v>
      </c>
      <c r="D8" s="1">
        <v>8</v>
      </c>
      <c r="G8" s="1">
        <v>20191021</v>
      </c>
      <c r="H8" s="159" t="s">
        <v>699</v>
      </c>
      <c r="I8" s="7"/>
      <c r="K8" s="12" t="s">
        <v>1472</v>
      </c>
      <c r="L8" s="12" t="s">
        <v>2041</v>
      </c>
      <c r="N8" s="28"/>
      <c r="O8" s="28">
        <v>5800</v>
      </c>
      <c r="P8" s="28">
        <f t="shared" si="0"/>
        <v>4350</v>
      </c>
      <c r="Q8" s="31">
        <f t="shared" si="1"/>
        <v>34800</v>
      </c>
    </row>
    <row r="9" spans="1:19">
      <c r="A9" s="1" t="s">
        <v>40</v>
      </c>
      <c r="B9" s="1" t="s">
        <v>196</v>
      </c>
      <c r="C9" s="1" t="s">
        <v>596</v>
      </c>
      <c r="D9" s="1">
        <v>1</v>
      </c>
      <c r="G9" s="1">
        <v>20191021</v>
      </c>
      <c r="H9" s="159" t="s">
        <v>699</v>
      </c>
      <c r="I9" s="7"/>
      <c r="K9" s="12" t="s">
        <v>1473</v>
      </c>
      <c r="L9" s="12" t="s">
        <v>2041</v>
      </c>
      <c r="N9" s="28"/>
      <c r="O9" s="28">
        <v>5500</v>
      </c>
      <c r="P9" s="28">
        <f t="shared" si="0"/>
        <v>4125</v>
      </c>
      <c r="Q9" s="31">
        <f t="shared" si="1"/>
        <v>4125</v>
      </c>
    </row>
    <row r="10" spans="1:19">
      <c r="A10" s="1" t="s">
        <v>40</v>
      </c>
      <c r="B10" s="1" t="s">
        <v>170</v>
      </c>
      <c r="C10" s="1" t="s">
        <v>597</v>
      </c>
      <c r="D10" s="1">
        <v>4</v>
      </c>
      <c r="G10" s="1">
        <v>20191021</v>
      </c>
      <c r="H10" s="159" t="s">
        <v>699</v>
      </c>
      <c r="I10" s="21"/>
      <c r="K10" s="12" t="s">
        <v>1474</v>
      </c>
      <c r="L10" s="12" t="s">
        <v>2041</v>
      </c>
      <c r="N10" s="28"/>
      <c r="O10" s="28">
        <v>4800</v>
      </c>
      <c r="P10" s="28">
        <f t="shared" si="0"/>
        <v>3600</v>
      </c>
      <c r="Q10" s="31">
        <f t="shared" si="1"/>
        <v>14400</v>
      </c>
    </row>
    <row r="11" spans="1:19">
      <c r="A11" s="1" t="s">
        <v>40</v>
      </c>
      <c r="B11" s="1" t="s">
        <v>41</v>
      </c>
      <c r="C11" s="1" t="s">
        <v>597</v>
      </c>
      <c r="D11" s="1">
        <v>2</v>
      </c>
      <c r="G11" s="1">
        <v>20191021</v>
      </c>
      <c r="H11" s="159" t="s">
        <v>699</v>
      </c>
      <c r="I11" s="7"/>
      <c r="K11" s="12" t="s">
        <v>1475</v>
      </c>
      <c r="L11" s="12" t="s">
        <v>2042</v>
      </c>
      <c r="N11" s="28"/>
      <c r="O11" s="28">
        <v>9250</v>
      </c>
      <c r="P11" s="28">
        <f t="shared" si="0"/>
        <v>6937.5</v>
      </c>
      <c r="Q11" s="31">
        <f t="shared" si="1"/>
        <v>13875</v>
      </c>
    </row>
    <row r="12" spans="1:19">
      <c r="A12" s="1" t="s">
        <v>40</v>
      </c>
      <c r="B12" s="1" t="s">
        <v>196</v>
      </c>
      <c r="C12" s="1" t="s">
        <v>597</v>
      </c>
      <c r="D12" s="1">
        <v>1</v>
      </c>
      <c r="G12" s="1">
        <v>20191021</v>
      </c>
      <c r="H12" s="159" t="s">
        <v>699</v>
      </c>
      <c r="I12" s="7"/>
      <c r="K12" s="12" t="s">
        <v>1473</v>
      </c>
      <c r="L12" s="12" t="s">
        <v>2041</v>
      </c>
      <c r="N12" s="28"/>
      <c r="O12" s="28">
        <v>5500</v>
      </c>
      <c r="P12" s="28">
        <f t="shared" si="0"/>
        <v>4125</v>
      </c>
      <c r="Q12" s="31">
        <f t="shared" si="1"/>
        <v>4125</v>
      </c>
    </row>
    <row r="13" spans="1:19">
      <c r="A13" s="1" t="s">
        <v>40</v>
      </c>
      <c r="B13" s="1" t="s">
        <v>171</v>
      </c>
      <c r="C13" s="1" t="s">
        <v>597</v>
      </c>
      <c r="D13" s="1">
        <v>4</v>
      </c>
      <c r="G13" s="1">
        <v>20190904</v>
      </c>
      <c r="H13" s="159" t="s">
        <v>699</v>
      </c>
      <c r="I13" s="7"/>
      <c r="K13" s="12" t="s">
        <v>1476</v>
      </c>
      <c r="L13" s="12" t="s">
        <v>2043</v>
      </c>
      <c r="N13" s="28"/>
      <c r="O13" s="28">
        <v>13000</v>
      </c>
      <c r="P13" s="28">
        <f t="shared" si="0"/>
        <v>9750</v>
      </c>
      <c r="Q13" s="31">
        <f t="shared" si="1"/>
        <v>39000</v>
      </c>
    </row>
    <row r="14" spans="1:19">
      <c r="A14" s="1" t="s">
        <v>40</v>
      </c>
      <c r="B14" s="6" t="s">
        <v>197</v>
      </c>
      <c r="C14" s="1" t="s">
        <v>597</v>
      </c>
      <c r="D14" s="6">
        <v>8</v>
      </c>
      <c r="G14" s="1">
        <v>20201119</v>
      </c>
      <c r="H14" s="159" t="s">
        <v>699</v>
      </c>
      <c r="I14" s="7"/>
      <c r="K14" s="12" t="s">
        <v>1024</v>
      </c>
      <c r="L14" s="12" t="s">
        <v>2041</v>
      </c>
      <c r="N14" s="28"/>
      <c r="O14" s="28">
        <v>5300</v>
      </c>
      <c r="P14" s="28">
        <f t="shared" si="0"/>
        <v>3975</v>
      </c>
      <c r="Q14" s="31">
        <f t="shared" si="1"/>
        <v>31800</v>
      </c>
    </row>
    <row r="15" spans="1:19">
      <c r="A15" s="1" t="s">
        <v>40</v>
      </c>
      <c r="B15" s="1" t="s">
        <v>382</v>
      </c>
      <c r="C15" s="1" t="s">
        <v>1844</v>
      </c>
      <c r="D15" s="1">
        <v>9</v>
      </c>
      <c r="F15" s="1">
        <v>20200903</v>
      </c>
      <c r="G15" s="1">
        <v>20201103</v>
      </c>
      <c r="H15" s="159" t="s">
        <v>699</v>
      </c>
      <c r="I15" s="7"/>
      <c r="J15" s="398" t="s">
        <v>1812</v>
      </c>
      <c r="K15" s="12" t="s">
        <v>2044</v>
      </c>
      <c r="L15" s="12" t="s">
        <v>1477</v>
      </c>
      <c r="N15" s="28"/>
      <c r="O15" s="28">
        <v>450</v>
      </c>
      <c r="P15" s="28">
        <f t="shared" si="0"/>
        <v>337.5</v>
      </c>
      <c r="Q15" s="31">
        <f t="shared" si="1"/>
        <v>3037.5</v>
      </c>
    </row>
    <row r="16" spans="1:19">
      <c r="A16" s="1" t="s">
        <v>40</v>
      </c>
      <c r="B16" s="1" t="s">
        <v>411</v>
      </c>
      <c r="C16" s="1" t="s">
        <v>1844</v>
      </c>
      <c r="D16" s="1">
        <v>1</v>
      </c>
      <c r="F16" s="1">
        <v>20201002</v>
      </c>
      <c r="G16" s="1">
        <v>20201202</v>
      </c>
      <c r="H16" s="159" t="s">
        <v>699</v>
      </c>
      <c r="I16" s="7"/>
      <c r="J16" s="399"/>
      <c r="K16" s="12" t="s">
        <v>1024</v>
      </c>
      <c r="L16" s="12" t="s">
        <v>1478</v>
      </c>
      <c r="O16" s="28">
        <v>2200</v>
      </c>
      <c r="P16" s="28">
        <f t="shared" si="0"/>
        <v>1650</v>
      </c>
      <c r="Q16" s="31">
        <f t="shared" si="1"/>
        <v>1650</v>
      </c>
    </row>
    <row r="17" spans="1:18">
      <c r="D17" s="104">
        <f>SUM(D4:D16)</f>
        <v>107</v>
      </c>
      <c r="E17" s="109">
        <f>ROW()-4</f>
        <v>13</v>
      </c>
      <c r="Q17" s="31">
        <f>SUM(Q4:Q16)</f>
        <v>222588.75</v>
      </c>
    </row>
    <row r="23" spans="1:18">
      <c r="A23" s="38"/>
      <c r="B23" s="38" t="s">
        <v>329</v>
      </c>
      <c r="C23" s="38"/>
      <c r="D23" s="38"/>
      <c r="E23" s="38"/>
      <c r="F23" s="38"/>
      <c r="G23" s="38"/>
      <c r="H23" s="164"/>
      <c r="I23" s="38"/>
      <c r="J23" s="38"/>
      <c r="K23" s="38"/>
      <c r="L23" s="38"/>
      <c r="M23" s="61"/>
      <c r="N23" s="38"/>
      <c r="O23" s="47"/>
      <c r="P23" s="38"/>
      <c r="Q23" s="38"/>
      <c r="R23" s="38"/>
    </row>
    <row r="39" spans="15:15">
      <c r="O39" s="74"/>
    </row>
    <row r="42" spans="15:15">
      <c r="O42" s="74"/>
    </row>
    <row r="43" spans="15:15">
      <c r="O43" s="74"/>
    </row>
    <row r="45" spans="15:15">
      <c r="O45" s="74"/>
    </row>
    <row r="46" spans="15:15">
      <c r="O46" s="74"/>
    </row>
    <row r="49" spans="15:15">
      <c r="O49" s="74"/>
    </row>
    <row r="57" spans="15:15">
      <c r="O57" s="1"/>
    </row>
    <row r="60" spans="15:15">
      <c r="O60" s="1"/>
    </row>
    <row r="63" spans="15:15">
      <c r="O63" s="1"/>
    </row>
    <row r="67" spans="15:15">
      <c r="O67" s="1"/>
    </row>
    <row r="69" spans="15:15">
      <c r="O69" s="1"/>
    </row>
    <row r="75" spans="15:15">
      <c r="O75" s="74"/>
    </row>
    <row r="76" spans="15:15">
      <c r="O76" s="74"/>
    </row>
    <row r="77" spans="15:15">
      <c r="O77" s="74"/>
    </row>
    <row r="81" spans="15:15">
      <c r="O81" s="74"/>
    </row>
    <row r="140" spans="13:13">
      <c r="M140" s="12"/>
    </row>
    <row r="180" spans="15:15">
      <c r="O180" s="74"/>
    </row>
    <row r="207" spans="15:15">
      <c r="O207" s="74"/>
    </row>
    <row r="223" spans="15:15">
      <c r="O223" s="74"/>
    </row>
    <row r="226" spans="15:15">
      <c r="O226" s="74"/>
    </row>
  </sheetData>
  <autoFilter ref="A3:N3" xr:uid="{00000000-0009-0000-0000-000008000000}"/>
  <mergeCells count="3">
    <mergeCell ref="A1:J1"/>
    <mergeCell ref="B2:J2"/>
    <mergeCell ref="J15:J16"/>
  </mergeCells>
  <phoneticPr fontId="1" type="noConversion"/>
  <conditionalFormatting sqref="A1:R300">
    <cfRule type="expression" dxfId="29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7" tint="0.39997558519241921"/>
  </sheetPr>
  <dimension ref="A1:S132"/>
  <sheetViews>
    <sheetView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B8" sqref="B8"/>
    </sheetView>
  </sheetViews>
  <sheetFormatPr defaultColWidth="9" defaultRowHeight="16.2"/>
  <cols>
    <col min="1" max="1" width="11.6640625" style="1" bestFit="1" customWidth="1"/>
    <col min="2" max="2" width="15" style="1" bestFit="1" customWidth="1"/>
    <col min="3" max="3" width="17.33203125" style="1" bestFit="1" customWidth="1"/>
    <col min="4" max="4" width="9" style="1"/>
    <col min="5" max="5" width="15" style="1" bestFit="1" customWidth="1"/>
    <col min="6" max="7" width="10.44140625" style="1" bestFit="1" customWidth="1"/>
    <col min="8" max="8" width="10.44140625" style="163" customWidth="1"/>
    <col min="9" max="9" width="13.88671875" style="1" bestFit="1" customWidth="1"/>
    <col min="10" max="10" width="17.88671875" style="1" bestFit="1" customWidth="1"/>
    <col min="11" max="12" width="17.88671875" style="1" customWidth="1"/>
    <col min="13" max="13" width="14" style="1" customWidth="1"/>
    <col min="14" max="17" width="10.44140625" style="1" customWidth="1"/>
    <col min="18" max="18" width="13.6640625" style="1" bestFit="1" customWidth="1"/>
    <col min="19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1224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61</v>
      </c>
      <c r="B4" s="1" t="s">
        <v>13</v>
      </c>
      <c r="C4" s="1" t="s">
        <v>1</v>
      </c>
      <c r="D4" s="1">
        <v>1</v>
      </c>
      <c r="G4" s="12">
        <v>20200319</v>
      </c>
      <c r="H4" s="159" t="s">
        <v>699</v>
      </c>
      <c r="J4" s="21"/>
      <c r="K4" s="189" t="s">
        <v>1273</v>
      </c>
      <c r="L4" s="12" t="s">
        <v>1676</v>
      </c>
      <c r="N4" s="28"/>
      <c r="O4" s="28">
        <v>0</v>
      </c>
      <c r="P4" s="28">
        <f t="shared" ref="P4:P24" si="0">O4*0.75</f>
        <v>0</v>
      </c>
      <c r="Q4" s="28">
        <f t="shared" ref="Q4:Q24" si="1">D4*P4</f>
        <v>0</v>
      </c>
      <c r="R4" s="206" t="s">
        <v>2211</v>
      </c>
    </row>
    <row r="5" spans="1:19">
      <c r="A5" s="1" t="s">
        <v>61</v>
      </c>
      <c r="B5" s="1" t="s">
        <v>366</v>
      </c>
      <c r="C5" s="1" t="s">
        <v>1</v>
      </c>
      <c r="D5" s="1">
        <v>1</v>
      </c>
      <c r="G5" s="12">
        <v>20200319</v>
      </c>
      <c r="H5" s="159" t="s">
        <v>699</v>
      </c>
      <c r="J5" s="21"/>
      <c r="K5" s="191" t="s">
        <v>1024</v>
      </c>
      <c r="L5" s="190" t="s">
        <v>1676</v>
      </c>
      <c r="N5" s="32"/>
      <c r="O5" s="28">
        <v>0</v>
      </c>
      <c r="P5" s="28">
        <f t="shared" si="0"/>
        <v>0</v>
      </c>
      <c r="Q5" s="28">
        <f t="shared" si="1"/>
        <v>0</v>
      </c>
      <c r="R5" s="206" t="s">
        <v>2211</v>
      </c>
    </row>
    <row r="6" spans="1:19">
      <c r="A6" s="1" t="s">
        <v>61</v>
      </c>
      <c r="B6" s="1" t="s">
        <v>147</v>
      </c>
      <c r="C6" s="1" t="s">
        <v>1</v>
      </c>
      <c r="D6" s="1">
        <v>5</v>
      </c>
      <c r="G6" s="12">
        <v>20200319</v>
      </c>
      <c r="H6" s="159" t="s">
        <v>699</v>
      </c>
      <c r="J6" s="21"/>
      <c r="K6" s="191" t="s">
        <v>1482</v>
      </c>
      <c r="L6" s="12" t="s">
        <v>2041</v>
      </c>
      <c r="N6" s="28"/>
      <c r="O6" s="28">
        <v>0</v>
      </c>
      <c r="P6" s="28">
        <f t="shared" si="0"/>
        <v>0</v>
      </c>
      <c r="Q6" s="28">
        <f t="shared" si="1"/>
        <v>0</v>
      </c>
      <c r="R6" s="206" t="s">
        <v>2211</v>
      </c>
    </row>
    <row r="7" spans="1:19">
      <c r="A7" s="1" t="s">
        <v>61</v>
      </c>
      <c r="B7" s="1" t="s">
        <v>24</v>
      </c>
      <c r="C7" s="1" t="s">
        <v>1</v>
      </c>
      <c r="D7" s="1">
        <v>9</v>
      </c>
      <c r="G7" s="12">
        <v>20200319</v>
      </c>
      <c r="H7" s="159" t="s">
        <v>699</v>
      </c>
      <c r="J7" s="21"/>
      <c r="K7" s="191" t="s">
        <v>1482</v>
      </c>
      <c r="L7" s="12" t="s">
        <v>2041</v>
      </c>
      <c r="N7" s="28"/>
      <c r="O7" s="28">
        <v>0</v>
      </c>
      <c r="P7" s="28">
        <f t="shared" si="0"/>
        <v>0</v>
      </c>
      <c r="Q7" s="28">
        <f t="shared" si="1"/>
        <v>0</v>
      </c>
      <c r="R7" s="206" t="s">
        <v>2211</v>
      </c>
    </row>
    <row r="8" spans="1:19">
      <c r="A8" s="1" t="s">
        <v>61</v>
      </c>
      <c r="B8" s="1" t="s">
        <v>144</v>
      </c>
      <c r="C8" s="1" t="s">
        <v>1</v>
      </c>
      <c r="D8" s="1">
        <v>3</v>
      </c>
      <c r="G8" s="12">
        <v>20200319</v>
      </c>
      <c r="H8" s="159" t="s">
        <v>699</v>
      </c>
      <c r="J8" s="21"/>
      <c r="K8" s="191" t="s">
        <v>2144</v>
      </c>
      <c r="L8" s="12" t="s">
        <v>1676</v>
      </c>
      <c r="N8" s="28"/>
      <c r="O8" s="28">
        <v>0</v>
      </c>
      <c r="P8" s="28">
        <f t="shared" si="0"/>
        <v>0</v>
      </c>
      <c r="Q8" s="28">
        <f t="shared" si="1"/>
        <v>0</v>
      </c>
      <c r="R8" s="206" t="s">
        <v>2211</v>
      </c>
    </row>
    <row r="9" spans="1:19">
      <c r="A9" s="1" t="s">
        <v>61</v>
      </c>
      <c r="B9" s="1" t="s">
        <v>16</v>
      </c>
      <c r="C9" s="1" t="s">
        <v>1</v>
      </c>
      <c r="D9" s="1">
        <v>1</v>
      </c>
      <c r="G9" s="12">
        <v>20200319</v>
      </c>
      <c r="H9" s="159" t="s">
        <v>699</v>
      </c>
      <c r="J9" s="21"/>
      <c r="K9" s="191" t="s">
        <v>2138</v>
      </c>
      <c r="L9" s="12" t="s">
        <v>1676</v>
      </c>
      <c r="N9" s="28"/>
      <c r="O9" s="28">
        <v>0</v>
      </c>
      <c r="P9" s="28">
        <f t="shared" si="0"/>
        <v>0</v>
      </c>
      <c r="Q9" s="28">
        <f t="shared" si="1"/>
        <v>0</v>
      </c>
      <c r="R9" s="206" t="s">
        <v>2211</v>
      </c>
    </row>
    <row r="10" spans="1:19">
      <c r="A10" s="1" t="s">
        <v>61</v>
      </c>
      <c r="B10" s="1" t="s">
        <v>14</v>
      </c>
      <c r="C10" s="1" t="s">
        <v>1</v>
      </c>
      <c r="D10" s="1">
        <v>1</v>
      </c>
      <c r="G10" s="12">
        <v>20200319</v>
      </c>
      <c r="H10" s="159" t="s">
        <v>699</v>
      </c>
      <c r="J10" s="21"/>
      <c r="K10" s="191" t="s">
        <v>2139</v>
      </c>
      <c r="L10" s="12" t="s">
        <v>1676</v>
      </c>
      <c r="N10" s="28"/>
      <c r="O10" s="28">
        <v>0</v>
      </c>
      <c r="P10" s="28">
        <f t="shared" si="0"/>
        <v>0</v>
      </c>
      <c r="Q10" s="28">
        <f t="shared" si="1"/>
        <v>0</v>
      </c>
      <c r="R10" s="206" t="s">
        <v>2211</v>
      </c>
    </row>
    <row r="11" spans="1:19">
      <c r="A11" s="1" t="s">
        <v>61</v>
      </c>
      <c r="B11" s="1" t="s">
        <v>146</v>
      </c>
      <c r="C11" s="1" t="s">
        <v>1</v>
      </c>
      <c r="D11" s="1">
        <v>2</v>
      </c>
      <c r="G11" s="12">
        <v>20200319</v>
      </c>
      <c r="H11" s="159" t="s">
        <v>699</v>
      </c>
      <c r="J11" s="21"/>
      <c r="K11" s="191" t="s">
        <v>1479</v>
      </c>
      <c r="L11" s="12" t="s">
        <v>1676</v>
      </c>
      <c r="N11" s="28"/>
      <c r="O11" s="28">
        <v>0</v>
      </c>
      <c r="P11" s="28">
        <f t="shared" si="0"/>
        <v>0</v>
      </c>
      <c r="Q11" s="28">
        <f t="shared" si="1"/>
        <v>0</v>
      </c>
      <c r="R11" s="206" t="s">
        <v>2211</v>
      </c>
    </row>
    <row r="12" spans="1:19">
      <c r="A12" s="1" t="s">
        <v>61</v>
      </c>
      <c r="B12" s="1" t="s">
        <v>78</v>
      </c>
      <c r="C12" s="1" t="s">
        <v>1</v>
      </c>
      <c r="D12" s="1">
        <v>3</v>
      </c>
      <c r="G12" s="1">
        <v>20191122</v>
      </c>
      <c r="H12" s="159" t="s">
        <v>699</v>
      </c>
      <c r="J12" s="21"/>
      <c r="K12" s="191" t="s">
        <v>2140</v>
      </c>
      <c r="L12" s="12" t="s">
        <v>1676</v>
      </c>
      <c r="N12" s="28"/>
      <c r="O12" s="28">
        <v>0</v>
      </c>
      <c r="P12" s="28">
        <f t="shared" si="0"/>
        <v>0</v>
      </c>
      <c r="Q12" s="28">
        <f t="shared" si="1"/>
        <v>0</v>
      </c>
      <c r="R12" s="206" t="s">
        <v>2211</v>
      </c>
    </row>
    <row r="13" spans="1:19">
      <c r="A13" s="1" t="s">
        <v>61</v>
      </c>
      <c r="B13" s="1" t="s">
        <v>145</v>
      </c>
      <c r="C13" s="1" t="s">
        <v>1</v>
      </c>
      <c r="D13" s="1">
        <v>1</v>
      </c>
      <c r="G13" s="12">
        <v>20200319</v>
      </c>
      <c r="H13" s="159" t="s">
        <v>699</v>
      </c>
      <c r="J13" s="21"/>
      <c r="K13" s="191" t="s">
        <v>2141</v>
      </c>
      <c r="L13" s="12" t="s">
        <v>1676</v>
      </c>
      <c r="N13" s="28"/>
      <c r="O13" s="28">
        <v>0</v>
      </c>
      <c r="P13" s="28">
        <f t="shared" si="0"/>
        <v>0</v>
      </c>
      <c r="Q13" s="28">
        <f t="shared" si="1"/>
        <v>0</v>
      </c>
      <c r="R13" s="206" t="s">
        <v>2211</v>
      </c>
    </row>
    <row r="14" spans="1:19">
      <c r="A14" s="1" t="s">
        <v>61</v>
      </c>
      <c r="B14" s="1" t="s">
        <v>18</v>
      </c>
      <c r="C14" s="1" t="s">
        <v>1</v>
      </c>
      <c r="D14" s="1">
        <v>1</v>
      </c>
      <c r="G14" s="12">
        <v>20200319</v>
      </c>
      <c r="H14" s="159" t="s">
        <v>699</v>
      </c>
      <c r="J14" s="21"/>
      <c r="K14" s="191" t="s">
        <v>2142</v>
      </c>
      <c r="L14" s="12" t="s">
        <v>1676</v>
      </c>
      <c r="N14" s="28"/>
      <c r="O14" s="28">
        <v>0</v>
      </c>
      <c r="P14" s="28">
        <f t="shared" si="0"/>
        <v>0</v>
      </c>
      <c r="Q14" s="28">
        <f t="shared" si="1"/>
        <v>0</v>
      </c>
      <c r="R14" s="206" t="s">
        <v>2211</v>
      </c>
    </row>
    <row r="15" spans="1:19">
      <c r="A15" s="1" t="s">
        <v>61</v>
      </c>
      <c r="B15" s="1" t="s">
        <v>53</v>
      </c>
      <c r="C15" s="1" t="s">
        <v>1</v>
      </c>
      <c r="D15" s="1">
        <v>2</v>
      </c>
      <c r="G15" s="12">
        <v>20200319</v>
      </c>
      <c r="H15" s="159" t="s">
        <v>699</v>
      </c>
      <c r="J15" s="21"/>
      <c r="K15" s="191" t="s">
        <v>1115</v>
      </c>
      <c r="L15" s="12" t="s">
        <v>1676</v>
      </c>
      <c r="N15" s="28"/>
      <c r="O15" s="28">
        <v>0</v>
      </c>
      <c r="P15" s="28">
        <f t="shared" si="0"/>
        <v>0</v>
      </c>
      <c r="Q15" s="28">
        <f t="shared" si="1"/>
        <v>0</v>
      </c>
      <c r="R15" s="206" t="s">
        <v>2211</v>
      </c>
    </row>
    <row r="16" spans="1:19">
      <c r="A16" s="1" t="s">
        <v>61</v>
      </c>
      <c r="B16" s="1" t="s">
        <v>19</v>
      </c>
      <c r="C16" s="1" t="s">
        <v>1</v>
      </c>
      <c r="D16" s="1">
        <v>1</v>
      </c>
      <c r="G16" s="12">
        <v>20200319</v>
      </c>
      <c r="H16" s="159" t="s">
        <v>699</v>
      </c>
      <c r="J16" s="21"/>
      <c r="K16" s="191" t="s">
        <v>1115</v>
      </c>
      <c r="L16" s="12" t="s">
        <v>1676</v>
      </c>
      <c r="N16" s="28"/>
      <c r="O16" s="28">
        <v>0</v>
      </c>
      <c r="P16" s="28">
        <f t="shared" si="0"/>
        <v>0</v>
      </c>
      <c r="Q16" s="28">
        <f t="shared" si="1"/>
        <v>0</v>
      </c>
      <c r="R16" s="206" t="s">
        <v>2211</v>
      </c>
    </row>
    <row r="17" spans="1:18">
      <c r="A17" s="1" t="s">
        <v>61</v>
      </c>
      <c r="B17" s="4" t="s">
        <v>26</v>
      </c>
      <c r="C17" s="1" t="s">
        <v>1</v>
      </c>
      <c r="D17" s="1">
        <v>3</v>
      </c>
      <c r="G17" s="1">
        <v>20191119</v>
      </c>
      <c r="H17" s="159" t="s">
        <v>699</v>
      </c>
      <c r="J17" s="21"/>
      <c r="K17" s="191" t="s">
        <v>1483</v>
      </c>
      <c r="L17" s="12" t="s">
        <v>1676</v>
      </c>
      <c r="N17" s="28"/>
      <c r="O17" s="28">
        <v>0</v>
      </c>
      <c r="P17" s="28">
        <f t="shared" si="0"/>
        <v>0</v>
      </c>
      <c r="Q17" s="28">
        <f t="shared" si="1"/>
        <v>0</v>
      </c>
      <c r="R17" s="206" t="s">
        <v>2211</v>
      </c>
    </row>
    <row r="18" spans="1:18">
      <c r="A18" s="1" t="s">
        <v>61</v>
      </c>
      <c r="B18" s="1" t="s">
        <v>25</v>
      </c>
      <c r="C18" s="1" t="s">
        <v>1</v>
      </c>
      <c r="D18" s="4">
        <v>4</v>
      </c>
      <c r="G18" s="1">
        <v>20191119</v>
      </c>
      <c r="H18" s="159" t="s">
        <v>699</v>
      </c>
      <c r="J18" s="21"/>
      <c r="K18" s="191" t="s">
        <v>1024</v>
      </c>
      <c r="L18" s="12" t="s">
        <v>1676</v>
      </c>
      <c r="N18" s="28"/>
      <c r="O18" s="28">
        <v>0</v>
      </c>
      <c r="P18" s="28">
        <f t="shared" si="0"/>
        <v>0</v>
      </c>
      <c r="Q18" s="28">
        <f t="shared" si="1"/>
        <v>0</v>
      </c>
      <c r="R18" s="206" t="s">
        <v>2211</v>
      </c>
    </row>
    <row r="19" spans="1:18">
      <c r="A19" s="1" t="s">
        <v>61</v>
      </c>
      <c r="B19" s="1" t="s">
        <v>20</v>
      </c>
      <c r="C19" s="1" t="s">
        <v>1</v>
      </c>
      <c r="D19" s="1">
        <v>1</v>
      </c>
      <c r="G19" s="12">
        <v>20200319</v>
      </c>
      <c r="H19" s="159" t="s">
        <v>699</v>
      </c>
      <c r="J19" s="21"/>
      <c r="K19" s="191" t="s">
        <v>1027</v>
      </c>
      <c r="L19" s="12" t="s">
        <v>1676</v>
      </c>
      <c r="N19" s="28"/>
      <c r="O19" s="28">
        <v>0</v>
      </c>
      <c r="P19" s="28">
        <f t="shared" si="0"/>
        <v>0</v>
      </c>
      <c r="Q19" s="28">
        <f t="shared" si="1"/>
        <v>0</v>
      </c>
      <c r="R19" s="206" t="s">
        <v>2211</v>
      </c>
    </row>
    <row r="20" spans="1:18">
      <c r="A20" s="1" t="s">
        <v>61</v>
      </c>
      <c r="B20" s="1" t="s">
        <v>17</v>
      </c>
      <c r="C20" s="1" t="s">
        <v>1</v>
      </c>
      <c r="D20" s="1">
        <v>2</v>
      </c>
      <c r="G20" s="12">
        <v>20200319</v>
      </c>
      <c r="H20" s="159" t="s">
        <v>699</v>
      </c>
      <c r="J20" s="21"/>
      <c r="K20" s="191" t="s">
        <v>2143</v>
      </c>
      <c r="L20" s="12" t="s">
        <v>1676</v>
      </c>
      <c r="N20" s="28"/>
      <c r="O20" s="28">
        <v>0</v>
      </c>
      <c r="P20" s="28">
        <f t="shared" si="0"/>
        <v>0</v>
      </c>
      <c r="Q20" s="28">
        <f t="shared" si="1"/>
        <v>0</v>
      </c>
      <c r="R20" s="206" t="s">
        <v>2211</v>
      </c>
    </row>
    <row r="21" spans="1:18">
      <c r="A21" s="1" t="s">
        <v>61</v>
      </c>
      <c r="B21" s="1" t="s">
        <v>22</v>
      </c>
      <c r="C21" s="1" t="s">
        <v>1</v>
      </c>
      <c r="D21" s="1">
        <v>2</v>
      </c>
      <c r="G21" s="12">
        <v>20200319</v>
      </c>
      <c r="H21" s="159" t="s">
        <v>699</v>
      </c>
      <c r="J21" s="21"/>
      <c r="K21" s="191" t="s">
        <v>1481</v>
      </c>
      <c r="L21" s="12" t="s">
        <v>1676</v>
      </c>
      <c r="N21" s="28"/>
      <c r="O21" s="28">
        <v>0</v>
      </c>
      <c r="P21" s="28">
        <f t="shared" si="0"/>
        <v>0</v>
      </c>
      <c r="Q21" s="28">
        <f t="shared" si="1"/>
        <v>0</v>
      </c>
      <c r="R21" s="206" t="s">
        <v>2211</v>
      </c>
    </row>
    <row r="22" spans="1:18">
      <c r="A22" s="1" t="s">
        <v>61</v>
      </c>
      <c r="B22" s="1" t="s">
        <v>21</v>
      </c>
      <c r="C22" s="1" t="s">
        <v>1</v>
      </c>
      <c r="D22" s="1">
        <v>1</v>
      </c>
      <c r="G22" s="1">
        <v>20191119</v>
      </c>
      <c r="H22" s="159" t="s">
        <v>699</v>
      </c>
      <c r="J22" s="21"/>
      <c r="K22" s="191" t="s">
        <v>1480</v>
      </c>
      <c r="L22" s="12" t="s">
        <v>1676</v>
      </c>
      <c r="N22" s="28"/>
      <c r="O22" s="28">
        <v>0</v>
      </c>
      <c r="P22" s="28">
        <f t="shared" si="0"/>
        <v>0</v>
      </c>
      <c r="Q22" s="28">
        <f t="shared" si="1"/>
        <v>0</v>
      </c>
      <c r="R22" s="206" t="s">
        <v>2211</v>
      </c>
    </row>
    <row r="23" spans="1:18">
      <c r="A23" s="1" t="s">
        <v>61</v>
      </c>
      <c r="B23" s="1" t="s">
        <v>15</v>
      </c>
      <c r="C23" s="1" t="s">
        <v>1</v>
      </c>
      <c r="D23" s="1">
        <v>1</v>
      </c>
      <c r="G23" s="12">
        <v>20200319</v>
      </c>
      <c r="H23" s="159" t="s">
        <v>699</v>
      </c>
      <c r="J23" s="21"/>
      <c r="K23" s="191" t="s">
        <v>1480</v>
      </c>
      <c r="L23" s="12" t="s">
        <v>1676</v>
      </c>
      <c r="N23" s="28"/>
      <c r="O23" s="28">
        <v>0</v>
      </c>
      <c r="P23" s="28">
        <f t="shared" si="0"/>
        <v>0</v>
      </c>
      <c r="Q23" s="28">
        <f t="shared" si="1"/>
        <v>0</v>
      </c>
      <c r="R23" s="206" t="s">
        <v>2211</v>
      </c>
    </row>
    <row r="24" spans="1:18">
      <c r="A24" s="1" t="s">
        <v>61</v>
      </c>
      <c r="B24" s="1" t="s">
        <v>2924</v>
      </c>
      <c r="C24" s="1" t="s">
        <v>2925</v>
      </c>
      <c r="D24" s="1">
        <v>1</v>
      </c>
      <c r="G24" s="12">
        <v>20250402</v>
      </c>
      <c r="H24" s="159">
        <v>10</v>
      </c>
      <c r="I24" s="1" t="s">
        <v>2931</v>
      </c>
      <c r="J24" s="21"/>
      <c r="K24" s="191"/>
      <c r="L24" s="12" t="s">
        <v>1676</v>
      </c>
      <c r="N24" s="28"/>
      <c r="O24" s="28">
        <v>0</v>
      </c>
      <c r="P24" s="28">
        <f t="shared" si="0"/>
        <v>0</v>
      </c>
      <c r="Q24" s="28">
        <f t="shared" si="1"/>
        <v>0</v>
      </c>
      <c r="R24" s="206" t="s">
        <v>2211</v>
      </c>
    </row>
    <row r="25" spans="1:18">
      <c r="D25" s="104">
        <f ca="1">SUM(D4:D27)</f>
        <v>312</v>
      </c>
      <c r="E25" s="109">
        <f>ROW()-4</f>
        <v>21</v>
      </c>
      <c r="Q25" s="31">
        <f>SUM(Q4:Q24)</f>
        <v>0</v>
      </c>
    </row>
    <row r="27" spans="1:18">
      <c r="A27" s="38"/>
      <c r="B27" s="38" t="s">
        <v>332</v>
      </c>
      <c r="C27" s="38"/>
      <c r="D27" s="38"/>
      <c r="E27" s="38"/>
      <c r="F27" s="38"/>
      <c r="G27" s="38"/>
      <c r="H27" s="164"/>
      <c r="I27" s="38"/>
      <c r="J27" s="38"/>
      <c r="K27" s="38"/>
      <c r="L27" s="38"/>
      <c r="M27" s="61"/>
      <c r="N27" s="61"/>
    </row>
    <row r="132" spans="13:13">
      <c r="M132" s="12"/>
    </row>
  </sheetData>
  <autoFilter ref="A3:N3" xr:uid="{00000000-0009-0000-0000-000009000000}"/>
  <mergeCells count="2">
    <mergeCell ref="A1:J1"/>
    <mergeCell ref="B2:J2"/>
  </mergeCells>
  <phoneticPr fontId="1" type="noConversion"/>
  <conditionalFormatting sqref="A1:S298">
    <cfRule type="expression" dxfId="28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1" tint="0.34998626667073579"/>
  </sheetPr>
  <dimension ref="A1:S224"/>
  <sheetViews>
    <sheetView zoomScaleNormal="100" workbookViewId="0">
      <pane xSplit="1" ySplit="3" topLeftCell="C4" activePane="bottomRight" state="frozen"/>
      <selection activeCell="B33" sqref="B33"/>
      <selection pane="topRight" activeCell="B33" sqref="B33"/>
      <selection pane="bottomLeft" activeCell="B33" sqref="B33"/>
      <selection pane="bottomRight" activeCell="J8" sqref="J8"/>
    </sheetView>
  </sheetViews>
  <sheetFormatPr defaultColWidth="9" defaultRowHeight="16.2"/>
  <cols>
    <col min="1" max="1" width="11.6640625" style="1" bestFit="1" customWidth="1"/>
    <col min="2" max="2" width="13.6640625" style="1" bestFit="1" customWidth="1"/>
    <col min="3" max="3" width="15.6640625" style="1" customWidth="1"/>
    <col min="4" max="4" width="9" style="1"/>
    <col min="5" max="5" width="12.77734375" style="1" bestFit="1" customWidth="1"/>
    <col min="6" max="7" width="12.77734375" style="1" customWidth="1"/>
    <col min="8" max="8" width="9.44140625" style="163" customWidth="1"/>
    <col min="9" max="9" width="13.88671875" style="1" bestFit="1" customWidth="1"/>
    <col min="10" max="10" width="17.88671875" style="35" bestFit="1" customWidth="1"/>
    <col min="11" max="12" width="17.88671875" style="35" customWidth="1"/>
    <col min="13" max="13" width="14" style="1" customWidth="1"/>
    <col min="14" max="14" width="7.44140625" style="1" bestFit="1" customWidth="1"/>
    <col min="15" max="15" width="12.44140625" style="28" customWidth="1"/>
    <col min="16" max="16" width="10.6640625" style="1" bestFit="1" customWidth="1"/>
    <col min="17" max="17" width="9.44140625" style="1" bestFit="1" customWidth="1"/>
    <col min="18" max="18" width="13.6640625" style="1" bestFit="1" customWidth="1"/>
    <col min="19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1" t="s">
        <v>2449</v>
      </c>
      <c r="O2" s="1" t="s">
        <v>2451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4" t="s">
        <v>60</v>
      </c>
      <c r="B4" s="4" t="s">
        <v>161</v>
      </c>
      <c r="C4" s="1" t="s">
        <v>2639</v>
      </c>
      <c r="D4" s="1">
        <v>9</v>
      </c>
      <c r="G4" s="1">
        <v>20200827</v>
      </c>
      <c r="H4" s="159" t="s">
        <v>699</v>
      </c>
      <c r="J4" s="36"/>
      <c r="K4" s="12" t="s">
        <v>1484</v>
      </c>
      <c r="L4" s="12" t="s">
        <v>2145</v>
      </c>
      <c r="N4" s="12" t="s">
        <v>517</v>
      </c>
      <c r="O4" s="28">
        <v>0</v>
      </c>
      <c r="P4" s="28">
        <f>O4*0.75</f>
        <v>0</v>
      </c>
      <c r="Q4" s="28">
        <f>D4*P4</f>
        <v>0</v>
      </c>
    </row>
    <row r="5" spans="1:19">
      <c r="A5" s="1" t="s">
        <v>60</v>
      </c>
      <c r="B5" s="4" t="s">
        <v>160</v>
      </c>
      <c r="C5" s="12" t="s">
        <v>2933</v>
      </c>
      <c r="D5" s="1">
        <v>5</v>
      </c>
      <c r="G5" s="1">
        <v>20191111</v>
      </c>
      <c r="H5" s="159" t="s">
        <v>699</v>
      </c>
      <c r="I5" s="7"/>
      <c r="K5" s="12" t="s">
        <v>1485</v>
      </c>
      <c r="L5" s="12" t="s">
        <v>2146</v>
      </c>
      <c r="N5" s="28" t="s">
        <v>724</v>
      </c>
      <c r="O5" s="28">
        <v>0</v>
      </c>
      <c r="P5" s="28">
        <f t="shared" ref="P5:P6" si="0">O5*0.75</f>
        <v>0</v>
      </c>
      <c r="Q5" s="28">
        <f t="shared" ref="Q5:Q6" si="1">D5*P5</f>
        <v>0</v>
      </c>
    </row>
    <row r="6" spans="1:19">
      <c r="A6" s="4" t="s">
        <v>60</v>
      </c>
      <c r="B6" s="12" t="s">
        <v>198</v>
      </c>
      <c r="C6" s="12" t="s">
        <v>2933</v>
      </c>
      <c r="D6" s="1">
        <v>10</v>
      </c>
      <c r="G6" s="1">
        <v>20200827</v>
      </c>
      <c r="H6" s="159" t="s">
        <v>699</v>
      </c>
      <c r="I6" s="7"/>
      <c r="J6" s="36"/>
      <c r="K6" s="12" t="s">
        <v>1282</v>
      </c>
      <c r="L6" s="12" t="s">
        <v>1023</v>
      </c>
      <c r="N6" s="28" t="s">
        <v>518</v>
      </c>
      <c r="O6" s="28">
        <v>0</v>
      </c>
      <c r="P6" s="28">
        <f t="shared" si="0"/>
        <v>0</v>
      </c>
      <c r="Q6" s="28">
        <f t="shared" si="1"/>
        <v>0</v>
      </c>
    </row>
    <row r="7" spans="1:19">
      <c r="D7" s="104">
        <f ca="1">SUM(D4:D14)</f>
        <v>24</v>
      </c>
      <c r="E7" s="109">
        <f>ROW()-4</f>
        <v>3</v>
      </c>
      <c r="Q7" s="31">
        <f ca="1">SUM(Q4:Q14)</f>
        <v>0</v>
      </c>
    </row>
    <row r="13" spans="1:19">
      <c r="A13" s="38"/>
      <c r="B13" s="38" t="s">
        <v>348</v>
      </c>
      <c r="C13" s="38"/>
      <c r="D13" s="38"/>
      <c r="E13" s="38"/>
      <c r="F13" s="38"/>
      <c r="G13" s="38"/>
      <c r="H13" s="164"/>
      <c r="I13" s="38"/>
      <c r="J13" s="47"/>
      <c r="K13" s="47"/>
      <c r="L13" s="47"/>
      <c r="M13" s="61"/>
      <c r="N13" s="38"/>
      <c r="O13" s="47"/>
      <c r="P13" s="38"/>
      <c r="Q13" s="38"/>
    </row>
    <row r="14" spans="1:19">
      <c r="A14" s="4" t="s">
        <v>60</v>
      </c>
      <c r="B14" s="101" t="s">
        <v>199</v>
      </c>
      <c r="C14" s="101" t="s">
        <v>2933</v>
      </c>
      <c r="D14" s="65">
        <v>0</v>
      </c>
      <c r="G14" s="1">
        <v>20200827</v>
      </c>
      <c r="H14" s="159" t="s">
        <v>699</v>
      </c>
      <c r="I14" s="7"/>
      <c r="J14" s="36"/>
      <c r="K14" s="12" t="s">
        <v>1042</v>
      </c>
      <c r="L14" s="12" t="s">
        <v>1023</v>
      </c>
      <c r="N14" s="28" t="s">
        <v>757</v>
      </c>
      <c r="O14" s="28">
        <v>0</v>
      </c>
      <c r="P14" s="28">
        <f>O14*0.75</f>
        <v>0</v>
      </c>
      <c r="Q14" s="28">
        <f>D14*P14</f>
        <v>0</v>
      </c>
    </row>
    <row r="37" spans="15:15">
      <c r="O37" s="74"/>
    </row>
    <row r="40" spans="15:15">
      <c r="O40" s="74"/>
    </row>
    <row r="41" spans="15:15">
      <c r="O41" s="74"/>
    </row>
    <row r="43" spans="15:15">
      <c r="O43" s="74"/>
    </row>
    <row r="44" spans="15:15">
      <c r="O44" s="74"/>
    </row>
    <row r="47" spans="15:15">
      <c r="O47" s="74"/>
    </row>
    <row r="55" spans="15:15">
      <c r="O55" s="1"/>
    </row>
    <row r="58" spans="15:15">
      <c r="O58" s="1"/>
    </row>
    <row r="61" spans="15:15">
      <c r="O61" s="1"/>
    </row>
    <row r="65" spans="15:15">
      <c r="O65" s="1"/>
    </row>
    <row r="67" spans="15:15">
      <c r="O67" s="1"/>
    </row>
    <row r="73" spans="15:15">
      <c r="O73" s="74"/>
    </row>
    <row r="74" spans="15:15">
      <c r="O74" s="74"/>
    </row>
    <row r="75" spans="15:15">
      <c r="O75" s="74"/>
    </row>
    <row r="79" spans="15:15">
      <c r="O79" s="74"/>
    </row>
    <row r="139" spans="13:13">
      <c r="M139" s="12"/>
    </row>
    <row r="178" spans="15:15">
      <c r="O178" s="74"/>
    </row>
    <row r="205" spans="15:15">
      <c r="O205" s="74"/>
    </row>
    <row r="221" spans="15:15">
      <c r="O221" s="74"/>
    </row>
    <row r="224" spans="15:15">
      <c r="O224" s="74"/>
    </row>
  </sheetData>
  <autoFilter ref="A3:N3" xr:uid="{00000000-0009-0000-0000-00000A000000}"/>
  <mergeCells count="2">
    <mergeCell ref="A1:J1"/>
    <mergeCell ref="B2:M2"/>
  </mergeCells>
  <phoneticPr fontId="1" type="noConversion"/>
  <conditionalFormatting sqref="A1:R96">
    <cfRule type="expression" dxfId="27" priority="2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rgb="FFFFFF00"/>
  </sheetPr>
  <dimension ref="A1:S230"/>
  <sheetViews>
    <sheetView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E21" sqref="E21"/>
    </sheetView>
  </sheetViews>
  <sheetFormatPr defaultColWidth="9" defaultRowHeight="16.2"/>
  <cols>
    <col min="1" max="1" width="11.77734375" style="1" customWidth="1"/>
    <col min="2" max="2" width="13.109375" style="1" customWidth="1"/>
    <col min="3" max="3" width="14.77734375" style="1" bestFit="1" customWidth="1"/>
    <col min="4" max="4" width="9" style="1"/>
    <col min="5" max="5" width="11.44140625" style="1" bestFit="1" customWidth="1"/>
    <col min="6" max="7" width="13.44140625" style="1" bestFit="1" customWidth="1"/>
    <col min="8" max="8" width="10.109375" style="163" customWidth="1"/>
    <col min="9" max="9" width="12.88671875" style="1" customWidth="1"/>
    <col min="10" max="10" width="21.88671875" style="1" bestFit="1" customWidth="1"/>
    <col min="11" max="12" width="21.88671875" style="1" customWidth="1"/>
    <col min="13" max="13" width="14" style="1" customWidth="1"/>
    <col min="14" max="14" width="17.88671875" style="37" bestFit="1" customWidth="1"/>
    <col min="15" max="15" width="12.44140625" style="28" customWidth="1"/>
    <col min="16" max="16" width="10.6640625" style="1" bestFit="1" customWidth="1"/>
    <col min="17" max="17" width="9.21875" style="1" bestFit="1" customWidth="1"/>
    <col min="18" max="18" width="11.6640625" style="1" bestFit="1" customWidth="1"/>
    <col min="19" max="19" width="13.6640625" style="1" bestFit="1" customWidth="1"/>
    <col min="20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 s="6" customFormat="1">
      <c r="A4" s="83" t="s">
        <v>81</v>
      </c>
      <c r="B4" s="187" t="s">
        <v>2196</v>
      </c>
      <c r="C4" s="90" t="s">
        <v>2656</v>
      </c>
      <c r="D4" s="96">
        <v>1</v>
      </c>
      <c r="E4" s="96"/>
      <c r="F4" s="96">
        <v>20231206</v>
      </c>
      <c r="G4" s="96">
        <v>20240123</v>
      </c>
      <c r="H4" s="160">
        <v>10</v>
      </c>
      <c r="I4" s="400" t="s">
        <v>2257</v>
      </c>
      <c r="J4" s="6" t="s">
        <v>2198</v>
      </c>
      <c r="K4" s="12" t="s">
        <v>2195</v>
      </c>
      <c r="L4" s="12"/>
      <c r="M4" s="6" t="s">
        <v>2199</v>
      </c>
      <c r="N4" s="6" t="s">
        <v>2063</v>
      </c>
      <c r="O4" s="28">
        <v>0</v>
      </c>
      <c r="P4" s="28">
        <f>O4*0.75</f>
        <v>0</v>
      </c>
      <c r="Q4" s="28">
        <f>D4*P4</f>
        <v>0</v>
      </c>
      <c r="R4" s="266" t="s">
        <v>2219</v>
      </c>
    </row>
    <row r="5" spans="1:19" s="6" customFormat="1">
      <c r="A5" s="83" t="s">
        <v>3077</v>
      </c>
      <c r="B5" s="139" t="s">
        <v>2252</v>
      </c>
      <c r="C5" s="89" t="s">
        <v>2656</v>
      </c>
      <c r="D5" s="64">
        <v>1</v>
      </c>
      <c r="F5" s="64">
        <v>20231206</v>
      </c>
      <c r="G5" s="64">
        <v>20240123</v>
      </c>
      <c r="H5" s="161">
        <v>10</v>
      </c>
      <c r="I5" s="390"/>
      <c r="J5" s="6" t="s">
        <v>2198</v>
      </c>
      <c r="K5" s="12" t="s">
        <v>2195</v>
      </c>
      <c r="L5" s="12"/>
      <c r="M5" s="6" t="s">
        <v>2197</v>
      </c>
      <c r="N5" s="6" t="s">
        <v>2063</v>
      </c>
      <c r="O5" s="28">
        <v>0</v>
      </c>
      <c r="P5" s="28">
        <f>O5*0.75</f>
        <v>0</v>
      </c>
      <c r="Q5" s="28">
        <f>D5*P5</f>
        <v>0</v>
      </c>
      <c r="R5" s="266" t="s">
        <v>2219</v>
      </c>
    </row>
    <row r="6" spans="1:19">
      <c r="A6" s="15" t="s">
        <v>81</v>
      </c>
      <c r="B6" s="13">
        <v>21210</v>
      </c>
      <c r="C6" s="13" t="s">
        <v>2573</v>
      </c>
      <c r="D6" s="13">
        <v>2</v>
      </c>
      <c r="E6" s="13"/>
      <c r="F6" s="13"/>
      <c r="G6" s="13">
        <v>20191217</v>
      </c>
      <c r="H6" s="160" t="s">
        <v>699</v>
      </c>
      <c r="I6" s="56"/>
      <c r="J6" s="405" t="s">
        <v>433</v>
      </c>
      <c r="K6" s="12" t="s">
        <v>1497</v>
      </c>
      <c r="L6" s="12" t="s">
        <v>1513</v>
      </c>
      <c r="O6" s="28">
        <v>1672</v>
      </c>
      <c r="P6" s="28">
        <f>O6*0.75</f>
        <v>1254</v>
      </c>
      <c r="Q6" s="28">
        <f t="shared" ref="Q6:Q16" si="0">D6*P6</f>
        <v>2508</v>
      </c>
      <c r="R6" s="28"/>
    </row>
    <row r="7" spans="1:19">
      <c r="A7" s="16" t="s">
        <v>81</v>
      </c>
      <c r="B7" s="1">
        <v>21206</v>
      </c>
      <c r="C7" s="1" t="s">
        <v>2573</v>
      </c>
      <c r="D7" s="1">
        <v>2</v>
      </c>
      <c r="G7" s="1">
        <v>20191217</v>
      </c>
      <c r="H7" s="159" t="s">
        <v>699</v>
      </c>
      <c r="J7" s="406"/>
      <c r="K7" s="12" t="s">
        <v>1512</v>
      </c>
      <c r="L7" s="12" t="s">
        <v>1511</v>
      </c>
      <c r="O7" s="28">
        <v>1903</v>
      </c>
      <c r="P7" s="28">
        <f t="shared" ref="P7:P16" si="1">O7*0.75</f>
        <v>1427.25</v>
      </c>
      <c r="Q7" s="28">
        <f t="shared" si="0"/>
        <v>2854.5</v>
      </c>
      <c r="R7" s="28"/>
    </row>
    <row r="8" spans="1:19">
      <c r="A8" s="16" t="s">
        <v>81</v>
      </c>
      <c r="B8" s="1">
        <v>21204</v>
      </c>
      <c r="C8" s="1" t="s">
        <v>2573</v>
      </c>
      <c r="D8" s="1">
        <v>2</v>
      </c>
      <c r="G8" s="1">
        <v>20191217</v>
      </c>
      <c r="H8" s="159" t="s">
        <v>699</v>
      </c>
      <c r="J8" s="406"/>
      <c r="K8" s="209" t="s">
        <v>1853</v>
      </c>
      <c r="L8" s="209" t="s">
        <v>2222</v>
      </c>
      <c r="O8" s="28">
        <v>1760</v>
      </c>
      <c r="P8" s="28">
        <f t="shared" si="1"/>
        <v>1320</v>
      </c>
      <c r="Q8" s="28">
        <f t="shared" si="0"/>
        <v>2640</v>
      </c>
      <c r="R8" s="28"/>
    </row>
    <row r="9" spans="1:19">
      <c r="A9" s="16" t="s">
        <v>81</v>
      </c>
      <c r="B9" s="1">
        <v>21212</v>
      </c>
      <c r="C9" s="1" t="s">
        <v>2573</v>
      </c>
      <c r="D9" s="1">
        <v>2</v>
      </c>
      <c r="G9" s="1">
        <v>20191220</v>
      </c>
      <c r="H9" s="159" t="s">
        <v>699</v>
      </c>
      <c r="J9" s="406"/>
      <c r="K9" s="209" t="s">
        <v>1510</v>
      </c>
      <c r="L9" s="209" t="s">
        <v>1509</v>
      </c>
      <c r="O9" s="28">
        <v>1452</v>
      </c>
      <c r="P9" s="28">
        <f t="shared" si="1"/>
        <v>1089</v>
      </c>
      <c r="Q9" s="28">
        <f t="shared" si="0"/>
        <v>2178</v>
      </c>
      <c r="R9" s="28"/>
    </row>
    <row r="10" spans="1:19">
      <c r="A10" s="16" t="s">
        <v>81</v>
      </c>
      <c r="B10" s="1">
        <v>21219</v>
      </c>
      <c r="C10" s="1" t="s">
        <v>2573</v>
      </c>
      <c r="D10" s="1">
        <v>1</v>
      </c>
      <c r="G10" s="1">
        <v>20191220</v>
      </c>
      <c r="H10" s="159" t="s">
        <v>699</v>
      </c>
      <c r="J10" s="406"/>
      <c r="K10" s="209" t="s">
        <v>1508</v>
      </c>
      <c r="L10" s="209" t="s">
        <v>1507</v>
      </c>
      <c r="O10" s="28">
        <v>3410</v>
      </c>
      <c r="P10" s="28">
        <f t="shared" si="1"/>
        <v>2557.5</v>
      </c>
      <c r="Q10" s="28">
        <f t="shared" si="0"/>
        <v>2557.5</v>
      </c>
      <c r="R10" s="28"/>
    </row>
    <row r="11" spans="1:19">
      <c r="A11" s="16" t="s">
        <v>83</v>
      </c>
      <c r="B11" s="6">
        <v>21211</v>
      </c>
      <c r="C11" s="1" t="s">
        <v>2573</v>
      </c>
      <c r="D11" s="6">
        <v>2</v>
      </c>
      <c r="E11" s="72"/>
      <c r="F11" s="72"/>
      <c r="G11" s="12">
        <v>20191225</v>
      </c>
      <c r="H11" s="159" t="s">
        <v>699</v>
      </c>
      <c r="I11" s="72"/>
      <c r="J11" s="406"/>
      <c r="K11" s="209" t="s">
        <v>1504</v>
      </c>
      <c r="L11" s="209" t="s">
        <v>2221</v>
      </c>
      <c r="O11" s="28">
        <v>1980</v>
      </c>
      <c r="P11" s="28">
        <f t="shared" si="1"/>
        <v>1485</v>
      </c>
      <c r="Q11" s="28">
        <f t="shared" si="0"/>
        <v>2970</v>
      </c>
      <c r="R11" s="28"/>
    </row>
    <row r="12" spans="1:19">
      <c r="A12" s="16" t="s">
        <v>81</v>
      </c>
      <c r="B12" s="1">
        <v>21220</v>
      </c>
      <c r="C12" s="1" t="s">
        <v>2573</v>
      </c>
      <c r="D12" s="1">
        <v>1</v>
      </c>
      <c r="G12" s="1">
        <v>20200509</v>
      </c>
      <c r="H12" s="159" t="s">
        <v>699</v>
      </c>
      <c r="J12" s="406"/>
      <c r="K12" s="209" t="s">
        <v>1508</v>
      </c>
      <c r="L12" s="209" t="s">
        <v>1502</v>
      </c>
      <c r="O12" s="28">
        <v>3850</v>
      </c>
      <c r="P12" s="28">
        <f t="shared" si="1"/>
        <v>2887.5</v>
      </c>
      <c r="Q12" s="28">
        <f t="shared" si="0"/>
        <v>2887.5</v>
      </c>
      <c r="R12" s="28"/>
    </row>
    <row r="13" spans="1:19">
      <c r="A13" s="1" t="s">
        <v>82</v>
      </c>
      <c r="B13" s="64">
        <v>21203</v>
      </c>
      <c r="C13" s="1" t="s">
        <v>2573</v>
      </c>
      <c r="D13" s="64">
        <v>2</v>
      </c>
      <c r="E13" s="70"/>
      <c r="F13" s="70"/>
      <c r="G13" s="88">
        <v>20191225</v>
      </c>
      <c r="H13" s="161" t="s">
        <v>699</v>
      </c>
      <c r="I13" s="70"/>
      <c r="J13" s="407"/>
      <c r="K13" s="209" t="s">
        <v>2220</v>
      </c>
      <c r="L13" s="209" t="s">
        <v>1498</v>
      </c>
      <c r="O13" s="28">
        <v>1012</v>
      </c>
      <c r="P13" s="28">
        <f>O13*0.75</f>
        <v>759</v>
      </c>
      <c r="Q13" s="28">
        <f>D13*P13</f>
        <v>1518</v>
      </c>
      <c r="R13" s="28"/>
    </row>
    <row r="14" spans="1:19">
      <c r="A14" s="16" t="s">
        <v>81</v>
      </c>
      <c r="B14" s="15">
        <v>21220</v>
      </c>
      <c r="C14" s="13" t="s">
        <v>2573</v>
      </c>
      <c r="D14" s="13">
        <v>1</v>
      </c>
      <c r="E14" s="374"/>
      <c r="F14" s="13"/>
      <c r="G14" s="13">
        <v>20200509</v>
      </c>
      <c r="H14" s="160" t="s">
        <v>699</v>
      </c>
      <c r="I14" s="357" t="s">
        <v>394</v>
      </c>
      <c r="J14" s="77"/>
      <c r="K14" s="209" t="s">
        <v>1503</v>
      </c>
      <c r="L14" s="209" t="s">
        <v>1502</v>
      </c>
      <c r="N14" s="71"/>
      <c r="O14" s="28">
        <v>3850</v>
      </c>
      <c r="P14" s="28">
        <f t="shared" si="1"/>
        <v>2887.5</v>
      </c>
      <c r="Q14" s="28">
        <f t="shared" si="0"/>
        <v>2887.5</v>
      </c>
      <c r="R14" s="28"/>
    </row>
    <row r="15" spans="1:19">
      <c r="A15" s="16" t="s">
        <v>81</v>
      </c>
      <c r="B15" s="17">
        <v>21221</v>
      </c>
      <c r="C15" s="14" t="s">
        <v>2573</v>
      </c>
      <c r="D15" s="14">
        <v>1</v>
      </c>
      <c r="E15" s="375"/>
      <c r="F15" s="14"/>
      <c r="G15" s="14">
        <v>20200509</v>
      </c>
      <c r="H15" s="161" t="s">
        <v>699</v>
      </c>
      <c r="I15" s="358"/>
      <c r="J15" s="77"/>
      <c r="K15" s="209" t="s">
        <v>1501</v>
      </c>
      <c r="L15" s="209" t="s">
        <v>1500</v>
      </c>
      <c r="N15" s="71"/>
      <c r="O15" s="28">
        <v>4950</v>
      </c>
      <c r="P15" s="28">
        <f t="shared" si="1"/>
        <v>3712.5</v>
      </c>
      <c r="Q15" s="28">
        <f t="shared" si="0"/>
        <v>3712.5</v>
      </c>
      <c r="R15" s="28"/>
    </row>
    <row r="16" spans="1:19">
      <c r="A16" s="16" t="s">
        <v>81</v>
      </c>
      <c r="B16" s="16">
        <v>1220</v>
      </c>
      <c r="C16" s="1" t="s">
        <v>2573</v>
      </c>
      <c r="D16" s="1">
        <v>4</v>
      </c>
      <c r="F16" s="1">
        <v>20231206</v>
      </c>
      <c r="G16" s="1">
        <v>20240321</v>
      </c>
      <c r="H16" s="159">
        <v>10</v>
      </c>
      <c r="K16" s="1" t="s">
        <v>1489</v>
      </c>
      <c r="L16" s="1" t="s">
        <v>2298</v>
      </c>
      <c r="M16" s="1" t="s">
        <v>2299</v>
      </c>
      <c r="N16" s="1" t="s">
        <v>2314</v>
      </c>
      <c r="O16" s="28">
        <v>583</v>
      </c>
      <c r="P16" s="28">
        <f t="shared" si="1"/>
        <v>437.25</v>
      </c>
      <c r="Q16" s="28">
        <f t="shared" si="0"/>
        <v>1749</v>
      </c>
    </row>
    <row r="17" spans="1:19">
      <c r="A17" s="16" t="s">
        <v>448</v>
      </c>
      <c r="B17" s="16" t="s">
        <v>449</v>
      </c>
      <c r="C17" s="1" t="s">
        <v>2573</v>
      </c>
      <c r="D17" s="1">
        <v>1</v>
      </c>
      <c r="F17" s="1">
        <v>20231206</v>
      </c>
      <c r="G17" s="1">
        <v>20240419</v>
      </c>
      <c r="H17" s="159" t="s">
        <v>790</v>
      </c>
      <c r="K17" s="1" t="s">
        <v>1022</v>
      </c>
      <c r="L17" s="1" t="s">
        <v>1495</v>
      </c>
      <c r="M17" s="1" t="s">
        <v>2345</v>
      </c>
      <c r="N17" s="1" t="s">
        <v>2346</v>
      </c>
      <c r="O17" s="28">
        <v>594</v>
      </c>
      <c r="P17" s="28">
        <f t="shared" ref="P17:P18" si="2">O17*0.75</f>
        <v>445.5</v>
      </c>
      <c r="Q17" s="28">
        <f t="shared" ref="Q17:Q18" si="3">D17*P17</f>
        <v>445.5</v>
      </c>
    </row>
    <row r="18" spans="1:19">
      <c r="A18" s="16" t="s">
        <v>81</v>
      </c>
      <c r="B18" s="16" t="s">
        <v>2349</v>
      </c>
      <c r="C18" s="1" t="s">
        <v>2573</v>
      </c>
      <c r="D18" s="1">
        <v>2</v>
      </c>
      <c r="F18" s="1">
        <v>20231206</v>
      </c>
      <c r="G18" s="1">
        <v>20240419</v>
      </c>
      <c r="H18" s="159">
        <v>10</v>
      </c>
      <c r="K18" s="1" t="s">
        <v>1493</v>
      </c>
      <c r="L18" s="1" t="s">
        <v>2350</v>
      </c>
      <c r="M18" s="1" t="s">
        <v>2351</v>
      </c>
      <c r="N18" s="1" t="s">
        <v>2348</v>
      </c>
      <c r="O18" s="28">
        <v>517</v>
      </c>
      <c r="P18" s="28">
        <f t="shared" si="2"/>
        <v>387.75</v>
      </c>
      <c r="Q18" s="28">
        <f t="shared" si="3"/>
        <v>775.5</v>
      </c>
    </row>
    <row r="19" spans="1:19" customFormat="1">
      <c r="A19" s="80" t="s">
        <v>81</v>
      </c>
      <c r="B19" s="1">
        <v>1221</v>
      </c>
      <c r="C19" s="241" t="s">
        <v>2573</v>
      </c>
      <c r="D19" s="1">
        <v>1</v>
      </c>
      <c r="E19" s="1"/>
      <c r="F19" s="1">
        <v>20231206</v>
      </c>
      <c r="G19" s="1">
        <v>20250109</v>
      </c>
      <c r="H19" s="163">
        <v>10</v>
      </c>
      <c r="I19" s="1"/>
      <c r="J19" s="1"/>
      <c r="K19" s="12" t="s">
        <v>1487</v>
      </c>
      <c r="L19" s="12" t="s">
        <v>1499</v>
      </c>
      <c r="M19" s="1" t="s">
        <v>2301</v>
      </c>
      <c r="N19" s="37" t="s">
        <v>2803</v>
      </c>
      <c r="O19" s="222">
        <v>605</v>
      </c>
      <c r="P19" s="222">
        <f t="shared" ref="P19:P25" si="4">O19*0.75</f>
        <v>453.75</v>
      </c>
      <c r="Q19" s="222">
        <f t="shared" ref="Q19:Q25" si="5">D19*P19</f>
        <v>453.75</v>
      </c>
    </row>
    <row r="20" spans="1:19" s="6" customFormat="1">
      <c r="A20" s="83" t="s">
        <v>81</v>
      </c>
      <c r="B20" s="6">
        <v>1219</v>
      </c>
      <c r="C20" s="86" t="s">
        <v>2573</v>
      </c>
      <c r="D20" s="6">
        <v>1</v>
      </c>
      <c r="F20" s="6">
        <v>20231206</v>
      </c>
      <c r="G20" s="6">
        <v>20241224</v>
      </c>
      <c r="H20" s="159" t="s">
        <v>699</v>
      </c>
      <c r="J20" s="77"/>
      <c r="K20" s="209" t="s">
        <v>1506</v>
      </c>
      <c r="L20" s="209" t="s">
        <v>1505</v>
      </c>
      <c r="M20" s="6" t="s">
        <v>2300</v>
      </c>
      <c r="N20" s="221" t="s">
        <v>2316</v>
      </c>
      <c r="O20" s="28">
        <v>583</v>
      </c>
      <c r="P20" s="28">
        <f t="shared" si="4"/>
        <v>437.25</v>
      </c>
      <c r="Q20" s="28">
        <f t="shared" si="5"/>
        <v>437.25</v>
      </c>
      <c r="R20" s="28"/>
    </row>
    <row r="21" spans="1:19" s="6" customFormat="1">
      <c r="A21" s="83" t="s">
        <v>81</v>
      </c>
      <c r="B21" s="6" t="s">
        <v>3106</v>
      </c>
      <c r="C21" s="86" t="s">
        <v>3107</v>
      </c>
      <c r="D21" s="6">
        <v>1</v>
      </c>
      <c r="F21" s="6">
        <v>20231222</v>
      </c>
      <c r="G21" s="6">
        <v>20260114</v>
      </c>
      <c r="H21" s="159">
        <v>10</v>
      </c>
      <c r="J21" s="77"/>
      <c r="K21" s="209" t="s">
        <v>3108</v>
      </c>
      <c r="L21" s="209" t="s">
        <v>3109</v>
      </c>
      <c r="M21" s="6" t="s">
        <v>3110</v>
      </c>
      <c r="N21" s="221" t="s">
        <v>3111</v>
      </c>
      <c r="O21" s="28">
        <v>650</v>
      </c>
      <c r="P21" s="28">
        <f t="shared" si="4"/>
        <v>487.5</v>
      </c>
      <c r="Q21" s="28">
        <f t="shared" si="5"/>
        <v>487.5</v>
      </c>
      <c r="R21" s="28"/>
    </row>
    <row r="22" spans="1:19" s="6" customFormat="1">
      <c r="A22" s="83" t="s">
        <v>81</v>
      </c>
      <c r="B22" s="6">
        <v>106</v>
      </c>
      <c r="C22" s="86" t="s">
        <v>3107</v>
      </c>
      <c r="D22" s="6">
        <v>5</v>
      </c>
      <c r="G22" s="6">
        <v>20260114</v>
      </c>
      <c r="H22" s="159">
        <v>10</v>
      </c>
      <c r="J22" s="77"/>
      <c r="K22" s="209" t="s">
        <v>3112</v>
      </c>
      <c r="L22" s="209" t="s">
        <v>3113</v>
      </c>
      <c r="N22" s="221" t="s">
        <v>1901</v>
      </c>
      <c r="O22" s="28">
        <v>673</v>
      </c>
      <c r="P22" s="28">
        <f t="shared" si="4"/>
        <v>504.75</v>
      </c>
      <c r="Q22" s="28">
        <f t="shared" si="5"/>
        <v>2523.75</v>
      </c>
      <c r="R22" s="28"/>
    </row>
    <row r="23" spans="1:19" s="6" customFormat="1">
      <c r="A23" s="83" t="s">
        <v>81</v>
      </c>
      <c r="B23" s="187" t="s">
        <v>3215</v>
      </c>
      <c r="C23" s="90" t="s">
        <v>3107</v>
      </c>
      <c r="D23" s="96">
        <v>5</v>
      </c>
      <c r="E23" s="96"/>
      <c r="F23" s="96"/>
      <c r="G23" s="96">
        <v>20260115</v>
      </c>
      <c r="H23" s="160">
        <v>10</v>
      </c>
      <c r="I23" s="96"/>
      <c r="J23" s="397" t="s">
        <v>3222</v>
      </c>
      <c r="K23" s="209" t="s">
        <v>3218</v>
      </c>
      <c r="L23" s="209" t="s">
        <v>1492</v>
      </c>
      <c r="N23" s="221" t="s">
        <v>3214</v>
      </c>
      <c r="O23" s="28">
        <v>650</v>
      </c>
      <c r="P23" s="28">
        <f t="shared" si="4"/>
        <v>487.5</v>
      </c>
      <c r="Q23" s="28">
        <f t="shared" si="5"/>
        <v>2437.5</v>
      </c>
      <c r="R23" s="28"/>
    </row>
    <row r="24" spans="1:19" s="6" customFormat="1">
      <c r="A24" s="83" t="s">
        <v>81</v>
      </c>
      <c r="B24" s="83" t="s">
        <v>3216</v>
      </c>
      <c r="C24" s="86" t="s">
        <v>3107</v>
      </c>
      <c r="D24" s="6">
        <v>5</v>
      </c>
      <c r="G24" s="6">
        <v>20260115</v>
      </c>
      <c r="H24" s="159">
        <v>10</v>
      </c>
      <c r="J24" s="408"/>
      <c r="K24" s="209" t="s">
        <v>3220</v>
      </c>
      <c r="L24" s="209" t="s">
        <v>3221</v>
      </c>
      <c r="N24" s="221" t="s">
        <v>3214</v>
      </c>
      <c r="O24" s="28">
        <v>688</v>
      </c>
      <c r="P24" s="28">
        <f t="shared" si="4"/>
        <v>516</v>
      </c>
      <c r="Q24" s="28">
        <f t="shared" si="5"/>
        <v>2580</v>
      </c>
      <c r="R24" s="28"/>
    </row>
    <row r="25" spans="1:19" s="6" customFormat="1">
      <c r="A25" s="83" t="s">
        <v>81</v>
      </c>
      <c r="B25" s="139" t="s">
        <v>3217</v>
      </c>
      <c r="C25" s="89" t="s">
        <v>3107</v>
      </c>
      <c r="D25" s="64">
        <v>5</v>
      </c>
      <c r="E25" s="64"/>
      <c r="F25" s="64"/>
      <c r="G25" s="64">
        <v>20260115</v>
      </c>
      <c r="H25" s="161">
        <v>10</v>
      </c>
      <c r="I25" s="64"/>
      <c r="J25" s="396"/>
      <c r="K25" s="209" t="s">
        <v>3219</v>
      </c>
      <c r="L25" s="209" t="s">
        <v>1490</v>
      </c>
      <c r="N25" s="221" t="s">
        <v>3214</v>
      </c>
      <c r="O25" s="28">
        <v>650</v>
      </c>
      <c r="P25" s="28">
        <f t="shared" si="4"/>
        <v>487.5</v>
      </c>
      <c r="Q25" s="28">
        <f t="shared" si="5"/>
        <v>2437.5</v>
      </c>
      <c r="R25" s="28"/>
    </row>
    <row r="26" spans="1:19">
      <c r="D26" s="104">
        <f ca="1">SUM(D6:D29)</f>
        <v>616</v>
      </c>
      <c r="E26" s="109">
        <f>ROW()-4</f>
        <v>22</v>
      </c>
      <c r="Q26" s="31">
        <f>SUM(Q4:Q25)</f>
        <v>41040.75</v>
      </c>
    </row>
    <row r="29" spans="1:19" ht="24.6">
      <c r="A29" s="38"/>
      <c r="B29" s="217" t="s">
        <v>317</v>
      </c>
      <c r="C29" s="38"/>
      <c r="D29" s="38"/>
      <c r="E29" s="38"/>
      <c r="F29" s="38"/>
      <c r="G29" s="38"/>
      <c r="H29" s="164"/>
      <c r="I29" s="38"/>
      <c r="J29" s="38"/>
      <c r="K29" s="38"/>
      <c r="L29" s="38"/>
      <c r="M29" s="61"/>
      <c r="N29" s="45"/>
      <c r="O29" s="47"/>
      <c r="P29" s="38"/>
      <c r="Q29" s="38"/>
      <c r="R29" s="38"/>
      <c r="S29" s="38"/>
    </row>
    <row r="30" spans="1:19">
      <c r="A30" s="16" t="s">
        <v>81</v>
      </c>
      <c r="B30" s="290">
        <v>109</v>
      </c>
      <c r="C30" s="291" t="s">
        <v>2573</v>
      </c>
      <c r="D30" s="283">
        <v>0</v>
      </c>
      <c r="E30" s="374"/>
      <c r="F30" s="13">
        <v>20221202</v>
      </c>
      <c r="G30" s="13">
        <v>20230202</v>
      </c>
      <c r="H30" s="160" t="s">
        <v>699</v>
      </c>
      <c r="I30" s="357" t="s">
        <v>54</v>
      </c>
      <c r="K30" s="1" t="s">
        <v>1489</v>
      </c>
      <c r="L30" s="1" t="s">
        <v>1488</v>
      </c>
      <c r="N30" s="355" t="s">
        <v>840</v>
      </c>
      <c r="O30" s="28">
        <v>1397</v>
      </c>
      <c r="P30" s="28">
        <f>O30*0.75</f>
        <v>1047.75</v>
      </c>
      <c r="Q30" s="28">
        <f>D30*P30</f>
        <v>0</v>
      </c>
    </row>
    <row r="31" spans="1:19">
      <c r="A31" s="16" t="s">
        <v>81</v>
      </c>
      <c r="B31" s="275">
        <v>111</v>
      </c>
      <c r="C31" s="68" t="s">
        <v>2573</v>
      </c>
      <c r="D31" s="68">
        <v>0</v>
      </c>
      <c r="E31" s="375"/>
      <c r="F31" s="14">
        <v>20221202</v>
      </c>
      <c r="G31" s="14">
        <v>20230202</v>
      </c>
      <c r="H31" s="161" t="s">
        <v>699</v>
      </c>
      <c r="I31" s="358"/>
      <c r="K31" s="1" t="s">
        <v>1487</v>
      </c>
      <c r="L31" s="1" t="s">
        <v>1486</v>
      </c>
      <c r="N31" s="355"/>
      <c r="O31" s="28">
        <v>1478</v>
      </c>
      <c r="P31" s="28">
        <f>O31*0.75</f>
        <v>1108.5</v>
      </c>
      <c r="Q31" s="28">
        <f>D31*P31</f>
        <v>0</v>
      </c>
    </row>
    <row r="32" spans="1:19" ht="32.4">
      <c r="A32" s="83" t="s">
        <v>81</v>
      </c>
      <c r="B32" s="65">
        <v>109</v>
      </c>
      <c r="C32" s="65" t="s">
        <v>2573</v>
      </c>
      <c r="D32" s="65">
        <v>0</v>
      </c>
      <c r="E32" s="7"/>
      <c r="F32" s="6"/>
      <c r="G32" s="6">
        <v>20250609</v>
      </c>
      <c r="H32" s="159" t="s">
        <v>699</v>
      </c>
      <c r="I32" s="72"/>
      <c r="J32" s="6"/>
      <c r="K32" s="6" t="s">
        <v>1489</v>
      </c>
      <c r="L32" s="6" t="s">
        <v>1488</v>
      </c>
      <c r="M32" s="6"/>
      <c r="N32" s="315" t="s">
        <v>3019</v>
      </c>
      <c r="O32" s="28">
        <v>1397</v>
      </c>
      <c r="P32" s="28">
        <f>O32*0.75</f>
        <v>1047.75</v>
      </c>
      <c r="Q32" s="28">
        <f>D32*P32</f>
        <v>0</v>
      </c>
    </row>
    <row r="33" spans="1:18">
      <c r="A33" s="16" t="s">
        <v>81</v>
      </c>
      <c r="B33" s="65" t="s">
        <v>876</v>
      </c>
      <c r="C33" s="65" t="s">
        <v>2573</v>
      </c>
      <c r="D33" s="65">
        <v>0</v>
      </c>
      <c r="E33" s="21"/>
      <c r="F33" s="1">
        <v>20230206</v>
      </c>
      <c r="G33" s="1">
        <v>20230406</v>
      </c>
      <c r="H33" s="159" t="s">
        <v>699</v>
      </c>
      <c r="I33" s="72"/>
      <c r="K33" s="12" t="s">
        <v>1493</v>
      </c>
      <c r="L33" s="12" t="s">
        <v>1492</v>
      </c>
      <c r="M33" s="1" t="s">
        <v>879</v>
      </c>
      <c r="O33" s="28">
        <v>650</v>
      </c>
      <c r="P33" s="28">
        <f>O33*0.75</f>
        <v>487.5</v>
      </c>
      <c r="Q33" s="28">
        <f>D33*P33</f>
        <v>0</v>
      </c>
    </row>
    <row r="34" spans="1:18">
      <c r="A34" s="16" t="s">
        <v>81</v>
      </c>
      <c r="B34" s="65" t="s">
        <v>877</v>
      </c>
      <c r="C34" s="65" t="s">
        <v>2573</v>
      </c>
      <c r="D34" s="65">
        <v>0</v>
      </c>
      <c r="E34" s="21"/>
      <c r="F34" s="1">
        <v>20230206</v>
      </c>
      <c r="G34" s="1">
        <v>20230406</v>
      </c>
      <c r="H34" s="159" t="s">
        <v>944</v>
      </c>
      <c r="I34" s="72"/>
      <c r="K34" s="1" t="s">
        <v>1491</v>
      </c>
      <c r="L34" s="1" t="s">
        <v>1490</v>
      </c>
      <c r="M34" s="1" t="s">
        <v>880</v>
      </c>
      <c r="O34" s="28">
        <v>650</v>
      </c>
      <c r="P34" s="28">
        <f>O34*0.75</f>
        <v>487.5</v>
      </c>
      <c r="Q34" s="28">
        <f>D34*P34</f>
        <v>0</v>
      </c>
    </row>
    <row r="35" spans="1:18">
      <c r="A35" s="83" t="s">
        <v>81</v>
      </c>
      <c r="B35" s="303" t="s">
        <v>876</v>
      </c>
      <c r="C35" s="329" t="s">
        <v>2656</v>
      </c>
      <c r="D35" s="283">
        <v>0</v>
      </c>
      <c r="E35" s="96"/>
      <c r="F35" s="96"/>
      <c r="G35" s="96">
        <v>20250326</v>
      </c>
      <c r="H35" s="160">
        <v>10</v>
      </c>
      <c r="I35" s="400" t="s">
        <v>2257</v>
      </c>
      <c r="J35" s="402" t="s">
        <v>54</v>
      </c>
      <c r="K35" s="12" t="s">
        <v>2914</v>
      </c>
      <c r="L35" s="12" t="s">
        <v>2915</v>
      </c>
      <c r="M35" s="6"/>
      <c r="N35" s="6"/>
      <c r="O35" s="28">
        <v>650</v>
      </c>
      <c r="P35" s="28">
        <f t="shared" ref="P35:P39" si="6">O35*0.75</f>
        <v>487.5</v>
      </c>
      <c r="Q35" s="28">
        <f t="shared" ref="Q35:Q39" si="7">D35*P35</f>
        <v>0</v>
      </c>
      <c r="R35" s="266"/>
    </row>
    <row r="36" spans="1:18">
      <c r="A36" s="83" t="s">
        <v>81</v>
      </c>
      <c r="B36" s="299" t="s">
        <v>2911</v>
      </c>
      <c r="C36" s="330" t="s">
        <v>2656</v>
      </c>
      <c r="D36" s="65">
        <v>0</v>
      </c>
      <c r="E36" s="6"/>
      <c r="F36" s="6"/>
      <c r="G36" s="6">
        <v>20250326</v>
      </c>
      <c r="H36" s="159">
        <v>10</v>
      </c>
      <c r="I36" s="401"/>
      <c r="J36" s="403"/>
      <c r="K36" s="12" t="s">
        <v>2916</v>
      </c>
      <c r="L36" s="12" t="s">
        <v>2917</v>
      </c>
      <c r="M36" s="6"/>
      <c r="N36" s="6"/>
      <c r="O36" s="28">
        <v>688</v>
      </c>
      <c r="P36" s="28">
        <f t="shared" si="6"/>
        <v>516</v>
      </c>
      <c r="Q36" s="28">
        <f t="shared" si="7"/>
        <v>0</v>
      </c>
      <c r="R36" s="266"/>
    </row>
    <row r="37" spans="1:18">
      <c r="A37" s="83" t="s">
        <v>81</v>
      </c>
      <c r="B37" s="275" t="s">
        <v>877</v>
      </c>
      <c r="C37" s="331" t="s">
        <v>2656</v>
      </c>
      <c r="D37" s="68">
        <v>0</v>
      </c>
      <c r="E37" s="64"/>
      <c r="F37" s="64"/>
      <c r="G37" s="64">
        <v>20250326</v>
      </c>
      <c r="H37" s="161">
        <v>10</v>
      </c>
      <c r="I37" s="390"/>
      <c r="J37" s="404"/>
      <c r="K37" s="12" t="s">
        <v>2918</v>
      </c>
      <c r="L37" s="12" t="s">
        <v>2919</v>
      </c>
      <c r="M37" s="6"/>
      <c r="N37" s="6"/>
      <c r="O37" s="28">
        <v>650</v>
      </c>
      <c r="P37" s="28">
        <f t="shared" si="6"/>
        <v>487.5</v>
      </c>
      <c r="Q37" s="28">
        <f t="shared" si="7"/>
        <v>0</v>
      </c>
      <c r="R37" s="266"/>
    </row>
    <row r="38" spans="1:18">
      <c r="A38" s="83" t="s">
        <v>81</v>
      </c>
      <c r="B38" s="65">
        <v>106</v>
      </c>
      <c r="C38" s="330" t="s">
        <v>2656</v>
      </c>
      <c r="D38" s="65">
        <v>0</v>
      </c>
      <c r="E38" s="96"/>
      <c r="F38" s="6"/>
      <c r="G38" s="6">
        <v>20250326</v>
      </c>
      <c r="H38" s="159">
        <v>10</v>
      </c>
      <c r="I38" s="281"/>
      <c r="J38" s="6"/>
      <c r="K38" s="12" t="s">
        <v>2912</v>
      </c>
      <c r="L38" s="12" t="s">
        <v>2913</v>
      </c>
      <c r="M38" s="6"/>
      <c r="N38" s="6"/>
      <c r="O38" s="28">
        <v>673</v>
      </c>
      <c r="P38" s="28">
        <f t="shared" si="6"/>
        <v>504.75</v>
      </c>
      <c r="Q38" s="28">
        <f t="shared" si="7"/>
        <v>0</v>
      </c>
    </row>
    <row r="39" spans="1:18">
      <c r="A39" s="16" t="s">
        <v>81</v>
      </c>
      <c r="B39" s="65">
        <v>106</v>
      </c>
      <c r="C39" s="65" t="s">
        <v>2573</v>
      </c>
      <c r="D39" s="65">
        <v>0</v>
      </c>
      <c r="E39" s="21"/>
      <c r="F39" s="1">
        <v>20230206</v>
      </c>
      <c r="G39" s="1">
        <v>20230406</v>
      </c>
      <c r="H39" s="159" t="s">
        <v>699</v>
      </c>
      <c r="I39" s="72"/>
      <c r="K39" s="12" t="s">
        <v>1497</v>
      </c>
      <c r="L39" s="12" t="s">
        <v>1494</v>
      </c>
      <c r="M39" s="1" t="s">
        <v>878</v>
      </c>
      <c r="O39" s="28">
        <v>673</v>
      </c>
      <c r="P39" s="28">
        <f t="shared" si="6"/>
        <v>504.75</v>
      </c>
      <c r="Q39" s="28">
        <f t="shared" si="7"/>
        <v>0</v>
      </c>
    </row>
    <row r="40" spans="1:18">
      <c r="A40" s="16" t="s">
        <v>448</v>
      </c>
      <c r="B40" s="317">
        <v>1210</v>
      </c>
      <c r="C40" s="8" t="s">
        <v>2573</v>
      </c>
      <c r="D40" s="1">
        <v>0</v>
      </c>
      <c r="F40" s="1">
        <v>20231206</v>
      </c>
      <c r="G40" s="1">
        <v>20240419</v>
      </c>
      <c r="H40" s="159" t="s">
        <v>790</v>
      </c>
      <c r="K40" s="1" t="s">
        <v>1497</v>
      </c>
      <c r="L40" s="1" t="s">
        <v>1496</v>
      </c>
      <c r="M40" s="1" t="s">
        <v>2347</v>
      </c>
      <c r="N40" s="1" t="s">
        <v>2348</v>
      </c>
      <c r="O40" s="28">
        <v>649</v>
      </c>
      <c r="P40" s="28">
        <f>O40*0.75</f>
        <v>486.75</v>
      </c>
      <c r="Q40" s="28">
        <f>D40*P40</f>
        <v>0</v>
      </c>
    </row>
    <row r="43" spans="1:18">
      <c r="O43" s="74"/>
    </row>
    <row r="46" spans="1:18">
      <c r="O46" s="74"/>
    </row>
    <row r="47" spans="1:18">
      <c r="O47" s="74"/>
    </row>
    <row r="49" spans="15:15">
      <c r="O49" s="74"/>
    </row>
    <row r="50" spans="15:15">
      <c r="O50" s="74"/>
    </row>
    <row r="53" spans="15:15">
      <c r="O53" s="74"/>
    </row>
    <row r="61" spans="15:15">
      <c r="O61" s="1"/>
    </row>
    <row r="64" spans="15:15">
      <c r="O64" s="1"/>
    </row>
    <row r="67" spans="15:15">
      <c r="O67" s="1"/>
    </row>
    <row r="71" spans="15:15">
      <c r="O71" s="1"/>
    </row>
    <row r="73" spans="15:15">
      <c r="O73" s="1"/>
    </row>
    <row r="79" spans="15:15">
      <c r="O79" s="74"/>
    </row>
    <row r="80" spans="15:15">
      <c r="O80" s="74"/>
    </row>
    <row r="81" spans="15:15">
      <c r="O81" s="74"/>
    </row>
    <row r="85" spans="15:15">
      <c r="O85" s="74"/>
    </row>
    <row r="145" spans="13:13">
      <c r="M145" s="12"/>
    </row>
    <row r="184" spans="15:15">
      <c r="O184" s="74"/>
    </row>
    <row r="211" spans="15:15">
      <c r="O211" s="74"/>
    </row>
    <row r="227" spans="15:15">
      <c r="O227" s="74"/>
    </row>
    <row r="230" spans="15:15">
      <c r="O230" s="74"/>
    </row>
  </sheetData>
  <autoFilter ref="A3:N26" xr:uid="{00000000-0009-0000-0000-00000B000000}"/>
  <mergeCells count="12">
    <mergeCell ref="I35:I37"/>
    <mergeCell ref="J35:J37"/>
    <mergeCell ref="N30:N31"/>
    <mergeCell ref="E30:E31"/>
    <mergeCell ref="A1:J1"/>
    <mergeCell ref="E14:E15"/>
    <mergeCell ref="I14:I15"/>
    <mergeCell ref="I30:I31"/>
    <mergeCell ref="B2:J2"/>
    <mergeCell ref="J6:J13"/>
    <mergeCell ref="I4:I5"/>
    <mergeCell ref="J23:J25"/>
  </mergeCells>
  <phoneticPr fontId="1" type="noConversion"/>
  <conditionalFormatting sqref="A7:I13 K7:S13 A6:S6 A1:S3 C4:C5 S35:S37 R38:S38 A14:S18 A39:S40 A42:S293 A20:S23 A26:S34 A24:I25 K24:S25">
    <cfRule type="expression" dxfId="26" priority="13">
      <formula>CELL("ROW")=ROW()</formula>
    </cfRule>
  </conditionalFormatting>
  <conditionalFormatting sqref="D4:D5 A4:B5 F4:S5">
    <cfRule type="expression" dxfId="25" priority="11">
      <formula>CELL("ROW")=ROW()</formula>
    </cfRule>
  </conditionalFormatting>
  <conditionalFormatting sqref="E4">
    <cfRule type="expression" dxfId="24" priority="10">
      <formula>CELL("ROW")=ROW()</formula>
    </cfRule>
  </conditionalFormatting>
  <conditionalFormatting sqref="E5">
    <cfRule type="expression" dxfId="23" priority="9">
      <formula>CELL("ROW")=ROW()</formula>
    </cfRule>
  </conditionalFormatting>
  <conditionalFormatting sqref="O19:Q19 A19:G19 K19:M19">
    <cfRule type="expression" dxfId="22" priority="8">
      <formula>CELL("ROW")=ROW()</formula>
    </cfRule>
  </conditionalFormatting>
  <conditionalFormatting sqref="C35:C37">
    <cfRule type="expression" dxfId="21" priority="6">
      <formula>CELL("ROW")=ROW()</formula>
    </cfRule>
  </conditionalFormatting>
  <conditionalFormatting sqref="D35:D37 A35:B37 F35:H37 J35:O35 K36:O37 P35:R37">
    <cfRule type="expression" dxfId="20" priority="5">
      <formula>CELL("ROW")=ROW()</formula>
    </cfRule>
  </conditionalFormatting>
  <conditionalFormatting sqref="E35:E37">
    <cfRule type="expression" dxfId="19" priority="4">
      <formula>CELL("ROW")=ROW()</formula>
    </cfRule>
  </conditionalFormatting>
  <conditionalFormatting sqref="C38">
    <cfRule type="expression" dxfId="18" priority="3">
      <formula>CELL("ROW")=ROW()</formula>
    </cfRule>
  </conditionalFormatting>
  <conditionalFormatting sqref="D38 A38:B38 F38:Q38">
    <cfRule type="expression" dxfId="17" priority="2">
      <formula>CELL("ROW")=ROW()</formula>
    </cfRule>
  </conditionalFormatting>
  <conditionalFormatting sqref="E38">
    <cfRule type="expression" dxfId="16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>
    <tabColor rgb="FFFFC000"/>
  </sheetPr>
  <dimension ref="A1:S143"/>
  <sheetViews>
    <sheetView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G25" sqref="G25"/>
    </sheetView>
  </sheetViews>
  <sheetFormatPr defaultColWidth="9" defaultRowHeight="16.2"/>
  <cols>
    <col min="1" max="1" width="11.6640625" style="1" bestFit="1" customWidth="1"/>
    <col min="2" max="2" width="29" style="1" bestFit="1" customWidth="1"/>
    <col min="3" max="3" width="14.88671875" style="1" bestFit="1" customWidth="1"/>
    <col min="4" max="4" width="10.44140625" style="1" bestFit="1" customWidth="1"/>
    <col min="5" max="5" width="12.77734375" style="1" bestFit="1" customWidth="1"/>
    <col min="6" max="7" width="14.88671875" style="1" bestFit="1" customWidth="1"/>
    <col min="8" max="8" width="9.44140625" style="163" customWidth="1"/>
    <col min="9" max="9" width="9" style="1"/>
    <col min="10" max="10" width="21.88671875" style="1" bestFit="1" customWidth="1"/>
    <col min="11" max="11" width="14.109375" style="1" bestFit="1" customWidth="1"/>
    <col min="12" max="12" width="21.88671875" style="1" customWidth="1"/>
    <col min="13" max="13" width="14" style="1" customWidth="1"/>
    <col min="14" max="14" width="17.88671875" style="1" bestFit="1" customWidth="1"/>
    <col min="15" max="15" width="9" style="1"/>
    <col min="16" max="16" width="11.6640625" style="1" customWidth="1"/>
    <col min="17" max="17" width="9.21875" style="1" bestFit="1" customWidth="1"/>
    <col min="18" max="18" width="11.6640625" style="1" bestFit="1" customWidth="1"/>
    <col min="19" max="19" width="14.77734375" style="1" bestFit="1" customWidth="1"/>
    <col min="20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243" t="s">
        <v>2595</v>
      </c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2223</v>
      </c>
      <c r="Q3" s="29" t="s">
        <v>646</v>
      </c>
      <c r="R3" s="29"/>
      <c r="S3" s="29"/>
    </row>
    <row r="4" spans="1:19">
      <c r="A4" s="15" t="s">
        <v>76</v>
      </c>
      <c r="B4" s="13" t="s">
        <v>284</v>
      </c>
      <c r="C4" s="1" t="s">
        <v>2594</v>
      </c>
      <c r="D4" s="13">
        <v>2</v>
      </c>
      <c r="E4" s="13"/>
      <c r="G4" s="13">
        <v>20200608</v>
      </c>
      <c r="H4" s="159" t="s">
        <v>699</v>
      </c>
      <c r="I4" s="1" t="s">
        <v>287</v>
      </c>
      <c r="J4" s="357" t="s">
        <v>434</v>
      </c>
      <c r="K4" s="12" t="s">
        <v>1854</v>
      </c>
      <c r="L4" s="12" t="s">
        <v>1514</v>
      </c>
      <c r="O4" s="31">
        <v>1630</v>
      </c>
      <c r="P4" s="31">
        <f>O4*0.75</f>
        <v>1222.5</v>
      </c>
      <c r="Q4" s="31">
        <f>D4*P4</f>
        <v>2445</v>
      </c>
    </row>
    <row r="5" spans="1:19">
      <c r="A5" s="16" t="s">
        <v>76</v>
      </c>
      <c r="B5" s="3" t="s">
        <v>98</v>
      </c>
      <c r="C5" s="1" t="s">
        <v>2594</v>
      </c>
      <c r="D5" s="1">
        <v>1</v>
      </c>
      <c r="G5" s="1">
        <v>20200608</v>
      </c>
      <c r="H5" s="159" t="s">
        <v>699</v>
      </c>
      <c r="I5" s="1" t="s">
        <v>288</v>
      </c>
      <c r="J5" s="359"/>
      <c r="K5" s="12" t="s">
        <v>1024</v>
      </c>
      <c r="L5" s="12" t="s">
        <v>1515</v>
      </c>
      <c r="O5" s="31">
        <v>2200</v>
      </c>
      <c r="P5" s="31">
        <f t="shared" ref="P5:P21" si="0">O5*0.75</f>
        <v>1650</v>
      </c>
      <c r="Q5" s="31">
        <f t="shared" ref="Q5:Q21" si="1">D5*P5</f>
        <v>1650</v>
      </c>
    </row>
    <row r="6" spans="1:19">
      <c r="A6" s="16" t="s">
        <v>76</v>
      </c>
      <c r="B6" s="1" t="s">
        <v>283</v>
      </c>
      <c r="C6" s="1" t="s">
        <v>2594</v>
      </c>
      <c r="D6" s="1">
        <v>5</v>
      </c>
      <c r="G6" s="1">
        <v>20200608</v>
      </c>
      <c r="H6" s="159" t="s">
        <v>699</v>
      </c>
      <c r="I6" s="1" t="s">
        <v>287</v>
      </c>
      <c r="J6" s="359"/>
      <c r="K6" s="12" t="s">
        <v>1024</v>
      </c>
      <c r="L6" s="12" t="s">
        <v>1516</v>
      </c>
      <c r="O6" s="31">
        <v>2200</v>
      </c>
      <c r="P6" s="31">
        <f t="shared" si="0"/>
        <v>1650</v>
      </c>
      <c r="Q6" s="31">
        <f t="shared" si="1"/>
        <v>8250</v>
      </c>
      <c r="R6" s="32"/>
    </row>
    <row r="7" spans="1:19">
      <c r="A7" s="16" t="s">
        <v>76</v>
      </c>
      <c r="B7" s="1" t="s">
        <v>285</v>
      </c>
      <c r="C7" s="1" t="s">
        <v>2594</v>
      </c>
      <c r="D7" s="1">
        <v>7</v>
      </c>
      <c r="G7" s="1">
        <v>20200608</v>
      </c>
      <c r="H7" s="159" t="s">
        <v>699</v>
      </c>
      <c r="I7" s="1" t="s">
        <v>287</v>
      </c>
      <c r="J7" s="359"/>
      <c r="K7" s="12" t="s">
        <v>1024</v>
      </c>
      <c r="L7" s="12" t="s">
        <v>1517</v>
      </c>
      <c r="O7" s="31">
        <v>0</v>
      </c>
      <c r="P7" s="31">
        <f t="shared" si="0"/>
        <v>0</v>
      </c>
      <c r="Q7" s="31">
        <f t="shared" si="1"/>
        <v>0</v>
      </c>
      <c r="R7" s="201" t="s">
        <v>2211</v>
      </c>
    </row>
    <row r="8" spans="1:19">
      <c r="A8" s="16" t="s">
        <v>76</v>
      </c>
      <c r="B8" s="1" t="s">
        <v>286</v>
      </c>
      <c r="C8" s="1" t="s">
        <v>2594</v>
      </c>
      <c r="D8" s="1">
        <v>7</v>
      </c>
      <c r="G8" s="1">
        <v>20200608</v>
      </c>
      <c r="H8" s="159" t="s">
        <v>699</v>
      </c>
      <c r="I8" s="1" t="s">
        <v>287</v>
      </c>
      <c r="J8" s="359"/>
      <c r="K8" s="12" t="s">
        <v>1024</v>
      </c>
      <c r="L8" s="12" t="s">
        <v>1518</v>
      </c>
      <c r="O8" s="31">
        <v>1300</v>
      </c>
      <c r="P8" s="31">
        <f t="shared" si="0"/>
        <v>975</v>
      </c>
      <c r="Q8" s="31">
        <f t="shared" si="1"/>
        <v>6825</v>
      </c>
    </row>
    <row r="9" spans="1:19">
      <c r="A9" s="15" t="s">
        <v>76</v>
      </c>
      <c r="B9" s="13" t="s">
        <v>392</v>
      </c>
      <c r="C9" s="13" t="s">
        <v>2594</v>
      </c>
      <c r="D9" s="13">
        <v>5</v>
      </c>
      <c r="E9" s="13"/>
      <c r="F9" s="13"/>
      <c r="G9" s="13">
        <v>20201116</v>
      </c>
      <c r="H9" s="160" t="s">
        <v>699</v>
      </c>
      <c r="I9" s="13"/>
      <c r="J9" s="357" t="s">
        <v>433</v>
      </c>
      <c r="K9" s="12" t="s">
        <v>1024</v>
      </c>
      <c r="L9" s="12" t="s">
        <v>1517</v>
      </c>
      <c r="O9" s="31">
        <v>1350</v>
      </c>
      <c r="P9" s="31">
        <f t="shared" si="0"/>
        <v>1012.5</v>
      </c>
      <c r="Q9" s="31">
        <f t="shared" si="1"/>
        <v>5062.5</v>
      </c>
    </row>
    <row r="10" spans="1:19">
      <c r="A10" s="16" t="s">
        <v>76</v>
      </c>
      <c r="B10" s="1" t="s">
        <v>158</v>
      </c>
      <c r="C10" s="1" t="s">
        <v>2594</v>
      </c>
      <c r="D10" s="1">
        <v>2</v>
      </c>
      <c r="G10" s="1">
        <v>20200309</v>
      </c>
      <c r="H10" s="159" t="s">
        <v>699</v>
      </c>
      <c r="J10" s="359"/>
      <c r="K10" s="12" t="s">
        <v>1024</v>
      </c>
      <c r="L10" s="12" t="s">
        <v>1520</v>
      </c>
      <c r="O10" s="31">
        <v>2800</v>
      </c>
      <c r="P10" s="31">
        <f t="shared" si="0"/>
        <v>2100</v>
      </c>
      <c r="Q10" s="31">
        <f t="shared" si="1"/>
        <v>4200</v>
      </c>
    </row>
    <row r="11" spans="1:19">
      <c r="A11" s="16" t="s">
        <v>76</v>
      </c>
      <c r="B11" s="1" t="s">
        <v>319</v>
      </c>
      <c r="C11" s="1" t="s">
        <v>2594</v>
      </c>
      <c r="D11" s="1">
        <v>5</v>
      </c>
      <c r="G11" s="1">
        <v>20200805</v>
      </c>
      <c r="H11" s="159" t="s">
        <v>699</v>
      </c>
      <c r="J11" s="359"/>
      <c r="K11" s="12" t="s">
        <v>1347</v>
      </c>
      <c r="L11" s="12" t="s">
        <v>1521</v>
      </c>
      <c r="O11" s="31">
        <v>0</v>
      </c>
      <c r="P11" s="31">
        <f t="shared" si="0"/>
        <v>0</v>
      </c>
      <c r="Q11" s="31">
        <f t="shared" si="1"/>
        <v>0</v>
      </c>
      <c r="R11" s="201" t="s">
        <v>2211</v>
      </c>
    </row>
    <row r="12" spans="1:19">
      <c r="A12" s="16" t="s">
        <v>76</v>
      </c>
      <c r="B12" s="1" t="s">
        <v>460</v>
      </c>
      <c r="C12" s="1" t="s">
        <v>2594</v>
      </c>
      <c r="D12" s="1">
        <v>1</v>
      </c>
      <c r="E12" s="6"/>
      <c r="F12" s="6">
        <v>20210201</v>
      </c>
      <c r="G12" s="6">
        <v>20210401</v>
      </c>
      <c r="H12" s="159" t="s">
        <v>699</v>
      </c>
      <c r="I12" s="6" t="s">
        <v>299</v>
      </c>
      <c r="J12" s="359"/>
      <c r="K12" s="12" t="s">
        <v>1024</v>
      </c>
      <c r="L12" s="12" t="s">
        <v>1522</v>
      </c>
      <c r="N12" s="3"/>
      <c r="O12" s="31">
        <v>0</v>
      </c>
      <c r="P12" s="31">
        <f t="shared" si="0"/>
        <v>0</v>
      </c>
      <c r="Q12" s="31">
        <f t="shared" si="1"/>
        <v>0</v>
      </c>
      <c r="R12" s="201" t="s">
        <v>2211</v>
      </c>
    </row>
    <row r="13" spans="1:19">
      <c r="A13" s="17" t="s">
        <v>76</v>
      </c>
      <c r="B13" s="14" t="s">
        <v>585</v>
      </c>
      <c r="C13" s="1" t="s">
        <v>2594</v>
      </c>
      <c r="D13" s="14">
        <v>2</v>
      </c>
      <c r="E13" s="14"/>
      <c r="F13" s="14">
        <v>20201029</v>
      </c>
      <c r="G13" s="14">
        <v>20201229</v>
      </c>
      <c r="H13" s="161" t="s">
        <v>699</v>
      </c>
      <c r="I13" s="14"/>
      <c r="J13" s="358"/>
      <c r="K13" s="12" t="s">
        <v>1523</v>
      </c>
      <c r="L13" s="12" t="s">
        <v>1524</v>
      </c>
      <c r="O13" s="31">
        <v>1750</v>
      </c>
      <c r="P13" s="31">
        <f t="shared" si="0"/>
        <v>1312.5</v>
      </c>
      <c r="Q13" s="31">
        <f t="shared" si="1"/>
        <v>2625</v>
      </c>
    </row>
    <row r="14" spans="1:19">
      <c r="A14" s="16" t="s">
        <v>76</v>
      </c>
      <c r="B14" s="1" t="s">
        <v>157</v>
      </c>
      <c r="C14" s="13" t="s">
        <v>2594</v>
      </c>
      <c r="D14" s="1">
        <v>1</v>
      </c>
      <c r="G14" s="1">
        <v>20200306</v>
      </c>
      <c r="H14" s="159" t="s">
        <v>699</v>
      </c>
      <c r="J14" s="359" t="s">
        <v>433</v>
      </c>
      <c r="K14" s="12" t="s">
        <v>1024</v>
      </c>
      <c r="L14" s="12" t="s">
        <v>1515</v>
      </c>
      <c r="O14" s="31">
        <v>2200</v>
      </c>
      <c r="P14" s="31">
        <f t="shared" si="0"/>
        <v>1650</v>
      </c>
      <c r="Q14" s="31">
        <f t="shared" si="1"/>
        <v>1650</v>
      </c>
    </row>
    <row r="15" spans="1:19">
      <c r="A15" s="16" t="s">
        <v>76</v>
      </c>
      <c r="B15" s="3" t="s">
        <v>98</v>
      </c>
      <c r="C15" s="1" t="s">
        <v>2594</v>
      </c>
      <c r="D15" s="1">
        <v>2</v>
      </c>
      <c r="G15" s="1">
        <v>20200306</v>
      </c>
      <c r="H15" s="159" t="s">
        <v>699</v>
      </c>
      <c r="I15" s="1" t="s">
        <v>99</v>
      </c>
      <c r="J15" s="359"/>
      <c r="K15" s="12" t="s">
        <v>1024</v>
      </c>
      <c r="L15" s="12" t="s">
        <v>1515</v>
      </c>
      <c r="O15" s="31">
        <v>2200</v>
      </c>
      <c r="P15" s="31">
        <f t="shared" si="0"/>
        <v>1650</v>
      </c>
      <c r="Q15" s="31">
        <f t="shared" si="1"/>
        <v>3300</v>
      </c>
      <c r="R15" s="28"/>
    </row>
    <row r="16" spans="1:19">
      <c r="A16" s="17" t="s">
        <v>76</v>
      </c>
      <c r="B16" s="14" t="s">
        <v>156</v>
      </c>
      <c r="C16" s="14" t="s">
        <v>2594</v>
      </c>
      <c r="D16" s="64">
        <v>2</v>
      </c>
      <c r="E16" s="68"/>
      <c r="F16" s="68"/>
      <c r="G16" s="64">
        <v>20191021</v>
      </c>
      <c r="H16" s="161" t="s">
        <v>699</v>
      </c>
      <c r="I16" s="14"/>
      <c r="J16" s="358"/>
      <c r="K16" s="12" t="s">
        <v>1024</v>
      </c>
      <c r="L16" s="12" t="s">
        <v>1525</v>
      </c>
      <c r="O16" s="31">
        <v>0</v>
      </c>
      <c r="P16" s="31">
        <f t="shared" si="0"/>
        <v>0</v>
      </c>
      <c r="Q16" s="31">
        <f t="shared" si="1"/>
        <v>0</v>
      </c>
      <c r="R16" s="205" t="s">
        <v>2211</v>
      </c>
    </row>
    <row r="17" spans="1:19">
      <c r="A17" s="1" t="s">
        <v>76</v>
      </c>
      <c r="B17" s="1" t="s">
        <v>284</v>
      </c>
      <c r="C17" s="1" t="s">
        <v>2594</v>
      </c>
      <c r="D17" s="1">
        <v>15</v>
      </c>
      <c r="E17" s="6"/>
      <c r="F17" s="6"/>
      <c r="G17" s="6">
        <v>20200709</v>
      </c>
      <c r="H17" s="159" t="s">
        <v>699</v>
      </c>
      <c r="I17" s="6" t="s">
        <v>299</v>
      </c>
      <c r="J17" s="1" t="s">
        <v>586</v>
      </c>
      <c r="K17" s="12" t="s">
        <v>1854</v>
      </c>
      <c r="L17" s="12" t="s">
        <v>1514</v>
      </c>
      <c r="N17" s="3"/>
      <c r="O17" s="31">
        <v>1630</v>
      </c>
      <c r="P17" s="31">
        <f t="shared" si="0"/>
        <v>1222.5</v>
      </c>
      <c r="Q17" s="31">
        <f t="shared" si="1"/>
        <v>18337.5</v>
      </c>
    </row>
    <row r="18" spans="1:19">
      <c r="A18" s="1" t="s">
        <v>76</v>
      </c>
      <c r="B18" s="1" t="s">
        <v>159</v>
      </c>
      <c r="C18" s="1" t="s">
        <v>2594</v>
      </c>
      <c r="D18" s="1">
        <v>11</v>
      </c>
      <c r="G18" s="1">
        <v>20200309</v>
      </c>
      <c r="H18" s="159" t="s">
        <v>699</v>
      </c>
      <c r="K18" s="12" t="s">
        <v>1024</v>
      </c>
      <c r="L18" s="12" t="s">
        <v>1516</v>
      </c>
      <c r="N18" s="1" t="s">
        <v>587</v>
      </c>
      <c r="O18" s="31">
        <v>2200</v>
      </c>
      <c r="P18" s="31">
        <f t="shared" si="0"/>
        <v>1650</v>
      </c>
      <c r="Q18" s="31">
        <f t="shared" si="1"/>
        <v>18150</v>
      </c>
      <c r="R18" s="32"/>
    </row>
    <row r="19" spans="1:19">
      <c r="A19" s="1" t="s">
        <v>95</v>
      </c>
      <c r="B19" s="1" t="s">
        <v>93</v>
      </c>
      <c r="C19" s="1" t="s">
        <v>2594</v>
      </c>
      <c r="D19" s="1">
        <v>5</v>
      </c>
      <c r="G19" s="1">
        <v>20200302</v>
      </c>
      <c r="H19" s="159" t="s">
        <v>699</v>
      </c>
      <c r="J19" s="21"/>
      <c r="K19" s="12" t="s">
        <v>1024</v>
      </c>
      <c r="L19" s="12" t="s">
        <v>1519</v>
      </c>
      <c r="O19" s="31">
        <v>1350</v>
      </c>
      <c r="P19" s="31">
        <f t="shared" si="0"/>
        <v>1012.5</v>
      </c>
      <c r="Q19" s="31">
        <f t="shared" si="1"/>
        <v>5062.5</v>
      </c>
      <c r="R19" s="28"/>
    </row>
    <row r="20" spans="1:19">
      <c r="A20" s="1" t="s">
        <v>76</v>
      </c>
      <c r="B20" s="1" t="s">
        <v>417</v>
      </c>
      <c r="C20" s="1" t="s">
        <v>2594</v>
      </c>
      <c r="D20" s="1">
        <v>9</v>
      </c>
      <c r="F20" s="1">
        <v>20201028</v>
      </c>
      <c r="G20" s="1">
        <v>20201228</v>
      </c>
      <c r="H20" s="159" t="s">
        <v>699</v>
      </c>
      <c r="K20" s="12" t="s">
        <v>1024</v>
      </c>
      <c r="L20" s="12" t="s">
        <v>1526</v>
      </c>
      <c r="O20" s="31">
        <v>2320</v>
      </c>
      <c r="P20" s="31">
        <f t="shared" si="0"/>
        <v>1740</v>
      </c>
      <c r="Q20" s="31">
        <f t="shared" si="1"/>
        <v>15660</v>
      </c>
      <c r="R20" s="31"/>
    </row>
    <row r="21" spans="1:19">
      <c r="A21" s="1" t="s">
        <v>76</v>
      </c>
      <c r="B21" s="1" t="s">
        <v>418</v>
      </c>
      <c r="C21" s="1" t="s">
        <v>2594</v>
      </c>
      <c r="D21" s="1">
        <v>9</v>
      </c>
      <c r="F21" s="1">
        <v>20201028</v>
      </c>
      <c r="G21" s="1">
        <v>20201228</v>
      </c>
      <c r="H21" s="159" t="s">
        <v>699</v>
      </c>
      <c r="K21" s="12" t="s">
        <v>1024</v>
      </c>
      <c r="L21" s="12" t="s">
        <v>1526</v>
      </c>
      <c r="O21" s="31">
        <v>2320</v>
      </c>
      <c r="P21" s="31">
        <f t="shared" si="0"/>
        <v>1740</v>
      </c>
      <c r="Q21" s="31">
        <f t="shared" si="1"/>
        <v>15660</v>
      </c>
    </row>
    <row r="22" spans="1:19">
      <c r="A22" s="15" t="s">
        <v>86</v>
      </c>
      <c r="B22" s="13" t="s">
        <v>88</v>
      </c>
      <c r="C22" s="13" t="s">
        <v>3082</v>
      </c>
      <c r="D22" s="13">
        <v>1</v>
      </c>
      <c r="E22" s="13"/>
      <c r="F22" s="13"/>
      <c r="G22" s="13">
        <v>20200207</v>
      </c>
      <c r="H22" s="160" t="s">
        <v>699</v>
      </c>
      <c r="I22" s="13"/>
      <c r="J22" s="395"/>
      <c r="K22" s="12" t="s">
        <v>1024</v>
      </c>
      <c r="L22" s="12" t="s">
        <v>1519</v>
      </c>
      <c r="O22" s="31">
        <v>1450</v>
      </c>
      <c r="P22" s="31">
        <f>O22*0.75</f>
        <v>1087.5</v>
      </c>
      <c r="Q22" s="31">
        <f>D22*P22</f>
        <v>1087.5</v>
      </c>
      <c r="R22" s="28"/>
    </row>
    <row r="23" spans="1:19">
      <c r="A23" s="17" t="s">
        <v>94</v>
      </c>
      <c r="B23" s="14" t="s">
        <v>87</v>
      </c>
      <c r="C23" s="14" t="s">
        <v>3082</v>
      </c>
      <c r="D23" s="14">
        <v>1</v>
      </c>
      <c r="E23" s="14"/>
      <c r="F23" s="14"/>
      <c r="G23" s="14">
        <v>20200207</v>
      </c>
      <c r="H23" s="161" t="s">
        <v>699</v>
      </c>
      <c r="I23" s="14"/>
      <c r="J23" s="396"/>
      <c r="K23" s="12" t="s">
        <v>1024</v>
      </c>
      <c r="L23" s="12" t="s">
        <v>1517</v>
      </c>
      <c r="O23" s="31">
        <v>1350</v>
      </c>
      <c r="P23" s="31">
        <f>O23*0.75</f>
        <v>1012.5</v>
      </c>
      <c r="Q23" s="31">
        <f>D23*P23</f>
        <v>1012.5</v>
      </c>
      <c r="R23" s="28"/>
    </row>
    <row r="24" spans="1:19">
      <c r="D24" s="104">
        <f>SUM(D4:D21)</f>
        <v>91</v>
      </c>
      <c r="E24" s="109">
        <f>ROW()-4</f>
        <v>20</v>
      </c>
      <c r="Q24" s="31">
        <f>SUM(Q4:Q21)</f>
        <v>108877.5</v>
      </c>
    </row>
    <row r="27" spans="1:19">
      <c r="A27" s="38"/>
      <c r="B27" s="38" t="s">
        <v>360</v>
      </c>
      <c r="C27" s="38"/>
      <c r="D27" s="38"/>
      <c r="E27" s="38"/>
      <c r="F27" s="38"/>
      <c r="G27" s="38"/>
      <c r="H27" s="164"/>
      <c r="I27" s="38"/>
      <c r="J27" s="38"/>
      <c r="K27" s="38"/>
      <c r="L27" s="38"/>
      <c r="M27" s="61"/>
      <c r="N27" s="38"/>
      <c r="O27" s="38"/>
      <c r="P27" s="38"/>
      <c r="Q27" s="38"/>
      <c r="R27" s="38"/>
      <c r="S27" s="38"/>
    </row>
    <row r="31" spans="1:19">
      <c r="O31" s="28"/>
      <c r="P31" s="28"/>
      <c r="Q31" s="28"/>
      <c r="R31" s="28"/>
    </row>
    <row r="143" spans="13:13">
      <c r="M143" s="12"/>
    </row>
  </sheetData>
  <autoFilter ref="A3:N3" xr:uid="{00000000-0009-0000-0000-00000C000000}"/>
  <mergeCells count="6">
    <mergeCell ref="J14:J16"/>
    <mergeCell ref="A1:J1"/>
    <mergeCell ref="J4:J8"/>
    <mergeCell ref="J22:J23"/>
    <mergeCell ref="J9:J13"/>
    <mergeCell ref="B2:J2"/>
  </mergeCells>
  <phoneticPr fontId="1" type="noConversion"/>
  <conditionalFormatting sqref="A1:S200">
    <cfRule type="expression" dxfId="15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 tint="-0.249977111117893"/>
  </sheetPr>
  <dimension ref="A1:AA224"/>
  <sheetViews>
    <sheetView topLeftCell="H1" workbookViewId="0">
      <pane ySplit="3" topLeftCell="A4" activePane="bottomLeft" state="frozen"/>
      <selection pane="bottomLeft" activeCell="D22" sqref="D22"/>
    </sheetView>
  </sheetViews>
  <sheetFormatPr defaultRowHeight="16.2"/>
  <cols>
    <col min="1" max="1" width="11.6640625" style="1" bestFit="1" customWidth="1"/>
    <col min="2" max="2" width="15.33203125" style="1" customWidth="1"/>
    <col min="3" max="3" width="15.21875" style="1" customWidth="1"/>
    <col min="4" max="5" width="9" style="1"/>
    <col min="6" max="6" width="14.109375" style="1" customWidth="1"/>
    <col min="7" max="7" width="13.88671875" style="1" customWidth="1"/>
    <col min="8" max="8" width="9.77734375" style="163" customWidth="1"/>
    <col min="9" max="9" width="9" style="1"/>
    <col min="10" max="10" width="22.6640625" bestFit="1" customWidth="1"/>
    <col min="11" max="11" width="30.77734375" bestFit="1" customWidth="1"/>
    <col min="12" max="12" width="13.44140625" bestFit="1" customWidth="1"/>
    <col min="13" max="13" width="13.44140625" style="1" bestFit="1" customWidth="1"/>
    <col min="14" max="14" width="11.44140625" bestFit="1" customWidth="1"/>
    <col min="15" max="15" width="6" style="28" bestFit="1" customWidth="1"/>
    <col min="16" max="16" width="11.44140625" bestFit="1" customWidth="1"/>
    <col min="17" max="17" width="8" bestFit="1" customWidth="1"/>
    <col min="18" max="18" width="12.109375" customWidth="1"/>
  </cols>
  <sheetData>
    <row r="1" spans="1:27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27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  <c r="O2"/>
    </row>
    <row r="3" spans="1:27" s="1" customFormat="1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2223</v>
      </c>
      <c r="Q3" s="29" t="s">
        <v>646</v>
      </c>
      <c r="R3" s="29"/>
      <c r="S3" s="29"/>
    </row>
    <row r="4" spans="1:27" s="1" customFormat="1" ht="32.4">
      <c r="A4" s="1" t="s">
        <v>470</v>
      </c>
      <c r="B4" s="2" t="s">
        <v>513</v>
      </c>
      <c r="C4" s="1" t="s">
        <v>103</v>
      </c>
      <c r="D4" s="1">
        <v>46</v>
      </c>
      <c r="F4" s="1">
        <v>20210611</v>
      </c>
      <c r="G4" s="1">
        <v>20210811</v>
      </c>
      <c r="H4" s="159" t="s">
        <v>699</v>
      </c>
      <c r="K4" s="12" t="s">
        <v>1527</v>
      </c>
      <c r="L4" s="12" t="s">
        <v>1023</v>
      </c>
      <c r="N4" s="3"/>
      <c r="O4" s="28">
        <v>0</v>
      </c>
      <c r="P4" s="28">
        <f>O4*0.75</f>
        <v>0</v>
      </c>
      <c r="Q4" s="28">
        <f>D4*P4</f>
        <v>0</v>
      </c>
      <c r="R4" s="211" t="s">
        <v>2225</v>
      </c>
      <c r="W4"/>
      <c r="X4"/>
      <c r="Y4"/>
      <c r="Z4"/>
      <c r="AA4"/>
    </row>
    <row r="5" spans="1:27" s="1" customFormat="1" ht="32.4">
      <c r="A5" s="1" t="s">
        <v>470</v>
      </c>
      <c r="B5" s="2" t="s">
        <v>512</v>
      </c>
      <c r="C5" s="1" t="s">
        <v>103</v>
      </c>
      <c r="D5" s="1">
        <v>36</v>
      </c>
      <c r="F5" s="1">
        <v>20210611</v>
      </c>
      <c r="G5" s="1">
        <v>20210811</v>
      </c>
      <c r="H5" s="159" t="s">
        <v>699</v>
      </c>
      <c r="K5" s="12" t="s">
        <v>1528</v>
      </c>
      <c r="L5" s="12" t="s">
        <v>1023</v>
      </c>
      <c r="N5" s="3"/>
      <c r="O5" s="28">
        <v>0</v>
      </c>
      <c r="P5" s="28">
        <f t="shared" ref="P5:P21" si="0">O5*0.75</f>
        <v>0</v>
      </c>
      <c r="Q5" s="28">
        <f t="shared" ref="Q5:Q21" si="1">D5*P5</f>
        <v>0</v>
      </c>
      <c r="R5" s="211" t="s">
        <v>2225</v>
      </c>
      <c r="W5"/>
      <c r="X5"/>
      <c r="Y5"/>
      <c r="Z5"/>
      <c r="AA5"/>
    </row>
    <row r="6" spans="1:27" s="1" customFormat="1" ht="32.4">
      <c r="A6" s="1" t="s">
        <v>470</v>
      </c>
      <c r="B6" s="2" t="s">
        <v>480</v>
      </c>
      <c r="C6" s="1" t="s">
        <v>103</v>
      </c>
      <c r="D6" s="1">
        <v>3</v>
      </c>
      <c r="F6" s="1">
        <v>20210404</v>
      </c>
      <c r="G6" s="1">
        <v>20210604</v>
      </c>
      <c r="H6" s="159" t="s">
        <v>699</v>
      </c>
      <c r="K6" s="12" t="s">
        <v>1530</v>
      </c>
      <c r="L6" s="12" t="s">
        <v>1023</v>
      </c>
      <c r="N6" s="3"/>
      <c r="O6" s="28">
        <v>0</v>
      </c>
      <c r="P6" s="28">
        <f t="shared" si="0"/>
        <v>0</v>
      </c>
      <c r="Q6" s="28">
        <f t="shared" si="1"/>
        <v>0</v>
      </c>
      <c r="R6" s="211" t="s">
        <v>2225</v>
      </c>
      <c r="W6"/>
      <c r="X6"/>
      <c r="Y6"/>
      <c r="Z6"/>
      <c r="AA6"/>
    </row>
    <row r="7" spans="1:27" s="1" customFormat="1" ht="32.4">
      <c r="A7" s="1" t="s">
        <v>470</v>
      </c>
      <c r="B7" s="2" t="s">
        <v>481</v>
      </c>
      <c r="C7" s="1" t="s">
        <v>103</v>
      </c>
      <c r="D7" s="1">
        <v>34</v>
      </c>
      <c r="F7" s="1">
        <v>20210404</v>
      </c>
      <c r="G7" s="1">
        <v>20210604</v>
      </c>
      <c r="H7" s="159" t="s">
        <v>699</v>
      </c>
      <c r="K7" s="12" t="s">
        <v>1531</v>
      </c>
      <c r="L7" s="12" t="s">
        <v>1023</v>
      </c>
      <c r="N7" s="3"/>
      <c r="O7" s="28">
        <v>0</v>
      </c>
      <c r="P7" s="28">
        <f t="shared" si="0"/>
        <v>0</v>
      </c>
      <c r="Q7" s="28">
        <f t="shared" si="1"/>
        <v>0</v>
      </c>
      <c r="R7" s="211" t="s">
        <v>2225</v>
      </c>
      <c r="W7"/>
      <c r="X7"/>
      <c r="Y7"/>
      <c r="Z7"/>
      <c r="AA7"/>
    </row>
    <row r="8" spans="1:27" s="1" customFormat="1" ht="32.4">
      <c r="A8" s="1" t="s">
        <v>470</v>
      </c>
      <c r="B8" s="2" t="s">
        <v>482</v>
      </c>
      <c r="C8" s="1" t="s">
        <v>103</v>
      </c>
      <c r="D8" s="1">
        <v>5</v>
      </c>
      <c r="F8" s="1">
        <v>20210404</v>
      </c>
      <c r="G8" s="1">
        <v>20210604</v>
      </c>
      <c r="H8" s="159" t="s">
        <v>699</v>
      </c>
      <c r="K8" s="12" t="s">
        <v>1527</v>
      </c>
      <c r="L8" s="12" t="s">
        <v>1023</v>
      </c>
      <c r="N8" s="3"/>
      <c r="O8" s="28">
        <v>0</v>
      </c>
      <c r="P8" s="28">
        <f t="shared" si="0"/>
        <v>0</v>
      </c>
      <c r="Q8" s="28">
        <f t="shared" si="1"/>
        <v>0</v>
      </c>
      <c r="R8" s="211" t="s">
        <v>2225</v>
      </c>
      <c r="W8"/>
      <c r="X8"/>
      <c r="Y8"/>
      <c r="Z8"/>
      <c r="AA8"/>
    </row>
    <row r="9" spans="1:27" s="1" customFormat="1" ht="32.4">
      <c r="A9" s="15" t="s">
        <v>470</v>
      </c>
      <c r="B9" s="85" t="s">
        <v>497</v>
      </c>
      <c r="C9" s="13" t="s">
        <v>103</v>
      </c>
      <c r="D9" s="13">
        <v>2</v>
      </c>
      <c r="E9" s="13"/>
      <c r="F9" s="13">
        <v>20210521</v>
      </c>
      <c r="G9" s="13">
        <v>20210721</v>
      </c>
      <c r="H9" s="160" t="s">
        <v>699</v>
      </c>
      <c r="I9" s="374" t="s">
        <v>498</v>
      </c>
      <c r="J9" s="56"/>
      <c r="K9" s="12" t="s">
        <v>1532</v>
      </c>
      <c r="L9" s="12" t="s">
        <v>1023</v>
      </c>
      <c r="N9" s="3"/>
      <c r="O9" s="28">
        <v>0</v>
      </c>
      <c r="P9" s="28">
        <f t="shared" si="0"/>
        <v>0</v>
      </c>
      <c r="Q9" s="28">
        <f t="shared" si="1"/>
        <v>0</v>
      </c>
      <c r="R9" s="211" t="s">
        <v>2225</v>
      </c>
      <c r="W9"/>
      <c r="X9"/>
      <c r="Y9"/>
      <c r="Z9"/>
      <c r="AA9"/>
    </row>
    <row r="10" spans="1:27" s="1" customFormat="1" ht="32.4">
      <c r="A10" s="16" t="s">
        <v>470</v>
      </c>
      <c r="B10" s="2" t="s">
        <v>476</v>
      </c>
      <c r="C10" s="1" t="s">
        <v>103</v>
      </c>
      <c r="D10" s="1">
        <v>3</v>
      </c>
      <c r="F10" s="1">
        <v>20210521</v>
      </c>
      <c r="G10" s="1">
        <v>20210721</v>
      </c>
      <c r="H10" s="159" t="s">
        <v>699</v>
      </c>
      <c r="I10" s="355"/>
      <c r="J10" s="80"/>
      <c r="K10" s="12" t="s">
        <v>1533</v>
      </c>
      <c r="L10" s="12" t="s">
        <v>1023</v>
      </c>
      <c r="N10" s="3"/>
      <c r="O10" s="28">
        <v>0</v>
      </c>
      <c r="P10" s="28">
        <f t="shared" si="0"/>
        <v>0</v>
      </c>
      <c r="Q10" s="28">
        <f t="shared" si="1"/>
        <v>0</v>
      </c>
      <c r="R10" s="211" t="s">
        <v>2225</v>
      </c>
      <c r="W10"/>
      <c r="X10"/>
      <c r="Y10"/>
      <c r="Z10"/>
      <c r="AA10"/>
    </row>
    <row r="11" spans="1:27" s="1" customFormat="1" ht="32.4">
      <c r="A11" s="16" t="s">
        <v>470</v>
      </c>
      <c r="B11" s="2" t="s">
        <v>477</v>
      </c>
      <c r="C11" s="1" t="s">
        <v>103</v>
      </c>
      <c r="D11" s="1">
        <v>2</v>
      </c>
      <c r="F11" s="1">
        <v>20210521</v>
      </c>
      <c r="G11" s="1">
        <v>20210721</v>
      </c>
      <c r="H11" s="159" t="s">
        <v>699</v>
      </c>
      <c r="I11" s="355"/>
      <c r="J11" s="80"/>
      <c r="K11" s="12" t="s">
        <v>1529</v>
      </c>
      <c r="L11" s="12" t="s">
        <v>1023</v>
      </c>
      <c r="N11" s="3"/>
      <c r="O11" s="28">
        <v>0</v>
      </c>
      <c r="P11" s="28">
        <f t="shared" si="0"/>
        <v>0</v>
      </c>
      <c r="Q11" s="28">
        <f t="shared" si="1"/>
        <v>0</v>
      </c>
      <c r="R11" s="211" t="s">
        <v>2225</v>
      </c>
      <c r="W11"/>
      <c r="X11"/>
      <c r="Y11"/>
      <c r="Z11"/>
      <c r="AA11"/>
    </row>
    <row r="12" spans="1:27" s="1" customFormat="1" ht="32.4">
      <c r="A12" s="16" t="s">
        <v>470</v>
      </c>
      <c r="B12" s="2" t="s">
        <v>479</v>
      </c>
      <c r="C12" s="1" t="s">
        <v>103</v>
      </c>
      <c r="D12" s="1">
        <v>1</v>
      </c>
      <c r="F12" s="1">
        <v>20210404</v>
      </c>
      <c r="G12" s="1">
        <v>20210604</v>
      </c>
      <c r="H12" s="159" t="s">
        <v>699</v>
      </c>
      <c r="I12" s="355"/>
      <c r="J12" s="80"/>
      <c r="K12" s="12" t="s">
        <v>1529</v>
      </c>
      <c r="L12" s="12" t="s">
        <v>1023</v>
      </c>
      <c r="N12" s="3"/>
      <c r="O12" s="28">
        <v>0</v>
      </c>
      <c r="P12" s="28">
        <f t="shared" si="0"/>
        <v>0</v>
      </c>
      <c r="Q12" s="28">
        <f t="shared" si="1"/>
        <v>0</v>
      </c>
      <c r="R12" s="211" t="s">
        <v>2225</v>
      </c>
      <c r="W12"/>
      <c r="X12"/>
      <c r="Y12"/>
      <c r="Z12"/>
      <c r="AA12"/>
    </row>
    <row r="13" spans="1:27" s="1" customFormat="1" ht="32.4">
      <c r="A13" s="17" t="s">
        <v>470</v>
      </c>
      <c r="B13" s="82" t="s">
        <v>478</v>
      </c>
      <c r="C13" s="1" t="s">
        <v>103</v>
      </c>
      <c r="D13" s="14">
        <v>2</v>
      </c>
      <c r="E13" s="14"/>
      <c r="F13" s="14">
        <v>20210521</v>
      </c>
      <c r="G13" s="14">
        <v>20210721</v>
      </c>
      <c r="H13" s="161" t="s">
        <v>699</v>
      </c>
      <c r="I13" s="375"/>
      <c r="J13" s="40"/>
      <c r="K13" s="12" t="s">
        <v>1530</v>
      </c>
      <c r="L13" s="12" t="s">
        <v>1023</v>
      </c>
      <c r="N13" s="3"/>
      <c r="O13" s="28">
        <v>0</v>
      </c>
      <c r="P13" s="28">
        <f t="shared" si="0"/>
        <v>0</v>
      </c>
      <c r="Q13" s="28">
        <f t="shared" si="1"/>
        <v>0</v>
      </c>
      <c r="R13" s="211" t="s">
        <v>2225</v>
      </c>
      <c r="W13"/>
      <c r="X13"/>
      <c r="Y13"/>
      <c r="Z13"/>
      <c r="AA13"/>
    </row>
    <row r="14" spans="1:27" ht="32.4">
      <c r="A14" s="15" t="s">
        <v>470</v>
      </c>
      <c r="B14" s="13" t="s">
        <v>475</v>
      </c>
      <c r="C14" s="13" t="s">
        <v>103</v>
      </c>
      <c r="D14" s="13">
        <v>4</v>
      </c>
      <c r="E14" s="13"/>
      <c r="F14" s="13">
        <v>20210317</v>
      </c>
      <c r="G14" s="13">
        <v>20210517</v>
      </c>
      <c r="H14" s="160" t="s">
        <v>699</v>
      </c>
      <c r="I14" s="374" t="s">
        <v>595</v>
      </c>
      <c r="J14" s="93"/>
      <c r="K14" s="12" t="s">
        <v>1532</v>
      </c>
      <c r="L14" s="12" t="s">
        <v>1023</v>
      </c>
      <c r="O14" s="28">
        <v>0</v>
      </c>
      <c r="P14" s="28">
        <f t="shared" si="0"/>
        <v>0</v>
      </c>
      <c r="Q14" s="28">
        <f t="shared" si="1"/>
        <v>0</v>
      </c>
      <c r="R14" s="211" t="s">
        <v>2225</v>
      </c>
    </row>
    <row r="15" spans="1:27" ht="32.4">
      <c r="A15" s="16" t="s">
        <v>470</v>
      </c>
      <c r="B15" s="1" t="s">
        <v>476</v>
      </c>
      <c r="C15" s="1" t="s">
        <v>103</v>
      </c>
      <c r="D15" s="1">
        <v>3</v>
      </c>
      <c r="F15" s="1">
        <v>20210317</v>
      </c>
      <c r="G15" s="1">
        <v>20210517</v>
      </c>
      <c r="H15" s="159" t="s">
        <v>699</v>
      </c>
      <c r="I15" s="355"/>
      <c r="J15" s="76"/>
      <c r="K15" s="12" t="s">
        <v>1533</v>
      </c>
      <c r="L15" s="12" t="s">
        <v>1023</v>
      </c>
      <c r="O15" s="28">
        <v>0</v>
      </c>
      <c r="P15" s="28">
        <f t="shared" si="0"/>
        <v>0</v>
      </c>
      <c r="Q15" s="28">
        <f t="shared" si="1"/>
        <v>0</v>
      </c>
      <c r="R15" s="211" t="s">
        <v>2225</v>
      </c>
    </row>
    <row r="16" spans="1:27" ht="32.4">
      <c r="A16" s="16" t="s">
        <v>470</v>
      </c>
      <c r="B16" s="1" t="s">
        <v>477</v>
      </c>
      <c r="C16" s="1" t="s">
        <v>103</v>
      </c>
      <c r="D16" s="1">
        <v>3</v>
      </c>
      <c r="F16" s="1">
        <v>20210317</v>
      </c>
      <c r="G16" s="1">
        <v>20210517</v>
      </c>
      <c r="H16" s="159" t="s">
        <v>699</v>
      </c>
      <c r="I16" s="355"/>
      <c r="J16" s="76"/>
      <c r="K16" s="12" t="s">
        <v>1529</v>
      </c>
      <c r="L16" s="12" t="s">
        <v>1023</v>
      </c>
      <c r="O16" s="28">
        <v>0</v>
      </c>
      <c r="P16" s="28">
        <f t="shared" si="0"/>
        <v>0</v>
      </c>
      <c r="Q16" s="28">
        <f t="shared" si="1"/>
        <v>0</v>
      </c>
      <c r="R16" s="211" t="s">
        <v>2225</v>
      </c>
    </row>
    <row r="17" spans="1:19" ht="32.4">
      <c r="A17" s="17" t="s">
        <v>470</v>
      </c>
      <c r="B17" s="14" t="s">
        <v>478</v>
      </c>
      <c r="C17" s="1" t="s">
        <v>103</v>
      </c>
      <c r="D17" s="14">
        <v>1</v>
      </c>
      <c r="E17" s="14"/>
      <c r="F17" s="14">
        <v>20210317</v>
      </c>
      <c r="G17" s="14">
        <v>20210517</v>
      </c>
      <c r="H17" s="161" t="s">
        <v>699</v>
      </c>
      <c r="I17" s="375"/>
      <c r="J17" s="40"/>
      <c r="K17" s="12" t="s">
        <v>1530</v>
      </c>
      <c r="L17" s="12" t="s">
        <v>1023</v>
      </c>
      <c r="O17" s="28">
        <v>0</v>
      </c>
      <c r="P17" s="28">
        <f t="shared" si="0"/>
        <v>0</v>
      </c>
      <c r="Q17" s="28">
        <f t="shared" si="1"/>
        <v>0</v>
      </c>
      <c r="R17" s="211" t="s">
        <v>2225</v>
      </c>
    </row>
    <row r="18" spans="1:19" ht="32.4">
      <c r="A18" s="15" t="s">
        <v>470</v>
      </c>
      <c r="B18" s="13" t="s">
        <v>471</v>
      </c>
      <c r="C18" s="13" t="s">
        <v>103</v>
      </c>
      <c r="D18" s="13">
        <v>3</v>
      </c>
      <c r="E18" s="13"/>
      <c r="F18" s="13">
        <v>20210306</v>
      </c>
      <c r="G18" s="13">
        <v>20210506</v>
      </c>
      <c r="H18" s="160" t="s">
        <v>699</v>
      </c>
      <c r="I18" s="374" t="s">
        <v>595</v>
      </c>
      <c r="J18" s="93"/>
      <c r="K18" s="12" t="s">
        <v>1802</v>
      </c>
      <c r="L18" s="12" t="s">
        <v>1023</v>
      </c>
      <c r="O18" s="28">
        <v>0</v>
      </c>
      <c r="P18" s="28">
        <f t="shared" si="0"/>
        <v>0</v>
      </c>
      <c r="Q18" s="28">
        <f t="shared" si="1"/>
        <v>0</v>
      </c>
      <c r="R18" s="211" t="s">
        <v>2225</v>
      </c>
    </row>
    <row r="19" spans="1:19" ht="32.4">
      <c r="A19" s="16" t="s">
        <v>470</v>
      </c>
      <c r="B19" s="1" t="s">
        <v>472</v>
      </c>
      <c r="C19" s="1" t="s">
        <v>103</v>
      </c>
      <c r="D19" s="1">
        <v>3</v>
      </c>
      <c r="F19" s="1">
        <v>20210306</v>
      </c>
      <c r="G19" s="1">
        <v>20210506</v>
      </c>
      <c r="H19" s="159" t="s">
        <v>699</v>
      </c>
      <c r="I19" s="355"/>
      <c r="J19" s="76"/>
      <c r="K19" s="12" t="s">
        <v>1534</v>
      </c>
      <c r="L19" s="12" t="s">
        <v>1023</v>
      </c>
      <c r="O19" s="28">
        <v>0</v>
      </c>
      <c r="P19" s="28">
        <f t="shared" si="0"/>
        <v>0</v>
      </c>
      <c r="Q19" s="28">
        <f t="shared" si="1"/>
        <v>0</v>
      </c>
      <c r="R19" s="211" t="s">
        <v>2225</v>
      </c>
    </row>
    <row r="20" spans="1:19" ht="32.4">
      <c r="A20" s="16" t="s">
        <v>470</v>
      </c>
      <c r="B20" s="1" t="s">
        <v>473</v>
      </c>
      <c r="C20" s="1" t="s">
        <v>103</v>
      </c>
      <c r="D20" s="1">
        <v>3</v>
      </c>
      <c r="F20" s="1">
        <v>20210306</v>
      </c>
      <c r="G20" s="1">
        <v>20210506</v>
      </c>
      <c r="H20" s="159" t="s">
        <v>699</v>
      </c>
      <c r="I20" s="355"/>
      <c r="J20" s="76"/>
      <c r="K20" s="12" t="s">
        <v>1535</v>
      </c>
      <c r="L20" s="12" t="s">
        <v>1023</v>
      </c>
      <c r="O20" s="28">
        <v>0</v>
      </c>
      <c r="P20" s="28">
        <f t="shared" si="0"/>
        <v>0</v>
      </c>
      <c r="Q20" s="28">
        <f t="shared" si="1"/>
        <v>0</v>
      </c>
      <c r="R20" s="211" t="s">
        <v>2225</v>
      </c>
    </row>
    <row r="21" spans="1:19" ht="32.4">
      <c r="A21" s="17" t="s">
        <v>470</v>
      </c>
      <c r="B21" s="14" t="s">
        <v>474</v>
      </c>
      <c r="C21" s="14" t="s">
        <v>103</v>
      </c>
      <c r="D21" s="14">
        <v>3</v>
      </c>
      <c r="E21" s="14"/>
      <c r="F21" s="14">
        <v>20210306</v>
      </c>
      <c r="G21" s="14">
        <v>20210506</v>
      </c>
      <c r="H21" s="161" t="s">
        <v>699</v>
      </c>
      <c r="I21" s="375"/>
      <c r="J21" s="94"/>
      <c r="K21" s="12" t="s">
        <v>1536</v>
      </c>
      <c r="L21" s="12" t="s">
        <v>1023</v>
      </c>
      <c r="O21" s="28">
        <v>0</v>
      </c>
      <c r="P21" s="28">
        <f t="shared" si="0"/>
        <v>0</v>
      </c>
      <c r="Q21" s="28">
        <f t="shared" si="1"/>
        <v>0</v>
      </c>
      <c r="R21" s="211" t="s">
        <v>2225</v>
      </c>
    </row>
    <row r="22" spans="1:19">
      <c r="D22" s="104">
        <f>SUM(D4:D21)</f>
        <v>157</v>
      </c>
      <c r="E22" s="109">
        <f>ROW()-4</f>
        <v>18</v>
      </c>
      <c r="Q22" s="210">
        <f>SUM(Q4:Q21)</f>
        <v>0</v>
      </c>
    </row>
    <row r="28" spans="1:19" s="1" customFormat="1">
      <c r="A28" s="38"/>
      <c r="B28" s="38" t="s">
        <v>326</v>
      </c>
      <c r="C28" s="38"/>
      <c r="D28" s="38"/>
      <c r="E28" s="38"/>
      <c r="F28" s="38"/>
      <c r="G28" s="38"/>
      <c r="H28" s="164"/>
      <c r="I28" s="38"/>
      <c r="J28" s="38"/>
      <c r="K28" s="38"/>
      <c r="L28" s="38"/>
      <c r="M28" s="61"/>
      <c r="N28" s="38"/>
      <c r="O28" s="49"/>
      <c r="P28" s="49"/>
      <c r="Q28" s="49"/>
      <c r="R28" s="49"/>
      <c r="S28" s="38"/>
    </row>
    <row r="37" spans="15:15">
      <c r="O37" s="74"/>
    </row>
    <row r="40" spans="15:15">
      <c r="O40" s="74"/>
    </row>
    <row r="41" spans="15:15">
      <c r="O41" s="74"/>
    </row>
    <row r="43" spans="15:15">
      <c r="O43" s="74"/>
    </row>
    <row r="44" spans="15:15">
      <c r="O44" s="74"/>
    </row>
    <row r="47" spans="15:15">
      <c r="O47" s="74"/>
    </row>
    <row r="55" spans="15:15">
      <c r="O55" s="1"/>
    </row>
    <row r="58" spans="15:15">
      <c r="O58" s="1"/>
    </row>
    <row r="61" spans="15:15">
      <c r="O61" s="1"/>
    </row>
    <row r="65" spans="15:15">
      <c r="O65" s="1"/>
    </row>
    <row r="67" spans="15:15">
      <c r="O67" s="1"/>
    </row>
    <row r="73" spans="15:15">
      <c r="O73" s="74"/>
    </row>
    <row r="74" spans="15:15">
      <c r="O74" s="74"/>
    </row>
    <row r="75" spans="15:15">
      <c r="O75" s="74"/>
    </row>
    <row r="79" spans="15:15">
      <c r="O79" s="74"/>
    </row>
    <row r="139" spans="13:13">
      <c r="M139" s="12"/>
    </row>
    <row r="178" spans="15:15">
      <c r="O178" s="74"/>
    </row>
    <row r="192" spans="15:15">
      <c r="O192" s="47"/>
    </row>
    <row r="205" spans="15:15">
      <c r="O205" s="74"/>
    </row>
    <row r="221" spans="15:15">
      <c r="O221" s="74"/>
    </row>
    <row r="224" spans="15:15">
      <c r="O224" s="74"/>
    </row>
  </sheetData>
  <autoFilter ref="A3:N3" xr:uid="{00000000-0009-0000-0000-00000D000000}"/>
  <mergeCells count="5">
    <mergeCell ref="A1:J1"/>
    <mergeCell ref="I14:I17"/>
    <mergeCell ref="I18:I21"/>
    <mergeCell ref="B2:J2"/>
    <mergeCell ref="I9:I13"/>
  </mergeCells>
  <phoneticPr fontId="1" type="noConversion"/>
  <conditionalFormatting sqref="A1:S200">
    <cfRule type="expression" dxfId="14" priority="1">
      <formula>CELL("ROW")=ROW()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>
    <tabColor theme="7" tint="0.39997558519241921"/>
  </sheetPr>
  <dimension ref="A1:S139"/>
  <sheetViews>
    <sheetView workbookViewId="0">
      <pane xSplit="1" ySplit="3" topLeftCell="F4" activePane="bottomRight" state="frozen"/>
      <selection activeCell="B33" sqref="B33"/>
      <selection pane="topRight" activeCell="B33" sqref="B33"/>
      <selection pane="bottomLeft" activeCell="B33" sqref="B33"/>
      <selection pane="bottomRight" activeCell="L23" sqref="L23"/>
    </sheetView>
  </sheetViews>
  <sheetFormatPr defaultColWidth="9" defaultRowHeight="16.2"/>
  <cols>
    <col min="1" max="1" width="10.88671875" style="1" bestFit="1" customWidth="1"/>
    <col min="2" max="2" width="21.77734375" style="1" bestFit="1" customWidth="1"/>
    <col min="3" max="3" width="11.44140625" style="1" bestFit="1" customWidth="1"/>
    <col min="4" max="4" width="9" style="1"/>
    <col min="5" max="5" width="12.77734375" style="1" bestFit="1" customWidth="1"/>
    <col min="6" max="7" width="10.44140625" style="1" bestFit="1" customWidth="1"/>
    <col min="8" max="8" width="10.44140625" style="163" customWidth="1"/>
    <col min="9" max="9" width="16.6640625" style="1" bestFit="1" customWidth="1"/>
    <col min="10" max="10" width="17.77734375" style="1" bestFit="1" customWidth="1"/>
    <col min="11" max="11" width="33.88671875" style="1" bestFit="1" customWidth="1"/>
    <col min="12" max="12" width="17.77734375" style="1" customWidth="1"/>
    <col min="13" max="13" width="14" style="1" customWidth="1"/>
    <col min="14" max="14" width="11.6640625" style="1" bestFit="1" customWidth="1"/>
    <col min="15" max="15" width="11.6640625" style="1" customWidth="1"/>
    <col min="16" max="16" width="10.6640625" style="1" bestFit="1" customWidth="1"/>
    <col min="17" max="17" width="9.21875" style="1" bestFit="1" customWidth="1"/>
    <col min="18" max="18" width="13" style="1" bestFit="1" customWidth="1"/>
    <col min="19" max="19" width="9.44140625" style="1" bestFit="1" customWidth="1"/>
    <col min="20" max="20" width="13.6640625" style="1" bestFit="1" customWidth="1"/>
    <col min="21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46</v>
      </c>
      <c r="B4" s="20" t="s">
        <v>175</v>
      </c>
      <c r="C4" s="1" t="s">
        <v>1846</v>
      </c>
      <c r="D4" s="1">
        <v>3</v>
      </c>
      <c r="G4" s="1">
        <v>20200804</v>
      </c>
      <c r="H4" s="159" t="s">
        <v>699</v>
      </c>
      <c r="I4" s="1" t="s">
        <v>70</v>
      </c>
      <c r="J4" s="1" t="s">
        <v>68</v>
      </c>
      <c r="K4" s="12" t="s">
        <v>1537</v>
      </c>
      <c r="L4" s="12" t="s">
        <v>1538</v>
      </c>
      <c r="N4"/>
      <c r="O4" s="28">
        <v>1100</v>
      </c>
      <c r="P4" s="28">
        <f t="shared" ref="P4:P26" si="0">O4*0.75</f>
        <v>825</v>
      </c>
      <c r="Q4" s="28">
        <f t="shared" ref="Q4:Q26" si="1">D4*P4</f>
        <v>2475</v>
      </c>
      <c r="R4" s="28"/>
      <c r="S4" s="28"/>
    </row>
    <row r="5" spans="1:19">
      <c r="A5" s="1" t="s">
        <v>46</v>
      </c>
      <c r="B5" s="20" t="s">
        <v>177</v>
      </c>
      <c r="C5" s="1" t="s">
        <v>1846</v>
      </c>
      <c r="D5" s="1">
        <v>3</v>
      </c>
      <c r="G5" s="1">
        <v>20191003</v>
      </c>
      <c r="H5" s="159" t="s">
        <v>699</v>
      </c>
      <c r="I5" s="1" t="s">
        <v>72</v>
      </c>
      <c r="K5" s="12" t="s">
        <v>1024</v>
      </c>
      <c r="L5" s="12" t="s">
        <v>2230</v>
      </c>
      <c r="O5" s="28">
        <v>0</v>
      </c>
      <c r="P5" s="28">
        <f t="shared" si="0"/>
        <v>0</v>
      </c>
      <c r="Q5" s="28">
        <f t="shared" si="1"/>
        <v>0</v>
      </c>
      <c r="R5" s="205" t="s">
        <v>2211</v>
      </c>
      <c r="S5" s="28"/>
    </row>
    <row r="6" spans="1:19">
      <c r="A6" s="1" t="s">
        <v>46</v>
      </c>
      <c r="B6" s="20" t="s">
        <v>66</v>
      </c>
      <c r="C6" s="1" t="s">
        <v>1846</v>
      </c>
      <c r="D6" s="1">
        <v>6</v>
      </c>
      <c r="G6" s="1">
        <v>20191003</v>
      </c>
      <c r="H6" s="159" t="s">
        <v>699</v>
      </c>
      <c r="I6" s="1" t="s">
        <v>100</v>
      </c>
      <c r="K6" s="12" t="s">
        <v>1024</v>
      </c>
      <c r="L6" s="12" t="s">
        <v>2230</v>
      </c>
      <c r="O6" s="28">
        <v>0</v>
      </c>
      <c r="P6" s="28">
        <f t="shared" si="0"/>
        <v>0</v>
      </c>
      <c r="Q6" s="28">
        <f t="shared" si="1"/>
        <v>0</v>
      </c>
      <c r="R6" s="205" t="s">
        <v>2211</v>
      </c>
      <c r="S6" s="28"/>
    </row>
    <row r="7" spans="1:19">
      <c r="A7" s="1" t="s">
        <v>46</v>
      </c>
      <c r="B7" s="20" t="s">
        <v>67</v>
      </c>
      <c r="C7" s="1" t="s">
        <v>1846</v>
      </c>
      <c r="D7" s="1">
        <v>7</v>
      </c>
      <c r="G7" s="1">
        <v>20191003</v>
      </c>
      <c r="H7" s="159" t="s">
        <v>699</v>
      </c>
      <c r="I7" s="1" t="s">
        <v>100</v>
      </c>
      <c r="K7" s="12" t="s">
        <v>1024</v>
      </c>
      <c r="L7" s="12" t="s">
        <v>2230</v>
      </c>
      <c r="O7" s="28">
        <v>0</v>
      </c>
      <c r="P7" s="28">
        <f t="shared" si="0"/>
        <v>0</v>
      </c>
      <c r="Q7" s="28">
        <f t="shared" si="1"/>
        <v>0</v>
      </c>
      <c r="R7" s="205" t="s">
        <v>2211</v>
      </c>
      <c r="S7" s="28"/>
    </row>
    <row r="8" spans="1:19">
      <c r="A8" s="1" t="s">
        <v>46</v>
      </c>
      <c r="B8" s="20" t="s">
        <v>67</v>
      </c>
      <c r="C8" s="1" t="s">
        <v>1846</v>
      </c>
      <c r="D8" s="1">
        <v>3</v>
      </c>
      <c r="G8" s="1">
        <v>20191003</v>
      </c>
      <c r="H8" s="159" t="s">
        <v>699</v>
      </c>
      <c r="I8" s="1" t="s">
        <v>73</v>
      </c>
      <c r="K8" s="12" t="s">
        <v>1024</v>
      </c>
      <c r="L8" s="12" t="s">
        <v>2230</v>
      </c>
      <c r="O8" s="28">
        <v>0</v>
      </c>
      <c r="P8" s="28">
        <f t="shared" si="0"/>
        <v>0</v>
      </c>
      <c r="Q8" s="28">
        <f t="shared" si="1"/>
        <v>0</v>
      </c>
      <c r="R8" s="205" t="s">
        <v>2211</v>
      </c>
      <c r="S8" s="28"/>
    </row>
    <row r="9" spans="1:19">
      <c r="A9" s="1" t="s">
        <v>46</v>
      </c>
      <c r="B9" s="20" t="s">
        <v>178</v>
      </c>
      <c r="C9" s="1" t="s">
        <v>1846</v>
      </c>
      <c r="D9" s="1">
        <v>3</v>
      </c>
      <c r="G9" s="1">
        <v>20200804</v>
      </c>
      <c r="H9" s="159" t="s">
        <v>699</v>
      </c>
      <c r="K9" s="12" t="s">
        <v>1024</v>
      </c>
      <c r="L9" s="12" t="s">
        <v>2230</v>
      </c>
      <c r="O9" s="28">
        <v>0</v>
      </c>
      <c r="P9" s="28">
        <f t="shared" si="0"/>
        <v>0</v>
      </c>
      <c r="Q9" s="28">
        <f t="shared" si="1"/>
        <v>0</v>
      </c>
      <c r="R9" s="205" t="s">
        <v>2211</v>
      </c>
      <c r="S9" s="28"/>
    </row>
    <row r="10" spans="1:19">
      <c r="A10" s="1" t="s">
        <v>46</v>
      </c>
      <c r="B10" s="20" t="s">
        <v>176</v>
      </c>
      <c r="C10" s="1" t="s">
        <v>1846</v>
      </c>
      <c r="D10" s="1">
        <v>3</v>
      </c>
      <c r="G10" s="1">
        <v>20200309</v>
      </c>
      <c r="H10" s="159" t="s">
        <v>699</v>
      </c>
      <c r="K10" s="12" t="s">
        <v>1024</v>
      </c>
      <c r="L10" s="12" t="s">
        <v>2230</v>
      </c>
      <c r="O10" s="28">
        <v>0</v>
      </c>
      <c r="P10" s="28">
        <f t="shared" si="0"/>
        <v>0</v>
      </c>
      <c r="Q10" s="28">
        <f t="shared" si="1"/>
        <v>0</v>
      </c>
      <c r="R10" s="205" t="s">
        <v>2211</v>
      </c>
      <c r="S10" s="28"/>
    </row>
    <row r="11" spans="1:19" ht="32.4">
      <c r="A11" s="1" t="s">
        <v>46</v>
      </c>
      <c r="B11" s="81" t="s">
        <v>174</v>
      </c>
      <c r="C11" s="11" t="s">
        <v>1846</v>
      </c>
      <c r="D11" s="11">
        <v>2</v>
      </c>
      <c r="E11" s="11" t="s">
        <v>172</v>
      </c>
      <c r="F11" s="11"/>
      <c r="G11" s="11">
        <v>20200804</v>
      </c>
      <c r="H11" s="162" t="s">
        <v>699</v>
      </c>
      <c r="I11" s="11" t="s">
        <v>541</v>
      </c>
      <c r="J11" s="112" t="s">
        <v>71</v>
      </c>
      <c r="K11" s="12" t="s">
        <v>1542</v>
      </c>
      <c r="L11" s="12" t="s">
        <v>1543</v>
      </c>
      <c r="O11" s="28">
        <v>1500</v>
      </c>
      <c r="P11" s="28">
        <f t="shared" si="0"/>
        <v>1125</v>
      </c>
      <c r="Q11" s="28">
        <f t="shared" si="1"/>
        <v>2250</v>
      </c>
      <c r="R11" s="28"/>
      <c r="S11" s="28"/>
    </row>
    <row r="12" spans="1:19">
      <c r="A12" s="1" t="s">
        <v>46</v>
      </c>
      <c r="B12" s="20" t="s">
        <v>45</v>
      </c>
      <c r="C12" s="1" t="s">
        <v>1846</v>
      </c>
      <c r="D12" s="1">
        <v>3</v>
      </c>
      <c r="G12" s="1">
        <v>20200804</v>
      </c>
      <c r="H12" s="159" t="s">
        <v>699</v>
      </c>
      <c r="K12" s="12" t="s">
        <v>1122</v>
      </c>
      <c r="L12" s="12" t="s">
        <v>1544</v>
      </c>
      <c r="O12" s="28">
        <v>5000</v>
      </c>
      <c r="P12" s="28">
        <f t="shared" si="0"/>
        <v>3750</v>
      </c>
      <c r="Q12" s="28">
        <f t="shared" si="1"/>
        <v>11250</v>
      </c>
      <c r="R12" s="28"/>
      <c r="S12" s="28"/>
    </row>
    <row r="13" spans="1:19">
      <c r="A13" s="1" t="s">
        <v>46</v>
      </c>
      <c r="B13" s="20" t="s">
        <v>173</v>
      </c>
      <c r="C13" s="1" t="s">
        <v>1846</v>
      </c>
      <c r="D13" s="1">
        <v>3</v>
      </c>
      <c r="G13" s="1">
        <v>20200804</v>
      </c>
      <c r="H13" s="159" t="s">
        <v>699</v>
      </c>
      <c r="K13" s="12" t="s">
        <v>1540</v>
      </c>
      <c r="L13" s="12" t="s">
        <v>1541</v>
      </c>
      <c r="O13" s="28">
        <v>2000</v>
      </c>
      <c r="P13" s="28">
        <f t="shared" si="0"/>
        <v>1500</v>
      </c>
      <c r="Q13" s="28">
        <f t="shared" si="1"/>
        <v>4500</v>
      </c>
      <c r="R13" s="28"/>
      <c r="S13" s="28"/>
    </row>
    <row r="14" spans="1:19">
      <c r="A14" s="1" t="s">
        <v>46</v>
      </c>
      <c r="B14" s="1" t="s">
        <v>412</v>
      </c>
      <c r="C14" s="1" t="s">
        <v>1846</v>
      </c>
      <c r="D14" s="4">
        <v>2</v>
      </c>
      <c r="F14" s="1">
        <v>20201002</v>
      </c>
      <c r="G14" s="1">
        <v>20201202</v>
      </c>
      <c r="H14" s="159" t="s">
        <v>699</v>
      </c>
      <c r="K14" s="12" t="s">
        <v>1539</v>
      </c>
      <c r="L14" s="12" t="s">
        <v>2230</v>
      </c>
      <c r="O14" s="28">
        <v>0</v>
      </c>
      <c r="P14" s="28">
        <f t="shared" si="0"/>
        <v>0</v>
      </c>
      <c r="Q14" s="28">
        <f t="shared" si="1"/>
        <v>0</v>
      </c>
      <c r="R14" s="205" t="s">
        <v>2211</v>
      </c>
    </row>
    <row r="15" spans="1:19">
      <c r="A15" s="1" t="s">
        <v>46</v>
      </c>
      <c r="B15" s="135" t="s">
        <v>101</v>
      </c>
      <c r="C15" s="1" t="s">
        <v>1847</v>
      </c>
      <c r="D15" s="1">
        <v>5</v>
      </c>
      <c r="G15" s="1">
        <v>20200318</v>
      </c>
      <c r="H15" s="159" t="s">
        <v>699</v>
      </c>
      <c r="I15" s="1" t="s">
        <v>834</v>
      </c>
      <c r="K15" s="12" t="s">
        <v>1552</v>
      </c>
      <c r="L15" s="12" t="s">
        <v>1553</v>
      </c>
      <c r="O15" s="28">
        <v>12000</v>
      </c>
      <c r="P15" s="28">
        <f t="shared" si="0"/>
        <v>9000</v>
      </c>
      <c r="Q15" s="28">
        <f t="shared" si="1"/>
        <v>45000</v>
      </c>
      <c r="R15" s="28"/>
      <c r="S15" s="28"/>
    </row>
    <row r="16" spans="1:19">
      <c r="A16" s="1" t="s">
        <v>46</v>
      </c>
      <c r="B16" s="133" t="s">
        <v>179</v>
      </c>
      <c r="C16" s="1" t="s">
        <v>1847</v>
      </c>
      <c r="D16" s="1">
        <v>5</v>
      </c>
      <c r="G16" s="1">
        <v>20200319</v>
      </c>
      <c r="H16" s="159" t="s">
        <v>699</v>
      </c>
      <c r="I16" s="1" t="s">
        <v>102</v>
      </c>
      <c r="K16" s="12" t="s">
        <v>1552</v>
      </c>
      <c r="L16" s="12" t="s">
        <v>1553</v>
      </c>
      <c r="O16" s="28">
        <v>12000</v>
      </c>
      <c r="P16" s="28">
        <f t="shared" si="0"/>
        <v>9000</v>
      </c>
      <c r="Q16" s="28">
        <f t="shared" si="1"/>
        <v>45000</v>
      </c>
      <c r="R16" s="28"/>
      <c r="S16" s="28"/>
    </row>
    <row r="17" spans="1:19">
      <c r="A17" s="1" t="s">
        <v>46</v>
      </c>
      <c r="B17" s="1" t="s">
        <v>786</v>
      </c>
      <c r="C17" s="1" t="s">
        <v>1847</v>
      </c>
      <c r="D17" s="1">
        <v>5</v>
      </c>
      <c r="F17" s="1">
        <v>20221007</v>
      </c>
      <c r="G17" s="1">
        <v>20221125</v>
      </c>
      <c r="H17" s="159" t="s">
        <v>699</v>
      </c>
      <c r="K17" s="12" t="s">
        <v>1554</v>
      </c>
      <c r="L17" s="191" t="s">
        <v>2228</v>
      </c>
      <c r="M17" s="1" t="s">
        <v>787</v>
      </c>
      <c r="O17" s="28">
        <v>2500</v>
      </c>
      <c r="P17" s="28">
        <f t="shared" si="0"/>
        <v>1875</v>
      </c>
      <c r="Q17" s="28">
        <f t="shared" si="1"/>
        <v>9375</v>
      </c>
    </row>
    <row r="18" spans="1:19">
      <c r="A18" s="1" t="s">
        <v>46</v>
      </c>
      <c r="B18" s="1" t="s">
        <v>814</v>
      </c>
      <c r="C18" s="1" t="s">
        <v>1847</v>
      </c>
      <c r="D18" s="1">
        <v>2</v>
      </c>
      <c r="F18" s="1">
        <v>20221021</v>
      </c>
      <c r="G18" s="1">
        <v>20221221</v>
      </c>
      <c r="H18" s="159" t="s">
        <v>699</v>
      </c>
      <c r="K18" s="12" t="s">
        <v>2231</v>
      </c>
      <c r="L18" s="191" t="s">
        <v>2232</v>
      </c>
      <c r="M18" s="1" t="s">
        <v>815</v>
      </c>
      <c r="O18" s="28">
        <v>2500</v>
      </c>
      <c r="P18" s="28">
        <f t="shared" si="0"/>
        <v>1875</v>
      </c>
      <c r="Q18" s="28">
        <f t="shared" si="1"/>
        <v>3750</v>
      </c>
    </row>
    <row r="19" spans="1:19">
      <c r="A19" s="1" t="s">
        <v>46</v>
      </c>
      <c r="B19" s="1" t="s">
        <v>835</v>
      </c>
      <c r="C19" s="1" t="s">
        <v>1847</v>
      </c>
      <c r="D19" s="1">
        <v>2</v>
      </c>
      <c r="F19" s="1">
        <v>20221118</v>
      </c>
      <c r="G19" s="1">
        <v>20230118</v>
      </c>
      <c r="H19" s="159" t="s">
        <v>699</v>
      </c>
      <c r="K19" s="12" t="s">
        <v>835</v>
      </c>
      <c r="L19" s="145" t="s">
        <v>2234</v>
      </c>
      <c r="M19" s="1" t="s">
        <v>837</v>
      </c>
      <c r="O19" s="28">
        <v>6000</v>
      </c>
      <c r="P19" s="28">
        <f t="shared" si="0"/>
        <v>4500</v>
      </c>
      <c r="Q19" s="28">
        <f t="shared" si="1"/>
        <v>9000</v>
      </c>
    </row>
    <row r="20" spans="1:19">
      <c r="A20" s="1" t="s">
        <v>46</v>
      </c>
      <c r="B20" s="1" t="s">
        <v>836</v>
      </c>
      <c r="C20" s="1" t="s">
        <v>1847</v>
      </c>
      <c r="D20" s="1">
        <v>1</v>
      </c>
      <c r="F20" s="1">
        <v>20221118</v>
      </c>
      <c r="G20" s="1">
        <v>20230118</v>
      </c>
      <c r="H20" s="159" t="s">
        <v>699</v>
      </c>
      <c r="K20" s="12" t="s">
        <v>836</v>
      </c>
      <c r="L20" s="145" t="s">
        <v>2233</v>
      </c>
      <c r="M20" s="1" t="s">
        <v>838</v>
      </c>
      <c r="O20" s="28">
        <v>6000</v>
      </c>
      <c r="P20" s="28">
        <f t="shared" si="0"/>
        <v>4500</v>
      </c>
      <c r="Q20" s="28">
        <f t="shared" si="1"/>
        <v>4500</v>
      </c>
    </row>
    <row r="21" spans="1:19">
      <c r="A21" s="1" t="s">
        <v>46</v>
      </c>
      <c r="B21" s="12" t="s">
        <v>427</v>
      </c>
      <c r="C21" s="1" t="s">
        <v>1847</v>
      </c>
      <c r="D21" s="1">
        <v>2</v>
      </c>
      <c r="F21" s="1">
        <v>20201118</v>
      </c>
      <c r="G21" s="1">
        <v>20210118</v>
      </c>
      <c r="H21" s="159" t="s">
        <v>699</v>
      </c>
      <c r="K21" s="12" t="s">
        <v>1545</v>
      </c>
      <c r="L21" s="12" t="s">
        <v>1546</v>
      </c>
      <c r="O21" s="28">
        <v>2200</v>
      </c>
      <c r="P21" s="28">
        <f t="shared" si="0"/>
        <v>1650</v>
      </c>
      <c r="Q21" s="28">
        <f t="shared" si="1"/>
        <v>3300</v>
      </c>
      <c r="R21" s="28"/>
      <c r="S21" s="28"/>
    </row>
    <row r="22" spans="1:19">
      <c r="A22" s="1" t="s">
        <v>46</v>
      </c>
      <c r="B22" s="12" t="s">
        <v>426</v>
      </c>
      <c r="C22" s="1" t="s">
        <v>1847</v>
      </c>
      <c r="D22" s="1">
        <v>4</v>
      </c>
      <c r="F22" s="1">
        <v>20201118</v>
      </c>
      <c r="G22" s="1">
        <v>20210118</v>
      </c>
      <c r="H22" s="159" t="s">
        <v>699</v>
      </c>
      <c r="K22" s="12" t="s">
        <v>1545</v>
      </c>
      <c r="L22" s="12" t="s">
        <v>1546</v>
      </c>
      <c r="O22" s="28">
        <v>2200</v>
      </c>
      <c r="P22" s="28">
        <f t="shared" si="0"/>
        <v>1650</v>
      </c>
      <c r="Q22" s="28">
        <f t="shared" si="1"/>
        <v>6600</v>
      </c>
      <c r="R22" s="28"/>
      <c r="S22" s="28"/>
    </row>
    <row r="23" spans="1:19">
      <c r="A23" s="1" t="s">
        <v>46</v>
      </c>
      <c r="B23" s="12" t="s">
        <v>496</v>
      </c>
      <c r="C23" s="1" t="s">
        <v>1847</v>
      </c>
      <c r="D23" s="1">
        <v>2</v>
      </c>
      <c r="F23" s="1">
        <v>20210520</v>
      </c>
      <c r="G23" s="1">
        <v>20210720</v>
      </c>
      <c r="H23" s="159" t="s">
        <v>699</v>
      </c>
      <c r="K23" s="1" t="s">
        <v>2229</v>
      </c>
      <c r="L23" s="12" t="s">
        <v>1547</v>
      </c>
      <c r="O23" s="28">
        <v>18000</v>
      </c>
      <c r="P23" s="28">
        <f t="shared" si="0"/>
        <v>13500</v>
      </c>
      <c r="Q23" s="28">
        <f t="shared" si="1"/>
        <v>27000</v>
      </c>
      <c r="R23" s="28"/>
      <c r="S23" s="28"/>
    </row>
    <row r="24" spans="1:19">
      <c r="A24" s="1" t="s">
        <v>46</v>
      </c>
      <c r="B24" s="12" t="s">
        <v>428</v>
      </c>
      <c r="C24" s="1" t="s">
        <v>1847</v>
      </c>
      <c r="D24" s="1">
        <v>1</v>
      </c>
      <c r="F24" s="1">
        <v>20201201</v>
      </c>
      <c r="G24" s="1">
        <v>20210201</v>
      </c>
      <c r="H24" s="159" t="s">
        <v>699</v>
      </c>
      <c r="K24" s="12" t="s">
        <v>1024</v>
      </c>
      <c r="L24" s="12" t="s">
        <v>1548</v>
      </c>
      <c r="O24" s="28">
        <v>4800</v>
      </c>
      <c r="P24" s="28">
        <f t="shared" si="0"/>
        <v>3600</v>
      </c>
      <c r="Q24" s="28">
        <f t="shared" si="1"/>
        <v>3600</v>
      </c>
      <c r="R24" s="28"/>
      <c r="S24" s="28"/>
    </row>
    <row r="25" spans="1:19">
      <c r="A25" s="1" t="s">
        <v>46</v>
      </c>
      <c r="B25" s="12" t="s">
        <v>429</v>
      </c>
      <c r="C25" s="1" t="s">
        <v>1847</v>
      </c>
      <c r="D25" s="1">
        <v>1</v>
      </c>
      <c r="F25" s="1">
        <v>20201201</v>
      </c>
      <c r="G25" s="1">
        <v>20210201</v>
      </c>
      <c r="H25" s="159" t="s">
        <v>699</v>
      </c>
      <c r="K25" s="12" t="s">
        <v>1549</v>
      </c>
      <c r="L25" s="12" t="s">
        <v>1550</v>
      </c>
      <c r="O25" s="28">
        <v>8800</v>
      </c>
      <c r="P25" s="28">
        <f t="shared" si="0"/>
        <v>6600</v>
      </c>
      <c r="Q25" s="28">
        <f t="shared" si="1"/>
        <v>6600</v>
      </c>
      <c r="R25" s="28"/>
      <c r="S25" s="28"/>
    </row>
    <row r="26" spans="1:19">
      <c r="A26" s="1" t="s">
        <v>46</v>
      </c>
      <c r="B26" s="12" t="s">
        <v>430</v>
      </c>
      <c r="C26" s="1" t="s">
        <v>1847</v>
      </c>
      <c r="D26" s="1">
        <v>1</v>
      </c>
      <c r="F26" s="1">
        <v>20201201</v>
      </c>
      <c r="G26" s="1">
        <v>20210201</v>
      </c>
      <c r="H26" s="159" t="s">
        <v>699</v>
      </c>
      <c r="K26" s="12" t="s">
        <v>1024</v>
      </c>
      <c r="L26" s="12" t="s">
        <v>1551</v>
      </c>
      <c r="O26" s="28">
        <v>5000</v>
      </c>
      <c r="P26" s="28">
        <f t="shared" si="0"/>
        <v>3750</v>
      </c>
      <c r="Q26" s="28">
        <f t="shared" si="1"/>
        <v>3750</v>
      </c>
    </row>
    <row r="27" spans="1:19">
      <c r="D27" s="104">
        <f>SUM(D4:D26)</f>
        <v>69</v>
      </c>
      <c r="E27" s="109">
        <f>ROW()-4</f>
        <v>23</v>
      </c>
      <c r="O27" s="28"/>
      <c r="Q27" s="28">
        <f>SUM(Q4:Q26)</f>
        <v>187950</v>
      </c>
    </row>
    <row r="28" spans="1:19">
      <c r="D28" s="171"/>
      <c r="E28" s="171"/>
      <c r="O28" s="28"/>
      <c r="Q28" s="31"/>
    </row>
    <row r="29" spans="1:19">
      <c r="D29" s="171"/>
      <c r="E29" s="171"/>
      <c r="O29" s="28"/>
      <c r="Q29" s="31"/>
    </row>
    <row r="30" spans="1:19">
      <c r="D30" s="171"/>
      <c r="E30" s="171"/>
      <c r="O30" s="28"/>
      <c r="Q30" s="31"/>
    </row>
    <row r="32" spans="1:19">
      <c r="A32" s="38"/>
      <c r="B32" s="38" t="s">
        <v>264</v>
      </c>
      <c r="C32" s="38"/>
      <c r="D32" s="38"/>
      <c r="E32" s="38"/>
      <c r="F32" s="38"/>
      <c r="G32" s="38"/>
      <c r="H32" s="164"/>
      <c r="I32" s="38"/>
      <c r="J32" s="47"/>
      <c r="K32" s="47"/>
      <c r="L32" s="47"/>
      <c r="M32" s="61"/>
      <c r="N32" s="38"/>
      <c r="O32" s="38"/>
      <c r="P32" s="38"/>
      <c r="Q32" s="38"/>
    </row>
    <row r="139" spans="13:13">
      <c r="M139" s="12"/>
    </row>
  </sheetData>
  <autoFilter ref="A3:N3" xr:uid="{00000000-0009-0000-0000-00000E000000}"/>
  <mergeCells count="2">
    <mergeCell ref="A1:J1"/>
    <mergeCell ref="B2:J2"/>
  </mergeCells>
  <phoneticPr fontId="1" type="noConversion"/>
  <conditionalFormatting sqref="A1:S193">
    <cfRule type="expression" dxfId="13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>
    <tabColor theme="2" tint="-0.249977111117893"/>
  </sheetPr>
  <dimension ref="A1:S139"/>
  <sheetViews>
    <sheetView tabSelected="1"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E11" sqref="E11"/>
    </sheetView>
  </sheetViews>
  <sheetFormatPr defaultColWidth="9" defaultRowHeight="16.2"/>
  <cols>
    <col min="1" max="1" width="11.6640625" style="1" customWidth="1"/>
    <col min="2" max="2" width="16.44140625" style="1" bestFit="1" customWidth="1"/>
    <col min="3" max="3" width="14.88671875" style="1" bestFit="1" customWidth="1"/>
    <col min="4" max="5" width="9" style="1"/>
    <col min="6" max="7" width="10.44140625" style="1" bestFit="1" customWidth="1"/>
    <col min="8" max="8" width="10.44140625" style="163" customWidth="1"/>
    <col min="9" max="9" width="10.44140625" style="1" customWidth="1"/>
    <col min="10" max="10" width="17.88671875" style="1" bestFit="1" customWidth="1"/>
    <col min="11" max="11" width="25.109375" style="1" bestFit="1" customWidth="1"/>
    <col min="12" max="12" width="17.88671875" style="1" customWidth="1"/>
    <col min="13" max="13" width="14" style="1" customWidth="1"/>
    <col min="14" max="15" width="9" style="1"/>
    <col min="16" max="16" width="10.6640625" style="1" bestFit="1" customWidth="1"/>
    <col min="17" max="18" width="9" style="1"/>
    <col min="19" max="19" width="13.6640625" style="1" bestFit="1" customWidth="1"/>
    <col min="20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2223</v>
      </c>
      <c r="Q3" s="29" t="s">
        <v>646</v>
      </c>
      <c r="R3" s="29"/>
      <c r="S3" s="29"/>
    </row>
    <row r="4" spans="1:19">
      <c r="A4" s="1" t="s">
        <v>52</v>
      </c>
      <c r="B4" s="1" t="s">
        <v>165</v>
      </c>
      <c r="C4" s="1" t="s">
        <v>5</v>
      </c>
      <c r="D4" s="1">
        <v>1</v>
      </c>
      <c r="G4" s="1">
        <v>20200319</v>
      </c>
      <c r="H4" s="159" t="s">
        <v>699</v>
      </c>
      <c r="J4" s="7"/>
      <c r="K4" s="12" t="s">
        <v>1641</v>
      </c>
      <c r="L4" s="12" t="s">
        <v>1642</v>
      </c>
      <c r="O4" s="28">
        <v>2183</v>
      </c>
      <c r="P4" s="28">
        <f>O4*0.75</f>
        <v>1637.25</v>
      </c>
      <c r="Q4" s="28">
        <f>D4*P4</f>
        <v>1637.25</v>
      </c>
      <c r="R4" s="28"/>
    </row>
    <row r="5" spans="1:19">
      <c r="A5" s="1" t="s">
        <v>52</v>
      </c>
      <c r="B5" s="1" t="s">
        <v>142</v>
      </c>
      <c r="C5" s="1" t="s">
        <v>5</v>
      </c>
      <c r="D5" s="1">
        <v>1</v>
      </c>
      <c r="G5" s="1">
        <v>20200319</v>
      </c>
      <c r="H5" s="159" t="s">
        <v>699</v>
      </c>
      <c r="K5" s="12" t="s">
        <v>1559</v>
      </c>
      <c r="L5" s="12" t="s">
        <v>1560</v>
      </c>
      <c r="O5" s="28">
        <v>2592</v>
      </c>
      <c r="P5" s="28">
        <f t="shared" ref="P5:P15" si="0">O5*0.75</f>
        <v>1944</v>
      </c>
      <c r="Q5" s="28">
        <f t="shared" ref="Q5:Q15" si="1">D5*P5</f>
        <v>1944</v>
      </c>
      <c r="R5" s="28"/>
    </row>
    <row r="6" spans="1:19">
      <c r="A6" s="1" t="s">
        <v>52</v>
      </c>
      <c r="B6" s="1" t="s">
        <v>163</v>
      </c>
      <c r="C6" s="1" t="s">
        <v>0</v>
      </c>
      <c r="D6" s="1">
        <v>1</v>
      </c>
      <c r="G6" s="1">
        <v>20201119</v>
      </c>
      <c r="H6" s="159" t="s">
        <v>699</v>
      </c>
      <c r="J6" s="7"/>
      <c r="K6" s="12" t="s">
        <v>1555</v>
      </c>
      <c r="L6" s="12" t="s">
        <v>1785</v>
      </c>
      <c r="O6" s="28">
        <v>2430</v>
      </c>
      <c r="P6" s="28">
        <f t="shared" si="0"/>
        <v>1822.5</v>
      </c>
      <c r="Q6" s="28">
        <f t="shared" si="1"/>
        <v>1822.5</v>
      </c>
      <c r="R6" s="28"/>
    </row>
    <row r="7" spans="1:19">
      <c r="A7" s="1" t="s">
        <v>52</v>
      </c>
      <c r="B7" s="1" t="s">
        <v>168</v>
      </c>
      <c r="C7" s="1" t="s">
        <v>0</v>
      </c>
      <c r="D7" s="1">
        <v>1</v>
      </c>
      <c r="G7" s="1">
        <v>20201119</v>
      </c>
      <c r="H7" s="159" t="s">
        <v>699</v>
      </c>
      <c r="J7" s="7"/>
      <c r="K7" s="12" t="s">
        <v>1556</v>
      </c>
      <c r="L7" s="12" t="s">
        <v>2045</v>
      </c>
      <c r="O7" s="28">
        <v>2430</v>
      </c>
      <c r="P7" s="28">
        <f t="shared" si="0"/>
        <v>1822.5</v>
      </c>
      <c r="Q7" s="28">
        <f t="shared" si="1"/>
        <v>1822.5</v>
      </c>
      <c r="R7" s="28"/>
    </row>
    <row r="8" spans="1:19">
      <c r="A8" s="1" t="s">
        <v>52</v>
      </c>
      <c r="B8" s="1" t="s">
        <v>167</v>
      </c>
      <c r="C8" s="1" t="s">
        <v>0</v>
      </c>
      <c r="D8" s="1">
        <v>1</v>
      </c>
      <c r="G8" s="1">
        <v>20200319</v>
      </c>
      <c r="H8" s="159" t="s">
        <v>699</v>
      </c>
      <c r="J8" s="7"/>
      <c r="K8" s="12" t="s">
        <v>1637</v>
      </c>
      <c r="L8" s="12" t="s">
        <v>1643</v>
      </c>
      <c r="O8" s="28">
        <v>2088</v>
      </c>
      <c r="P8" s="28">
        <f t="shared" si="0"/>
        <v>1566</v>
      </c>
      <c r="Q8" s="28">
        <f t="shared" si="1"/>
        <v>1566</v>
      </c>
      <c r="R8" s="28"/>
    </row>
    <row r="9" spans="1:19">
      <c r="A9" s="1" t="s">
        <v>52</v>
      </c>
      <c r="B9" s="1" t="s">
        <v>849</v>
      </c>
      <c r="C9" s="1" t="s">
        <v>0</v>
      </c>
      <c r="D9" s="1">
        <v>1</v>
      </c>
      <c r="G9" s="1">
        <v>20200319</v>
      </c>
      <c r="H9" s="159" t="s">
        <v>699</v>
      </c>
      <c r="J9" s="7"/>
      <c r="K9" s="12" t="s">
        <v>1557</v>
      </c>
      <c r="L9" s="12" t="s">
        <v>2046</v>
      </c>
      <c r="O9" s="28">
        <v>2241</v>
      </c>
      <c r="P9" s="28">
        <f t="shared" si="0"/>
        <v>1680.75</v>
      </c>
      <c r="Q9" s="28">
        <f t="shared" si="1"/>
        <v>1680.75</v>
      </c>
      <c r="R9" s="28"/>
    </row>
    <row r="10" spans="1:19">
      <c r="A10" s="1" t="s">
        <v>52</v>
      </c>
      <c r="B10" s="1" t="s">
        <v>164</v>
      </c>
      <c r="C10" s="1" t="s">
        <v>0</v>
      </c>
      <c r="D10" s="1">
        <v>1</v>
      </c>
      <c r="G10" s="1">
        <v>20200319</v>
      </c>
      <c r="H10" s="159" t="s">
        <v>699</v>
      </c>
      <c r="J10" s="7"/>
      <c r="K10" s="12" t="s">
        <v>1637</v>
      </c>
      <c r="L10" s="12" t="s">
        <v>1638</v>
      </c>
      <c r="O10" s="28">
        <v>2520</v>
      </c>
      <c r="P10" s="28">
        <f t="shared" si="0"/>
        <v>1890</v>
      </c>
      <c r="Q10" s="28">
        <f t="shared" si="1"/>
        <v>1890</v>
      </c>
      <c r="R10" s="28"/>
    </row>
    <row r="11" spans="1:19">
      <c r="A11" s="1" t="s">
        <v>52</v>
      </c>
      <c r="B11" s="1" t="s">
        <v>166</v>
      </c>
      <c r="C11" s="1" t="s">
        <v>0</v>
      </c>
      <c r="D11" s="1">
        <v>1</v>
      </c>
      <c r="G11" s="1">
        <v>20200319</v>
      </c>
      <c r="H11" s="159" t="s">
        <v>699</v>
      </c>
      <c r="J11" s="7"/>
      <c r="K11" s="12" t="s">
        <v>1639</v>
      </c>
      <c r="L11" s="12" t="s">
        <v>1640</v>
      </c>
      <c r="O11" s="28">
        <v>2295</v>
      </c>
      <c r="P11" s="28">
        <f t="shared" si="0"/>
        <v>1721.25</v>
      </c>
      <c r="Q11" s="28">
        <f t="shared" si="1"/>
        <v>1721.25</v>
      </c>
      <c r="R11" s="28"/>
    </row>
    <row r="12" spans="1:19">
      <c r="A12" s="1" t="s">
        <v>52</v>
      </c>
      <c r="B12" s="1" t="s">
        <v>162</v>
      </c>
      <c r="C12" s="1" t="s">
        <v>0</v>
      </c>
      <c r="D12" s="1">
        <v>1</v>
      </c>
      <c r="G12" s="1">
        <v>20200319</v>
      </c>
      <c r="H12" s="159" t="s">
        <v>699</v>
      </c>
      <c r="J12" s="7"/>
      <c r="K12" s="12" t="s">
        <v>1558</v>
      </c>
      <c r="L12" s="12" t="s">
        <v>1786</v>
      </c>
      <c r="O12" s="28">
        <v>2538</v>
      </c>
      <c r="P12" s="28">
        <f t="shared" si="0"/>
        <v>1903.5</v>
      </c>
      <c r="Q12" s="28">
        <f t="shared" si="1"/>
        <v>1903.5</v>
      </c>
      <c r="R12" s="28"/>
    </row>
    <row r="13" spans="1:19">
      <c r="A13" s="1" t="s">
        <v>52</v>
      </c>
      <c r="B13" s="1" t="s">
        <v>169</v>
      </c>
      <c r="C13" s="1" t="s">
        <v>0</v>
      </c>
      <c r="D13" s="1">
        <v>1</v>
      </c>
      <c r="G13" s="1">
        <v>20200319</v>
      </c>
      <c r="H13" s="159" t="s">
        <v>699</v>
      </c>
      <c r="I13" s="1" t="s">
        <v>1787</v>
      </c>
      <c r="J13" s="7"/>
      <c r="K13" s="12" t="s">
        <v>1030</v>
      </c>
      <c r="L13" s="12" t="s">
        <v>1561</v>
      </c>
      <c r="O13" s="28">
        <v>2538</v>
      </c>
      <c r="P13" s="28">
        <f t="shared" si="0"/>
        <v>1903.5</v>
      </c>
      <c r="Q13" s="28">
        <f t="shared" si="1"/>
        <v>1903.5</v>
      </c>
      <c r="R13" s="28"/>
    </row>
    <row r="14" spans="1:19">
      <c r="A14" s="1" t="s">
        <v>52</v>
      </c>
      <c r="B14" s="1" t="s">
        <v>143</v>
      </c>
      <c r="C14" s="1" t="s">
        <v>0</v>
      </c>
      <c r="D14" s="1">
        <v>1</v>
      </c>
      <c r="G14" s="1">
        <v>20200319</v>
      </c>
      <c r="H14" s="159" t="s">
        <v>699</v>
      </c>
      <c r="I14" s="1" t="s">
        <v>1787</v>
      </c>
      <c r="J14" s="7"/>
      <c r="K14" s="12" t="s">
        <v>1562</v>
      </c>
      <c r="L14" s="12" t="s">
        <v>2109</v>
      </c>
      <c r="O14" s="28">
        <v>2295</v>
      </c>
      <c r="P14" s="28">
        <f t="shared" si="0"/>
        <v>1721.25</v>
      </c>
      <c r="Q14" s="28">
        <f t="shared" si="1"/>
        <v>1721.25</v>
      </c>
      <c r="R14" s="28"/>
    </row>
    <row r="15" spans="1:19">
      <c r="A15" s="1" t="s">
        <v>52</v>
      </c>
      <c r="B15" s="1" t="s">
        <v>23</v>
      </c>
      <c r="C15" s="1" t="s">
        <v>0</v>
      </c>
      <c r="D15" s="1">
        <v>1</v>
      </c>
      <c r="G15" s="1">
        <v>20200319</v>
      </c>
      <c r="H15" s="159" t="s">
        <v>699</v>
      </c>
      <c r="I15" s="1" t="s">
        <v>1787</v>
      </c>
      <c r="J15" s="7"/>
      <c r="K15" s="12" t="s">
        <v>1563</v>
      </c>
      <c r="L15" s="12" t="s">
        <v>2108</v>
      </c>
      <c r="O15" s="28">
        <v>4140</v>
      </c>
      <c r="P15" s="28">
        <f t="shared" si="0"/>
        <v>3105</v>
      </c>
      <c r="Q15" s="28">
        <f t="shared" si="1"/>
        <v>3105</v>
      </c>
      <c r="R15" s="28"/>
    </row>
    <row r="16" spans="1:19">
      <c r="D16" s="104">
        <f>SUM(D6:D15)</f>
        <v>10</v>
      </c>
      <c r="E16" s="109">
        <f>ROW()-4</f>
        <v>12</v>
      </c>
      <c r="Q16" s="31">
        <f>SUM(Q4:Q15)</f>
        <v>22717.5</v>
      </c>
      <c r="R16" s="31"/>
    </row>
    <row r="21" spans="1:17">
      <c r="A21" s="38"/>
      <c r="B21" s="38" t="s">
        <v>264</v>
      </c>
      <c r="C21" s="38"/>
      <c r="D21" s="38"/>
      <c r="E21" s="38"/>
      <c r="F21" s="38"/>
      <c r="G21" s="38"/>
      <c r="H21" s="164"/>
      <c r="I21" s="38"/>
      <c r="J21" s="47"/>
      <c r="K21" s="47"/>
      <c r="L21" s="47"/>
      <c r="M21" s="61"/>
      <c r="N21" s="38"/>
      <c r="O21" s="38"/>
      <c r="P21" s="38"/>
      <c r="Q21" s="38"/>
    </row>
    <row r="139" spans="13:13">
      <c r="M139" s="12"/>
    </row>
  </sheetData>
  <autoFilter ref="A3:N3" xr:uid="{00000000-0009-0000-0000-00000F000000}"/>
  <mergeCells count="2">
    <mergeCell ref="A1:J1"/>
    <mergeCell ref="B2:J2"/>
  </mergeCells>
  <phoneticPr fontId="1" type="noConversion"/>
  <conditionalFormatting sqref="A1:R196">
    <cfRule type="expression" dxfId="12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>
    <tabColor theme="3" tint="0.39997558519241921"/>
  </sheetPr>
  <dimension ref="A1:S143"/>
  <sheetViews>
    <sheetView workbookViewId="0">
      <pane ySplit="3" topLeftCell="A4" activePane="bottomLeft" state="frozen"/>
      <selection pane="bottomLeft" activeCell="Q11" sqref="Q11"/>
    </sheetView>
  </sheetViews>
  <sheetFormatPr defaultColWidth="9" defaultRowHeight="16.2"/>
  <cols>
    <col min="1" max="1" width="11.6640625" style="1" bestFit="1" customWidth="1"/>
    <col min="2" max="2" width="10.109375" style="1" bestFit="1" customWidth="1"/>
    <col min="3" max="3" width="10.44140625" style="1" bestFit="1" customWidth="1"/>
    <col min="4" max="4" width="9" style="1"/>
    <col min="5" max="5" width="8.44140625" style="1" customWidth="1"/>
    <col min="6" max="6" width="10.44140625" style="1" bestFit="1" customWidth="1"/>
    <col min="7" max="7" width="12.33203125" style="1" bestFit="1" customWidth="1"/>
    <col min="8" max="8" width="12.33203125" style="163" customWidth="1"/>
    <col min="9" max="9" width="9" style="1"/>
    <col min="10" max="10" width="17.88671875" style="1" bestFit="1" customWidth="1"/>
    <col min="11" max="12" width="17.88671875" style="1" customWidth="1"/>
    <col min="13" max="13" width="14" style="1" customWidth="1"/>
    <col min="14" max="14" width="9" style="1"/>
    <col min="15" max="15" width="12.44140625" style="28" customWidth="1"/>
    <col min="16" max="16" width="10.6640625" style="28" bestFit="1" customWidth="1"/>
    <col min="17" max="17" width="10.44140625" style="28" customWidth="1"/>
    <col min="18" max="18" width="9.33203125" style="28" customWidth="1"/>
    <col min="19" max="19" width="13.6640625" style="1" bestFit="1" customWidth="1"/>
    <col min="20" max="20" width="6" style="1" bestFit="1" customWidth="1"/>
    <col min="21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85</v>
      </c>
      <c r="B4" s="2" t="s">
        <v>189</v>
      </c>
      <c r="C4" s="1" t="s">
        <v>1844</v>
      </c>
      <c r="D4" s="1">
        <v>1</v>
      </c>
      <c r="G4" s="1">
        <v>20200504</v>
      </c>
      <c r="H4" s="159" t="s">
        <v>699</v>
      </c>
      <c r="J4" s="409" t="s">
        <v>1893</v>
      </c>
      <c r="K4" s="12" t="s">
        <v>1024</v>
      </c>
      <c r="L4" s="12" t="s">
        <v>1564</v>
      </c>
      <c r="N4" s="4"/>
      <c r="O4" s="28">
        <v>780</v>
      </c>
      <c r="P4" s="29">
        <f>0.75*O4</f>
        <v>585</v>
      </c>
      <c r="Q4" s="29">
        <f>D4*P4</f>
        <v>585</v>
      </c>
      <c r="R4" s="29"/>
    </row>
    <row r="5" spans="1:19">
      <c r="A5" s="1" t="s">
        <v>85</v>
      </c>
      <c r="B5" s="2" t="s">
        <v>209</v>
      </c>
      <c r="C5" s="1" t="s">
        <v>1844</v>
      </c>
      <c r="D5" s="1">
        <v>2</v>
      </c>
      <c r="G5" s="1">
        <v>20200109</v>
      </c>
      <c r="H5" s="159" t="s">
        <v>699</v>
      </c>
      <c r="J5" s="361"/>
      <c r="K5" s="12" t="s">
        <v>1482</v>
      </c>
      <c r="L5" s="12" t="s">
        <v>1565</v>
      </c>
      <c r="N5" s="4"/>
      <c r="O5" s="28">
        <v>550</v>
      </c>
      <c r="P5" s="29">
        <f t="shared" ref="P5:P9" si="0">0.75*O5</f>
        <v>412.5</v>
      </c>
      <c r="Q5" s="29">
        <f t="shared" ref="Q5:Q9" si="1">D5*P5</f>
        <v>825</v>
      </c>
    </row>
    <row r="6" spans="1:19">
      <c r="A6" s="1" t="s">
        <v>85</v>
      </c>
      <c r="B6" s="1" t="s">
        <v>210</v>
      </c>
      <c r="C6" s="1" t="s">
        <v>1844</v>
      </c>
      <c r="D6" s="1">
        <v>2</v>
      </c>
      <c r="G6" s="1">
        <v>20200504</v>
      </c>
      <c r="H6" s="159" t="s">
        <v>699</v>
      </c>
      <c r="J6" s="361"/>
      <c r="K6" s="12" t="s">
        <v>1482</v>
      </c>
      <c r="L6" s="12" t="s">
        <v>1566</v>
      </c>
      <c r="N6" s="4"/>
      <c r="O6" s="28">
        <v>530</v>
      </c>
      <c r="P6" s="29">
        <f t="shared" si="0"/>
        <v>397.5</v>
      </c>
      <c r="Q6" s="29">
        <f t="shared" si="1"/>
        <v>795</v>
      </c>
    </row>
    <row r="7" spans="1:19">
      <c r="A7" s="1" t="s">
        <v>85</v>
      </c>
      <c r="B7" s="1" t="s">
        <v>211</v>
      </c>
      <c r="C7" s="1" t="s">
        <v>1844</v>
      </c>
      <c r="D7" s="1">
        <v>2</v>
      </c>
      <c r="G7" s="1">
        <v>20200109</v>
      </c>
      <c r="H7" s="159" t="s">
        <v>699</v>
      </c>
      <c r="J7" s="361"/>
      <c r="K7" s="12" t="s">
        <v>1482</v>
      </c>
      <c r="L7" s="12" t="s">
        <v>1567</v>
      </c>
      <c r="N7" s="4"/>
      <c r="O7" s="28">
        <v>765</v>
      </c>
      <c r="P7" s="29">
        <f t="shared" si="0"/>
        <v>573.75</v>
      </c>
      <c r="Q7" s="29">
        <f t="shared" si="1"/>
        <v>1147.5</v>
      </c>
    </row>
    <row r="8" spans="1:19">
      <c r="A8" s="1" t="s">
        <v>85</v>
      </c>
      <c r="B8" s="1" t="s">
        <v>212</v>
      </c>
      <c r="C8" s="1" t="s">
        <v>1844</v>
      </c>
      <c r="D8" s="6">
        <v>1</v>
      </c>
      <c r="G8" s="1">
        <v>20200515</v>
      </c>
      <c r="H8" s="159" t="s">
        <v>699</v>
      </c>
      <c r="J8" s="361"/>
      <c r="K8" s="12" t="s">
        <v>1482</v>
      </c>
      <c r="L8" s="12" t="s">
        <v>1568</v>
      </c>
      <c r="N8" s="4"/>
      <c r="O8" s="28">
        <v>315</v>
      </c>
      <c r="P8" s="29">
        <f t="shared" si="0"/>
        <v>236.25</v>
      </c>
      <c r="Q8" s="29">
        <f t="shared" si="1"/>
        <v>236.25</v>
      </c>
    </row>
    <row r="9" spans="1:19">
      <c r="A9" s="1" t="s">
        <v>85</v>
      </c>
      <c r="B9" s="1" t="s">
        <v>359</v>
      </c>
      <c r="C9" s="1" t="s">
        <v>1844</v>
      </c>
      <c r="D9" s="1">
        <v>2</v>
      </c>
      <c r="F9" s="1">
        <v>20200806</v>
      </c>
      <c r="G9" s="1">
        <v>20201007</v>
      </c>
      <c r="H9" s="159" t="s">
        <v>699</v>
      </c>
      <c r="J9" s="361"/>
      <c r="K9" s="12" t="s">
        <v>1022</v>
      </c>
      <c r="L9" s="12" t="s">
        <v>1569</v>
      </c>
      <c r="O9" s="28">
        <v>1345</v>
      </c>
      <c r="P9" s="29">
        <f t="shared" si="0"/>
        <v>1008.75</v>
      </c>
      <c r="Q9" s="29">
        <f t="shared" si="1"/>
        <v>2017.5</v>
      </c>
    </row>
    <row r="10" spans="1:19">
      <c r="D10" s="104">
        <f>SUM(D4:D9)</f>
        <v>10</v>
      </c>
      <c r="E10" s="109">
        <f>ROW()-4</f>
        <v>6</v>
      </c>
      <c r="Q10" s="28">
        <f>SUM(Q4:Q9)</f>
        <v>5606.25</v>
      </c>
    </row>
    <row r="16" spans="1:19">
      <c r="A16" s="38"/>
      <c r="B16" s="38" t="s">
        <v>340</v>
      </c>
      <c r="C16" s="38"/>
      <c r="D16" s="38"/>
      <c r="E16" s="38"/>
      <c r="F16" s="38"/>
      <c r="G16" s="38"/>
      <c r="H16" s="164"/>
      <c r="I16" s="38"/>
      <c r="J16" s="38"/>
      <c r="K16" s="38"/>
      <c r="L16" s="38"/>
      <c r="M16" s="61"/>
      <c r="N16" s="38"/>
      <c r="O16" s="49"/>
      <c r="P16" s="49"/>
      <c r="Q16" s="49"/>
      <c r="R16" s="49"/>
      <c r="S16" s="38"/>
    </row>
    <row r="143" spans="13:13">
      <c r="M143" s="12"/>
    </row>
  </sheetData>
  <autoFilter ref="A3:N3" xr:uid="{00000000-0009-0000-0000-000010000000}"/>
  <mergeCells count="3">
    <mergeCell ref="A1:J1"/>
    <mergeCell ref="B2:J2"/>
    <mergeCell ref="J4:J9"/>
  </mergeCells>
  <phoneticPr fontId="1" type="noConversion"/>
  <conditionalFormatting sqref="A1:S200">
    <cfRule type="expression" dxfId="11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0">
    <tabColor rgb="FFFFFF00"/>
  </sheetPr>
  <dimension ref="A1:S151"/>
  <sheetViews>
    <sheetView workbookViewId="0">
      <pane xSplit="1" ySplit="3" topLeftCell="B4" activePane="bottomRight" state="frozen"/>
      <selection activeCell="B33" sqref="B33"/>
      <selection pane="topRight" activeCell="B33" sqref="B33"/>
      <selection pane="bottomLeft" activeCell="B33" sqref="B33"/>
      <selection pane="bottomRight" activeCell="D19" sqref="D19"/>
    </sheetView>
  </sheetViews>
  <sheetFormatPr defaultColWidth="9" defaultRowHeight="16.2"/>
  <cols>
    <col min="1" max="1" width="11.6640625" style="1" bestFit="1" customWidth="1"/>
    <col min="2" max="2" width="20.33203125" style="1" bestFit="1" customWidth="1"/>
    <col min="3" max="3" width="10.44140625" style="1" bestFit="1" customWidth="1"/>
    <col min="4" max="5" width="9" style="1"/>
    <col min="6" max="7" width="10.44140625" style="1" bestFit="1" customWidth="1"/>
    <col min="8" max="8" width="10.44140625" style="163" customWidth="1"/>
    <col min="9" max="9" width="10.44140625" style="1" customWidth="1"/>
    <col min="10" max="10" width="17.88671875" style="1" bestFit="1" customWidth="1"/>
    <col min="11" max="11" width="17.88671875" style="1" customWidth="1"/>
    <col min="12" max="12" width="20.6640625" style="1" bestFit="1" customWidth="1"/>
    <col min="13" max="13" width="14" style="1" customWidth="1"/>
    <col min="14" max="14" width="11.6640625" style="1" bestFit="1" customWidth="1"/>
    <col min="15" max="15" width="12.77734375" style="1" customWidth="1"/>
    <col min="16" max="16" width="10.6640625" style="1" bestFit="1" customWidth="1"/>
    <col min="17" max="17" width="9.21875" style="1" bestFit="1" customWidth="1"/>
    <col min="18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/>
      <c r="L2" s="146" t="s">
        <v>2450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1093</v>
      </c>
      <c r="L3" s="4" t="s">
        <v>1094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80</v>
      </c>
      <c r="B4" s="1" t="s">
        <v>194</v>
      </c>
      <c r="C4" s="1" t="s">
        <v>1845</v>
      </c>
      <c r="D4" s="1">
        <v>2</v>
      </c>
      <c r="F4" s="1">
        <v>20200209</v>
      </c>
      <c r="G4" s="1">
        <v>20200409</v>
      </c>
      <c r="H4" s="159" t="s">
        <v>699</v>
      </c>
      <c r="J4" s="21"/>
      <c r="K4" s="12" t="s">
        <v>1570</v>
      </c>
      <c r="L4" s="12" t="s">
        <v>1571</v>
      </c>
      <c r="O4" s="28">
        <v>6000</v>
      </c>
      <c r="P4" s="28">
        <f>O4*0.75</f>
        <v>4500</v>
      </c>
      <c r="Q4" s="28">
        <f>D4*P4</f>
        <v>9000</v>
      </c>
    </row>
    <row r="5" spans="1:19">
      <c r="A5" s="1" t="s">
        <v>80</v>
      </c>
      <c r="B5" s="1" t="s">
        <v>302</v>
      </c>
      <c r="C5" s="1" t="s">
        <v>1845</v>
      </c>
      <c r="D5" s="1">
        <v>2</v>
      </c>
      <c r="F5" s="1">
        <v>20200510</v>
      </c>
      <c r="G5" s="1">
        <v>20200710</v>
      </c>
      <c r="H5" s="159" t="s">
        <v>699</v>
      </c>
      <c r="J5" s="7"/>
      <c r="K5" s="12" t="s">
        <v>1570</v>
      </c>
      <c r="L5" s="12" t="s">
        <v>1572</v>
      </c>
      <c r="O5" s="28">
        <v>6000</v>
      </c>
      <c r="P5" s="28">
        <f t="shared" ref="P5:P23" si="0">O5*0.75</f>
        <v>4500</v>
      </c>
      <c r="Q5" s="28">
        <f t="shared" ref="Q5:Q23" si="1">D5*P5</f>
        <v>9000</v>
      </c>
    </row>
    <row r="6" spans="1:19">
      <c r="A6" s="1" t="s">
        <v>80</v>
      </c>
      <c r="B6" s="1" t="s">
        <v>376</v>
      </c>
      <c r="C6" s="1" t="s">
        <v>1845</v>
      </c>
      <c r="D6" s="1">
        <v>2</v>
      </c>
      <c r="F6" s="1">
        <v>20200820</v>
      </c>
      <c r="G6" s="1">
        <v>20201020</v>
      </c>
      <c r="H6" s="159" t="s">
        <v>699</v>
      </c>
      <c r="J6" s="7"/>
      <c r="K6" s="12" t="s">
        <v>1570</v>
      </c>
      <c r="L6" s="12" t="s">
        <v>1578</v>
      </c>
      <c r="O6" s="28">
        <v>6350</v>
      </c>
      <c r="P6" s="28">
        <f t="shared" si="0"/>
        <v>4762.5</v>
      </c>
      <c r="Q6" s="28">
        <f t="shared" si="1"/>
        <v>9525</v>
      </c>
    </row>
    <row r="7" spans="1:19">
      <c r="A7" s="1" t="s">
        <v>80</v>
      </c>
      <c r="B7" s="1" t="s">
        <v>303</v>
      </c>
      <c r="C7" s="1" t="s">
        <v>1845</v>
      </c>
      <c r="D7" s="1">
        <v>2</v>
      </c>
      <c r="F7" s="1">
        <v>20200510</v>
      </c>
      <c r="G7" s="1">
        <v>20200710</v>
      </c>
      <c r="H7" s="159" t="s">
        <v>699</v>
      </c>
      <c r="J7" s="7"/>
      <c r="K7" s="12" t="s">
        <v>1570</v>
      </c>
      <c r="L7" s="12" t="s">
        <v>1573</v>
      </c>
      <c r="O7" s="28">
        <v>6350</v>
      </c>
      <c r="P7" s="28">
        <f t="shared" si="0"/>
        <v>4762.5</v>
      </c>
      <c r="Q7" s="28">
        <f t="shared" si="1"/>
        <v>9525</v>
      </c>
    </row>
    <row r="8" spans="1:19">
      <c r="A8" s="1" t="s">
        <v>80</v>
      </c>
      <c r="B8" s="1" t="s">
        <v>374</v>
      </c>
      <c r="C8" s="1" t="s">
        <v>1845</v>
      </c>
      <c r="D8" s="1">
        <v>2</v>
      </c>
      <c r="F8" s="1">
        <v>20200820</v>
      </c>
      <c r="G8" s="1">
        <v>20201020</v>
      </c>
      <c r="H8" s="159" t="s">
        <v>699</v>
      </c>
      <c r="J8" s="7"/>
      <c r="K8" s="12" t="s">
        <v>1570</v>
      </c>
      <c r="L8" s="12" t="s">
        <v>1573</v>
      </c>
      <c r="O8" s="28">
        <v>6350</v>
      </c>
      <c r="P8" s="28">
        <f t="shared" si="0"/>
        <v>4762.5</v>
      </c>
      <c r="Q8" s="28">
        <f t="shared" si="1"/>
        <v>9525</v>
      </c>
    </row>
    <row r="9" spans="1:19">
      <c r="A9" s="1" t="s">
        <v>80</v>
      </c>
      <c r="B9" s="1" t="s">
        <v>304</v>
      </c>
      <c r="C9" s="1" t="s">
        <v>1845</v>
      </c>
      <c r="D9" s="1">
        <v>2</v>
      </c>
      <c r="F9" s="1">
        <v>20200510</v>
      </c>
      <c r="G9" s="1">
        <v>20200710</v>
      </c>
      <c r="H9" s="159" t="s">
        <v>699</v>
      </c>
      <c r="J9" s="7"/>
      <c r="K9" s="12" t="s">
        <v>1570</v>
      </c>
      <c r="L9" s="12" t="s">
        <v>1574</v>
      </c>
      <c r="O9" s="28">
        <v>6350</v>
      </c>
      <c r="P9" s="28">
        <f t="shared" si="0"/>
        <v>4762.5</v>
      </c>
      <c r="Q9" s="28">
        <f t="shared" si="1"/>
        <v>9525</v>
      </c>
    </row>
    <row r="10" spans="1:19">
      <c r="A10" s="1" t="s">
        <v>80</v>
      </c>
      <c r="B10" s="1" t="s">
        <v>373</v>
      </c>
      <c r="C10" s="1" t="s">
        <v>1845</v>
      </c>
      <c r="D10" s="1">
        <v>2</v>
      </c>
      <c r="F10" s="1">
        <v>20200820</v>
      </c>
      <c r="G10" s="1">
        <v>20201020</v>
      </c>
      <c r="H10" s="159" t="s">
        <v>699</v>
      </c>
      <c r="J10" s="7"/>
      <c r="K10" s="12" t="s">
        <v>1570</v>
      </c>
      <c r="L10" s="12" t="s">
        <v>1574</v>
      </c>
      <c r="O10" s="28">
        <v>6350</v>
      </c>
      <c r="P10" s="28">
        <f t="shared" si="0"/>
        <v>4762.5</v>
      </c>
      <c r="Q10" s="28">
        <f t="shared" si="1"/>
        <v>9525</v>
      </c>
    </row>
    <row r="11" spans="1:19">
      <c r="A11" s="1" t="s">
        <v>80</v>
      </c>
      <c r="B11" s="1" t="s">
        <v>305</v>
      </c>
      <c r="C11" s="1" t="s">
        <v>1845</v>
      </c>
      <c r="D11" s="1">
        <v>2</v>
      </c>
      <c r="F11" s="1">
        <v>20200510</v>
      </c>
      <c r="G11" s="1">
        <v>20200710</v>
      </c>
      <c r="H11" s="159" t="s">
        <v>699</v>
      </c>
      <c r="J11" s="7"/>
      <c r="K11" s="12" t="s">
        <v>1570</v>
      </c>
      <c r="L11" s="12" t="s">
        <v>1575</v>
      </c>
      <c r="O11" s="28">
        <v>6350</v>
      </c>
      <c r="P11" s="28">
        <f t="shared" si="0"/>
        <v>4762.5</v>
      </c>
      <c r="Q11" s="28">
        <f t="shared" si="1"/>
        <v>9525</v>
      </c>
    </row>
    <row r="12" spans="1:19">
      <c r="A12" s="1" t="s">
        <v>80</v>
      </c>
      <c r="B12" s="1" t="s">
        <v>306</v>
      </c>
      <c r="C12" s="1" t="s">
        <v>1845</v>
      </c>
      <c r="D12" s="1">
        <v>2</v>
      </c>
      <c r="F12" s="1">
        <v>20200510</v>
      </c>
      <c r="G12" s="1">
        <v>20200710</v>
      </c>
      <c r="H12" s="159" t="s">
        <v>699</v>
      </c>
      <c r="J12" s="7"/>
      <c r="K12" s="12" t="s">
        <v>1570</v>
      </c>
      <c r="L12" s="12" t="s">
        <v>1575</v>
      </c>
      <c r="O12" s="28">
        <v>6350</v>
      </c>
      <c r="P12" s="28">
        <f t="shared" si="0"/>
        <v>4762.5</v>
      </c>
      <c r="Q12" s="28">
        <f t="shared" si="1"/>
        <v>9525</v>
      </c>
    </row>
    <row r="13" spans="1:19">
      <c r="A13" s="1" t="s">
        <v>80</v>
      </c>
      <c r="B13" s="1" t="s">
        <v>333</v>
      </c>
      <c r="C13" s="1" t="s">
        <v>1845</v>
      </c>
      <c r="D13" s="1">
        <v>3</v>
      </c>
      <c r="F13" s="1">
        <v>20200621</v>
      </c>
      <c r="G13" s="1">
        <v>20200821</v>
      </c>
      <c r="H13" s="159" t="s">
        <v>699</v>
      </c>
      <c r="J13" s="7"/>
      <c r="K13" s="12" t="s">
        <v>1570</v>
      </c>
      <c r="L13" s="12" t="s">
        <v>1576</v>
      </c>
      <c r="O13" s="28">
        <v>7500</v>
      </c>
      <c r="P13" s="28">
        <f t="shared" si="0"/>
        <v>5625</v>
      </c>
      <c r="Q13" s="28">
        <f t="shared" si="1"/>
        <v>16875</v>
      </c>
    </row>
    <row r="14" spans="1:19">
      <c r="A14" s="1" t="s">
        <v>80</v>
      </c>
      <c r="B14" s="1" t="s">
        <v>375</v>
      </c>
      <c r="C14" s="1" t="s">
        <v>1845</v>
      </c>
      <c r="D14" s="1">
        <v>2</v>
      </c>
      <c r="F14" s="1">
        <v>20200820</v>
      </c>
      <c r="G14" s="1">
        <v>20201020</v>
      </c>
      <c r="H14" s="159" t="s">
        <v>699</v>
      </c>
      <c r="J14" s="7"/>
      <c r="K14" s="12" t="s">
        <v>1570</v>
      </c>
      <c r="L14" s="12" t="s">
        <v>1579</v>
      </c>
      <c r="O14" s="28">
        <v>13500</v>
      </c>
      <c r="P14" s="28">
        <f t="shared" si="0"/>
        <v>10125</v>
      </c>
      <c r="Q14" s="28">
        <f t="shared" si="1"/>
        <v>20250</v>
      </c>
    </row>
    <row r="15" spans="1:19">
      <c r="A15" s="1" t="s">
        <v>80</v>
      </c>
      <c r="B15" s="1" t="s">
        <v>372</v>
      </c>
      <c r="C15" s="1" t="s">
        <v>1845</v>
      </c>
      <c r="D15" s="1">
        <v>2</v>
      </c>
      <c r="F15" s="1">
        <v>20200820</v>
      </c>
      <c r="G15" s="1">
        <v>20201020</v>
      </c>
      <c r="H15" s="159" t="s">
        <v>699</v>
      </c>
      <c r="J15" s="7"/>
      <c r="K15" s="12" t="s">
        <v>1570</v>
      </c>
      <c r="L15" s="12" t="s">
        <v>1577</v>
      </c>
      <c r="O15" s="28">
        <v>15000</v>
      </c>
      <c r="P15" s="28">
        <f t="shared" si="0"/>
        <v>11250</v>
      </c>
      <c r="Q15" s="28">
        <f t="shared" si="1"/>
        <v>22500</v>
      </c>
    </row>
    <row r="16" spans="1:19">
      <c r="A16" s="1" t="s">
        <v>80</v>
      </c>
      <c r="B16" s="1" t="s">
        <v>459</v>
      </c>
      <c r="C16" s="1" t="s">
        <v>1845</v>
      </c>
      <c r="D16" s="1">
        <v>2</v>
      </c>
      <c r="F16" s="1">
        <v>20201203</v>
      </c>
      <c r="G16" s="1">
        <v>20210203</v>
      </c>
      <c r="H16" s="159" t="s">
        <v>699</v>
      </c>
      <c r="J16" s="7"/>
      <c r="K16" s="12" t="s">
        <v>1570</v>
      </c>
      <c r="L16" s="12" t="s">
        <v>1580</v>
      </c>
      <c r="O16" s="28">
        <v>16500</v>
      </c>
      <c r="P16" s="28">
        <f t="shared" si="0"/>
        <v>12375</v>
      </c>
      <c r="Q16" s="28">
        <f t="shared" si="1"/>
        <v>24750</v>
      </c>
    </row>
    <row r="17" spans="1:18">
      <c r="A17" s="1" t="s">
        <v>80</v>
      </c>
      <c r="B17" s="1">
        <v>40152040502</v>
      </c>
      <c r="C17" s="1" t="s">
        <v>1845</v>
      </c>
      <c r="D17" s="1">
        <v>2</v>
      </c>
      <c r="F17" s="1">
        <v>20221215</v>
      </c>
      <c r="G17" s="4">
        <v>20230215</v>
      </c>
      <c r="H17" s="159" t="s">
        <v>699</v>
      </c>
      <c r="J17" s="7"/>
      <c r="K17" s="12" t="s">
        <v>1570</v>
      </c>
      <c r="L17" s="153" t="s">
        <v>1811</v>
      </c>
      <c r="M17" s="1" t="s">
        <v>844</v>
      </c>
      <c r="O17" s="28">
        <v>6350</v>
      </c>
      <c r="P17" s="28">
        <f t="shared" si="0"/>
        <v>4762.5</v>
      </c>
      <c r="Q17" s="28">
        <f t="shared" si="1"/>
        <v>9525</v>
      </c>
    </row>
    <row r="18" spans="1:18" s="6" customFormat="1">
      <c r="A18" s="6" t="s">
        <v>80</v>
      </c>
      <c r="B18" s="6">
        <v>40152040402</v>
      </c>
      <c r="C18" s="6" t="s">
        <v>1845</v>
      </c>
      <c r="D18" s="6">
        <v>2</v>
      </c>
      <c r="F18" s="6">
        <v>20221123</v>
      </c>
      <c r="G18" s="6">
        <v>20240926</v>
      </c>
      <c r="H18" s="159" t="s">
        <v>699</v>
      </c>
      <c r="J18" s="7"/>
      <c r="K18" s="12" t="s">
        <v>1570</v>
      </c>
      <c r="L18" s="153" t="s">
        <v>1810</v>
      </c>
      <c r="M18" s="6" t="s">
        <v>843</v>
      </c>
      <c r="O18" s="28">
        <v>6000</v>
      </c>
      <c r="P18" s="28">
        <f>O18*0.75</f>
        <v>4500</v>
      </c>
      <c r="Q18" s="28">
        <f>D18*P18</f>
        <v>9000</v>
      </c>
    </row>
    <row r="19" spans="1:18" s="6" customFormat="1">
      <c r="A19" s="6" t="s">
        <v>80</v>
      </c>
      <c r="B19" s="6">
        <v>40152040901</v>
      </c>
      <c r="C19" s="6" t="s">
        <v>3140</v>
      </c>
      <c r="D19" s="6">
        <v>2</v>
      </c>
      <c r="F19" s="6">
        <v>20250422</v>
      </c>
      <c r="G19" s="6">
        <v>20260114</v>
      </c>
      <c r="H19" s="159">
        <v>10</v>
      </c>
      <c r="J19" s="7"/>
      <c r="K19" s="12" t="s">
        <v>3141</v>
      </c>
      <c r="L19" s="153" t="s">
        <v>3143</v>
      </c>
      <c r="M19" s="6" t="s">
        <v>3142</v>
      </c>
      <c r="O19" s="28">
        <v>12680</v>
      </c>
      <c r="P19" s="28">
        <f>O19*0.75</f>
        <v>9510</v>
      </c>
      <c r="Q19" s="28">
        <f>D19*P19</f>
        <v>19020</v>
      </c>
    </row>
    <row r="20" spans="1:18">
      <c r="A20" s="1" t="s">
        <v>948</v>
      </c>
      <c r="B20" s="1" t="s">
        <v>951</v>
      </c>
      <c r="C20" s="1" t="s">
        <v>1845</v>
      </c>
      <c r="D20" s="1">
        <v>5</v>
      </c>
      <c r="F20" s="1">
        <v>20210430</v>
      </c>
      <c r="G20" s="1">
        <v>20210630</v>
      </c>
      <c r="H20" s="159" t="s">
        <v>945</v>
      </c>
      <c r="J20" s="399" t="s">
        <v>1803</v>
      </c>
      <c r="K20" s="1" t="s">
        <v>1804</v>
      </c>
      <c r="L20" s="12" t="s">
        <v>1805</v>
      </c>
      <c r="O20" s="27">
        <v>600</v>
      </c>
      <c r="P20" s="28">
        <f t="shared" si="0"/>
        <v>450</v>
      </c>
      <c r="Q20" s="28">
        <f t="shared" si="1"/>
        <v>2250</v>
      </c>
    </row>
    <row r="21" spans="1:18">
      <c r="A21" s="1" t="s">
        <v>948</v>
      </c>
      <c r="B21" s="1" t="s">
        <v>950</v>
      </c>
      <c r="C21" s="1" t="s">
        <v>1845</v>
      </c>
      <c r="D21" s="1">
        <v>1</v>
      </c>
      <c r="F21" s="1">
        <v>20210430</v>
      </c>
      <c r="G21" s="1">
        <v>20210630</v>
      </c>
      <c r="H21" s="159" t="s">
        <v>945</v>
      </c>
      <c r="J21" s="399"/>
      <c r="K21" s="1" t="s">
        <v>1806</v>
      </c>
      <c r="L21" s="12" t="s">
        <v>1807</v>
      </c>
      <c r="O21" s="27">
        <v>350</v>
      </c>
      <c r="P21" s="28">
        <f t="shared" si="0"/>
        <v>262.5</v>
      </c>
      <c r="Q21" s="28">
        <f t="shared" si="1"/>
        <v>262.5</v>
      </c>
    </row>
    <row r="22" spans="1:18">
      <c r="A22" s="1" t="s">
        <v>948</v>
      </c>
      <c r="B22" s="1" t="s">
        <v>949</v>
      </c>
      <c r="C22" s="1" t="s">
        <v>1845</v>
      </c>
      <c r="D22" s="1">
        <v>1</v>
      </c>
      <c r="F22" s="1">
        <v>20210501</v>
      </c>
      <c r="G22" s="1">
        <v>20210701</v>
      </c>
      <c r="H22" s="159" t="s">
        <v>945</v>
      </c>
      <c r="J22" s="399"/>
      <c r="K22" s="1" t="s">
        <v>1806</v>
      </c>
      <c r="L22" s="12" t="s">
        <v>1808</v>
      </c>
      <c r="O22" s="27">
        <v>350</v>
      </c>
      <c r="P22" s="28">
        <f t="shared" si="0"/>
        <v>262.5</v>
      </c>
      <c r="Q22" s="28">
        <f t="shared" si="1"/>
        <v>262.5</v>
      </c>
    </row>
    <row r="23" spans="1:18">
      <c r="A23" s="1" t="s">
        <v>948</v>
      </c>
      <c r="B23" s="1" t="s">
        <v>947</v>
      </c>
      <c r="C23" s="1" t="s">
        <v>1845</v>
      </c>
      <c r="D23" s="1">
        <v>1</v>
      </c>
      <c r="F23" s="1">
        <v>20210501</v>
      </c>
      <c r="G23" s="1">
        <v>20210701</v>
      </c>
      <c r="H23" s="159" t="s">
        <v>945</v>
      </c>
      <c r="J23" s="399"/>
      <c r="K23" s="1" t="s">
        <v>1806</v>
      </c>
      <c r="L23" s="12" t="s">
        <v>1809</v>
      </c>
      <c r="O23" s="27">
        <v>350</v>
      </c>
      <c r="P23" s="28">
        <f t="shared" si="0"/>
        <v>262.5</v>
      </c>
      <c r="Q23" s="28">
        <f t="shared" si="1"/>
        <v>262.5</v>
      </c>
    </row>
    <row r="24" spans="1:18">
      <c r="D24" s="104">
        <f>SUM(D4:D17)</f>
        <v>29</v>
      </c>
      <c r="E24" s="109">
        <f>ROW()-4</f>
        <v>20</v>
      </c>
      <c r="Q24" s="31">
        <f>SUM(Q4:Q23)</f>
        <v>209632.5</v>
      </c>
    </row>
    <row r="25" spans="1:18">
      <c r="Q25" s="31"/>
    </row>
    <row r="27" spans="1:18">
      <c r="A27" s="38"/>
      <c r="B27" s="38" t="s">
        <v>315</v>
      </c>
      <c r="C27" s="38"/>
      <c r="D27" s="38"/>
      <c r="E27" s="38"/>
      <c r="F27" s="38"/>
      <c r="G27" s="38"/>
      <c r="H27" s="164"/>
      <c r="I27" s="38"/>
      <c r="J27" s="38"/>
      <c r="K27" s="38"/>
      <c r="L27" s="38"/>
      <c r="M27" s="61"/>
      <c r="N27" s="38"/>
      <c r="O27" s="38"/>
      <c r="P27" s="38"/>
      <c r="Q27" s="38"/>
      <c r="R27" s="38"/>
    </row>
    <row r="151" spans="13:13">
      <c r="M151" s="12"/>
    </row>
  </sheetData>
  <autoFilter ref="A3:N3" xr:uid="{00000000-0009-0000-0000-000011000000}"/>
  <mergeCells count="3">
    <mergeCell ref="A1:J1"/>
    <mergeCell ref="B2:J2"/>
    <mergeCell ref="J20:J23"/>
  </mergeCells>
  <phoneticPr fontId="1" type="noConversion"/>
  <conditionalFormatting sqref="A1:R17 A20:R201">
    <cfRule type="expression" dxfId="10" priority="2">
      <formula>CELL("ROW")=ROW()</formula>
    </cfRule>
  </conditionalFormatting>
  <conditionalFormatting sqref="A18:R19">
    <cfRule type="expression" dxfId="9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22">
    <tabColor rgb="FF92D050"/>
  </sheetPr>
  <dimension ref="A1:S118"/>
  <sheetViews>
    <sheetView zoomScaleNormal="100" workbookViewId="0">
      <pane xSplit="1" ySplit="3" topLeftCell="B22" activePane="bottomRight" state="frozen"/>
      <selection activeCell="B33" sqref="B33"/>
      <selection pane="topRight" activeCell="B33" sqref="B33"/>
      <selection pane="bottomLeft" activeCell="B33" sqref="B33"/>
      <selection pane="bottomRight" activeCell="E12" sqref="E12"/>
    </sheetView>
  </sheetViews>
  <sheetFormatPr defaultColWidth="9" defaultRowHeight="16.2"/>
  <cols>
    <col min="1" max="2" width="11.6640625" style="1" bestFit="1" customWidth="1"/>
    <col min="3" max="3" width="17.33203125" style="1" bestFit="1" customWidth="1"/>
    <col min="4" max="4" width="7.33203125" style="1" customWidth="1"/>
    <col min="5" max="5" width="10.77734375" style="1" customWidth="1"/>
    <col min="6" max="6" width="12.21875" style="1" customWidth="1"/>
    <col min="7" max="7" width="12.44140625" style="1" customWidth="1"/>
    <col min="8" max="8" width="12.44140625" style="163" customWidth="1"/>
    <col min="9" max="9" width="13.109375" style="1" customWidth="1"/>
    <col min="10" max="10" width="12.109375" style="1" customWidth="1"/>
    <col min="11" max="11" width="13.21875" style="1" customWidth="1"/>
    <col min="12" max="12" width="17.88671875" style="1" customWidth="1"/>
    <col min="13" max="13" width="13.77734375" style="1" bestFit="1" customWidth="1"/>
    <col min="14" max="14" width="9.33203125" style="1" customWidth="1"/>
    <col min="15" max="15" width="10.33203125" style="1" customWidth="1"/>
    <col min="16" max="16" width="10.6640625" style="1" bestFit="1" customWidth="1"/>
    <col min="17" max="17" width="10.88671875" style="1" bestFit="1" customWidth="1"/>
    <col min="18" max="18" width="11.109375" style="1" bestFit="1" customWidth="1"/>
    <col min="19" max="16384" width="9" style="1"/>
  </cols>
  <sheetData>
    <row r="1" spans="1:19" s="52" customFormat="1" ht="54" customHeight="1">
      <c r="A1" s="356" t="s">
        <v>539</v>
      </c>
      <c r="B1" s="356"/>
      <c r="C1" s="356"/>
      <c r="D1" s="356"/>
      <c r="E1" s="356"/>
      <c r="F1" s="356"/>
      <c r="G1" s="356"/>
      <c r="H1" s="356"/>
      <c r="I1" s="356"/>
      <c r="J1" s="356"/>
      <c r="K1" s="111"/>
      <c r="L1" s="111"/>
      <c r="M1" s="111"/>
      <c r="N1" s="79"/>
      <c r="O1" s="53"/>
      <c r="P1" s="53"/>
      <c r="Q1" s="53"/>
      <c r="R1" s="53"/>
    </row>
    <row r="2" spans="1:19" customFormat="1" ht="22.2">
      <c r="A2" s="1" t="s">
        <v>540</v>
      </c>
      <c r="B2" s="360" t="s">
        <v>698</v>
      </c>
      <c r="C2" s="360"/>
      <c r="D2" s="360"/>
      <c r="E2" s="360"/>
      <c r="F2" s="360"/>
      <c r="G2" s="360"/>
      <c r="H2" s="360"/>
      <c r="I2" s="360"/>
      <c r="J2" s="360"/>
      <c r="K2" s="143" t="s">
        <v>2788</v>
      </c>
      <c r="L2" s="146" t="s">
        <v>1224</v>
      </c>
      <c r="M2" s="144" t="s">
        <v>1000</v>
      </c>
    </row>
    <row r="3" spans="1:19" ht="36" customHeight="1">
      <c r="A3" s="1" t="s">
        <v>29</v>
      </c>
      <c r="B3" s="2" t="s">
        <v>30</v>
      </c>
      <c r="C3" s="3" t="s">
        <v>296</v>
      </c>
      <c r="D3" s="1" t="s">
        <v>56</v>
      </c>
      <c r="E3" s="6" t="s">
        <v>62</v>
      </c>
      <c r="F3" s="6" t="s">
        <v>330</v>
      </c>
      <c r="G3" s="6" t="s">
        <v>331</v>
      </c>
      <c r="H3" s="158" t="s">
        <v>561</v>
      </c>
      <c r="I3" s="1" t="s">
        <v>57</v>
      </c>
      <c r="J3" s="4" t="s">
        <v>1001</v>
      </c>
      <c r="K3" s="4" t="s">
        <v>1581</v>
      </c>
      <c r="L3" s="4" t="s">
        <v>1582</v>
      </c>
      <c r="M3" s="6" t="s">
        <v>683</v>
      </c>
      <c r="N3" s="22" t="s">
        <v>501</v>
      </c>
      <c r="O3" s="29" t="s">
        <v>645</v>
      </c>
      <c r="P3" s="29" t="s">
        <v>647</v>
      </c>
      <c r="Q3" s="29" t="s">
        <v>646</v>
      </c>
      <c r="R3" s="29"/>
      <c r="S3" s="29"/>
    </row>
    <row r="4" spans="1:19">
      <c r="A4" s="1" t="s">
        <v>2642</v>
      </c>
      <c r="B4" s="2" t="s">
        <v>2659</v>
      </c>
      <c r="C4" s="251" t="s">
        <v>2656</v>
      </c>
      <c r="D4" s="1">
        <v>1</v>
      </c>
      <c r="E4" s="6"/>
      <c r="F4" s="6"/>
      <c r="G4" s="6">
        <v>20240930</v>
      </c>
      <c r="H4" s="158">
        <v>10</v>
      </c>
      <c r="J4" s="4"/>
      <c r="K4" s="4" t="s">
        <v>2643</v>
      </c>
      <c r="L4" s="4" t="s">
        <v>2666</v>
      </c>
      <c r="M4" s="6"/>
      <c r="N4" s="22"/>
      <c r="O4" s="29">
        <v>880</v>
      </c>
      <c r="P4" s="29">
        <f>O4*0.75</f>
        <v>660</v>
      </c>
      <c r="Q4" s="29">
        <f>D4*P4</f>
        <v>660</v>
      </c>
      <c r="R4" s="29"/>
      <c r="S4" s="29"/>
    </row>
    <row r="5" spans="1:19">
      <c r="A5" s="1" t="s">
        <v>2642</v>
      </c>
      <c r="B5" s="2" t="s">
        <v>2655</v>
      </c>
      <c r="C5" s="251" t="s">
        <v>2656</v>
      </c>
      <c r="D5" s="1">
        <v>1</v>
      </c>
      <c r="E5" s="6"/>
      <c r="F5" s="6"/>
      <c r="G5" s="6">
        <v>20240930</v>
      </c>
      <c r="H5" s="158">
        <v>10</v>
      </c>
      <c r="J5" s="4"/>
      <c r="K5" s="4" t="s">
        <v>2643</v>
      </c>
      <c r="L5" s="4" t="s">
        <v>2667</v>
      </c>
      <c r="M5" s="6"/>
      <c r="N5" s="22"/>
      <c r="O5" s="29">
        <v>900</v>
      </c>
      <c r="P5" s="29">
        <f t="shared" ref="P5:P18" si="0">O5*0.75</f>
        <v>675</v>
      </c>
      <c r="Q5" s="29">
        <f t="shared" ref="Q5:Q18" si="1">D5*P5</f>
        <v>675</v>
      </c>
      <c r="R5" s="29"/>
      <c r="S5" s="29"/>
    </row>
    <row r="6" spans="1:19">
      <c r="A6" s="1" t="s">
        <v>2642</v>
      </c>
      <c r="B6" s="2" t="s">
        <v>2657</v>
      </c>
      <c r="C6" s="251" t="s">
        <v>2656</v>
      </c>
      <c r="D6" s="1">
        <v>1</v>
      </c>
      <c r="E6" s="6"/>
      <c r="F6" s="6"/>
      <c r="G6" s="6">
        <v>20240930</v>
      </c>
      <c r="H6" s="158">
        <v>10</v>
      </c>
      <c r="J6" s="4"/>
      <c r="K6" s="4" t="s">
        <v>2643</v>
      </c>
      <c r="L6" s="4" t="s">
        <v>2668</v>
      </c>
      <c r="M6" s="6"/>
      <c r="N6" s="22"/>
      <c r="O6" s="29">
        <v>825</v>
      </c>
      <c r="P6" s="29">
        <f t="shared" si="0"/>
        <v>618.75</v>
      </c>
      <c r="Q6" s="29">
        <f t="shared" si="1"/>
        <v>618.75</v>
      </c>
      <c r="R6" s="29"/>
      <c r="S6" s="29"/>
    </row>
    <row r="7" spans="1:19">
      <c r="A7" s="1" t="s">
        <v>2642</v>
      </c>
      <c r="B7" s="2" t="s">
        <v>2660</v>
      </c>
      <c r="C7" s="251" t="s">
        <v>2656</v>
      </c>
      <c r="D7" s="1">
        <v>1</v>
      </c>
      <c r="E7" s="6"/>
      <c r="F7" s="6"/>
      <c r="G7" s="6">
        <v>20240930</v>
      </c>
      <c r="H7" s="158">
        <v>10</v>
      </c>
      <c r="J7" s="4"/>
      <c r="K7" s="4" t="s">
        <v>2643</v>
      </c>
      <c r="L7" s="4" t="s">
        <v>2669</v>
      </c>
      <c r="M7" s="6"/>
      <c r="N7" s="22"/>
      <c r="O7" s="29">
        <v>1000</v>
      </c>
      <c r="P7" s="29">
        <f t="shared" si="0"/>
        <v>750</v>
      </c>
      <c r="Q7" s="29">
        <f t="shared" si="1"/>
        <v>750</v>
      </c>
      <c r="R7" s="29"/>
      <c r="S7" s="29"/>
    </row>
    <row r="8" spans="1:19">
      <c r="A8" s="1" t="s">
        <v>2642</v>
      </c>
      <c r="B8" s="2" t="s">
        <v>2665</v>
      </c>
      <c r="C8" s="251" t="s">
        <v>2656</v>
      </c>
      <c r="D8" s="1">
        <v>1</v>
      </c>
      <c r="E8" s="6"/>
      <c r="F8" s="6"/>
      <c r="G8" s="6">
        <v>20240930</v>
      </c>
      <c r="H8" s="158">
        <v>10</v>
      </c>
      <c r="J8" s="4"/>
      <c r="K8" s="4" t="s">
        <v>2643</v>
      </c>
      <c r="L8" s="4" t="s">
        <v>2670</v>
      </c>
      <c r="M8" s="6"/>
      <c r="N8" s="22"/>
      <c r="O8" s="29">
        <v>900</v>
      </c>
      <c r="P8" s="29">
        <f t="shared" si="0"/>
        <v>675</v>
      </c>
      <c r="Q8" s="29">
        <f t="shared" si="1"/>
        <v>675</v>
      </c>
      <c r="R8" s="29"/>
      <c r="S8" s="29"/>
    </row>
    <row r="9" spans="1:19">
      <c r="A9" s="1" t="s">
        <v>2642</v>
      </c>
      <c r="B9" s="2" t="s">
        <v>2664</v>
      </c>
      <c r="C9" s="251" t="s">
        <v>2656</v>
      </c>
      <c r="D9" s="1">
        <v>1</v>
      </c>
      <c r="E9" s="6"/>
      <c r="F9" s="6"/>
      <c r="G9" s="6">
        <v>20240930</v>
      </c>
      <c r="H9" s="158">
        <v>10</v>
      </c>
      <c r="J9" s="4"/>
      <c r="K9" s="4" t="s">
        <v>2643</v>
      </c>
      <c r="L9" s="4" t="s">
        <v>2671</v>
      </c>
      <c r="M9" s="6"/>
      <c r="N9" s="22"/>
      <c r="O9" s="29">
        <v>830</v>
      </c>
      <c r="P9" s="29">
        <f t="shared" si="0"/>
        <v>622.5</v>
      </c>
      <c r="Q9" s="29">
        <f t="shared" si="1"/>
        <v>622.5</v>
      </c>
      <c r="R9" s="29"/>
      <c r="S9" s="29"/>
    </row>
    <row r="10" spans="1:19">
      <c r="A10" s="1" t="s">
        <v>2642</v>
      </c>
      <c r="B10" s="2" t="s">
        <v>2658</v>
      </c>
      <c r="C10" s="251" t="s">
        <v>2656</v>
      </c>
      <c r="D10" s="1">
        <v>1</v>
      </c>
      <c r="E10" s="6"/>
      <c r="F10" s="6"/>
      <c r="G10" s="6">
        <v>20240930</v>
      </c>
      <c r="H10" s="158">
        <v>10</v>
      </c>
      <c r="J10" s="4"/>
      <c r="K10" s="4" t="s">
        <v>2643</v>
      </c>
      <c r="L10" s="4" t="s">
        <v>2672</v>
      </c>
      <c r="M10" s="6"/>
      <c r="N10" s="22"/>
      <c r="O10" s="29">
        <v>765</v>
      </c>
      <c r="P10" s="29">
        <f t="shared" si="0"/>
        <v>573.75</v>
      </c>
      <c r="Q10" s="29">
        <f t="shared" si="1"/>
        <v>573.75</v>
      </c>
      <c r="R10" s="29"/>
      <c r="S10" s="29"/>
    </row>
    <row r="11" spans="1:19">
      <c r="A11" s="1" t="s">
        <v>2642</v>
      </c>
      <c r="B11" s="2" t="s">
        <v>2662</v>
      </c>
      <c r="C11" s="251" t="s">
        <v>2656</v>
      </c>
      <c r="D11" s="1">
        <v>1</v>
      </c>
      <c r="E11" s="6"/>
      <c r="F11" s="6"/>
      <c r="G11" s="6">
        <v>20240930</v>
      </c>
      <c r="H11" s="158">
        <v>10</v>
      </c>
      <c r="J11" s="21" t="s">
        <v>2680</v>
      </c>
      <c r="K11" s="4"/>
      <c r="L11" s="4"/>
      <c r="M11" s="6"/>
      <c r="N11" s="22"/>
      <c r="O11" s="29">
        <v>0</v>
      </c>
      <c r="P11" s="29">
        <f t="shared" si="0"/>
        <v>0</v>
      </c>
      <c r="Q11" s="29">
        <f t="shared" si="1"/>
        <v>0</v>
      </c>
      <c r="R11" s="29"/>
      <c r="S11" s="29"/>
    </row>
    <row r="12" spans="1:19">
      <c r="A12" s="1" t="s">
        <v>2642</v>
      </c>
      <c r="B12" s="2">
        <v>212133</v>
      </c>
      <c r="C12" s="251" t="s">
        <v>2656</v>
      </c>
      <c r="D12" s="1">
        <v>1</v>
      </c>
      <c r="E12" s="6"/>
      <c r="F12" s="6"/>
      <c r="G12" s="6">
        <v>20240930</v>
      </c>
      <c r="H12" s="158">
        <v>10</v>
      </c>
      <c r="J12" s="4"/>
      <c r="K12" s="4" t="s">
        <v>2643</v>
      </c>
      <c r="L12" s="4" t="s">
        <v>2673</v>
      </c>
      <c r="M12" s="6"/>
      <c r="N12" s="22"/>
      <c r="O12" s="29">
        <v>865</v>
      </c>
      <c r="P12" s="29">
        <f t="shared" si="0"/>
        <v>648.75</v>
      </c>
      <c r="Q12" s="29">
        <f t="shared" si="1"/>
        <v>648.75</v>
      </c>
      <c r="R12" s="29"/>
      <c r="S12" s="29"/>
    </row>
    <row r="13" spans="1:19">
      <c r="A13" s="1" t="s">
        <v>2642</v>
      </c>
      <c r="B13" s="2" t="s">
        <v>2663</v>
      </c>
      <c r="C13" s="251" t="s">
        <v>2656</v>
      </c>
      <c r="D13" s="1">
        <v>1</v>
      </c>
      <c r="E13" s="6"/>
      <c r="F13" s="6"/>
      <c r="G13" s="6">
        <v>20240930</v>
      </c>
      <c r="H13" s="158">
        <v>10</v>
      </c>
      <c r="J13" s="4"/>
      <c r="K13" s="4" t="s">
        <v>2643</v>
      </c>
      <c r="L13" s="4" t="s">
        <v>2674</v>
      </c>
      <c r="M13" s="6"/>
      <c r="N13" s="22"/>
      <c r="O13" s="29">
        <v>1100</v>
      </c>
      <c r="P13" s="29">
        <f t="shared" si="0"/>
        <v>825</v>
      </c>
      <c r="Q13" s="29">
        <f t="shared" si="1"/>
        <v>825</v>
      </c>
      <c r="R13" s="29"/>
      <c r="S13" s="29"/>
    </row>
    <row r="14" spans="1:19">
      <c r="A14" s="1" t="s">
        <v>2642</v>
      </c>
      <c r="B14" s="2">
        <v>42122</v>
      </c>
      <c r="C14" s="251" t="s">
        <v>2656</v>
      </c>
      <c r="D14" s="1">
        <v>1</v>
      </c>
      <c r="E14" s="6"/>
      <c r="F14" s="6"/>
      <c r="G14" s="6">
        <v>20240930</v>
      </c>
      <c r="H14" s="158">
        <v>10</v>
      </c>
      <c r="J14" s="4"/>
      <c r="K14" s="4" t="s">
        <v>2643</v>
      </c>
      <c r="L14" s="4" t="s">
        <v>2675</v>
      </c>
      <c r="M14" s="6"/>
      <c r="N14" s="22"/>
      <c r="O14" s="29">
        <v>1310</v>
      </c>
      <c r="P14" s="29">
        <f t="shared" si="0"/>
        <v>982.5</v>
      </c>
      <c r="Q14" s="29">
        <f t="shared" si="1"/>
        <v>982.5</v>
      </c>
      <c r="R14" s="29"/>
      <c r="S14" s="29"/>
    </row>
    <row r="15" spans="1:19">
      <c r="A15" s="1" t="s">
        <v>2642</v>
      </c>
      <c r="B15" s="2">
        <v>62102</v>
      </c>
      <c r="C15" s="251" t="s">
        <v>2656</v>
      </c>
      <c r="D15" s="1">
        <v>1</v>
      </c>
      <c r="E15" s="6"/>
      <c r="F15" s="6"/>
      <c r="G15" s="6">
        <v>20240930</v>
      </c>
      <c r="H15" s="158">
        <v>10</v>
      </c>
      <c r="J15" s="4"/>
      <c r="K15" s="4" t="s">
        <v>2676</v>
      </c>
      <c r="L15" s="252" t="s">
        <v>2677</v>
      </c>
      <c r="M15" s="6"/>
      <c r="N15" s="22"/>
      <c r="O15" s="29">
        <v>800</v>
      </c>
      <c r="P15" s="29">
        <f t="shared" si="0"/>
        <v>600</v>
      </c>
      <c r="Q15" s="29">
        <f t="shared" si="1"/>
        <v>600</v>
      </c>
      <c r="R15" s="29"/>
      <c r="S15" s="29"/>
    </row>
    <row r="16" spans="1:19">
      <c r="A16" s="1" t="s">
        <v>2642</v>
      </c>
      <c r="B16" s="2">
        <v>72103</v>
      </c>
      <c r="C16" s="251" t="s">
        <v>2656</v>
      </c>
      <c r="D16" s="1">
        <v>1</v>
      </c>
      <c r="E16" s="6"/>
      <c r="F16" s="6"/>
      <c r="G16" s="6">
        <v>20240930</v>
      </c>
      <c r="H16" s="158">
        <v>10</v>
      </c>
      <c r="J16" s="4"/>
      <c r="K16" s="4" t="s">
        <v>2643</v>
      </c>
      <c r="L16" s="4" t="s">
        <v>2678</v>
      </c>
      <c r="M16" s="6"/>
      <c r="N16" s="22"/>
      <c r="O16" s="29">
        <v>865</v>
      </c>
      <c r="P16" s="29">
        <f t="shared" si="0"/>
        <v>648.75</v>
      </c>
      <c r="Q16" s="29">
        <f t="shared" si="1"/>
        <v>648.75</v>
      </c>
      <c r="R16" s="29"/>
      <c r="S16" s="29"/>
    </row>
    <row r="17" spans="1:19">
      <c r="A17" s="1" t="s">
        <v>2642</v>
      </c>
      <c r="B17" s="2">
        <v>72125</v>
      </c>
      <c r="C17" s="251" t="s">
        <v>2656</v>
      </c>
      <c r="D17" s="1">
        <v>1</v>
      </c>
      <c r="E17" s="6"/>
      <c r="F17" s="6"/>
      <c r="G17" s="6">
        <v>20240930</v>
      </c>
      <c r="H17" s="158">
        <v>10</v>
      </c>
      <c r="I17" s="1" t="s">
        <v>2661</v>
      </c>
      <c r="J17" s="4"/>
      <c r="K17" s="4" t="s">
        <v>2643</v>
      </c>
      <c r="L17" s="4" t="s">
        <v>2679</v>
      </c>
      <c r="M17" s="6"/>
      <c r="N17" s="22"/>
      <c r="O17" s="29">
        <v>945</v>
      </c>
      <c r="P17" s="29">
        <f t="shared" si="0"/>
        <v>708.75</v>
      </c>
      <c r="Q17" s="29">
        <f t="shared" si="1"/>
        <v>708.75</v>
      </c>
      <c r="R17" s="29"/>
      <c r="S17" s="29"/>
    </row>
    <row r="18" spans="1:19">
      <c r="A18" s="1" t="s">
        <v>2642</v>
      </c>
      <c r="B18" s="2">
        <v>6124</v>
      </c>
      <c r="C18" s="251" t="s">
        <v>2656</v>
      </c>
      <c r="D18" s="1">
        <v>1</v>
      </c>
      <c r="E18" s="6"/>
      <c r="F18" s="6"/>
      <c r="G18" s="6">
        <v>20240930</v>
      </c>
      <c r="H18" s="158">
        <v>10</v>
      </c>
      <c r="I18" s="1" t="s">
        <v>2661</v>
      </c>
      <c r="J18" s="21" t="s">
        <v>2680</v>
      </c>
      <c r="K18" s="4"/>
      <c r="L18" s="4"/>
      <c r="M18" s="6"/>
      <c r="N18" s="22"/>
      <c r="O18" s="29">
        <v>0</v>
      </c>
      <c r="P18" s="29">
        <f t="shared" si="0"/>
        <v>0</v>
      </c>
      <c r="Q18" s="29">
        <f t="shared" si="1"/>
        <v>0</v>
      </c>
      <c r="R18" s="29"/>
      <c r="S18" s="29"/>
    </row>
    <row r="19" spans="1:19" s="7" customFormat="1" ht="16.2" customHeight="1">
      <c r="A19" s="1" t="s">
        <v>483</v>
      </c>
      <c r="B19" s="245" t="s">
        <v>3094</v>
      </c>
      <c r="C19" s="13" t="s">
        <v>3095</v>
      </c>
      <c r="D19" s="13">
        <v>9</v>
      </c>
      <c r="E19" s="374"/>
      <c r="F19" s="374"/>
      <c r="G19" s="13">
        <v>20220315</v>
      </c>
      <c r="H19" s="160" t="s">
        <v>699</v>
      </c>
      <c r="I19" s="244" t="s">
        <v>2398</v>
      </c>
      <c r="J19" s="357" t="s">
        <v>2484</v>
      </c>
      <c r="K19" s="12" t="s">
        <v>1279</v>
      </c>
      <c r="L19" s="145" t="s">
        <v>2050</v>
      </c>
      <c r="M19" s="1"/>
      <c r="N19" s="1" t="s">
        <v>2498</v>
      </c>
      <c r="O19" s="28">
        <v>2369</v>
      </c>
      <c r="P19" s="28">
        <f>O19*0.75</f>
        <v>1776.75</v>
      </c>
      <c r="Q19" s="28">
        <f>D19*P19</f>
        <v>15990.75</v>
      </c>
      <c r="R19" s="28"/>
    </row>
    <row r="20" spans="1:19">
      <c r="A20" s="1" t="s">
        <v>483</v>
      </c>
      <c r="B20" s="138" t="s">
        <v>451</v>
      </c>
      <c r="C20" s="1" t="s">
        <v>2855</v>
      </c>
      <c r="D20" s="1">
        <v>9</v>
      </c>
      <c r="E20" s="355"/>
      <c r="F20" s="355"/>
      <c r="G20" s="355">
        <v>20220311</v>
      </c>
      <c r="H20" s="159" t="s">
        <v>699</v>
      </c>
      <c r="I20" s="355" t="s">
        <v>54</v>
      </c>
      <c r="J20" s="359"/>
      <c r="K20" s="12" t="s">
        <v>1024</v>
      </c>
      <c r="L20" s="12" t="s">
        <v>2059</v>
      </c>
      <c r="N20" s="355" t="s">
        <v>886</v>
      </c>
      <c r="O20" s="32">
        <v>989</v>
      </c>
      <c r="P20" s="28">
        <f>O20*0.75</f>
        <v>741.75</v>
      </c>
      <c r="Q20" s="28">
        <f>D20*P20</f>
        <v>6675.75</v>
      </c>
      <c r="R20" s="28"/>
    </row>
    <row r="21" spans="1:19">
      <c r="A21" s="1" t="s">
        <v>483</v>
      </c>
      <c r="B21" s="133" t="s">
        <v>453</v>
      </c>
      <c r="C21" s="14" t="s">
        <v>2855</v>
      </c>
      <c r="D21" s="14">
        <v>9</v>
      </c>
      <c r="E21" s="375"/>
      <c r="F21" s="375"/>
      <c r="G21" s="375"/>
      <c r="H21" s="161" t="s">
        <v>699</v>
      </c>
      <c r="I21" s="375"/>
      <c r="J21" s="358"/>
      <c r="K21" s="12" t="s">
        <v>1024</v>
      </c>
      <c r="L21" s="12" t="s">
        <v>2060</v>
      </c>
      <c r="N21" s="355"/>
      <c r="O21" s="32">
        <v>1133</v>
      </c>
      <c r="P21" s="28">
        <f>O21*0.75</f>
        <v>849.75</v>
      </c>
      <c r="Q21" s="28">
        <f>D21*P21</f>
        <v>7647.75</v>
      </c>
      <c r="R21" s="28"/>
    </row>
    <row r="22" spans="1:19" s="6" customFormat="1">
      <c r="A22" s="6" t="s">
        <v>483</v>
      </c>
      <c r="B22" s="7" t="s">
        <v>625</v>
      </c>
      <c r="C22" s="7" t="s">
        <v>2499</v>
      </c>
      <c r="D22" s="7">
        <v>15</v>
      </c>
      <c r="E22" s="7"/>
      <c r="F22" s="7"/>
      <c r="G22" s="7">
        <v>20240628</v>
      </c>
      <c r="H22" s="273" t="s">
        <v>699</v>
      </c>
      <c r="I22" s="7" t="s">
        <v>2854</v>
      </c>
      <c r="K22" s="6" t="s">
        <v>1279</v>
      </c>
      <c r="L22" s="6" t="s">
        <v>2129</v>
      </c>
      <c r="O22" s="32">
        <v>1607</v>
      </c>
      <c r="P22" s="28">
        <f t="shared" ref="P22" si="2">O22*0.75</f>
        <v>1205.25</v>
      </c>
      <c r="Q22" s="28">
        <f t="shared" ref="Q22" si="3">D22*P22</f>
        <v>18078.75</v>
      </c>
      <c r="R22" s="28"/>
    </row>
    <row r="23" spans="1:19">
      <c r="A23" s="1" t="s">
        <v>483</v>
      </c>
      <c r="B23" s="16" t="s">
        <v>2460</v>
      </c>
      <c r="C23" s="1" t="s">
        <v>887</v>
      </c>
      <c r="D23" s="1">
        <v>33</v>
      </c>
      <c r="F23" s="1">
        <v>20240123</v>
      </c>
      <c r="G23" s="1">
        <v>20240604</v>
      </c>
      <c r="H23" s="159" t="s">
        <v>790</v>
      </c>
      <c r="J23" s="7"/>
      <c r="K23" s="12" t="s">
        <v>1024</v>
      </c>
      <c r="L23" s="12" t="s">
        <v>2126</v>
      </c>
      <c r="O23" s="32">
        <v>876</v>
      </c>
      <c r="P23" s="28">
        <v>657</v>
      </c>
      <c r="Q23" s="28">
        <v>0</v>
      </c>
      <c r="R23" s="28"/>
    </row>
    <row r="24" spans="1:19">
      <c r="A24" s="1" t="s">
        <v>483</v>
      </c>
      <c r="B24" s="12" t="s">
        <v>150</v>
      </c>
      <c r="C24" s="1" t="s">
        <v>887</v>
      </c>
      <c r="D24" s="1">
        <v>25</v>
      </c>
      <c r="F24" s="21" t="s">
        <v>2983</v>
      </c>
      <c r="G24" s="1">
        <v>20201119</v>
      </c>
      <c r="H24" s="159" t="s">
        <v>699</v>
      </c>
      <c r="I24" s="145" t="s">
        <v>2806</v>
      </c>
      <c r="J24" s="3"/>
      <c r="K24" s="12" t="s">
        <v>1583</v>
      </c>
      <c r="L24" s="12" t="s">
        <v>1584</v>
      </c>
      <c r="N24" s="3" t="s">
        <v>617</v>
      </c>
      <c r="O24" s="28">
        <v>1030</v>
      </c>
      <c r="P24" s="28">
        <f>O24*0.75</f>
        <v>772.5</v>
      </c>
      <c r="Q24" s="28">
        <f t="shared" ref="Q24:Q56" si="4">D24*P24</f>
        <v>19312.5</v>
      </c>
      <c r="R24" s="28"/>
    </row>
    <row r="25" spans="1:19">
      <c r="A25" s="1" t="s">
        <v>483</v>
      </c>
      <c r="B25" s="100" t="s">
        <v>150</v>
      </c>
      <c r="C25" s="88" t="s">
        <v>888</v>
      </c>
      <c r="D25" s="14">
        <v>22</v>
      </c>
      <c r="E25" s="19"/>
      <c r="F25" s="262" t="s">
        <v>2982</v>
      </c>
      <c r="G25" s="14">
        <v>20190909</v>
      </c>
      <c r="H25" s="161" t="s">
        <v>699</v>
      </c>
      <c r="I25" s="55" t="s">
        <v>851</v>
      </c>
      <c r="J25" s="33"/>
      <c r="K25" s="12" t="s">
        <v>1583</v>
      </c>
      <c r="L25" s="12" t="s">
        <v>1584</v>
      </c>
      <c r="N25" s="3" t="s">
        <v>782</v>
      </c>
      <c r="O25" s="28">
        <v>1030</v>
      </c>
      <c r="P25" s="28">
        <f t="shared" ref="P25:P41" si="5">O25*0.75</f>
        <v>772.5</v>
      </c>
      <c r="Q25" s="28">
        <f t="shared" si="4"/>
        <v>16995</v>
      </c>
      <c r="R25" s="28"/>
    </row>
    <row r="26" spans="1:19">
      <c r="A26" s="80" t="s">
        <v>483</v>
      </c>
      <c r="B26" s="1" t="s">
        <v>458</v>
      </c>
      <c r="C26" s="12" t="s">
        <v>889</v>
      </c>
      <c r="D26" s="1">
        <v>22</v>
      </c>
      <c r="F26" s="1">
        <v>20221130</v>
      </c>
      <c r="G26" s="1">
        <v>20230131</v>
      </c>
      <c r="H26" s="159" t="s">
        <v>699</v>
      </c>
      <c r="I26" s="7"/>
      <c r="K26" s="12" t="s">
        <v>1024</v>
      </c>
      <c r="L26" s="12" t="s">
        <v>1586</v>
      </c>
      <c r="N26" s="1" t="s">
        <v>839</v>
      </c>
      <c r="O26" s="28">
        <v>2163</v>
      </c>
      <c r="P26" s="28">
        <f t="shared" si="5"/>
        <v>1622.25</v>
      </c>
      <c r="Q26" s="28">
        <f t="shared" si="4"/>
        <v>35689.5</v>
      </c>
      <c r="R26" s="28"/>
    </row>
    <row r="27" spans="1:19">
      <c r="A27" s="80" t="s">
        <v>483</v>
      </c>
      <c r="B27" s="66" t="s">
        <v>295</v>
      </c>
      <c r="C27" s="6" t="s">
        <v>841</v>
      </c>
      <c r="D27" s="6">
        <v>3</v>
      </c>
      <c r="E27" s="6"/>
      <c r="G27" s="1">
        <v>20200703</v>
      </c>
      <c r="H27" s="159" t="s">
        <v>699</v>
      </c>
      <c r="I27" s="77"/>
      <c r="J27" s="3"/>
      <c r="K27" s="12" t="s">
        <v>1583</v>
      </c>
      <c r="L27" s="12" t="s">
        <v>1584</v>
      </c>
      <c r="O27" s="28">
        <v>1030</v>
      </c>
      <c r="P27" s="28">
        <f>O27*0.75</f>
        <v>772.5</v>
      </c>
      <c r="Q27" s="28">
        <f>D27*P27</f>
        <v>2317.5</v>
      </c>
      <c r="R27" s="32"/>
    </row>
    <row r="28" spans="1:19">
      <c r="A28" s="1" t="s">
        <v>483</v>
      </c>
      <c r="B28" s="99" t="s">
        <v>295</v>
      </c>
      <c r="C28" s="1" t="s">
        <v>841</v>
      </c>
      <c r="D28" s="1">
        <v>3</v>
      </c>
      <c r="G28" s="1">
        <v>20200703</v>
      </c>
      <c r="H28" s="159" t="s">
        <v>699</v>
      </c>
      <c r="I28" s="103"/>
      <c r="K28" s="12" t="s">
        <v>1583</v>
      </c>
      <c r="L28" s="12" t="s">
        <v>1584</v>
      </c>
      <c r="O28" s="28">
        <v>1030</v>
      </c>
      <c r="P28" s="28">
        <f t="shared" si="5"/>
        <v>772.5</v>
      </c>
      <c r="Q28" s="28">
        <f t="shared" si="4"/>
        <v>2317.5</v>
      </c>
      <c r="R28" s="32"/>
    </row>
    <row r="29" spans="1:19">
      <c r="A29" s="1" t="s">
        <v>483</v>
      </c>
      <c r="B29" s="98" t="s">
        <v>151</v>
      </c>
      <c r="C29" s="13" t="s">
        <v>486</v>
      </c>
      <c r="D29" s="13">
        <v>19</v>
      </c>
      <c r="E29" s="374"/>
      <c r="F29" s="13"/>
      <c r="G29" s="13">
        <v>20200909</v>
      </c>
      <c r="H29" s="160" t="s">
        <v>699</v>
      </c>
      <c r="I29" s="374" t="s">
        <v>54</v>
      </c>
      <c r="J29" s="56"/>
      <c r="K29" s="12" t="s">
        <v>1024</v>
      </c>
      <c r="L29" s="12" t="s">
        <v>1587</v>
      </c>
      <c r="N29" s="355" t="s">
        <v>784</v>
      </c>
      <c r="O29" s="28">
        <v>803</v>
      </c>
      <c r="P29" s="28">
        <f t="shared" si="5"/>
        <v>602.25</v>
      </c>
      <c r="Q29" s="28">
        <f t="shared" si="4"/>
        <v>11442.75</v>
      </c>
      <c r="R29" s="28"/>
    </row>
    <row r="30" spans="1:19">
      <c r="A30" s="1" t="s">
        <v>483</v>
      </c>
      <c r="B30" s="99" t="s">
        <v>152</v>
      </c>
      <c r="C30" s="1" t="s">
        <v>486</v>
      </c>
      <c r="D30" s="1">
        <v>19</v>
      </c>
      <c r="E30" s="355"/>
      <c r="G30" s="1">
        <v>20200909</v>
      </c>
      <c r="H30" s="159" t="s">
        <v>699</v>
      </c>
      <c r="I30" s="355"/>
      <c r="J30" s="80"/>
      <c r="K30" s="12" t="s">
        <v>1024</v>
      </c>
      <c r="L30" s="12" t="s">
        <v>1588</v>
      </c>
      <c r="N30" s="355"/>
      <c r="O30" s="28">
        <v>783</v>
      </c>
      <c r="P30" s="28">
        <f t="shared" si="5"/>
        <v>587.25</v>
      </c>
      <c r="Q30" s="28">
        <f t="shared" si="4"/>
        <v>11157.75</v>
      </c>
      <c r="R30" s="28"/>
    </row>
    <row r="31" spans="1:19">
      <c r="A31" s="1" t="s">
        <v>483</v>
      </c>
      <c r="B31" s="100" t="s">
        <v>153</v>
      </c>
      <c r="C31" s="14" t="s">
        <v>486</v>
      </c>
      <c r="D31" s="14">
        <v>19</v>
      </c>
      <c r="E31" s="375"/>
      <c r="F31" s="14"/>
      <c r="G31" s="14">
        <v>20200909</v>
      </c>
      <c r="H31" s="161" t="s">
        <v>699</v>
      </c>
      <c r="I31" s="375"/>
      <c r="J31" s="40"/>
      <c r="K31" s="12" t="s">
        <v>1024</v>
      </c>
      <c r="L31" s="12" t="s">
        <v>1589</v>
      </c>
      <c r="N31" s="355"/>
      <c r="O31" s="28">
        <v>958</v>
      </c>
      <c r="P31" s="28">
        <f t="shared" si="5"/>
        <v>718.5</v>
      </c>
      <c r="Q31" s="28">
        <f t="shared" si="4"/>
        <v>13651.5</v>
      </c>
      <c r="R31" s="28"/>
    </row>
    <row r="32" spans="1:19">
      <c r="A32" s="1" t="s">
        <v>483</v>
      </c>
      <c r="B32" s="1" t="s">
        <v>149</v>
      </c>
      <c r="C32" s="1" t="s">
        <v>486</v>
      </c>
      <c r="D32" s="1">
        <v>50</v>
      </c>
      <c r="G32" s="1">
        <v>20201008</v>
      </c>
      <c r="H32" s="159" t="s">
        <v>699</v>
      </c>
      <c r="I32" s="12"/>
      <c r="K32" s="12" t="s">
        <v>1024</v>
      </c>
      <c r="L32" s="145" t="s">
        <v>2057</v>
      </c>
      <c r="O32" s="28">
        <v>370</v>
      </c>
      <c r="P32" s="28">
        <f t="shared" si="5"/>
        <v>277.5</v>
      </c>
      <c r="Q32" s="28">
        <f t="shared" si="4"/>
        <v>13875</v>
      </c>
      <c r="R32" s="28"/>
    </row>
    <row r="33" spans="1:18">
      <c r="A33" s="1" t="s">
        <v>483</v>
      </c>
      <c r="B33" s="1" t="s">
        <v>148</v>
      </c>
      <c r="C33" s="1" t="s">
        <v>486</v>
      </c>
      <c r="D33" s="1">
        <v>44</v>
      </c>
      <c r="G33" s="1">
        <v>20200703</v>
      </c>
      <c r="H33" s="159" t="s">
        <v>699</v>
      </c>
      <c r="I33" s="12"/>
      <c r="K33" s="12" t="s">
        <v>1024</v>
      </c>
      <c r="L33" s="12" t="s">
        <v>1590</v>
      </c>
      <c r="O33" s="28">
        <v>700</v>
      </c>
      <c r="P33" s="28">
        <f t="shared" si="5"/>
        <v>525</v>
      </c>
      <c r="Q33" s="28">
        <f t="shared" si="4"/>
        <v>23100</v>
      </c>
      <c r="R33" s="28"/>
    </row>
    <row r="34" spans="1:18" ht="17.25" customHeight="1">
      <c r="A34" s="1" t="s">
        <v>483</v>
      </c>
      <c r="B34" s="1" t="s">
        <v>361</v>
      </c>
      <c r="C34" s="1" t="s">
        <v>486</v>
      </c>
      <c r="D34" s="1">
        <v>6</v>
      </c>
      <c r="G34" s="1">
        <v>20200703</v>
      </c>
      <c r="H34" s="159" t="s">
        <v>699</v>
      </c>
      <c r="K34" s="12" t="s">
        <v>1024</v>
      </c>
      <c r="L34" s="12" t="s">
        <v>1591</v>
      </c>
      <c r="O34" s="32">
        <v>824</v>
      </c>
      <c r="P34" s="28">
        <f t="shared" si="5"/>
        <v>618</v>
      </c>
      <c r="Q34" s="28">
        <f t="shared" si="4"/>
        <v>3708</v>
      </c>
      <c r="R34" s="28"/>
    </row>
    <row r="35" spans="1:18" s="59" customFormat="1">
      <c r="A35" s="202" t="s">
        <v>489</v>
      </c>
      <c r="B35" s="6" t="s">
        <v>455</v>
      </c>
      <c r="C35" s="6" t="s">
        <v>961</v>
      </c>
      <c r="D35" s="6">
        <v>5</v>
      </c>
      <c r="E35" s="6"/>
      <c r="F35" s="6"/>
      <c r="G35" s="6">
        <v>20250106</v>
      </c>
      <c r="H35" s="159">
        <v>10</v>
      </c>
      <c r="K35" s="6" t="s">
        <v>2147</v>
      </c>
      <c r="L35" s="6" t="s">
        <v>1584</v>
      </c>
      <c r="M35" s="239"/>
      <c r="N35" s="239"/>
      <c r="O35" s="27">
        <v>649</v>
      </c>
      <c r="P35" s="28">
        <f>O35*0.75</f>
        <v>486.75</v>
      </c>
      <c r="Q35" s="28">
        <f>D35*P35</f>
        <v>2433.75</v>
      </c>
    </row>
    <row r="36" spans="1:18">
      <c r="A36" s="1" t="s">
        <v>483</v>
      </c>
      <c r="B36" s="1" t="s">
        <v>705</v>
      </c>
      <c r="C36" s="1" t="s">
        <v>961</v>
      </c>
      <c r="D36" s="1">
        <v>2</v>
      </c>
      <c r="F36" s="1">
        <v>20220511</v>
      </c>
      <c r="G36" s="1">
        <v>20220711</v>
      </c>
      <c r="H36" s="159" t="s">
        <v>699</v>
      </c>
      <c r="I36" s="12"/>
      <c r="K36" s="1" t="s">
        <v>2115</v>
      </c>
      <c r="L36" s="1" t="s">
        <v>2117</v>
      </c>
      <c r="M36" s="1" t="s">
        <v>708</v>
      </c>
      <c r="O36" s="32">
        <v>686</v>
      </c>
      <c r="P36" s="28">
        <f t="shared" si="5"/>
        <v>514.5</v>
      </c>
      <c r="Q36" s="28">
        <f t="shared" si="4"/>
        <v>1029</v>
      </c>
      <c r="R36" s="28"/>
    </row>
    <row r="37" spans="1:18">
      <c r="A37" s="1" t="s">
        <v>483</v>
      </c>
      <c r="B37" s="12" t="s">
        <v>2946</v>
      </c>
      <c r="C37" s="1" t="s">
        <v>961</v>
      </c>
      <c r="D37" s="1">
        <v>11</v>
      </c>
      <c r="E37" s="1">
        <v>2</v>
      </c>
      <c r="G37" s="1">
        <v>20250428</v>
      </c>
      <c r="H37" s="159">
        <v>10</v>
      </c>
      <c r="K37" s="12" t="s">
        <v>2939</v>
      </c>
      <c r="L37" s="1" t="s">
        <v>2947</v>
      </c>
      <c r="O37" s="28">
        <v>1066</v>
      </c>
      <c r="P37" s="28">
        <f t="shared" si="5"/>
        <v>799.5</v>
      </c>
      <c r="Q37" s="28">
        <f t="shared" si="4"/>
        <v>8794.5</v>
      </c>
      <c r="R37" s="28"/>
    </row>
    <row r="38" spans="1:18" ht="32.4">
      <c r="A38" s="1" t="s">
        <v>483</v>
      </c>
      <c r="B38" s="12" t="s">
        <v>2960</v>
      </c>
      <c r="C38" s="1" t="s">
        <v>961</v>
      </c>
      <c r="D38" s="1">
        <v>5</v>
      </c>
      <c r="G38" s="1">
        <v>20250428</v>
      </c>
      <c r="H38" s="159">
        <v>10</v>
      </c>
      <c r="K38" s="12" t="s">
        <v>2939</v>
      </c>
      <c r="L38" s="1" t="s">
        <v>2961</v>
      </c>
      <c r="M38" s="3" t="s">
        <v>2966</v>
      </c>
      <c r="O38" s="28">
        <v>5747</v>
      </c>
      <c r="P38" s="28">
        <f t="shared" si="5"/>
        <v>4310.25</v>
      </c>
      <c r="Q38" s="28">
        <f t="shared" si="4"/>
        <v>21551.25</v>
      </c>
      <c r="R38" s="28"/>
    </row>
    <row r="39" spans="1:18">
      <c r="A39" s="1" t="s">
        <v>483</v>
      </c>
      <c r="B39" s="1" t="s">
        <v>710</v>
      </c>
      <c r="C39" s="1" t="s">
        <v>873</v>
      </c>
      <c r="D39" s="1">
        <v>13</v>
      </c>
      <c r="F39" s="1">
        <v>20211214</v>
      </c>
      <c r="G39" s="1">
        <v>20220214</v>
      </c>
      <c r="H39" s="159" t="s">
        <v>699</v>
      </c>
      <c r="I39" s="7" t="s">
        <v>711</v>
      </c>
      <c r="K39" s="12" t="s">
        <v>1024</v>
      </c>
      <c r="L39" s="1" t="s">
        <v>2118</v>
      </c>
      <c r="N39"/>
      <c r="O39" s="32">
        <v>900</v>
      </c>
      <c r="P39" s="28">
        <f>O39*0.75</f>
        <v>675</v>
      </c>
      <c r="Q39" s="28">
        <f>D39*P39</f>
        <v>8775</v>
      </c>
      <c r="R39" s="28"/>
    </row>
    <row r="40" spans="1:18">
      <c r="A40" s="1" t="s">
        <v>483</v>
      </c>
      <c r="B40" s="12" t="s">
        <v>610</v>
      </c>
      <c r="C40" s="1" t="s">
        <v>873</v>
      </c>
      <c r="D40" s="1">
        <v>5</v>
      </c>
      <c r="F40" s="1">
        <v>20210114</v>
      </c>
      <c r="G40" s="1">
        <v>20220114</v>
      </c>
      <c r="H40" s="159" t="s">
        <v>699</v>
      </c>
      <c r="K40" s="12" t="s">
        <v>1024</v>
      </c>
      <c r="L40" s="1" t="s">
        <v>2121</v>
      </c>
      <c r="O40" s="28">
        <v>909</v>
      </c>
      <c r="P40" s="28">
        <f>O40*0.75</f>
        <v>681.75</v>
      </c>
      <c r="Q40" s="28">
        <f>D40*P40</f>
        <v>3408.75</v>
      </c>
      <c r="R40" s="28"/>
    </row>
    <row r="41" spans="1:18" s="6" customFormat="1">
      <c r="A41" s="6" t="s">
        <v>483</v>
      </c>
      <c r="B41" s="7" t="s">
        <v>456</v>
      </c>
      <c r="C41" s="6" t="s">
        <v>873</v>
      </c>
      <c r="D41" s="6">
        <v>33</v>
      </c>
      <c r="F41" s="6">
        <v>20240327</v>
      </c>
      <c r="G41" s="6">
        <v>20240604</v>
      </c>
      <c r="H41" s="159" t="s">
        <v>699</v>
      </c>
      <c r="I41" s="7" t="s">
        <v>2852</v>
      </c>
      <c r="K41" s="6" t="s">
        <v>1024</v>
      </c>
      <c r="L41" s="6" t="s">
        <v>2125</v>
      </c>
      <c r="M41" s="6" t="s">
        <v>2851</v>
      </c>
      <c r="O41" s="28">
        <v>742</v>
      </c>
      <c r="P41" s="28">
        <f t="shared" si="5"/>
        <v>556.5</v>
      </c>
      <c r="Q41" s="28">
        <f t="shared" si="4"/>
        <v>18364.5</v>
      </c>
      <c r="R41" s="28"/>
    </row>
    <row r="42" spans="1:18">
      <c r="A42" s="1" t="s">
        <v>483</v>
      </c>
      <c r="B42" s="214" t="s">
        <v>3104</v>
      </c>
      <c r="C42" s="11" t="s">
        <v>3088</v>
      </c>
      <c r="D42" s="11">
        <v>19</v>
      </c>
      <c r="E42" s="11"/>
      <c r="F42" s="11">
        <v>20210627</v>
      </c>
      <c r="G42" s="11">
        <v>20210827</v>
      </c>
      <c r="H42" s="162" t="s">
        <v>699</v>
      </c>
      <c r="I42" s="236" t="s">
        <v>2399</v>
      </c>
      <c r="K42" s="12" t="s">
        <v>1592</v>
      </c>
      <c r="L42" s="145" t="s">
        <v>2050</v>
      </c>
      <c r="N42" s="1" t="s">
        <v>952</v>
      </c>
      <c r="O42" s="28">
        <v>1360</v>
      </c>
      <c r="P42" s="28">
        <f t="shared" ref="P42:P54" si="6">O42*0.75</f>
        <v>1020</v>
      </c>
      <c r="Q42" s="28">
        <f t="shared" ref="Q42:Q54" si="7">D42*P42</f>
        <v>19380</v>
      </c>
      <c r="R42" s="28"/>
    </row>
    <row r="43" spans="1:18">
      <c r="A43" s="1" t="s">
        <v>483</v>
      </c>
      <c r="B43" s="1" t="s">
        <v>3092</v>
      </c>
      <c r="C43" s="13" t="s">
        <v>3088</v>
      </c>
      <c r="D43" s="1">
        <v>3</v>
      </c>
      <c r="F43" s="1">
        <v>20211118</v>
      </c>
      <c r="G43" s="1">
        <v>20220118</v>
      </c>
      <c r="H43" s="159" t="s">
        <v>699</v>
      </c>
      <c r="I43" s="7"/>
      <c r="K43" s="12" t="s">
        <v>2052</v>
      </c>
      <c r="L43" s="12" t="s">
        <v>2055</v>
      </c>
      <c r="O43" s="28">
        <v>779</v>
      </c>
      <c r="P43" s="28">
        <f t="shared" si="6"/>
        <v>584.25</v>
      </c>
      <c r="Q43" s="28">
        <f t="shared" si="7"/>
        <v>1752.75</v>
      </c>
      <c r="R43" s="28"/>
    </row>
    <row r="44" spans="1:18">
      <c r="A44" s="1" t="s">
        <v>483</v>
      </c>
      <c r="B44" s="1" t="s">
        <v>3093</v>
      </c>
      <c r="C44" s="14" t="s">
        <v>3088</v>
      </c>
      <c r="D44" s="1">
        <v>3</v>
      </c>
      <c r="F44" s="1">
        <v>20211118</v>
      </c>
      <c r="G44" s="1">
        <v>20220118</v>
      </c>
      <c r="H44" s="159" t="s">
        <v>699</v>
      </c>
      <c r="I44" s="7"/>
      <c r="K44" s="12" t="s">
        <v>2052</v>
      </c>
      <c r="L44" s="12" t="s">
        <v>2056</v>
      </c>
      <c r="O44" s="28">
        <v>491</v>
      </c>
      <c r="P44" s="28">
        <f t="shared" si="6"/>
        <v>368.25</v>
      </c>
      <c r="Q44" s="28">
        <f t="shared" si="7"/>
        <v>1104.75</v>
      </c>
      <c r="R44" s="28"/>
    </row>
    <row r="45" spans="1:18" s="7" customFormat="1" ht="16.2" customHeight="1">
      <c r="A45" s="1" t="s">
        <v>483</v>
      </c>
      <c r="B45" s="214" t="s">
        <v>622</v>
      </c>
      <c r="C45" s="215" t="s">
        <v>726</v>
      </c>
      <c r="D45" s="151">
        <v>30</v>
      </c>
      <c r="E45" s="11"/>
      <c r="F45" s="11">
        <v>20220115</v>
      </c>
      <c r="G45" s="11">
        <v>20220315</v>
      </c>
      <c r="H45" s="162" t="s">
        <v>699</v>
      </c>
      <c r="I45" s="152" t="s">
        <v>2398</v>
      </c>
      <c r="J45" s="1"/>
      <c r="K45" s="12" t="s">
        <v>1279</v>
      </c>
      <c r="L45" s="145" t="s">
        <v>2050</v>
      </c>
      <c r="M45" s="1"/>
      <c r="N45" s="1" t="s">
        <v>890</v>
      </c>
      <c r="O45" s="28">
        <v>2369</v>
      </c>
      <c r="P45" s="28">
        <f t="shared" si="6"/>
        <v>1776.75</v>
      </c>
      <c r="Q45" s="28">
        <f t="shared" si="7"/>
        <v>53302.5</v>
      </c>
      <c r="R45" s="28"/>
    </row>
    <row r="46" spans="1:18">
      <c r="A46" s="1" t="s">
        <v>483</v>
      </c>
      <c r="B46" s="272" t="s">
        <v>3098</v>
      </c>
      <c r="C46" s="271" t="s">
        <v>3088</v>
      </c>
      <c r="D46" s="271">
        <v>29</v>
      </c>
      <c r="E46" s="374"/>
      <c r="F46" s="374">
        <v>20220111</v>
      </c>
      <c r="G46" s="374">
        <v>20220311</v>
      </c>
      <c r="H46" s="160" t="s">
        <v>699</v>
      </c>
      <c r="I46" s="374" t="s">
        <v>629</v>
      </c>
      <c r="J46" s="56"/>
      <c r="K46" s="12" t="s">
        <v>1024</v>
      </c>
      <c r="L46" s="12" t="s">
        <v>2059</v>
      </c>
      <c r="N46" s="355" t="s">
        <v>886</v>
      </c>
      <c r="O46" s="32">
        <v>989</v>
      </c>
      <c r="P46" s="28">
        <f t="shared" si="6"/>
        <v>741.75</v>
      </c>
      <c r="Q46" s="28">
        <f t="shared" si="7"/>
        <v>21510.75</v>
      </c>
      <c r="R46" s="28"/>
    </row>
    <row r="47" spans="1:18">
      <c r="A47" s="1" t="s">
        <v>483</v>
      </c>
      <c r="B47" s="102" t="s">
        <v>3099</v>
      </c>
      <c r="C47" s="7" t="s">
        <v>726</v>
      </c>
      <c r="D47" s="7">
        <v>29</v>
      </c>
      <c r="E47" s="355"/>
      <c r="F47" s="355"/>
      <c r="G47" s="355"/>
      <c r="H47" s="159" t="s">
        <v>699</v>
      </c>
      <c r="I47" s="355"/>
      <c r="J47" s="80"/>
      <c r="K47" s="12" t="s">
        <v>1024</v>
      </c>
      <c r="L47" s="12" t="s">
        <v>2060</v>
      </c>
      <c r="N47" s="355"/>
      <c r="O47" s="32">
        <v>1133</v>
      </c>
      <c r="P47" s="28">
        <f t="shared" si="6"/>
        <v>849.75</v>
      </c>
      <c r="Q47" s="28">
        <f t="shared" si="7"/>
        <v>24642.75</v>
      </c>
      <c r="R47" s="28"/>
    </row>
    <row r="48" spans="1:18">
      <c r="A48" s="1" t="s">
        <v>483</v>
      </c>
      <c r="B48" s="1" t="s">
        <v>613</v>
      </c>
      <c r="C48" s="1" t="s">
        <v>726</v>
      </c>
      <c r="D48" s="1">
        <v>2</v>
      </c>
      <c r="F48" s="1">
        <v>20211114</v>
      </c>
      <c r="G48" s="1">
        <v>20220114</v>
      </c>
      <c r="H48" s="159" t="s">
        <v>699</v>
      </c>
      <c r="K48" s="12" t="s">
        <v>2051</v>
      </c>
      <c r="L48" s="148" t="s">
        <v>2113</v>
      </c>
      <c r="N48" s="1" t="s">
        <v>614</v>
      </c>
      <c r="O48" s="32">
        <v>630</v>
      </c>
      <c r="P48" s="28">
        <f t="shared" si="6"/>
        <v>472.5</v>
      </c>
      <c r="Q48" s="28">
        <f t="shared" si="7"/>
        <v>945</v>
      </c>
      <c r="R48" s="28"/>
    </row>
    <row r="49" spans="1:18">
      <c r="A49" s="1" t="s">
        <v>483</v>
      </c>
      <c r="B49" s="1" t="s">
        <v>3087</v>
      </c>
      <c r="C49" s="1" t="s">
        <v>3088</v>
      </c>
      <c r="D49" s="1">
        <v>1</v>
      </c>
      <c r="F49" s="1">
        <v>20211114</v>
      </c>
      <c r="G49" s="1">
        <v>20220114</v>
      </c>
      <c r="H49" s="159" t="s">
        <v>699</v>
      </c>
      <c r="K49" s="1" t="s">
        <v>2111</v>
      </c>
      <c r="L49" s="172" t="s">
        <v>2112</v>
      </c>
      <c r="N49" s="1" t="s">
        <v>663</v>
      </c>
      <c r="O49" s="32">
        <v>970</v>
      </c>
      <c r="P49" s="28">
        <f t="shared" si="6"/>
        <v>727.5</v>
      </c>
      <c r="Q49" s="28">
        <f t="shared" si="7"/>
        <v>727.5</v>
      </c>
      <c r="R49" s="28"/>
    </row>
    <row r="50" spans="1:18">
      <c r="A50" s="1" t="s">
        <v>483</v>
      </c>
      <c r="B50" s="1" t="s">
        <v>3085</v>
      </c>
      <c r="C50" s="1" t="s">
        <v>3086</v>
      </c>
      <c r="D50" s="1">
        <v>1</v>
      </c>
      <c r="F50" s="1">
        <v>20211118</v>
      </c>
      <c r="G50" s="1">
        <v>20220118</v>
      </c>
      <c r="H50" s="159" t="s">
        <v>699</v>
      </c>
      <c r="I50" s="7"/>
      <c r="K50" s="12" t="s">
        <v>2052</v>
      </c>
      <c r="L50" s="12" t="s">
        <v>2053</v>
      </c>
      <c r="N50" s="1" t="s">
        <v>662</v>
      </c>
      <c r="O50" s="28">
        <v>973</v>
      </c>
      <c r="P50" s="28">
        <f>O50*0.75</f>
        <v>729.75</v>
      </c>
      <c r="Q50" s="28">
        <f>D50*P50</f>
        <v>729.75</v>
      </c>
      <c r="R50" s="28"/>
    </row>
    <row r="51" spans="1:18">
      <c r="A51" s="1" t="s">
        <v>483</v>
      </c>
      <c r="B51" s="1" t="s">
        <v>3089</v>
      </c>
      <c r="C51" s="1" t="s">
        <v>3090</v>
      </c>
      <c r="D51" s="1">
        <v>4</v>
      </c>
      <c r="F51" s="1">
        <v>20210121</v>
      </c>
      <c r="G51" s="1">
        <v>20220121</v>
      </c>
      <c r="H51" s="159" t="s">
        <v>699</v>
      </c>
      <c r="I51" s="7"/>
      <c r="K51" s="12" t="s">
        <v>2052</v>
      </c>
      <c r="L51" s="12" t="s">
        <v>2054</v>
      </c>
      <c r="N51" s="1">
        <v>20</v>
      </c>
      <c r="O51" s="28">
        <v>927</v>
      </c>
      <c r="P51" s="28">
        <f>O51*0.75</f>
        <v>695.25</v>
      </c>
      <c r="Q51" s="28">
        <f>D51*P51</f>
        <v>2781</v>
      </c>
      <c r="R51" s="28"/>
    </row>
    <row r="52" spans="1:18">
      <c r="A52" s="1" t="s">
        <v>483</v>
      </c>
      <c r="B52" s="15" t="s">
        <v>3096</v>
      </c>
      <c r="C52" s="13" t="s">
        <v>3090</v>
      </c>
      <c r="D52" s="13">
        <v>17</v>
      </c>
      <c r="E52" s="374"/>
      <c r="F52" s="374">
        <v>20220101</v>
      </c>
      <c r="G52" s="374">
        <v>20220301</v>
      </c>
      <c r="H52" s="160" t="s">
        <v>699</v>
      </c>
      <c r="I52" s="374" t="s">
        <v>626</v>
      </c>
      <c r="J52" s="56"/>
      <c r="K52" s="12" t="s">
        <v>1024</v>
      </c>
      <c r="L52" s="12" t="s">
        <v>2130</v>
      </c>
      <c r="N52" s="355">
        <v>34</v>
      </c>
      <c r="O52" s="32">
        <v>967</v>
      </c>
      <c r="P52" s="28">
        <f t="shared" si="6"/>
        <v>725.25</v>
      </c>
      <c r="Q52" s="28">
        <f t="shared" si="7"/>
        <v>12329.25</v>
      </c>
      <c r="R52" s="28"/>
    </row>
    <row r="53" spans="1:18">
      <c r="A53" s="1" t="s">
        <v>483</v>
      </c>
      <c r="B53" s="17" t="s">
        <v>3097</v>
      </c>
      <c r="C53" s="14" t="s">
        <v>3090</v>
      </c>
      <c r="D53" s="14">
        <v>17</v>
      </c>
      <c r="E53" s="375"/>
      <c r="F53" s="375"/>
      <c r="G53" s="375"/>
      <c r="H53" s="161" t="s">
        <v>699</v>
      </c>
      <c r="I53" s="375"/>
      <c r="J53" s="40"/>
      <c r="K53" s="12" t="s">
        <v>1024</v>
      </c>
      <c r="L53" s="12" t="s">
        <v>2127</v>
      </c>
      <c r="N53" s="355"/>
      <c r="O53" s="32">
        <v>824</v>
      </c>
      <c r="P53" s="28">
        <f t="shared" si="6"/>
        <v>618</v>
      </c>
      <c r="Q53" s="28">
        <f t="shared" si="7"/>
        <v>10506</v>
      </c>
      <c r="R53" s="28"/>
    </row>
    <row r="54" spans="1:18" s="6" customFormat="1">
      <c r="A54" s="6" t="s">
        <v>483</v>
      </c>
      <c r="B54" s="6" t="s">
        <v>452</v>
      </c>
      <c r="C54" s="1" t="s">
        <v>725</v>
      </c>
      <c r="D54" s="6">
        <v>12</v>
      </c>
      <c r="F54" s="6">
        <v>20211220</v>
      </c>
      <c r="G54" s="6">
        <v>20220220</v>
      </c>
      <c r="H54" s="159" t="s">
        <v>699</v>
      </c>
      <c r="K54" s="6" t="s">
        <v>1279</v>
      </c>
      <c r="L54" s="6" t="s">
        <v>2114</v>
      </c>
      <c r="N54" s="6" t="s">
        <v>783</v>
      </c>
      <c r="O54" s="32">
        <v>845</v>
      </c>
      <c r="P54" s="28">
        <f t="shared" si="6"/>
        <v>633.75</v>
      </c>
      <c r="Q54" s="28">
        <f t="shared" si="7"/>
        <v>7605</v>
      </c>
      <c r="R54" s="28"/>
    </row>
    <row r="55" spans="1:18" s="12" customFormat="1">
      <c r="A55" s="4" t="s">
        <v>483</v>
      </c>
      <c r="B55" s="12" t="s">
        <v>3091</v>
      </c>
      <c r="C55" s="14" t="s">
        <v>3090</v>
      </c>
      <c r="D55" s="12">
        <v>6</v>
      </c>
      <c r="G55" s="12">
        <v>20240222</v>
      </c>
      <c r="H55" s="159">
        <v>10</v>
      </c>
      <c r="K55" s="12" t="s">
        <v>2845</v>
      </c>
      <c r="L55" s="145" t="s">
        <v>2846</v>
      </c>
      <c r="O55" s="28">
        <v>1664</v>
      </c>
      <c r="P55" s="28">
        <f>O55*0.75</f>
        <v>1248</v>
      </c>
      <c r="Q55" s="28">
        <f>D55*P55</f>
        <v>7488</v>
      </c>
    </row>
    <row r="56" spans="1:18">
      <c r="A56" s="1" t="s">
        <v>483</v>
      </c>
      <c r="B56" s="16" t="s">
        <v>2695</v>
      </c>
      <c r="C56" s="1" t="s">
        <v>2641</v>
      </c>
      <c r="D56" s="1">
        <v>1</v>
      </c>
      <c r="G56" s="1">
        <v>20240930</v>
      </c>
      <c r="H56" s="159">
        <v>10</v>
      </c>
      <c r="J56" s="7"/>
      <c r="K56" s="12" t="s">
        <v>2696</v>
      </c>
      <c r="L56" s="12" t="s">
        <v>2697</v>
      </c>
      <c r="O56" s="32">
        <v>361</v>
      </c>
      <c r="P56" s="28">
        <v>486.75</v>
      </c>
      <c r="Q56" s="28">
        <f t="shared" si="4"/>
        <v>486.75</v>
      </c>
      <c r="R56" s="28"/>
    </row>
    <row r="57" spans="1:18">
      <c r="D57" s="104">
        <f>SUM(D4:D56)</f>
        <v>570</v>
      </c>
      <c r="E57" s="109">
        <f>ROW()-4</f>
        <v>53</v>
      </c>
      <c r="Q57" s="31">
        <f>SUM(Q4:Q56)</f>
        <v>440597.25</v>
      </c>
    </row>
    <row r="58" spans="1:18">
      <c r="D58" s="171"/>
      <c r="E58" s="171"/>
      <c r="Q58" s="31"/>
    </row>
    <row r="59" spans="1:18">
      <c r="D59" s="171"/>
      <c r="E59" s="171"/>
      <c r="Q59" s="31"/>
    </row>
    <row r="60" spans="1:18">
      <c r="D60" s="171"/>
      <c r="E60" s="171"/>
      <c r="Q60" s="31"/>
    </row>
    <row r="61" spans="1:18">
      <c r="D61" s="171"/>
      <c r="E61" s="171"/>
    </row>
    <row r="62" spans="1:18">
      <c r="A62" s="38"/>
      <c r="B62" s="38" t="s">
        <v>353</v>
      </c>
      <c r="C62" s="38"/>
      <c r="D62" s="38"/>
      <c r="E62" s="38"/>
      <c r="F62" s="38"/>
      <c r="G62" s="38"/>
      <c r="H62" s="164"/>
      <c r="I62" s="38"/>
      <c r="J62" s="38"/>
      <c r="K62" s="38"/>
      <c r="L62" s="38"/>
      <c r="M62" s="61"/>
      <c r="N62" s="38"/>
      <c r="O62" s="38"/>
      <c r="P62" s="54"/>
      <c r="Q62" s="54"/>
      <c r="R62" s="54"/>
    </row>
    <row r="63" spans="1:18">
      <c r="A63" s="1" t="s">
        <v>483</v>
      </c>
      <c r="B63" s="8" t="s">
        <v>703</v>
      </c>
      <c r="C63" s="65" t="s">
        <v>961</v>
      </c>
      <c r="D63" s="65">
        <v>0</v>
      </c>
      <c r="E63" s="7" t="s">
        <v>2411</v>
      </c>
      <c r="F63" s="1">
        <v>20220511</v>
      </c>
      <c r="G63" s="1">
        <v>20220711</v>
      </c>
      <c r="H63" s="159" t="s">
        <v>699</v>
      </c>
      <c r="I63" s="12"/>
      <c r="K63" s="12" t="s">
        <v>1024</v>
      </c>
      <c r="L63" s="189" t="s">
        <v>1868</v>
      </c>
      <c r="M63" s="1" t="s">
        <v>709</v>
      </c>
      <c r="N63" s="1" t="s">
        <v>850</v>
      </c>
      <c r="O63" s="32">
        <v>2079</v>
      </c>
      <c r="P63" s="28">
        <f>O63*0.75</f>
        <v>1559.25</v>
      </c>
      <c r="Q63" s="28">
        <f t="shared" ref="Q63:Q69" si="8">D63*P63</f>
        <v>0</v>
      </c>
      <c r="R63" s="28"/>
    </row>
    <row r="64" spans="1:18">
      <c r="A64" s="1" t="s">
        <v>483</v>
      </c>
      <c r="B64" s="8" t="s">
        <v>704</v>
      </c>
      <c r="C64" s="65" t="s">
        <v>873</v>
      </c>
      <c r="D64" s="65">
        <v>0</v>
      </c>
      <c r="F64" s="1">
        <v>20211218</v>
      </c>
      <c r="G64" s="1">
        <v>20220218</v>
      </c>
      <c r="H64" s="159" t="s">
        <v>699</v>
      </c>
      <c r="I64" s="12"/>
      <c r="K64" s="12" t="s">
        <v>1024</v>
      </c>
      <c r="L64" s="1">
        <v>0</v>
      </c>
      <c r="O64" s="32">
        <v>840</v>
      </c>
      <c r="P64" s="28">
        <f>O64*0.75</f>
        <v>630</v>
      </c>
      <c r="Q64" s="28">
        <f t="shared" si="8"/>
        <v>0</v>
      </c>
      <c r="R64" s="28"/>
    </row>
    <row r="65" spans="1:18">
      <c r="A65" s="1" t="s">
        <v>483</v>
      </c>
      <c r="B65" s="275" t="s">
        <v>59</v>
      </c>
      <c r="C65" s="68" t="s">
        <v>873</v>
      </c>
      <c r="D65" s="68">
        <v>0</v>
      </c>
      <c r="E65" s="292" t="s">
        <v>2442</v>
      </c>
      <c r="G65" s="1">
        <v>20240604</v>
      </c>
      <c r="H65" s="159">
        <v>10</v>
      </c>
      <c r="K65" s="1" t="s">
        <v>1671</v>
      </c>
      <c r="L65" s="172" t="s">
        <v>2123</v>
      </c>
      <c r="N65" s="1" t="s">
        <v>2443</v>
      </c>
      <c r="O65" s="28">
        <v>2060</v>
      </c>
      <c r="P65" s="28">
        <f>O65*0.75</f>
        <v>1545</v>
      </c>
      <c r="Q65" s="28">
        <f t="shared" si="8"/>
        <v>0</v>
      </c>
    </row>
    <row r="66" spans="1:18">
      <c r="A66" s="1" t="s">
        <v>483</v>
      </c>
      <c r="B66" s="8" t="s">
        <v>706</v>
      </c>
      <c r="C66" s="65" t="s">
        <v>961</v>
      </c>
      <c r="D66" s="65">
        <v>0</v>
      </c>
      <c r="F66" s="1">
        <v>20220511</v>
      </c>
      <c r="G66" s="1">
        <v>20220711</v>
      </c>
      <c r="H66" s="159" t="s">
        <v>699</v>
      </c>
      <c r="I66" s="12"/>
      <c r="K66" s="1" t="s">
        <v>2115</v>
      </c>
      <c r="L66" s="1" t="s">
        <v>2116</v>
      </c>
      <c r="M66" s="1" t="s">
        <v>707</v>
      </c>
      <c r="O66" s="32">
        <v>695</v>
      </c>
      <c r="P66" s="28">
        <f>O66*0.75</f>
        <v>521.25</v>
      </c>
      <c r="Q66" s="28">
        <f t="shared" si="8"/>
        <v>0</v>
      </c>
      <c r="R66" s="28"/>
    </row>
    <row r="67" spans="1:18">
      <c r="A67" s="1" t="s">
        <v>483</v>
      </c>
      <c r="B67" s="317" t="s">
        <v>2461</v>
      </c>
      <c r="C67" s="65" t="s">
        <v>2464</v>
      </c>
      <c r="D67" s="65">
        <v>0</v>
      </c>
      <c r="F67" s="1">
        <v>20240327</v>
      </c>
      <c r="G67" s="1">
        <v>20240604</v>
      </c>
      <c r="H67" s="159" t="s">
        <v>790</v>
      </c>
      <c r="J67" s="7"/>
      <c r="K67" s="12" t="s">
        <v>2128</v>
      </c>
      <c r="L67" s="12" t="s">
        <v>2463</v>
      </c>
      <c r="O67" s="32">
        <v>649</v>
      </c>
      <c r="P67" s="28">
        <v>486.75</v>
      </c>
      <c r="Q67" s="28">
        <f t="shared" si="8"/>
        <v>0</v>
      </c>
      <c r="R67" s="28"/>
    </row>
    <row r="68" spans="1:18">
      <c r="A68" s="1" t="s">
        <v>483</v>
      </c>
      <c r="B68" s="299" t="s">
        <v>2462</v>
      </c>
      <c r="C68" s="65" t="s">
        <v>1794</v>
      </c>
      <c r="D68" s="65">
        <v>0</v>
      </c>
      <c r="F68" s="1">
        <v>20240327</v>
      </c>
      <c r="G68" s="1">
        <v>20240604</v>
      </c>
      <c r="H68" s="159">
        <v>10</v>
      </c>
      <c r="J68" s="7"/>
      <c r="K68" s="12" t="s">
        <v>2465</v>
      </c>
      <c r="L68" s="12" t="s">
        <v>2466</v>
      </c>
      <c r="O68" s="32">
        <v>649</v>
      </c>
      <c r="P68" s="28">
        <v>486.75</v>
      </c>
      <c r="Q68" s="28">
        <f t="shared" si="8"/>
        <v>0</v>
      </c>
      <c r="R68" s="28"/>
    </row>
    <row r="69" spans="1:18">
      <c r="A69" s="4" t="s">
        <v>483</v>
      </c>
      <c r="B69" s="101" t="s">
        <v>2235</v>
      </c>
      <c r="C69" s="65" t="s">
        <v>486</v>
      </c>
      <c r="D69" s="101">
        <v>0</v>
      </c>
      <c r="E69" s="12"/>
      <c r="F69" s="12">
        <v>20230905</v>
      </c>
      <c r="G69" s="12">
        <v>20240201</v>
      </c>
      <c r="H69" s="159">
        <v>10</v>
      </c>
      <c r="I69" s="12"/>
      <c r="J69" s="12"/>
      <c r="K69" s="12" t="s">
        <v>1024</v>
      </c>
      <c r="L69" s="145" t="s">
        <v>2236</v>
      </c>
      <c r="M69" s="12" t="s">
        <v>2237</v>
      </c>
      <c r="N69" s="12" t="s">
        <v>2256</v>
      </c>
      <c r="O69" s="28">
        <v>819</v>
      </c>
      <c r="P69" s="28">
        <f t="shared" ref="P69" si="9">O69*0.75</f>
        <v>614.25</v>
      </c>
      <c r="Q69" s="28">
        <f t="shared" si="8"/>
        <v>0</v>
      </c>
    </row>
    <row r="70" spans="1:18">
      <c r="A70" s="1" t="s">
        <v>483</v>
      </c>
      <c r="B70" s="317" t="s">
        <v>687</v>
      </c>
      <c r="C70" s="65" t="s">
        <v>887</v>
      </c>
      <c r="D70" s="65">
        <v>0</v>
      </c>
      <c r="F70" s="1">
        <v>20220415</v>
      </c>
      <c r="G70" s="1">
        <v>20220615</v>
      </c>
      <c r="H70" s="159" t="s">
        <v>699</v>
      </c>
      <c r="K70" s="12" t="s">
        <v>1024</v>
      </c>
      <c r="L70" s="1" t="s">
        <v>2110</v>
      </c>
      <c r="O70" s="32">
        <v>1187</v>
      </c>
      <c r="P70" s="28">
        <f t="shared" ref="P70:P77" si="10">O70*0.75</f>
        <v>890.25</v>
      </c>
      <c r="Q70" s="28">
        <f t="shared" ref="Q70:Q77" si="11">D70*P70</f>
        <v>0</v>
      </c>
      <c r="R70" s="28"/>
    </row>
    <row r="71" spans="1:18">
      <c r="A71" s="1" t="s">
        <v>483</v>
      </c>
      <c r="B71" s="101" t="s">
        <v>611</v>
      </c>
      <c r="C71" s="65" t="s">
        <v>961</v>
      </c>
      <c r="D71" s="65">
        <v>0</v>
      </c>
      <c r="F71" s="1">
        <v>20210114</v>
      </c>
      <c r="G71" s="1">
        <v>20220114</v>
      </c>
      <c r="H71" s="159" t="s">
        <v>699</v>
      </c>
      <c r="K71" s="12" t="s">
        <v>1024</v>
      </c>
      <c r="L71" s="1" t="s">
        <v>2119</v>
      </c>
      <c r="O71" s="28">
        <v>556</v>
      </c>
      <c r="P71" s="28">
        <f t="shared" si="10"/>
        <v>417</v>
      </c>
      <c r="Q71" s="28">
        <f t="shared" si="11"/>
        <v>0</v>
      </c>
      <c r="R71" s="28"/>
    </row>
    <row r="72" spans="1:18">
      <c r="A72" s="1" t="s">
        <v>483</v>
      </c>
      <c r="B72" s="336" t="s">
        <v>993</v>
      </c>
      <c r="C72" s="68" t="s">
        <v>873</v>
      </c>
      <c r="D72" s="68">
        <v>0</v>
      </c>
      <c r="E72" s="58" t="s">
        <v>2413</v>
      </c>
      <c r="F72" s="1">
        <v>20230524</v>
      </c>
      <c r="G72" s="1">
        <v>20230724</v>
      </c>
      <c r="H72" s="159" t="s">
        <v>699</v>
      </c>
      <c r="K72" s="1" t="s">
        <v>2122</v>
      </c>
      <c r="L72" s="172" t="s">
        <v>2123</v>
      </c>
      <c r="O72" s="28">
        <v>2060</v>
      </c>
      <c r="P72" s="28">
        <f t="shared" si="10"/>
        <v>1545</v>
      </c>
      <c r="Q72" s="28">
        <f t="shared" si="11"/>
        <v>0</v>
      </c>
    </row>
    <row r="73" spans="1:18">
      <c r="A73" s="1" t="s">
        <v>483</v>
      </c>
      <c r="B73" s="290" t="s">
        <v>3102</v>
      </c>
      <c r="C73" s="283" t="s">
        <v>3103</v>
      </c>
      <c r="D73" s="283">
        <v>0</v>
      </c>
      <c r="E73" s="270" t="s">
        <v>2412</v>
      </c>
      <c r="F73" s="1">
        <v>20230504</v>
      </c>
      <c r="G73" s="1">
        <v>20230704</v>
      </c>
      <c r="H73" s="159" t="s">
        <v>699</v>
      </c>
      <c r="K73" s="1" t="s">
        <v>2122</v>
      </c>
      <c r="L73" s="172" t="s">
        <v>2123</v>
      </c>
      <c r="M73" s="1" t="s">
        <v>958</v>
      </c>
      <c r="O73" s="28">
        <v>2060</v>
      </c>
      <c r="P73" s="28">
        <f t="shared" si="10"/>
        <v>1545</v>
      </c>
      <c r="Q73" s="28">
        <f t="shared" si="11"/>
        <v>0</v>
      </c>
    </row>
    <row r="74" spans="1:18">
      <c r="A74" s="15" t="s">
        <v>483</v>
      </c>
      <c r="B74" s="290" t="s">
        <v>1798</v>
      </c>
      <c r="C74" s="283" t="s">
        <v>1800</v>
      </c>
      <c r="D74" s="283">
        <v>0</v>
      </c>
      <c r="E74" s="374"/>
      <c r="F74" s="13"/>
      <c r="G74" s="13">
        <v>20230914</v>
      </c>
      <c r="H74" s="160" t="s">
        <v>699</v>
      </c>
      <c r="I74" s="374" t="s">
        <v>54</v>
      </c>
      <c r="J74" s="376" t="s">
        <v>1801</v>
      </c>
      <c r="K74" s="12" t="s">
        <v>1592</v>
      </c>
      <c r="L74" s="172" t="s">
        <v>2124</v>
      </c>
      <c r="O74" s="32">
        <v>1360</v>
      </c>
      <c r="P74" s="28">
        <f t="shared" si="10"/>
        <v>1020</v>
      </c>
      <c r="Q74" s="28">
        <f t="shared" si="11"/>
        <v>0</v>
      </c>
      <c r="R74" s="28"/>
    </row>
    <row r="75" spans="1:18">
      <c r="A75" s="16" t="s">
        <v>483</v>
      </c>
      <c r="B75" s="299" t="s">
        <v>1799</v>
      </c>
      <c r="C75" s="65" t="s">
        <v>1800</v>
      </c>
      <c r="D75" s="65">
        <v>0</v>
      </c>
      <c r="E75" s="355"/>
      <c r="G75" s="1">
        <v>20230914</v>
      </c>
      <c r="H75" s="159" t="s">
        <v>699</v>
      </c>
      <c r="I75" s="355"/>
      <c r="J75" s="410"/>
      <c r="K75" s="12" t="s">
        <v>1024</v>
      </c>
      <c r="L75" s="12" t="s">
        <v>2130</v>
      </c>
      <c r="O75" s="32">
        <v>967</v>
      </c>
      <c r="P75" s="28">
        <f t="shared" si="10"/>
        <v>725.25</v>
      </c>
      <c r="Q75" s="28">
        <f t="shared" si="11"/>
        <v>0</v>
      </c>
      <c r="R75" s="28"/>
    </row>
    <row r="76" spans="1:18">
      <c r="A76" s="17" t="s">
        <v>483</v>
      </c>
      <c r="B76" s="275" t="s">
        <v>3097</v>
      </c>
      <c r="C76" s="68" t="s">
        <v>1800</v>
      </c>
      <c r="D76" s="68">
        <v>0</v>
      </c>
      <c r="E76" s="375"/>
      <c r="F76" s="14"/>
      <c r="G76" s="14">
        <v>20230914</v>
      </c>
      <c r="H76" s="161" t="s">
        <v>699</v>
      </c>
      <c r="I76" s="375"/>
      <c r="J76" s="377"/>
      <c r="K76" s="12" t="s">
        <v>1024</v>
      </c>
      <c r="L76" s="12" t="s">
        <v>2127</v>
      </c>
      <c r="O76" s="32">
        <v>824</v>
      </c>
      <c r="P76" s="28">
        <f t="shared" si="10"/>
        <v>618</v>
      </c>
      <c r="Q76" s="28">
        <f t="shared" si="11"/>
        <v>0</v>
      </c>
      <c r="R76" s="28"/>
    </row>
    <row r="77" spans="1:18">
      <c r="A77" s="1" t="s">
        <v>483</v>
      </c>
      <c r="B77" s="337" t="s">
        <v>3100</v>
      </c>
      <c r="C77" s="278" t="s">
        <v>3101</v>
      </c>
      <c r="D77" s="283">
        <v>0</v>
      </c>
      <c r="E77" s="55"/>
      <c r="F77" s="13"/>
      <c r="G77" s="13">
        <v>20190909</v>
      </c>
      <c r="H77" s="160" t="s">
        <v>699</v>
      </c>
      <c r="I77" s="55" t="s">
        <v>851</v>
      </c>
      <c r="J77" s="34"/>
      <c r="K77" s="12" t="s">
        <v>1585</v>
      </c>
      <c r="L77" s="145" t="s">
        <v>2058</v>
      </c>
      <c r="N77" s="3" t="s">
        <v>852</v>
      </c>
      <c r="O77" s="28">
        <v>2266</v>
      </c>
      <c r="P77" s="28">
        <f t="shared" si="10"/>
        <v>1699.5</v>
      </c>
      <c r="Q77" s="28">
        <f t="shared" si="11"/>
        <v>0</v>
      </c>
      <c r="R77" s="28"/>
    </row>
    <row r="78" spans="1:18">
      <c r="A78" s="1" t="s">
        <v>483</v>
      </c>
      <c r="B78" s="101" t="s">
        <v>612</v>
      </c>
      <c r="C78" s="65" t="s">
        <v>961</v>
      </c>
      <c r="D78" s="65">
        <v>0</v>
      </c>
      <c r="F78" s="1">
        <v>20210114</v>
      </c>
      <c r="G78" s="1">
        <v>20220114</v>
      </c>
      <c r="H78" s="159" t="s">
        <v>699</v>
      </c>
      <c r="K78" s="12" t="s">
        <v>1024</v>
      </c>
      <c r="L78" s="1" t="s">
        <v>2120</v>
      </c>
      <c r="O78" s="28">
        <v>436</v>
      </c>
      <c r="P78" s="28">
        <f>O78*0.75</f>
        <v>327</v>
      </c>
      <c r="Q78" s="28">
        <f>D78*P78</f>
        <v>0</v>
      </c>
      <c r="R78" s="28"/>
    </row>
    <row r="79" spans="1:18" s="6" customFormat="1">
      <c r="A79" s="6" t="s">
        <v>483</v>
      </c>
      <c r="B79" s="65" t="s">
        <v>452</v>
      </c>
      <c r="C79" s="65" t="s">
        <v>887</v>
      </c>
      <c r="D79" s="65">
        <v>4</v>
      </c>
      <c r="F79" s="6">
        <v>20181002</v>
      </c>
      <c r="G79" s="6">
        <v>20250106</v>
      </c>
      <c r="H79" s="159" t="s">
        <v>699</v>
      </c>
      <c r="K79" s="6" t="s">
        <v>1279</v>
      </c>
      <c r="L79" s="6" t="s">
        <v>2114</v>
      </c>
      <c r="M79" s="6" t="s">
        <v>2804</v>
      </c>
      <c r="N79" s="6" t="s">
        <v>2805</v>
      </c>
      <c r="O79" s="32">
        <v>845</v>
      </c>
      <c r="P79" s="28">
        <f t="shared" ref="P79" si="12">O79*0.75</f>
        <v>633.75</v>
      </c>
      <c r="Q79" s="28">
        <f t="shared" ref="Q79" si="13">D79*P79</f>
        <v>2535</v>
      </c>
      <c r="R79" s="28"/>
    </row>
    <row r="118" spans="13:13">
      <c r="M118" s="12"/>
    </row>
  </sheetData>
  <autoFilter ref="A3:N57" xr:uid="{00000000-0009-0000-0000-000012000000}"/>
  <mergeCells count="24">
    <mergeCell ref="N52:N53"/>
    <mergeCell ref="A1:J1"/>
    <mergeCell ref="N46:N47"/>
    <mergeCell ref="N29:N31"/>
    <mergeCell ref="E19:E21"/>
    <mergeCell ref="I46:I47"/>
    <mergeCell ref="F52:F53"/>
    <mergeCell ref="I52:I53"/>
    <mergeCell ref="G20:G21"/>
    <mergeCell ref="I20:I21"/>
    <mergeCell ref="N20:N21"/>
    <mergeCell ref="J19:J21"/>
    <mergeCell ref="F19:F21"/>
    <mergeCell ref="I29:I31"/>
    <mergeCell ref="E29:E31"/>
    <mergeCell ref="F46:F47"/>
    <mergeCell ref="B2:J2"/>
    <mergeCell ref="E46:E47"/>
    <mergeCell ref="J74:J76"/>
    <mergeCell ref="I74:I76"/>
    <mergeCell ref="E74:E76"/>
    <mergeCell ref="G46:G47"/>
    <mergeCell ref="E52:E53"/>
    <mergeCell ref="G52:G53"/>
  </mergeCells>
  <phoneticPr fontId="1" type="noConversion"/>
  <conditionalFormatting sqref="C54 A36:R53 A88:R467 A1:R34 A55:R79">
    <cfRule type="expression" dxfId="8" priority="11">
      <formula>CELL("ROW")=ROW()</formula>
    </cfRule>
  </conditionalFormatting>
  <conditionalFormatting sqref="A19:R19 C24">
    <cfRule type="expression" dxfId="7" priority="9">
      <formula>CELL("ROW")=ROW()</formula>
    </cfRule>
  </conditionalFormatting>
  <conditionalFormatting sqref="C24">
    <cfRule type="expression" dxfId="6" priority="8">
      <formula>CELL("ROW")=ROW()</formula>
    </cfRule>
  </conditionalFormatting>
  <conditionalFormatting sqref="H35 O35:Q35">
    <cfRule type="expression" dxfId="5" priority="6">
      <formula>CELL("ROW")=ROW()</formula>
    </cfRule>
  </conditionalFormatting>
  <conditionalFormatting sqref="D35:G35 J35:N35">
    <cfRule type="expression" dxfId="4" priority="5">
      <formula>CELL("ROW")=ROW()</formula>
    </cfRule>
  </conditionalFormatting>
  <conditionalFormatting sqref="C35">
    <cfRule type="expression" dxfId="3" priority="4">
      <formula>CELL("ROW")=ROW()</formula>
    </cfRule>
  </conditionalFormatting>
  <conditionalFormatting sqref="C35">
    <cfRule type="expression" dxfId="2" priority="3">
      <formula>CELL("ROW")=ROW()</formula>
    </cfRule>
  </conditionalFormatting>
  <conditionalFormatting sqref="A35:B35">
    <cfRule type="expression" dxfId="1" priority="2">
      <formula>CELL("ROW")=ROW()</formula>
    </cfRule>
  </conditionalFormatting>
  <conditionalFormatting sqref="A54:B54 D54:R54">
    <cfRule type="expression" dxfId="0" priority="1">
      <formula>CELL("ROW")=ROW()</formula>
    </cfRule>
  </conditionalFormatting>
  <pageMargins left="0.31496062992125984" right="0.31496062992125984" top="0.35433070866141736" bottom="0.35433070866141736" header="0.31496062992125984" footer="0.31496062992125984"/>
  <pageSetup paperSize="9" scale="9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寶嘉誠</vt:lpstr>
      <vt:lpstr>旭陽</vt:lpstr>
      <vt:lpstr>和昕</vt:lpstr>
      <vt:lpstr>原億昌</vt:lpstr>
      <vt:lpstr>成大</vt:lpstr>
      <vt:lpstr>吉輔</vt:lpstr>
      <vt:lpstr>崴立</vt:lpstr>
      <vt:lpstr>金豐</vt:lpstr>
      <vt:lpstr>明暐</vt:lpstr>
      <vt:lpstr>新穎</vt:lpstr>
      <vt:lpstr>東芳</vt:lpstr>
      <vt:lpstr>盟英</vt:lpstr>
      <vt:lpstr>和大</vt:lpstr>
      <vt:lpstr>GOGORO</vt:lpstr>
      <vt:lpstr>御成 摩根</vt:lpstr>
      <vt:lpstr>弘旺</vt:lpstr>
      <vt:lpstr>立翔 板井</vt:lpstr>
      <vt:lpstr>泳建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2026-04-09T07:31:09Z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32b3b197-2317-4320-b528-f1f90a06f4a8</vt:lpwstr>
  </property>
</Properties>
</file>