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7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excellentnas\生產課\BOM\"/>
    </mc:Choice>
  </mc:AlternateContent>
  <xr:revisionPtr revIDLastSave="0" documentId="13_ncr:1_{C9662233-6EF1-41B8-B14C-22834A1130C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進料檢" sheetId="1" r:id="rId1"/>
    <sheet name="空白表單(請自行更改名稱)" sheetId="6" r:id="rId2"/>
    <sheet name="熱處理數據" sheetId="13" r:id="rId3"/>
    <sheet name="超正出貨檢驗" sheetId="11" r:id="rId4"/>
    <sheet name="包裝" sheetId="3" r:id="rId5"/>
    <sheet name="品質異常處理單" sheetId="10" r:id="rId6"/>
    <sheet name="包裝標籤列印" sheetId="9" r:id="rId7"/>
    <sheet name="待更新名單" sheetId="12" state="hidden" r:id="rId8"/>
  </sheets>
  <definedNames>
    <definedName name="_xlnm.Print_Area" localSheetId="4">包裝!$A$1:$K$21</definedName>
    <definedName name="_xlnm.Print_Area" localSheetId="6">包裝標籤列印!$A$8:$B$14</definedName>
    <definedName name="_xlnm.Print_Area" localSheetId="1">'空白表單(請自行更改名稱)'!$C$1:$R$43</definedName>
    <definedName name="_xlnm.Print_Area" localSheetId="5">品質異常處理單!$A$1:$O$56</definedName>
    <definedName name="_xlnm.Print_Area" localSheetId="3">超正出貨檢驗!$C$1:$R$43</definedName>
    <definedName name="_xlnm.Print_Area" localSheetId="0">進料檢!$C$1:$R$43</definedName>
    <definedName name="_xlnm.Print_Area" localSheetId="2">熱處理數據!$C$1:$S$43</definedName>
    <definedName name="代號">#REF!</definedName>
    <definedName name="標頭範圍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2" i="13" l="1"/>
  <c r="W12" i="13"/>
  <c r="V12" i="13"/>
  <c r="X11" i="13"/>
  <c r="W11" i="13"/>
  <c r="V11" i="13"/>
  <c r="X10" i="13"/>
  <c r="W10" i="13"/>
  <c r="V10" i="13"/>
  <c r="X9" i="13"/>
  <c r="W9" i="13"/>
  <c r="V9" i="13"/>
  <c r="X8" i="13"/>
  <c r="W8" i="13"/>
  <c r="V8" i="13"/>
  <c r="X7" i="13"/>
  <c r="W7" i="13"/>
  <c r="V7" i="13"/>
  <c r="X6" i="13"/>
  <c r="W6" i="13"/>
  <c r="V6" i="13"/>
  <c r="X5" i="13"/>
  <c r="W5" i="13"/>
  <c r="V5" i="13"/>
  <c r="X4" i="13"/>
  <c r="W4" i="13"/>
  <c r="V4" i="13"/>
  <c r="X3" i="13"/>
  <c r="W3" i="13"/>
  <c r="V3" i="13"/>
  <c r="X2" i="13"/>
  <c r="W2" i="13"/>
  <c r="V2" i="13"/>
  <c r="V1" i="13"/>
  <c r="O4" i="13"/>
  <c r="U17" i="13"/>
  <c r="U13" i="13"/>
  <c r="U11" i="13"/>
  <c r="G4" i="13"/>
  <c r="G3" i="13"/>
  <c r="T13" i="11" l="1"/>
  <c r="T11" i="11"/>
  <c r="T11" i="6"/>
  <c r="T13" i="6"/>
  <c r="F12" i="3"/>
  <c r="K3" i="3" s="1"/>
  <c r="B4" i="3"/>
  <c r="N4" i="11"/>
  <c r="N4" i="6"/>
  <c r="Q12" i="9"/>
  <c r="Q11" i="9"/>
  <c r="Q10" i="9"/>
  <c r="Q9" i="9"/>
  <c r="Q8" i="9"/>
  <c r="Q7" i="9"/>
  <c r="Q6" i="9"/>
  <c r="Q5" i="9"/>
  <c r="Q4" i="9"/>
  <c r="Q3" i="9"/>
  <c r="Q2" i="9"/>
  <c r="I17" i="9"/>
  <c r="T17" i="6" l="1"/>
  <c r="T17" i="1"/>
  <c r="X12" i="11"/>
  <c r="W12" i="11"/>
  <c r="X11" i="11"/>
  <c r="W11" i="11"/>
  <c r="X10" i="11"/>
  <c r="W10" i="11"/>
  <c r="X9" i="11"/>
  <c r="W9" i="11"/>
  <c r="X8" i="11"/>
  <c r="W8" i="11"/>
  <c r="X7" i="11"/>
  <c r="W7" i="11"/>
  <c r="X6" i="11"/>
  <c r="W6" i="11"/>
  <c r="X5" i="11"/>
  <c r="W5" i="11"/>
  <c r="X4" i="11"/>
  <c r="W4" i="11"/>
  <c r="F4" i="11"/>
  <c r="X3" i="11"/>
  <c r="W3" i="11"/>
  <c r="V3" i="11"/>
  <c r="F3" i="11"/>
  <c r="X2" i="11"/>
  <c r="W2" i="11"/>
  <c r="V2" i="11"/>
  <c r="V1" i="11"/>
  <c r="E3" i="3"/>
  <c r="I6" i="10"/>
  <c r="J15" i="9"/>
  <c r="G15" i="9"/>
  <c r="I15" i="9"/>
  <c r="F4" i="6"/>
  <c r="H15" i="9"/>
  <c r="F3" i="6"/>
  <c r="C6" i="10"/>
  <c r="C5" i="10"/>
  <c r="L1" i="9" a="1"/>
  <c r="I1" i="9" a="1"/>
  <c r="J1" i="9" a="1"/>
  <c r="H1" i="9" a="1"/>
  <c r="K1" i="9" a="1"/>
  <c r="G13" i="9" l="1"/>
  <c r="J1" i="9"/>
  <c r="L1" i="9"/>
  <c r="K1" i="9"/>
  <c r="I1" i="9"/>
  <c r="H1" i="9"/>
  <c r="C53" i="10"/>
  <c r="O6" i="10"/>
  <c r="X12" i="6" l="1"/>
  <c r="W12" i="6"/>
  <c r="X11" i="6"/>
  <c r="W11" i="6"/>
  <c r="X10" i="6"/>
  <c r="W10" i="6"/>
  <c r="X9" i="6"/>
  <c r="W9" i="6"/>
  <c r="X8" i="6"/>
  <c r="W8" i="6"/>
  <c r="X7" i="6"/>
  <c r="W7" i="6"/>
  <c r="X6" i="6"/>
  <c r="W6" i="6"/>
  <c r="X5" i="6"/>
  <c r="W5" i="6"/>
  <c r="X4" i="6"/>
  <c r="W4" i="6"/>
  <c r="X3" i="6"/>
  <c r="W3" i="6"/>
  <c r="V3" i="6"/>
  <c r="X2" i="6"/>
  <c r="W2" i="6"/>
  <c r="V2" i="6"/>
  <c r="V1" i="6"/>
  <c r="E4" i="3"/>
  <c r="V5" i="1" l="1"/>
  <c r="V5" i="11" s="1"/>
  <c r="V6" i="1"/>
  <c r="V6" i="11" s="1"/>
  <c r="V7" i="1"/>
  <c r="V7" i="11" s="1"/>
  <c r="V8" i="1"/>
  <c r="V8" i="11" s="1"/>
  <c r="V9" i="1"/>
  <c r="V9" i="11" s="1"/>
  <c r="V10" i="1"/>
  <c r="V10" i="11" s="1"/>
  <c r="V11" i="1"/>
  <c r="V11" i="11" s="1"/>
  <c r="V12" i="1"/>
  <c r="V4" i="1"/>
  <c r="V4" i="11" s="1"/>
  <c r="I3" i="3"/>
  <c r="Q4" i="1" l="1"/>
  <c r="K6" i="10" s="1"/>
  <c r="V12" i="11"/>
  <c r="Q4" i="6"/>
  <c r="Q4" i="11"/>
  <c r="G3" i="3"/>
  <c r="V4" i="6"/>
  <c r="V12" i="6"/>
  <c r="V11" i="6"/>
  <c r="V10" i="6"/>
  <c r="V8" i="6"/>
  <c r="V7" i="6"/>
  <c r="V9" i="6"/>
  <c r="V5" i="6"/>
  <c r="V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自動計算</t>
        </r>
      </text>
    </comment>
    <comment ref="F1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自動計算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<sst xmlns="http://schemas.openxmlformats.org/spreadsheetml/2006/main" count="484" uniqueCount="332">
  <si>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</si>
  <si>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</si>
  <si>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</si>
  <si>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</si>
  <si>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</si>
  <si>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</si>
  <si>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</si>
  <si>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</si>
  <si>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</si>
  <si>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</si>
  <si>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</si>
  <si>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</si>
  <si>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</si>
  <si>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</si>
  <si>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</si>
  <si>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</si>
  <si>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r>
      <t xml:space="preserve">超 正 齒 輪 科 技 有 限 公 司
檢 驗 紀 錄 表                                                                                                                                                                                                                         </t>
    </r>
    <r>
      <rPr>
        <b/>
        <sz val="16"/>
        <rFont val="標楷體"/>
        <family val="4"/>
        <charset val="136"/>
      </rPr>
      <t xml:space="preserve"> </t>
    </r>
    <phoneticPr fontId="2" type="noConversion"/>
  </si>
  <si>
    <t>數量</t>
    <phoneticPr fontId="2" type="noConversion"/>
  </si>
  <si>
    <t>製令
單號</t>
    <phoneticPr fontId="2" type="noConversion"/>
  </si>
  <si>
    <t>3-SM-01-01A</t>
    <phoneticPr fontId="9" type="noConversion"/>
  </si>
  <si>
    <t>判定結果</t>
    <phoneticPr fontId="9" type="noConversion"/>
  </si>
  <si>
    <t>實際出貨總數</t>
    <phoneticPr fontId="9" type="noConversion"/>
  </si>
  <si>
    <t>包裝
說明</t>
    <phoneticPr fontId="9" type="noConversion"/>
  </si>
  <si>
    <t xml:space="preserve">包裝
方式
</t>
    <phoneticPr fontId="9" type="noConversion"/>
  </si>
  <si>
    <t>備註</t>
    <phoneticPr fontId="9" type="noConversion"/>
  </si>
  <si>
    <t>個</t>
    <phoneticPr fontId="9" type="noConversion"/>
  </si>
  <si>
    <t>TOTAL</t>
    <phoneticPr fontId="9" type="noConversion"/>
  </si>
  <si>
    <t>目視</t>
    <phoneticPr fontId="9" type="noConversion"/>
  </si>
  <si>
    <t>全檢</t>
  </si>
  <si>
    <t>雷刻</t>
  </si>
  <si>
    <t>目視/不刺手</t>
    <phoneticPr fontId="9" type="noConversion"/>
  </si>
  <si>
    <t>毛邊</t>
    <phoneticPr fontId="9" type="noConversion"/>
  </si>
  <si>
    <t>黑皮</t>
  </si>
  <si>
    <t>碰撞傷</t>
    <phoneticPr fontId="9" type="noConversion"/>
  </si>
  <si>
    <t>生銹</t>
  </si>
  <si>
    <t>外觀</t>
    <phoneticPr fontId="9" type="noConversion"/>
  </si>
  <si>
    <t>處置狀況</t>
    <phoneticPr fontId="9" type="noConversion"/>
  </si>
  <si>
    <t>實測尺寸</t>
    <phoneticPr fontId="9" type="noConversion"/>
  </si>
  <si>
    <t>異常數量</t>
    <phoneticPr fontId="9" type="noConversion"/>
  </si>
  <si>
    <t>檢驗製程</t>
    <phoneticPr fontId="9" type="noConversion"/>
  </si>
  <si>
    <t>項次</t>
    <phoneticPr fontId="9" type="noConversion"/>
  </si>
  <si>
    <t>NG數量</t>
    <phoneticPr fontId="9" type="noConversion"/>
  </si>
  <si>
    <t>合格數量</t>
    <phoneticPr fontId="9" type="noConversion"/>
  </si>
  <si>
    <t>抽驗數量</t>
    <phoneticPr fontId="9" type="noConversion"/>
  </si>
  <si>
    <t>訂單數量</t>
    <phoneticPr fontId="9" type="noConversion"/>
  </si>
  <si>
    <t>製令號碼</t>
    <phoneticPr fontId="9" type="noConversion"/>
  </si>
  <si>
    <t>超  正  齒  輪</t>
    <phoneticPr fontId="9" type="noConversion"/>
  </si>
  <si>
    <t>(</t>
    <phoneticPr fontId="2" type="noConversion"/>
  </si>
  <si>
    <t>)</t>
    <phoneticPr fontId="2" type="noConversion"/>
  </si>
  <si>
    <t xml:space="preserve"> </t>
    <phoneticPr fontId="2" type="noConversion"/>
  </si>
  <si>
    <t xml:space="preserve">           </t>
    <phoneticPr fontId="2" type="noConversion"/>
  </si>
  <si>
    <t xml:space="preserve">    </t>
    <phoneticPr fontId="2" type="noConversion"/>
  </si>
  <si>
    <t xml:space="preserve">                    </t>
    <phoneticPr fontId="2" type="noConversion"/>
  </si>
  <si>
    <t xml:space="preserve">          </t>
    <phoneticPr fontId="2" type="noConversion"/>
  </si>
  <si>
    <t>項目</t>
    <phoneticPr fontId="9" type="noConversion"/>
  </si>
  <si>
    <t>檢驗方式</t>
    <phoneticPr fontId="9" type="noConversion"/>
  </si>
  <si>
    <t>檢驗工具</t>
    <phoneticPr fontId="9" type="noConversion"/>
  </si>
  <si>
    <t>包裝人員：</t>
    <phoneticPr fontId="9" type="noConversion"/>
  </si>
  <si>
    <t>品檢人員：</t>
    <phoneticPr fontId="2" type="noConversion"/>
  </si>
  <si>
    <t>品檢 / 包裝
下拉清單 (上限5人)</t>
    <phoneticPr fontId="2" type="noConversion"/>
  </si>
  <si>
    <t>游玉鳳</t>
    <phoneticPr fontId="2" type="noConversion"/>
  </si>
  <si>
    <t>阮氏青</t>
    <phoneticPr fontId="2" type="noConversion"/>
  </si>
  <si>
    <t>日期</t>
    <phoneticPr fontId="2" type="noConversion"/>
  </si>
  <si>
    <t>加工
項目</t>
    <phoneticPr fontId="2" type="noConversion"/>
  </si>
  <si>
    <t>抽驗數</t>
    <phoneticPr fontId="2" type="noConversion"/>
  </si>
  <si>
    <t>備  註  事  項</t>
    <phoneticPr fontId="2" type="noConversion"/>
  </si>
  <si>
    <t>量測尺寸</t>
    <phoneticPr fontId="2" type="noConversion"/>
  </si>
  <si>
    <t>實  測  值</t>
    <phoneticPr fontId="2" type="noConversion"/>
  </si>
  <si>
    <t>檢驗者：</t>
    <phoneticPr fontId="2" type="noConversion"/>
  </si>
  <si>
    <t>判定：</t>
    <phoneticPr fontId="2" type="noConversion"/>
  </si>
  <si>
    <t>合格</t>
    <phoneticPr fontId="2" type="noConversion"/>
  </si>
  <si>
    <t>檢驗者下拉清單
(上限5人)</t>
    <phoneticPr fontId="2" type="noConversion"/>
  </si>
  <si>
    <t>陳彦驊</t>
    <phoneticPr fontId="2" type="noConversion"/>
  </si>
  <si>
    <t>抽樣表</t>
    <phoneticPr fontId="2" type="noConversion"/>
  </si>
  <si>
    <t>下限</t>
    <phoneticPr fontId="2" type="noConversion"/>
  </si>
  <si>
    <t>上限</t>
    <phoneticPr fontId="2" type="noConversion"/>
  </si>
  <si>
    <t>抽樣數</t>
    <phoneticPr fontId="2" type="noConversion"/>
  </si>
  <si>
    <t>進料</t>
    <phoneticPr fontId="2" type="noConversion"/>
  </si>
  <si>
    <t>加工
項目</t>
  </si>
  <si>
    <t>數量</t>
  </si>
  <si>
    <t>圖號</t>
    <phoneticPr fontId="2" type="noConversion"/>
  </si>
  <si>
    <t>圖號</t>
    <phoneticPr fontId="9" type="noConversion"/>
  </si>
  <si>
    <t>洪涼</t>
    <phoneticPr fontId="2" type="noConversion"/>
  </si>
  <si>
    <t>印表機標籤樣式</t>
    <phoneticPr fontId="29" type="noConversion"/>
  </si>
  <si>
    <t>灰底為輸入區域
其他部分勿更動</t>
    <phoneticPr fontId="29" type="noConversion"/>
  </si>
  <si>
    <t>陳柏宏 #8913</t>
    <phoneticPr fontId="29" type="noConversion"/>
  </si>
  <si>
    <t>收貨人：</t>
    <phoneticPr fontId="29" type="noConversion"/>
  </si>
  <si>
    <t>(每個序號各一張)</t>
    <phoneticPr fontId="29" type="noConversion"/>
  </si>
  <si>
    <t>序號：</t>
    <phoneticPr fontId="29" type="noConversion"/>
  </si>
  <si>
    <t>O2410668</t>
    <phoneticPr fontId="29" type="noConversion"/>
  </si>
  <si>
    <t>訂單單號：</t>
    <phoneticPr fontId="29" type="noConversion"/>
  </si>
  <si>
    <t>P8227</t>
    <phoneticPr fontId="29" type="noConversion"/>
  </si>
  <si>
    <t>廠商代號：</t>
    <phoneticPr fontId="29" type="noConversion"/>
  </si>
  <si>
    <t>標籤種類</t>
    <phoneticPr fontId="2" type="noConversion"/>
  </si>
  <si>
    <t>上銀</t>
    <phoneticPr fontId="2" type="noConversion"/>
  </si>
  <si>
    <t>標籤種類設定</t>
    <phoneticPr fontId="2" type="noConversion"/>
  </si>
  <si>
    <t>生產日期：</t>
  </si>
  <si>
    <t>料號：</t>
  </si>
  <si>
    <t>品名：</t>
  </si>
  <si>
    <t>規格：</t>
  </si>
  <si>
    <t>數量：</t>
  </si>
  <si>
    <t>↑下拉選單</t>
    <phoneticPr fontId="2" type="noConversion"/>
  </si>
  <si>
    <t>外包裝列印標題會更動</t>
    <phoneticPr fontId="2" type="noConversion"/>
  </si>
  <si>
    <t>列印前請確認印表機</t>
    <phoneticPr fontId="2" type="noConversion"/>
  </si>
  <si>
    <t xml:space="preserve">          </t>
    <phoneticPr fontId="2" type="noConversion"/>
  </si>
  <si>
    <t>本箱數量：</t>
    <phoneticPr fontId="2" type="noConversion"/>
  </si>
  <si>
    <t>超正齒輪科技有限公司</t>
  </si>
  <si>
    <t>品質異常處理單</t>
  </si>
  <si>
    <t>填寫日期：</t>
  </si>
  <si>
    <t>料號</t>
  </si>
  <si>
    <t>批量</t>
  </si>
  <si>
    <t>不良率</t>
  </si>
  <si>
    <t>責任單位</t>
  </si>
  <si>
    <t xml:space="preserve">異常處置方式 </t>
  </si>
  <si>
    <t>不良數</t>
    <phoneticPr fontId="2" type="noConversion"/>
  </si>
  <si>
    <t>異常單號：</t>
    <phoneticPr fontId="2" type="noConversion"/>
  </si>
  <si>
    <t>異
常
現
象</t>
    <phoneticPr fontId="2" type="noConversion"/>
  </si>
  <si>
    <t>處
置
說
明</t>
    <phoneticPr fontId="2" type="noConversion"/>
  </si>
  <si>
    <t>相
關
單
位
意
見</t>
    <phoneticPr fontId="2" type="noConversion"/>
  </si>
  <si>
    <t>品管主管：</t>
    <phoneticPr fontId="2" type="noConversion"/>
  </si>
  <si>
    <t>製令編號</t>
    <phoneticPr fontId="2" type="noConversion"/>
  </si>
  <si>
    <t>客退單號(IR)</t>
    <phoneticPr fontId="2" type="noConversion"/>
  </si>
  <si>
    <t>異常原因分類</t>
    <phoneticPr fontId="2" type="noConversion"/>
  </si>
  <si>
    <t>承辦：</t>
    <phoneticPr fontId="2" type="noConversion"/>
  </si>
  <si>
    <t>檢驗數</t>
    <phoneticPr fontId="2" type="noConversion"/>
  </si>
  <si>
    <t>簽章:</t>
    <phoneticPr fontId="2" type="noConversion"/>
  </si>
  <si>
    <t>扣款項目</t>
    <phoneticPr fontId="2" type="noConversion"/>
  </si>
  <si>
    <t>合計</t>
    <phoneticPr fontId="2" type="noConversion"/>
  </si>
  <si>
    <t>材料</t>
    <phoneticPr fontId="2" type="noConversion"/>
  </si>
  <si>
    <t>1.</t>
    <phoneticPr fontId="2" type="noConversion"/>
  </si>
  <si>
    <t>2.</t>
    <phoneticPr fontId="2" type="noConversion"/>
  </si>
  <si>
    <t>3.</t>
    <phoneticPr fontId="2" type="noConversion"/>
  </si>
  <si>
    <t>4.</t>
    <phoneticPr fontId="2" type="noConversion"/>
  </si>
  <si>
    <t>5.</t>
    <phoneticPr fontId="2" type="noConversion"/>
  </si>
  <si>
    <t>6.</t>
    <phoneticPr fontId="2" type="noConversion"/>
  </si>
  <si>
    <t>其他製程</t>
    <phoneticPr fontId="2" type="noConversion"/>
  </si>
  <si>
    <t>其他</t>
    <phoneticPr fontId="2" type="noConversion"/>
  </si>
  <si>
    <t>說明</t>
    <phoneticPr fontId="2" type="noConversion"/>
  </si>
  <si>
    <t>會
計
確
認</t>
    <phoneticPr fontId="2" type="noConversion"/>
  </si>
  <si>
    <t>執
行</t>
    <phoneticPr fontId="2" type="noConversion"/>
  </si>
  <si>
    <t>核准</t>
    <phoneticPr fontId="2" type="noConversion"/>
  </si>
  <si>
    <t>金額</t>
    <phoneticPr fontId="2" type="noConversion"/>
  </si>
  <si>
    <t>填表人</t>
    <phoneticPr fontId="2" type="noConversion"/>
  </si>
  <si>
    <t>生管通知扣款</t>
    <phoneticPr fontId="2" type="noConversion"/>
  </si>
  <si>
    <t>總
經
理
裁
示</t>
    <phoneticPr fontId="2" type="noConversion"/>
  </si>
  <si>
    <r>
      <t>(矯正單號：</t>
    </r>
    <r>
      <rPr>
        <u/>
        <sz val="10"/>
        <rFont val="標楷體"/>
        <family val="4"/>
        <charset val="136"/>
      </rPr>
      <t xml:space="preserve">           </t>
    </r>
    <r>
      <rPr>
        <sz val="10"/>
        <rFont val="標楷體"/>
        <family val="4"/>
        <charset val="136"/>
      </rPr>
      <t>)</t>
    </r>
    <phoneticPr fontId="2" type="noConversion"/>
  </si>
  <si>
    <t>2-QA-01-01A</t>
    <phoneticPr fontId="2" type="noConversion"/>
  </si>
  <si>
    <t>主管簽核：</t>
    <phoneticPr fontId="2" type="noConversion"/>
  </si>
  <si>
    <t xml:space="preserve">  不合格 </t>
    <phoneticPr fontId="2" type="noConversion"/>
  </si>
  <si>
    <t>EXCELLENT GEAR TECHNOLOGY CO.,LTD</t>
    <phoneticPr fontId="2" type="noConversion"/>
  </si>
  <si>
    <t>超正出貨</t>
    <phoneticPr fontId="2" type="noConversion"/>
  </si>
  <si>
    <t>總數：</t>
  </si>
  <si>
    <t>↑箱數(列印張數)</t>
    <phoneticPr fontId="2" type="noConversion"/>
  </si>
  <si>
    <t>←品管印吊卡用</t>
    <phoneticPr fontId="2" type="noConversion"/>
  </si>
  <si>
    <t>日期：</t>
    <phoneticPr fontId="2" type="noConversion"/>
  </si>
  <si>
    <t>容器：</t>
    <phoneticPr fontId="2" type="noConversion"/>
  </si>
  <si>
    <t>箱號：</t>
    <phoneticPr fontId="2" type="noConversion"/>
  </si>
  <si>
    <t xml:space="preserve">本次交貨(良品) </t>
    <phoneticPr fontId="2" type="noConversion"/>
  </si>
  <si>
    <t xml:space="preserve">不良數 </t>
    <phoneticPr fontId="2" type="noConversion"/>
  </si>
  <si>
    <t>entry.1003826152=</t>
    <phoneticPr fontId="2" type="noConversion"/>
  </si>
  <si>
    <t>entry.66770231=</t>
    <phoneticPr fontId="2" type="noConversion"/>
  </si>
  <si>
    <t>entry.1203302492=</t>
    <phoneticPr fontId="2" type="noConversion"/>
  </si>
  <si>
    <t>entry.616710964=</t>
    <phoneticPr fontId="2" type="noConversion"/>
  </si>
  <si>
    <t>entry.1485361043=</t>
    <phoneticPr fontId="2" type="noConversion"/>
  </si>
  <si>
    <t>製令：</t>
    <phoneticPr fontId="2" type="noConversion"/>
  </si>
  <si>
    <t>→
一
般
入
庫
可
使
用
右
側
表
單</t>
    <phoneticPr fontId="2" type="noConversion"/>
  </si>
  <si>
    <t>超正出貨</t>
  </si>
  <si>
    <t>張數</t>
    <phoneticPr fontId="2" type="noConversion"/>
  </si>
  <si>
    <t>尾數箱</t>
    <phoneticPr fontId="2" type="noConversion"/>
  </si>
  <si>
    <t>出貨檢驗表</t>
    <phoneticPr fontId="2" type="noConversion"/>
  </si>
  <si>
    <t>陳靜萍</t>
    <phoneticPr fontId="2" type="noConversion"/>
  </si>
  <si>
    <t>進料檢</t>
    <phoneticPr fontId="2" type="noConversion"/>
  </si>
  <si>
    <t>空白表單(請自行更改名稱)</t>
  </si>
  <si>
    <t>超正出貨檢驗</t>
  </si>
  <si>
    <t>包裝</t>
  </si>
  <si>
    <t>包裝標籤列印</t>
  </si>
  <si>
    <t>客戶</t>
    <phoneticPr fontId="9" type="noConversion"/>
  </si>
  <si>
    <t>使用量具編號</t>
    <phoneticPr fontId="2" type="noConversion"/>
  </si>
  <si>
    <t>原始工作表名稱設定</t>
    <phoneticPr fontId="2" type="noConversion"/>
  </si>
  <si>
    <t>原始工作表
名稱設定</t>
    <phoneticPr fontId="2" type="noConversion"/>
  </si>
  <si>
    <t>客戶：</t>
  </si>
  <si>
    <t>PP桶</t>
  </si>
  <si>
    <t>本箱數量：</t>
  </si>
  <si>
    <t>料號：</t>
    <phoneticPr fontId="2" type="noConversion"/>
  </si>
  <si>
    <t>客戶：</t>
    <phoneticPr fontId="2" type="noConversion"/>
  </si>
  <si>
    <t>日期：</t>
  </si>
  <si>
    <t>日期：</t>
    <phoneticPr fontId="2" type="noConversion"/>
  </si>
  <si>
    <t>超正其他</t>
    <phoneticPr fontId="2" type="noConversion"/>
  </si>
  <si>
    <t>日期</t>
    <phoneticPr fontId="2" type="noConversion"/>
  </si>
  <si>
    <t xml:space="preserve">                               成品包裝 與 出貨檢驗表</t>
    <phoneticPr fontId="9" type="noConversion"/>
  </si>
  <si>
    <t>B-1130620002</t>
  </si>
  <si>
    <t>B-1130626008</t>
  </si>
  <si>
    <t>B-1130703005</t>
  </si>
  <si>
    <t>B-1130703010</t>
  </si>
  <si>
    <t>B-1130621005</t>
  </si>
  <si>
    <t>B-1130628013</t>
  </si>
  <si>
    <t>B-1130620010</t>
  </si>
  <si>
    <t>B-1130703011</t>
  </si>
  <si>
    <t>B-1130626014</t>
  </si>
  <si>
    <t>B-1130626005</t>
  </si>
  <si>
    <t>B-1130626018</t>
  </si>
  <si>
    <t>B-1130702009</t>
  </si>
  <si>
    <t>B-1130701001</t>
  </si>
  <si>
    <t>B-1130619004</t>
  </si>
  <si>
    <t>B-1130628001</t>
  </si>
  <si>
    <t>B-1130620015</t>
  </si>
  <si>
    <t>B-1130628006</t>
  </si>
  <si>
    <t>B-1130628009</t>
  </si>
  <si>
    <t>B-1130624006</t>
  </si>
  <si>
    <t>B-1130627007</t>
  </si>
  <si>
    <t>B-1130626013</t>
  </si>
  <si>
    <t>B-1130702007</t>
  </si>
  <si>
    <t>B-1130625002</t>
  </si>
  <si>
    <t>B-1130619005</t>
  </si>
  <si>
    <t>B-1130628005</t>
  </si>
  <si>
    <t>B-1130624008</t>
  </si>
  <si>
    <t>B-1130624003</t>
  </si>
  <si>
    <t>B-1130702005</t>
  </si>
  <si>
    <t>B-1130627003</t>
  </si>
  <si>
    <t>B-1130621002</t>
  </si>
  <si>
    <t>B-1130620008</t>
  </si>
  <si>
    <t>B-1130626011</t>
  </si>
  <si>
    <t>B-1130704002</t>
  </si>
  <si>
    <t>B-1130704001</t>
  </si>
  <si>
    <t>B-1130628015</t>
  </si>
  <si>
    <t>B-1130702003</t>
  </si>
  <si>
    <t>B-1130702010</t>
  </si>
  <si>
    <t>B-1130628010</t>
  </si>
  <si>
    <t>B-1130703006</t>
  </si>
  <si>
    <t>B-1130702013</t>
  </si>
  <si>
    <t>B-1130626002</t>
  </si>
  <si>
    <t>B-1130701002</t>
  </si>
  <si>
    <t>B-1130620006</t>
  </si>
  <si>
    <t>B-1130626003</t>
  </si>
  <si>
    <t>B-1130625005</t>
  </si>
  <si>
    <t>B-1130702012</t>
  </si>
  <si>
    <t>B-1130626010</t>
  </si>
  <si>
    <t>B-1130702004</t>
  </si>
  <si>
    <t>B-1130626017</t>
  </si>
  <si>
    <t>B-1130628007</t>
  </si>
  <si>
    <t>B-1130624005</t>
  </si>
  <si>
    <t>B-1130702014</t>
  </si>
  <si>
    <t>B-1130624002</t>
  </si>
  <si>
    <t>B-1130626016</t>
  </si>
  <si>
    <t>B-1130702002</t>
  </si>
  <si>
    <t>B-1130627005</t>
  </si>
  <si>
    <t>B-1130626001</t>
  </si>
  <si>
    <t>B-1130624004</t>
  </si>
  <si>
    <t>B-1130703004</t>
  </si>
  <si>
    <t>B-1130619007</t>
  </si>
  <si>
    <t>B-1130625008</t>
  </si>
  <si>
    <t>B-1130621003</t>
  </si>
  <si>
    <t>B-1130620013</t>
  </si>
  <si>
    <t>B-1130620001</t>
  </si>
  <si>
    <t>B-1130624009</t>
  </si>
  <si>
    <t>B-1130620004</t>
  </si>
  <si>
    <t>B-1130621007</t>
  </si>
  <si>
    <t>B-1130621004</t>
  </si>
  <si>
    <t>B-1130626012</t>
  </si>
  <si>
    <t>B-1130703003</t>
  </si>
  <si>
    <t>B-1130628011</t>
  </si>
  <si>
    <t>B-1130627006</t>
  </si>
  <si>
    <t>B-1130621008</t>
  </si>
  <si>
    <t>B-1130626006</t>
  </si>
  <si>
    <t>B-1130702001</t>
  </si>
  <si>
    <t>B-1130626020</t>
  </si>
  <si>
    <t>B-1130702006</t>
  </si>
  <si>
    <t>B-1130625003</t>
  </si>
  <si>
    <t>B-1130620014</t>
  </si>
  <si>
    <t>B-1130624001</t>
  </si>
  <si>
    <t>B-1130621001</t>
  </si>
  <si>
    <t>B-1130626004</t>
  </si>
  <si>
    <t>B-1130628014</t>
  </si>
  <si>
    <t>B-1130628003</t>
  </si>
  <si>
    <t>B-1130628004</t>
  </si>
  <si>
    <t>B-1130624007</t>
  </si>
  <si>
    <t>B-1130703001</t>
  </si>
  <si>
    <t>B-1130621006</t>
  </si>
  <si>
    <t>B-1130628002</t>
  </si>
  <si>
    <t>B-1130627002</t>
  </si>
  <si>
    <t>B-1130702011</t>
  </si>
  <si>
    <t>B-1130625007</t>
  </si>
  <si>
    <t>B-1130625006</t>
  </si>
  <si>
    <t>B-1130620011</t>
  </si>
  <si>
    <t>B-1130702008</t>
  </si>
  <si>
    <t>B-1130703002</t>
  </si>
  <si>
    <t>B-1130619006</t>
  </si>
  <si>
    <t>B-1130626009</t>
  </si>
  <si>
    <t>B-1130626019</t>
  </si>
  <si>
    <t>B-1130627004</t>
  </si>
  <si>
    <t>B-1130625004</t>
  </si>
  <si>
    <t>B-1130626015</t>
  </si>
  <si>
    <t>B-1130620012</t>
  </si>
  <si>
    <t>B-1130620003</t>
  </si>
  <si>
    <t>B-1130628012</t>
  </si>
  <si>
    <t>B-1130620009</t>
  </si>
  <si>
    <t>B-1130628008</t>
  </si>
  <si>
    <t>B-1130703008</t>
  </si>
  <si>
    <t>B-1130620007</t>
  </si>
  <si>
    <t>B-1130703007</t>
  </si>
  <si>
    <t>B-1130627001</t>
  </si>
  <si>
    <t>B-1130703009</t>
  </si>
  <si>
    <t>B-1130625001</t>
  </si>
  <si>
    <t>B-1130627008</t>
  </si>
  <si>
    <t>廠商</t>
    <phoneticPr fontId="2" type="noConversion"/>
  </si>
  <si>
    <t>(請填寫日期亦可加註備註)</t>
    <phoneticPr fontId="2" type="noConversion"/>
  </si>
  <si>
    <t>加工單號</t>
    <phoneticPr fontId="2" type="noConversion"/>
  </si>
  <si>
    <t>(Exp:I-1130101001)</t>
    <phoneticPr fontId="2" type="noConversion"/>
  </si>
  <si>
    <t>料號：</t>
    <phoneticPr fontId="29" type="noConversion"/>
  </si>
  <si>
    <t>製令：</t>
    <phoneticPr fontId="29" type="noConversion"/>
  </si>
  <si>
    <t>總數：</t>
    <phoneticPr fontId="29" type="noConversion"/>
  </si>
  <si>
    <t>容器：PP桶</t>
    <phoneticPr fontId="29" type="noConversion"/>
  </si>
  <si>
    <t>箱號：1 / 1</t>
    <phoneticPr fontId="2" type="noConversion"/>
  </si>
  <si>
    <t>日期：2024/7/17</t>
    <phoneticPr fontId="2" type="noConversion"/>
  </si>
  <si>
    <t>RA63010KC01</t>
    <phoneticPr fontId="2" type="noConversion"/>
  </si>
  <si>
    <t>TEST</t>
    <phoneticPr fontId="2" type="noConversion"/>
  </si>
  <si>
    <t>料號：RA63010KC01</t>
    <phoneticPr fontId="2" type="noConversion"/>
  </si>
  <si>
    <t>客戶：TEST</t>
    <phoneticPr fontId="2" type="noConversion"/>
  </si>
  <si>
    <t>本箱數量：2</t>
    <phoneticPr fontId="2" type="noConversion"/>
  </si>
  <si>
    <t>日期：2024/7/10</t>
    <phoneticPr fontId="2" type="noConversion"/>
  </si>
  <si>
    <t>交期：7/12</t>
    <phoneticPr fontId="2" type="noConversion"/>
  </si>
  <si>
    <t>交期</t>
    <phoneticPr fontId="2" type="noConversion"/>
  </si>
  <si>
    <t>客戶</t>
    <phoneticPr fontId="2" type="noConversion"/>
  </si>
  <si>
    <t>熱處理數據</t>
    <phoneticPr fontId="2" type="noConversion"/>
  </si>
  <si>
    <t>熱前</t>
    <phoneticPr fontId="2" type="noConversion"/>
  </si>
  <si>
    <r>
      <t xml:space="preserve">熱前
</t>
    </r>
    <r>
      <rPr>
        <sz val="10"/>
        <rFont val="標楷體"/>
        <family val="4"/>
        <charset val="136"/>
      </rPr>
      <t>(加工後)</t>
    </r>
    <phoneticPr fontId="2" type="noConversion"/>
  </si>
  <si>
    <t>熱後</t>
    <phoneticPr fontId="2" type="noConversion"/>
  </si>
  <si>
    <t>鍵槽</t>
    <phoneticPr fontId="2" type="noConversion"/>
  </si>
  <si>
    <t>滾齒</t>
    <phoneticPr fontId="2" type="noConversion"/>
  </si>
  <si>
    <t>跨齒數</t>
    <phoneticPr fontId="2" type="noConversion"/>
  </si>
  <si>
    <r>
      <rPr>
        <b/>
        <sz val="12"/>
        <color theme="1"/>
        <rFont val="微軟正黑體"/>
        <family val="2"/>
        <charset val="136"/>
      </rPr>
      <t xml:space="preserve">超正齒輪科技有限公司 </t>
    </r>
    <r>
      <rPr>
        <b/>
        <sz val="9"/>
        <color theme="1"/>
        <rFont val="微軟正黑體"/>
        <family val="2"/>
        <charset val="136"/>
      </rPr>
      <t>2-WH-01-03</t>
    </r>
    <phoneticPr fontId="2" type="noConversion"/>
  </si>
  <si>
    <r>
      <rPr>
        <b/>
        <sz val="12"/>
        <color theme="1"/>
        <rFont val="微軟正黑體"/>
        <family val="2"/>
        <charset val="136"/>
      </rPr>
      <t xml:space="preserve">超正齒輪科技有限公司 </t>
    </r>
    <r>
      <rPr>
        <b/>
        <sz val="9"/>
        <color theme="1"/>
        <rFont val="微軟正黑體"/>
        <family val="2"/>
        <charset val="136"/>
      </rPr>
      <t>2-QA-01-02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</si>
</sst>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mmdd"/>
    <numFmt numFmtId="177" formatCode="@\ \ \ &quot;個&quot;\ &quot;歸&quot;&quot;還&quot;"/>
    <numFmt numFmtId="178" formatCode="@\ \ \ &quot;個&quot;\ &quot;歸&quot;&quot;還 &quot;"/>
    <numFmt numFmtId="179" formatCode="@\ \)"/>
    <numFmt numFmtId="180" formatCode="\x\ @\ \ &quot;個&quot;"/>
    <numFmt numFmtId="181" formatCode="@\ &quot;入&quot;"/>
    <numFmt numFmtId="182" formatCode="0_);[Red]\(0\)"/>
    <numFmt numFmtId="183" formatCode="m&quot;月&quot;d&quot;日&quot;"/>
    <numFmt numFmtId="184" formatCode="0_ "/>
  </numFmts>
  <fonts count="69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theme="1"/>
      <name val="新細明體"/>
      <family val="2"/>
      <scheme val="minor"/>
    </font>
    <font>
      <b/>
      <sz val="12"/>
      <name val="標楷體"/>
      <family val="4"/>
      <charset val="136"/>
    </font>
    <font>
      <b/>
      <sz val="18"/>
      <name val="標楷體"/>
      <family val="4"/>
      <charset val="136"/>
    </font>
    <font>
      <b/>
      <sz val="16"/>
      <name val="標楷體"/>
      <family val="4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b/>
      <sz val="12"/>
      <name val="微軟正黑體"/>
      <family val="2"/>
      <charset val="136"/>
    </font>
    <font>
      <b/>
      <u/>
      <sz val="12"/>
      <color theme="1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u/>
      <sz val="12"/>
      <name val="微軟正黑體"/>
      <family val="2"/>
      <charset val="136"/>
    </font>
    <font>
      <b/>
      <u/>
      <sz val="12"/>
      <name val="微軟正黑體"/>
      <family val="2"/>
      <charset val="136"/>
    </font>
    <font>
      <sz val="12"/>
      <name val="標楷體"/>
      <family val="4"/>
      <charset val="136"/>
    </font>
    <font>
      <sz val="18"/>
      <name val="標楷體"/>
      <family val="4"/>
      <charset val="136"/>
    </font>
    <font>
      <sz val="10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theme="0"/>
      <name val="標楷體"/>
      <family val="4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3"/>
      <charset val="136"/>
      <scheme val="minor"/>
    </font>
    <font>
      <b/>
      <sz val="18"/>
      <color rgb="FFFF0000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4"/>
      <name val="新細明體"/>
      <family val="1"/>
      <charset val="136"/>
    </font>
    <font>
      <sz val="18"/>
      <color theme="1"/>
      <name val="微軟正黑體"/>
      <family val="2"/>
      <charset val="136"/>
    </font>
    <font>
      <sz val="18"/>
      <name val="新細明體"/>
      <family val="1"/>
      <charset val="136"/>
    </font>
    <font>
      <sz val="20"/>
      <color rgb="FFFF0000"/>
      <name val="標楷體"/>
      <family val="4"/>
      <charset val="136"/>
    </font>
    <font>
      <sz val="20"/>
      <color rgb="FFFF0000"/>
      <name val="新細明體"/>
      <family val="1"/>
      <charset val="136"/>
    </font>
    <font>
      <sz val="12"/>
      <name val="新細明體"/>
      <family val="1"/>
      <charset val="136"/>
    </font>
    <font>
      <sz val="14"/>
      <name val="標楷體"/>
      <family val="4"/>
      <charset val="136"/>
    </font>
    <font>
      <sz val="10"/>
      <name val="新細明體"/>
      <family val="1"/>
      <charset val="136"/>
    </font>
    <font>
      <sz val="10"/>
      <color theme="1"/>
      <name val="標楷體"/>
      <family val="4"/>
      <charset val="136"/>
    </font>
    <font>
      <b/>
      <sz val="10"/>
      <name val="標楷體"/>
      <family val="4"/>
      <charset val="136"/>
    </font>
    <font>
      <sz val="10"/>
      <color rgb="FF000000"/>
      <name val="標楷體"/>
      <family val="4"/>
      <charset val="136"/>
    </font>
    <font>
      <u/>
      <sz val="10"/>
      <name val="標楷體"/>
      <family val="4"/>
      <charset val="136"/>
    </font>
    <font>
      <b/>
      <sz val="14"/>
      <name val="微軟正黑體"/>
      <family val="2"/>
      <charset val="136"/>
    </font>
    <font>
      <b/>
      <sz val="14"/>
      <name val="新細明體"/>
      <family val="1"/>
      <charset val="136"/>
    </font>
    <font>
      <sz val="12"/>
      <color rgb="FF000000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2"/>
      <color theme="0"/>
      <name val="微軟正黑體"/>
      <family val="2"/>
      <charset val="136"/>
    </font>
    <font>
      <sz val="10"/>
      <color theme="1"/>
      <name val="微軟正黑體"/>
      <family val="2"/>
      <charset val="136"/>
    </font>
    <font>
      <b/>
      <sz val="12"/>
      <name val="新細明體"/>
      <family val="1"/>
      <charset val="136"/>
    </font>
    <font>
      <b/>
      <sz val="12"/>
      <color theme="0"/>
      <name val="微軟正黑體"/>
      <family val="2"/>
      <charset val="136"/>
    </font>
    <font>
      <sz val="48"/>
      <name val="標楷體"/>
      <family val="4"/>
      <charset val="136"/>
    </font>
    <font>
      <sz val="48"/>
      <name val="新細明體"/>
      <family val="1"/>
      <charset val="136"/>
    </font>
    <font>
      <sz val="8"/>
      <name val="標楷體"/>
      <family val="4"/>
      <charset val="136"/>
    </font>
    <font>
      <sz val="12"/>
      <color theme="6" tint="0.39997558519241921"/>
      <name val="微軟正黑體"/>
      <family val="2"/>
      <charset val="136"/>
    </font>
    <font>
      <b/>
      <sz val="12"/>
      <color theme="1"/>
      <name val="Microsoft JhengHei"/>
      <family val="2"/>
      <charset val="136"/>
    </font>
    <font>
      <sz val="9"/>
      <color rgb="FF000000"/>
      <name val="新細明體"/>
      <family val="1"/>
      <charset val="136"/>
    </font>
    <font>
      <sz val="8"/>
      <name val="微軟正黑體"/>
      <family val="2"/>
      <charset val="136"/>
    </font>
    <font>
      <u/>
      <sz val="12"/>
      <color theme="10"/>
      <name val="新細明體"/>
      <family val="2"/>
      <scheme val="minor"/>
    </font>
    <font>
      <u/>
      <sz val="8"/>
      <color theme="10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sz val="22"/>
      <name val="新細明體"/>
      <family val="1"/>
      <charset val="136"/>
    </font>
    <font>
      <b/>
      <sz val="20"/>
      <color rgb="FFFF0000"/>
      <name val="標楷體"/>
      <family val="4"/>
      <charset val="136"/>
    </font>
    <font>
      <b/>
      <sz val="18"/>
      <name val="新細明體"/>
      <family val="1"/>
      <charset val="136"/>
    </font>
    <font>
      <b/>
      <sz val="20"/>
      <color theme="1"/>
      <name val="標楷體"/>
      <family val="4"/>
      <charset val="136"/>
    </font>
    <font>
      <b/>
      <sz val="9"/>
      <color theme="1"/>
      <name val="微軟正黑體"/>
      <family val="2"/>
      <charset val="136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3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3" fillId="0" borderId="0"/>
    <xf numFmtId="0" fontId="1" fillId="0" borderId="0">
      <alignment vertical="center"/>
    </xf>
    <xf numFmtId="0" fontId="28" fillId="0" borderId="0">
      <alignment vertical="center"/>
    </xf>
    <xf numFmtId="9" fontId="39" fillId="0" borderId="0" applyFont="0" applyFill="0" applyBorder="0" applyAlignment="0" applyProtection="0">
      <alignment vertical="center"/>
    </xf>
    <xf numFmtId="0" fontId="61" fillId="0" borderId="0" applyNumberFormat="0" applyFill="0" applyBorder="0" applyAlignment="0" applyProtection="0"/>
  </cellStyleXfs>
  <cellXfs count="586">
    <xf numFmtId="0" fontId="0" fillId="0" borderId="0" xfId="0">
      <alignment vertical="center"/>
    </xf>
    <xf numFmtId="0" fontId="23" fillId="0" borderId="0" xfId="0" applyFont="1">
      <alignment vertical="center"/>
    </xf>
    <xf numFmtId="0" fontId="23" fillId="2" borderId="55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3" fillId="0" borderId="59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60" xfId="0" applyFont="1" applyBorder="1" applyAlignment="1">
      <alignment horizontal="center" vertical="center"/>
    </xf>
    <xf numFmtId="0" fontId="23" fillId="0" borderId="30" xfId="0" applyFont="1" applyBorder="1">
      <alignment vertical="center"/>
    </xf>
    <xf numFmtId="0" fontId="23" fillId="0" borderId="27" xfId="0" applyFont="1" applyBorder="1">
      <alignment vertical="center"/>
    </xf>
    <xf numFmtId="49" fontId="4" fillId="0" borderId="12" xfId="0" applyNumberFormat="1" applyFont="1" applyBorder="1" applyAlignment="1">
      <alignment horizontal="center" vertical="center" wrapText="1"/>
    </xf>
    <xf numFmtId="0" fontId="23" fillId="0" borderId="14" xfId="0" applyFont="1" applyBorder="1">
      <alignment vertical="center"/>
    </xf>
    <xf numFmtId="49" fontId="4" fillId="0" borderId="9" xfId="0" applyNumberFormat="1" applyFont="1" applyBorder="1" applyAlignment="1">
      <alignment horizontal="center" vertical="center" wrapText="1"/>
    </xf>
    <xf numFmtId="49" fontId="4" fillId="0" borderId="9" xfId="0" applyNumberFormat="1" applyFont="1" applyBorder="1" applyAlignment="1">
      <alignment horizontal="center" vertical="center"/>
    </xf>
    <xf numFmtId="0" fontId="23" fillId="0" borderId="0" xfId="0" quotePrefix="1" applyFont="1">
      <alignment vertical="center"/>
    </xf>
    <xf numFmtId="0" fontId="23" fillId="0" borderId="0" xfId="0" applyFont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0" fontId="23" fillId="0" borderId="0" xfId="0" quotePrefix="1" applyFont="1" applyAlignment="1">
      <alignment horizontal="center" vertical="center" wrapText="1"/>
    </xf>
    <xf numFmtId="0" fontId="23" fillId="0" borderId="29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23" fillId="0" borderId="26" xfId="0" quotePrefix="1" applyFont="1" applyBorder="1" applyAlignment="1">
      <alignment horizontal="center" vertical="center" wrapText="1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23" fillId="0" borderId="56" xfId="0" applyFont="1" applyBorder="1" applyAlignment="1" applyProtection="1">
      <alignment horizontal="center" vertical="center"/>
      <protection locked="0"/>
    </xf>
    <xf numFmtId="0" fontId="23" fillId="0" borderId="57" xfId="0" applyFont="1" applyBorder="1" applyAlignment="1" applyProtection="1">
      <alignment horizontal="center" vertical="center"/>
      <protection locked="0"/>
    </xf>
    <xf numFmtId="49" fontId="25" fillId="0" borderId="3" xfId="0" applyNumberFormat="1" applyFont="1" applyBorder="1" applyAlignment="1" applyProtection="1">
      <alignment horizontal="left" vertical="center" shrinkToFit="1"/>
      <protection locked="0"/>
    </xf>
    <xf numFmtId="49" fontId="25" fillId="0" borderId="2" xfId="0" applyNumberFormat="1" applyFont="1" applyBorder="1" applyAlignment="1" applyProtection="1">
      <alignment horizontal="left" vertical="center" shrinkToFit="1"/>
      <protection locked="0"/>
    </xf>
    <xf numFmtId="49" fontId="25" fillId="0" borderId="22" xfId="0" applyNumberFormat="1" applyFont="1" applyBorder="1" applyAlignment="1" applyProtection="1">
      <alignment horizontal="left" vertical="center" shrinkToFit="1"/>
      <protection locked="0"/>
    </xf>
    <xf numFmtId="0" fontId="7" fillId="0" borderId="0" xfId="2" applyFont="1">
      <alignment vertical="center"/>
    </xf>
    <xf numFmtId="0" fontId="8" fillId="0" borderId="12" xfId="2" applyFont="1" applyBorder="1" applyAlignment="1">
      <alignment horizontal="center" vertical="center" wrapText="1"/>
    </xf>
    <xf numFmtId="0" fontId="8" fillId="0" borderId="12" xfId="2" applyFont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39" xfId="2" applyFont="1" applyBorder="1" applyAlignment="1">
      <alignment horizontal="center" vertical="center"/>
    </xf>
    <xf numFmtId="0" fontId="8" fillId="0" borderId="31" xfId="2" applyFont="1" applyBorder="1" applyAlignment="1">
      <alignment horizontal="center" vertical="center"/>
    </xf>
    <xf numFmtId="0" fontId="8" fillId="0" borderId="38" xfId="2" applyFont="1" applyBorder="1" applyAlignment="1">
      <alignment horizontal="center" vertical="center"/>
    </xf>
    <xf numFmtId="0" fontId="8" fillId="0" borderId="17" xfId="2" applyFont="1" applyBorder="1" applyAlignment="1">
      <alignment horizontal="left" vertical="center"/>
    </xf>
    <xf numFmtId="0" fontId="14" fillId="0" borderId="18" xfId="0" applyFont="1" applyBorder="1" applyAlignment="1">
      <alignment horizontal="right" vertical="center"/>
    </xf>
    <xf numFmtId="0" fontId="8" fillId="0" borderId="32" xfId="2" applyFont="1" applyBorder="1" applyAlignment="1">
      <alignment horizontal="center" vertical="center"/>
    </xf>
    <xf numFmtId="0" fontId="8" fillId="0" borderId="33" xfId="2" applyFont="1" applyBorder="1" applyAlignment="1">
      <alignment horizontal="left" vertical="center"/>
    </xf>
    <xf numFmtId="0" fontId="14" fillId="0" borderId="35" xfId="0" applyFont="1" applyBorder="1" applyAlignment="1">
      <alignment horizontal="right" vertical="center"/>
    </xf>
    <xf numFmtId="0" fontId="7" fillId="0" borderId="0" xfId="2" applyFont="1" applyAlignment="1">
      <alignment horizontal="center" vertical="center"/>
    </xf>
    <xf numFmtId="0" fontId="8" fillId="0" borderId="36" xfId="2" applyFont="1" applyBorder="1" applyAlignment="1">
      <alignment horizontal="center" vertical="center"/>
    </xf>
    <xf numFmtId="0" fontId="13" fillId="0" borderId="32" xfId="2" applyFont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7" fillId="0" borderId="15" xfId="2" applyFont="1" applyBorder="1">
      <alignment vertical="center"/>
    </xf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right" vertical="center"/>
    </xf>
    <xf numFmtId="0" fontId="7" fillId="0" borderId="56" xfId="2" applyFont="1" applyBorder="1" applyAlignment="1" applyProtection="1">
      <alignment horizontal="center" vertical="center"/>
      <protection locked="0"/>
    </xf>
    <xf numFmtId="0" fontId="7" fillId="0" borderId="57" xfId="2" applyFont="1" applyBorder="1" applyAlignment="1" applyProtection="1">
      <alignment horizontal="center" vertical="center"/>
      <protection locked="0"/>
    </xf>
    <xf numFmtId="0" fontId="8" fillId="0" borderId="42" xfId="2" applyFont="1" applyBorder="1" applyAlignment="1" applyProtection="1">
      <alignment horizontal="center" vertical="center"/>
      <protection hidden="1"/>
    </xf>
    <xf numFmtId="0" fontId="8" fillId="0" borderId="58" xfId="2" applyFont="1" applyBorder="1" applyAlignment="1" applyProtection="1">
      <alignment horizontal="center" vertical="center"/>
      <protection hidden="1"/>
    </xf>
    <xf numFmtId="0" fontId="8" fillId="0" borderId="12" xfId="2" applyFont="1" applyBorder="1" applyAlignment="1" applyProtection="1">
      <alignment horizontal="center" vertical="center"/>
      <protection locked="0"/>
    </xf>
    <xf numFmtId="0" fontId="8" fillId="0" borderId="32" xfId="2" applyFont="1" applyBorder="1" applyAlignment="1" applyProtection="1">
      <alignment horizontal="center" vertical="center"/>
      <protection locked="0"/>
    </xf>
    <xf numFmtId="0" fontId="8" fillId="0" borderId="36" xfId="2" applyFont="1" applyBorder="1" applyAlignment="1" applyProtection="1">
      <alignment horizontal="center" vertical="center"/>
      <protection locked="0"/>
    </xf>
    <xf numFmtId="0" fontId="8" fillId="0" borderId="46" xfId="2" applyFont="1" applyBorder="1" applyAlignment="1" applyProtection="1">
      <alignment horizontal="center" vertical="center"/>
      <protection locked="0"/>
    </xf>
    <xf numFmtId="0" fontId="8" fillId="0" borderId="43" xfId="2" applyFont="1" applyBorder="1" applyAlignment="1" applyProtection="1">
      <alignment horizontal="center" vertical="center"/>
      <protection locked="0"/>
    </xf>
    <xf numFmtId="0" fontId="8" fillId="0" borderId="19" xfId="2" applyFont="1" applyBorder="1" applyAlignment="1" applyProtection="1">
      <alignment horizontal="center" vertical="center"/>
      <protection locked="0"/>
    </xf>
    <xf numFmtId="0" fontId="8" fillId="0" borderId="6" xfId="2" applyFont="1" applyBorder="1" applyAlignment="1" applyProtection="1">
      <alignment horizontal="center" vertical="center"/>
      <protection locked="0"/>
    </xf>
    <xf numFmtId="0" fontId="8" fillId="0" borderId="50" xfId="2" applyFont="1" applyBorder="1" applyAlignment="1" applyProtection="1">
      <alignment horizontal="left" vertical="center"/>
      <protection locked="0"/>
    </xf>
    <xf numFmtId="0" fontId="8" fillId="0" borderId="27" xfId="2" applyFont="1" applyBorder="1" applyAlignment="1" applyProtection="1">
      <alignment horizontal="left" vertical="center"/>
      <protection locked="0"/>
    </xf>
    <xf numFmtId="179" fontId="15" fillId="0" borderId="27" xfId="2" applyNumberFormat="1" applyFont="1" applyBorder="1" applyAlignment="1" applyProtection="1">
      <alignment horizontal="left" vertical="center"/>
      <protection locked="0"/>
    </xf>
    <xf numFmtId="178" fontId="15" fillId="0" borderId="52" xfId="2" applyNumberFormat="1" applyFont="1" applyBorder="1" applyAlignment="1" applyProtection="1">
      <alignment horizontal="left" vertical="center"/>
      <protection locked="0"/>
    </xf>
    <xf numFmtId="0" fontId="8" fillId="0" borderId="23" xfId="2" applyFont="1" applyBorder="1" applyAlignment="1" applyProtection="1">
      <alignment horizontal="left" vertical="center"/>
      <protection locked="0"/>
    </xf>
    <xf numFmtId="0" fontId="8" fillId="0" borderId="24" xfId="2" applyFont="1" applyBorder="1" applyAlignment="1" applyProtection="1">
      <alignment horizontal="left" vertical="center"/>
      <protection locked="0"/>
    </xf>
    <xf numFmtId="181" fontId="22" fillId="0" borderId="24" xfId="0" applyNumberFormat="1" applyFont="1" applyBorder="1" applyAlignment="1" applyProtection="1">
      <alignment horizontal="right" vertical="center"/>
      <protection locked="0"/>
    </xf>
    <xf numFmtId="180" fontId="22" fillId="0" borderId="24" xfId="0" applyNumberFormat="1" applyFont="1" applyBorder="1" applyProtection="1">
      <alignment vertical="center"/>
      <protection locked="0"/>
    </xf>
    <xf numFmtId="179" fontId="15" fillId="0" borderId="24" xfId="2" applyNumberFormat="1" applyFont="1" applyBorder="1" applyAlignment="1" applyProtection="1">
      <alignment horizontal="left" vertical="center"/>
      <protection locked="0"/>
    </xf>
    <xf numFmtId="0" fontId="8" fillId="0" borderId="24" xfId="2" applyFont="1" applyBorder="1" applyAlignment="1" applyProtection="1">
      <alignment horizontal="right" vertical="center"/>
      <protection locked="0"/>
    </xf>
    <xf numFmtId="177" fontId="21" fillId="0" borderId="24" xfId="0" applyNumberFormat="1" applyFont="1" applyBorder="1" applyAlignment="1" applyProtection="1">
      <alignment horizontal="right" vertical="center"/>
      <protection locked="0"/>
    </xf>
    <xf numFmtId="0" fontId="15" fillId="0" borderId="51" xfId="2" applyFont="1" applyBorder="1" applyAlignment="1" applyProtection="1">
      <alignment horizontal="left" vertical="center"/>
      <protection locked="0"/>
    </xf>
    <xf numFmtId="0" fontId="8" fillId="0" borderId="0" xfId="0" applyFont="1" applyProtection="1">
      <alignment vertical="center"/>
      <protection locked="0"/>
    </xf>
    <xf numFmtId="0" fontId="8" fillId="0" borderId="0" xfId="2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right" vertical="center"/>
      <protection locked="0"/>
    </xf>
    <xf numFmtId="0" fontId="8" fillId="0" borderId="0" xfId="2" applyFont="1" applyAlignment="1" applyProtection="1">
      <alignment horizontal="center" vertical="center"/>
      <protection locked="0"/>
    </xf>
    <xf numFmtId="0" fontId="8" fillId="0" borderId="0" xfId="2" applyFont="1" applyProtection="1">
      <alignment vertical="center"/>
      <protection locked="0"/>
    </xf>
    <xf numFmtId="0" fontId="20" fillId="0" borderId="5" xfId="0" applyFont="1" applyBorder="1" applyAlignment="1" applyProtection="1">
      <alignment horizontal="center" vertical="center"/>
      <protection locked="0"/>
    </xf>
    <xf numFmtId="0" fontId="8" fillId="0" borderId="26" xfId="2" applyFont="1" applyBorder="1" applyProtection="1">
      <alignment vertical="center"/>
      <protection locked="0"/>
    </xf>
    <xf numFmtId="0" fontId="8" fillId="0" borderId="26" xfId="2" applyFont="1" applyBorder="1" applyAlignment="1" applyProtection="1">
      <alignment horizontal="center" vertical="center"/>
      <protection locked="0"/>
    </xf>
    <xf numFmtId="0" fontId="8" fillId="0" borderId="0" xfId="2" applyFont="1" applyAlignment="1" applyProtection="1">
      <alignment horizontal="center" vertical="center" wrapText="1"/>
      <protection locked="0"/>
    </xf>
    <xf numFmtId="0" fontId="10" fillId="0" borderId="0" xfId="2" applyFont="1" applyAlignment="1" applyProtection="1">
      <alignment horizontal="center" vertical="center"/>
      <protection locked="0"/>
    </xf>
    <xf numFmtId="0" fontId="11" fillId="0" borderId="26" xfId="2" applyFont="1" applyBorder="1" applyProtection="1">
      <alignment vertical="center"/>
      <protection locked="0"/>
    </xf>
    <xf numFmtId="0" fontId="11" fillId="0" borderId="26" xfId="2" applyFont="1" applyBorder="1" applyAlignment="1" applyProtection="1">
      <alignment horizontal="center" vertical="center"/>
      <protection locked="0"/>
    </xf>
    <xf numFmtId="0" fontId="8" fillId="0" borderId="38" xfId="2" applyFont="1" applyBorder="1" applyProtection="1">
      <alignment vertical="center"/>
      <protection locked="0"/>
    </xf>
    <xf numFmtId="49" fontId="25" fillId="0" borderId="5" xfId="0" quotePrefix="1" applyNumberFormat="1" applyFont="1" applyBorder="1" applyAlignment="1" applyProtection="1">
      <alignment horizontal="left" vertical="center" shrinkToFit="1"/>
      <protection locked="0"/>
    </xf>
    <xf numFmtId="49" fontId="25" fillId="0" borderId="67" xfId="0" applyNumberFormat="1" applyFont="1" applyBorder="1" applyAlignment="1" applyProtection="1">
      <alignment horizontal="left" vertical="center" shrinkToFit="1"/>
      <protection locked="0"/>
    </xf>
    <xf numFmtId="49" fontId="4" fillId="0" borderId="12" xfId="0" applyNumberFormat="1" applyFont="1" applyBorder="1" applyAlignment="1" applyProtection="1">
      <alignment horizontal="center" vertical="center" wrapText="1"/>
      <protection hidden="1"/>
    </xf>
    <xf numFmtId="49" fontId="4" fillId="0" borderId="9" xfId="0" applyNumberFormat="1" applyFont="1" applyBorder="1" applyAlignment="1" applyProtection="1">
      <alignment horizontal="center" vertical="center" wrapText="1"/>
      <protection hidden="1"/>
    </xf>
    <xf numFmtId="49" fontId="4" fillId="0" borderId="9" xfId="0" applyNumberFormat="1" applyFont="1" applyBorder="1" applyAlignment="1" applyProtection="1">
      <alignment horizontal="center" vertical="center"/>
      <protection hidden="1"/>
    </xf>
    <xf numFmtId="0" fontId="23" fillId="0" borderId="0" xfId="0" applyFont="1" applyAlignment="1">
      <alignment horizontal="center" vertical="center" wrapText="1"/>
    </xf>
    <xf numFmtId="0" fontId="15" fillId="0" borderId="25" xfId="2" applyFont="1" applyBorder="1" applyAlignment="1" applyProtection="1">
      <alignment horizontal="right" vertical="center"/>
      <protection locked="0"/>
    </xf>
    <xf numFmtId="0" fontId="15" fillId="0" borderId="34" xfId="2" applyFont="1" applyBorder="1" applyAlignment="1" applyProtection="1">
      <alignment horizontal="right" vertical="center"/>
      <protection locked="0"/>
    </xf>
    <xf numFmtId="0" fontId="7" fillId="0" borderId="0" xfId="1" applyFont="1" applyAlignment="1" applyProtection="1">
      <alignment vertical="center"/>
      <protection hidden="1"/>
    </xf>
    <xf numFmtId="0" fontId="7" fillId="0" borderId="0" xfId="1" applyFont="1" applyProtection="1">
      <protection hidden="1"/>
    </xf>
    <xf numFmtId="0" fontId="7" fillId="3" borderId="32" xfId="1" applyFont="1" applyFill="1" applyBorder="1" applyProtection="1">
      <protection locked="0"/>
    </xf>
    <xf numFmtId="0" fontId="7" fillId="0" borderId="0" xfId="1" applyFont="1" applyAlignment="1" applyProtection="1">
      <alignment horizontal="center" vertical="center"/>
      <protection hidden="1"/>
    </xf>
    <xf numFmtId="0" fontId="8" fillId="0" borderId="0" xfId="1" applyFont="1" applyProtection="1">
      <protection hidden="1"/>
    </xf>
    <xf numFmtId="0" fontId="7" fillId="0" borderId="64" xfId="1" applyFont="1" applyBorder="1" applyProtection="1">
      <protection hidden="1"/>
    </xf>
    <xf numFmtId="0" fontId="7" fillId="0" borderId="26" xfId="1" applyFont="1" applyBorder="1" applyProtection="1">
      <protection hidden="1"/>
    </xf>
    <xf numFmtId="0" fontId="7" fillId="3" borderId="32" xfId="1" applyFont="1" applyFill="1" applyBorder="1" applyAlignment="1" applyProtection="1">
      <alignment shrinkToFit="1"/>
      <protection locked="0"/>
    </xf>
    <xf numFmtId="0" fontId="32" fillId="3" borderId="32" xfId="1" applyFont="1" applyFill="1" applyBorder="1" applyAlignment="1" applyProtection="1">
      <alignment horizontal="center" vertical="center" shrinkToFit="1"/>
      <protection locked="0"/>
    </xf>
    <xf numFmtId="0" fontId="32" fillId="3" borderId="32" xfId="1" applyFont="1" applyFill="1" applyBorder="1" applyAlignment="1" applyProtection="1">
      <alignment shrinkToFit="1"/>
      <protection locked="0"/>
    </xf>
    <xf numFmtId="0" fontId="32" fillId="3" borderId="32" xfId="1" applyFont="1" applyFill="1" applyBorder="1" applyAlignment="1" applyProtection="1">
      <alignment horizontal="center" vertical="center"/>
      <protection locked="0"/>
    </xf>
    <xf numFmtId="0" fontId="7" fillId="3" borderId="59" xfId="1" applyFont="1" applyFill="1" applyBorder="1" applyProtection="1">
      <protection locked="0"/>
    </xf>
    <xf numFmtId="0" fontId="7" fillId="3" borderId="29" xfId="1" applyFont="1" applyFill="1" applyBorder="1" applyProtection="1">
      <protection locked="0"/>
    </xf>
    <xf numFmtId="0" fontId="7" fillId="3" borderId="34" xfId="1" applyFont="1" applyFill="1" applyBorder="1" applyProtection="1">
      <protection locked="0"/>
    </xf>
    <xf numFmtId="0" fontId="7" fillId="3" borderId="62" xfId="1" applyFont="1" applyFill="1" applyBorder="1" applyProtection="1">
      <protection locked="0"/>
    </xf>
    <xf numFmtId="0" fontId="7" fillId="3" borderId="8" xfId="1" applyFont="1" applyFill="1" applyBorder="1" applyProtection="1">
      <protection locked="0"/>
    </xf>
    <xf numFmtId="0" fontId="7" fillId="3" borderId="9" xfId="1" applyFont="1" applyFill="1" applyBorder="1" applyProtection="1">
      <protection locked="0"/>
    </xf>
    <xf numFmtId="0" fontId="7" fillId="3" borderId="10" xfId="1" applyFont="1" applyFill="1" applyBorder="1" applyProtection="1">
      <protection locked="0"/>
    </xf>
    <xf numFmtId="0" fontId="38" fillId="0" borderId="0" xfId="0" applyFont="1">
      <alignment vertical="center"/>
    </xf>
    <xf numFmtId="49" fontId="25" fillId="0" borderId="97" xfId="0" applyNumberFormat="1" applyFont="1" applyBorder="1" applyAlignment="1" applyProtection="1">
      <alignment horizontal="left" vertical="center" shrinkToFit="1"/>
      <protection locked="0"/>
    </xf>
    <xf numFmtId="49" fontId="25" fillId="0" borderId="9" xfId="0" applyNumberFormat="1" applyFont="1" applyBorder="1" applyAlignment="1" applyProtection="1">
      <alignment horizontal="center" vertical="center"/>
      <protection hidden="1"/>
    </xf>
    <xf numFmtId="0" fontId="25" fillId="0" borderId="9" xfId="0" applyFont="1" applyBorder="1" applyAlignment="1" applyProtection="1">
      <alignment horizontal="center" vertical="center"/>
      <protection hidden="1"/>
    </xf>
    <xf numFmtId="0" fontId="25" fillId="0" borderId="116" xfId="0" applyFont="1" applyBorder="1" applyAlignment="1" applyProtection="1">
      <alignment horizontal="center" vertical="center"/>
      <protection hidden="1"/>
    </xf>
    <xf numFmtId="0" fontId="25" fillId="0" borderId="0" xfId="0" applyFont="1" applyProtection="1">
      <alignment vertical="center"/>
      <protection hidden="1"/>
    </xf>
    <xf numFmtId="0" fontId="25" fillId="0" borderId="36" xfId="0" applyFont="1" applyBorder="1" applyAlignment="1" applyProtection="1">
      <alignment horizontal="center" vertical="center" wrapText="1"/>
      <protection hidden="1"/>
    </xf>
    <xf numFmtId="9" fontId="25" fillId="0" borderId="87" xfId="4" applyFont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right" wrapText="1"/>
      <protection hidden="1"/>
    </xf>
    <xf numFmtId="0" fontId="25" fillId="0" borderId="72" xfId="0" applyFont="1" applyBorder="1" applyAlignment="1" applyProtection="1">
      <alignment vertical="center" wrapText="1"/>
      <protection hidden="1"/>
    </xf>
    <xf numFmtId="0" fontId="25" fillId="0" borderId="111" xfId="0" applyFont="1" applyBorder="1" applyAlignment="1" applyProtection="1">
      <alignment horizontal="center" vertical="center" wrapText="1"/>
      <protection hidden="1"/>
    </xf>
    <xf numFmtId="0" fontId="25" fillId="0" borderId="4" xfId="0" quotePrefix="1" applyFont="1" applyBorder="1" applyAlignment="1" applyProtection="1">
      <alignment horizontal="center" vertical="center" wrapText="1"/>
      <protection hidden="1"/>
    </xf>
    <xf numFmtId="0" fontId="25" fillId="0" borderId="35" xfId="0" quotePrefix="1" applyFont="1" applyBorder="1" applyAlignment="1" applyProtection="1">
      <alignment horizontal="center" vertical="center" wrapText="1"/>
      <protection hidden="1"/>
    </xf>
    <xf numFmtId="0" fontId="25" fillId="0" borderId="8" xfId="0" applyFont="1" applyBorder="1" applyAlignment="1" applyProtection="1">
      <alignment horizontal="center" vertical="center" wrapText="1"/>
      <protection hidden="1"/>
    </xf>
    <xf numFmtId="0" fontId="44" fillId="0" borderId="0" xfId="0" applyFont="1" applyProtection="1">
      <alignment vertical="center"/>
      <protection hidden="1"/>
    </xf>
    <xf numFmtId="0" fontId="25" fillId="0" borderId="58" xfId="0" applyFont="1" applyBorder="1" applyAlignment="1" applyProtection="1">
      <alignment vertical="center" wrapText="1"/>
      <protection hidden="1"/>
    </xf>
    <xf numFmtId="0" fontId="25" fillId="0" borderId="58" xfId="0" applyFont="1" applyBorder="1" applyProtection="1">
      <alignment vertical="center"/>
      <protection hidden="1"/>
    </xf>
    <xf numFmtId="0" fontId="25" fillId="0" borderId="112" xfId="0" applyFont="1" applyBorder="1" applyAlignment="1" applyProtection="1">
      <alignment horizontal="center" vertical="center"/>
      <protection hidden="1"/>
    </xf>
    <xf numFmtId="0" fontId="49" fillId="0" borderId="0" xfId="1" applyFont="1" applyAlignment="1" applyProtection="1">
      <alignment vertical="center"/>
      <protection hidden="1"/>
    </xf>
    <xf numFmtId="0" fontId="49" fillId="0" borderId="0" xfId="1" applyFont="1" applyProtection="1">
      <protection hidden="1"/>
    </xf>
    <xf numFmtId="0" fontId="50" fillId="0" borderId="0" xfId="1" applyFont="1" applyProtection="1">
      <protection hidden="1"/>
    </xf>
    <xf numFmtId="0" fontId="49" fillId="0" borderId="35" xfId="1" applyFont="1" applyBorder="1" applyAlignment="1" applyProtection="1">
      <alignment shrinkToFit="1"/>
      <protection hidden="1"/>
    </xf>
    <xf numFmtId="0" fontId="50" fillId="0" borderId="35" xfId="1" applyFont="1" applyBorder="1" applyAlignment="1" applyProtection="1">
      <alignment shrinkToFit="1"/>
      <protection hidden="1"/>
    </xf>
    <xf numFmtId="0" fontId="20" fillId="0" borderId="35" xfId="1" applyFont="1" applyBorder="1" applyAlignment="1" applyProtection="1">
      <alignment shrinkToFit="1"/>
      <protection hidden="1"/>
    </xf>
    <xf numFmtId="0" fontId="51" fillId="4" borderId="32" xfId="1" applyFont="1" applyFill="1" applyBorder="1" applyAlignment="1" applyProtection="1">
      <alignment shrinkToFit="1"/>
      <protection locked="0"/>
    </xf>
    <xf numFmtId="0" fontId="51" fillId="0" borderId="0" xfId="1" applyFont="1" applyAlignment="1" applyProtection="1">
      <alignment vertical="center" shrinkToFit="1"/>
      <protection hidden="1"/>
    </xf>
    <xf numFmtId="0" fontId="7" fillId="6" borderId="0" xfId="1" applyFont="1" applyFill="1" applyProtection="1">
      <protection hidden="1"/>
    </xf>
    <xf numFmtId="14" fontId="32" fillId="8" borderId="32" xfId="1" applyNumberFormat="1" applyFont="1" applyFill="1" applyBorder="1" applyAlignment="1" applyProtection="1">
      <alignment shrinkToFit="1"/>
      <protection locked="0"/>
    </xf>
    <xf numFmtId="0" fontId="32" fillId="8" borderId="32" xfId="1" applyFont="1" applyFill="1" applyBorder="1" applyAlignment="1" applyProtection="1">
      <alignment shrinkToFit="1"/>
      <protection hidden="1"/>
    </xf>
    <xf numFmtId="0" fontId="23" fillId="0" borderId="57" xfId="0" applyFont="1" applyBorder="1" applyAlignment="1">
      <alignment horizontal="center" vertical="center" shrinkToFit="1"/>
    </xf>
    <xf numFmtId="0" fontId="8" fillId="0" borderId="92" xfId="2" applyFont="1" applyBorder="1" applyAlignment="1">
      <alignment horizontal="center" vertical="center" wrapText="1"/>
    </xf>
    <xf numFmtId="0" fontId="8" fillId="0" borderId="13" xfId="2" applyFont="1" applyBorder="1" applyAlignment="1">
      <alignment horizontal="center" vertical="center" wrapText="1"/>
    </xf>
    <xf numFmtId="0" fontId="56" fillId="2" borderId="55" xfId="0" applyFont="1" applyFill="1" applyBorder="1" applyAlignment="1">
      <alignment horizontal="center" vertical="center" wrapText="1"/>
    </xf>
    <xf numFmtId="0" fontId="31" fillId="6" borderId="0" xfId="1" applyFont="1" applyFill="1" applyAlignment="1" applyProtection="1">
      <alignment horizontal="left"/>
      <protection hidden="1"/>
    </xf>
    <xf numFmtId="183" fontId="7" fillId="3" borderId="32" xfId="1" applyNumberFormat="1" applyFont="1" applyFill="1" applyBorder="1" applyAlignment="1" applyProtection="1">
      <alignment shrinkToFit="1"/>
      <protection locked="0"/>
    </xf>
    <xf numFmtId="0" fontId="51" fillId="0" borderId="0" xfId="1" applyFont="1" applyAlignment="1" applyProtection="1">
      <alignment shrinkToFit="1"/>
      <protection locked="0"/>
    </xf>
    <xf numFmtId="0" fontId="13" fillId="0" borderId="0" xfId="1" applyFont="1" applyAlignment="1" applyProtection="1">
      <alignment vertical="center" shrinkToFit="1"/>
      <protection locked="0"/>
    </xf>
    <xf numFmtId="0" fontId="8" fillId="0" borderId="12" xfId="2" applyFont="1" applyBorder="1" applyAlignment="1" applyProtection="1">
      <alignment horizontal="center" vertical="center"/>
      <protection hidden="1"/>
    </xf>
    <xf numFmtId="0" fontId="7" fillId="9" borderId="0" xfId="1" applyFont="1" applyFill="1" applyAlignment="1" applyProtection="1">
      <alignment vertical="center"/>
      <protection hidden="1"/>
    </xf>
    <xf numFmtId="0" fontId="53" fillId="9" borderId="0" xfId="1" applyFont="1" applyFill="1" applyAlignment="1" applyProtection="1">
      <alignment horizontal="center" vertical="center"/>
      <protection hidden="1"/>
    </xf>
    <xf numFmtId="0" fontId="7" fillId="9" borderId="0" xfId="1" applyFont="1" applyFill="1" applyProtection="1">
      <protection hidden="1"/>
    </xf>
    <xf numFmtId="0" fontId="20" fillId="9" borderId="0" xfId="0" applyFont="1" applyFill="1" applyAlignment="1"/>
    <xf numFmtId="0" fontId="7" fillId="7" borderId="28" xfId="1" applyFont="1" applyFill="1" applyBorder="1" applyProtection="1">
      <protection locked="0"/>
    </xf>
    <xf numFmtId="0" fontId="7" fillId="7" borderId="59" xfId="1" applyFont="1" applyFill="1" applyBorder="1" applyProtection="1">
      <protection locked="0"/>
    </xf>
    <xf numFmtId="0" fontId="7" fillId="7" borderId="25" xfId="1" applyFont="1" applyFill="1" applyBorder="1" applyProtection="1">
      <protection locked="0"/>
    </xf>
    <xf numFmtId="0" fontId="7" fillId="7" borderId="12" xfId="1" applyFont="1" applyFill="1" applyBorder="1" applyProtection="1">
      <protection locked="0"/>
    </xf>
    <xf numFmtId="0" fontId="7" fillId="7" borderId="42" xfId="1" applyFont="1" applyFill="1" applyBorder="1" applyProtection="1">
      <protection locked="0"/>
    </xf>
    <xf numFmtId="0" fontId="7" fillId="7" borderId="34" xfId="1" applyFont="1" applyFill="1" applyBorder="1" applyProtection="1">
      <protection locked="0"/>
    </xf>
    <xf numFmtId="0" fontId="7" fillId="7" borderId="32" xfId="1" applyFont="1" applyFill="1" applyBorder="1" applyProtection="1">
      <protection locked="0"/>
    </xf>
    <xf numFmtId="0" fontId="7" fillId="7" borderId="62" xfId="1" applyFont="1" applyFill="1" applyBorder="1" applyProtection="1">
      <protection locked="0"/>
    </xf>
    <xf numFmtId="0" fontId="57" fillId="9" borderId="0" xfId="1" applyFont="1" applyFill="1" applyProtection="1">
      <protection hidden="1"/>
    </xf>
    <xf numFmtId="0" fontId="58" fillId="0" borderId="26" xfId="2" applyFont="1" applyBorder="1" applyAlignment="1" applyProtection="1">
      <alignment horizontal="center" vertical="center"/>
      <protection locked="0"/>
    </xf>
    <xf numFmtId="176" fontId="10" fillId="0" borderId="38" xfId="2" applyNumberFormat="1" applyFont="1" applyBorder="1" applyAlignment="1" applyProtection="1">
      <alignment horizontal="center" vertical="center"/>
      <protection locked="0"/>
    </xf>
    <xf numFmtId="0" fontId="62" fillId="0" borderId="0" xfId="5" applyFont="1" applyFill="1" applyAlignment="1">
      <alignment horizontal="center" vertical="center" shrinkToFit="1"/>
    </xf>
    <xf numFmtId="0" fontId="60" fillId="0" borderId="0" xfId="0" applyFont="1" applyAlignment="1">
      <alignment horizontal="center" vertical="center" shrinkToFit="1"/>
    </xf>
    <xf numFmtId="0" fontId="62" fillId="0" borderId="0" xfId="5" applyFont="1" applyFill="1" applyAlignment="1">
      <alignment horizontal="center" vertical="center"/>
    </xf>
    <xf numFmtId="0" fontId="25" fillId="0" borderId="32" xfId="0" applyFont="1" applyBorder="1" applyAlignment="1" applyProtection="1">
      <alignment vertical="center" wrapText="1"/>
      <protection locked="0"/>
    </xf>
    <xf numFmtId="0" fontId="25" fillId="0" borderId="36" xfId="0" applyFont="1" applyBorder="1" applyAlignment="1" applyProtection="1">
      <alignment horizontal="center" vertical="center"/>
      <protection locked="0"/>
    </xf>
    <xf numFmtId="0" fontId="25" fillId="0" borderId="109" xfId="0" applyFont="1" applyBorder="1" applyAlignment="1" applyProtection="1">
      <alignment vertical="center" wrapText="1"/>
      <protection locked="0"/>
    </xf>
    <xf numFmtId="0" fontId="11" fillId="0" borderId="129" xfId="1" applyFont="1" applyBorder="1" applyAlignment="1" applyProtection="1">
      <alignment horizontal="distributed" vertical="center" shrinkToFit="1"/>
      <protection hidden="1"/>
    </xf>
    <xf numFmtId="0" fontId="47" fillId="0" borderId="129" xfId="0" applyFont="1" applyBorder="1" applyAlignment="1">
      <alignment horizontal="distributed" vertical="center" shrinkToFit="1"/>
    </xf>
    <xf numFmtId="0" fontId="33" fillId="0" borderId="0" xfId="1" applyFont="1" applyAlignment="1" applyProtection="1">
      <alignment vertical="center" shrinkToFit="1"/>
      <protection hidden="1"/>
    </xf>
    <xf numFmtId="0" fontId="33" fillId="0" borderId="0" xfId="1" applyFont="1" applyAlignment="1" applyProtection="1">
      <alignment shrinkToFit="1"/>
      <protection hidden="1"/>
    </xf>
    <xf numFmtId="0" fontId="65" fillId="6" borderId="55" xfId="0" applyFont="1" applyFill="1" applyBorder="1" applyAlignment="1">
      <alignment horizontal="center" vertical="center"/>
    </xf>
    <xf numFmtId="14" fontId="65" fillId="0" borderId="57" xfId="0" applyNumberFormat="1" applyFont="1" applyBorder="1" applyAlignment="1" applyProtection="1">
      <alignment horizontal="center" vertical="center"/>
      <protection locked="0"/>
    </xf>
    <xf numFmtId="0" fontId="67" fillId="0" borderId="57" xfId="0" applyFont="1" applyBorder="1" applyAlignment="1" applyProtection="1">
      <alignment horizontal="center" vertical="center"/>
      <protection locked="0"/>
    </xf>
    <xf numFmtId="0" fontId="67" fillId="0" borderId="57" xfId="0" applyFont="1" applyBorder="1" applyAlignment="1">
      <alignment horizontal="center" vertical="center"/>
    </xf>
    <xf numFmtId="14" fontId="65" fillId="0" borderId="57" xfId="0" applyNumberFormat="1" applyFont="1" applyBorder="1" applyAlignment="1">
      <alignment horizontal="center" vertical="center"/>
    </xf>
    <xf numFmtId="49" fontId="25" fillId="0" borderId="5" xfId="0" applyNumberFormat="1" applyFont="1" applyBorder="1" applyAlignment="1" applyProtection="1">
      <alignment horizontal="left" vertical="center" shrinkToFit="1"/>
      <protection locked="0"/>
    </xf>
    <xf numFmtId="0" fontId="23" fillId="0" borderId="15" xfId="0" applyFont="1" applyBorder="1">
      <alignment vertical="center"/>
    </xf>
    <xf numFmtId="0" fontId="23" fillId="0" borderId="66" xfId="0" applyFont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 shrinkToFit="1"/>
    </xf>
    <xf numFmtId="0" fontId="23" fillId="0" borderId="63" xfId="0" applyFont="1" applyBorder="1" applyAlignment="1">
      <alignment horizontal="center" vertical="center"/>
    </xf>
    <xf numFmtId="0" fontId="23" fillId="0" borderId="6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26" xfId="0" applyFont="1" applyBorder="1" applyAlignment="1" applyProtection="1">
      <alignment horizontal="center" vertical="center" wrapText="1"/>
      <protection hidden="1"/>
    </xf>
    <xf numFmtId="0" fontId="4" fillId="0" borderId="127" xfId="0" applyFont="1" applyBorder="1" applyAlignment="1" applyProtection="1">
      <alignment horizontal="center" vertical="center" wrapText="1"/>
      <protection hidden="1"/>
    </xf>
    <xf numFmtId="0" fontId="24" fillId="0" borderId="127" xfId="0" applyFont="1" applyBorder="1" applyAlignment="1" applyProtection="1">
      <alignment horizontal="center" vertical="center" wrapText="1"/>
      <protection locked="0"/>
    </xf>
    <xf numFmtId="0" fontId="0" fillId="0" borderId="127" xfId="0" applyBorder="1" applyAlignment="1" applyProtection="1">
      <alignment horizontal="center" vertical="center" wrapText="1"/>
      <protection locked="0"/>
    </xf>
    <xf numFmtId="0" fontId="0" fillId="0" borderId="128" xfId="0" applyBorder="1" applyAlignment="1" applyProtection="1">
      <alignment horizontal="center" vertical="center" wrapText="1"/>
      <protection locked="0"/>
    </xf>
    <xf numFmtId="0" fontId="4" fillId="0" borderId="27" xfId="0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4" fillId="0" borderId="64" xfId="0" applyFont="1" applyBorder="1" applyAlignment="1">
      <alignment horizontal="left" vertical="center"/>
    </xf>
    <xf numFmtId="0" fontId="0" fillId="0" borderId="64" xfId="0" applyBorder="1" applyAlignment="1">
      <alignment horizontal="left" vertical="center"/>
    </xf>
    <xf numFmtId="0" fontId="4" fillId="0" borderId="64" xfId="0" applyFont="1" applyBorder="1" applyAlignment="1">
      <alignment horizontal="right" vertical="center"/>
    </xf>
    <xf numFmtId="0" fontId="0" fillId="0" borderId="64" xfId="0" applyBorder="1" applyAlignment="1">
      <alignment horizontal="right" vertical="center"/>
    </xf>
    <xf numFmtId="49" fontId="26" fillId="0" borderId="36" xfId="0" applyNumberFormat="1" applyFont="1" applyBorder="1" applyAlignment="1" applyProtection="1">
      <alignment horizontal="center" vertical="center" shrinkToFit="1"/>
      <protection locked="0"/>
    </xf>
    <xf numFmtId="49" fontId="26" fillId="0" borderId="109" xfId="0" applyNumberFormat="1" applyFont="1" applyBorder="1" applyAlignment="1" applyProtection="1">
      <alignment horizontal="center" vertical="center" shrinkToFit="1"/>
      <protection locked="0"/>
    </xf>
    <xf numFmtId="49" fontId="4" fillId="0" borderId="18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49" fontId="23" fillId="0" borderId="61" xfId="0" applyNumberFormat="1" applyFont="1" applyBorder="1" applyAlignment="1" applyProtection="1">
      <alignment horizontal="left" vertical="top"/>
      <protection locked="0"/>
    </xf>
    <xf numFmtId="0" fontId="0" fillId="0" borderId="61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38" xfId="0" applyBorder="1" applyAlignment="1">
      <alignment horizontal="left" vertical="top"/>
    </xf>
    <xf numFmtId="49" fontId="4" fillId="0" borderId="28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49" fontId="23" fillId="0" borderId="20" xfId="0" applyNumberFormat="1" applyFont="1" applyBorder="1" applyAlignment="1" applyProtection="1">
      <alignment horizontal="left" vertical="top"/>
      <protection locked="0"/>
    </xf>
    <xf numFmtId="0" fontId="0" fillId="0" borderId="67" xfId="0" applyBorder="1" applyAlignment="1">
      <alignment horizontal="left" vertical="top"/>
    </xf>
    <xf numFmtId="0" fontId="0" fillId="0" borderId="66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49" fontId="26" fillId="0" borderId="31" xfId="0" applyNumberFormat="1" applyFont="1" applyBorder="1" applyAlignment="1" applyProtection="1">
      <alignment horizontal="center" vertical="center" shrinkToFit="1"/>
      <protection locked="0"/>
    </xf>
    <xf numFmtId="0" fontId="37" fillId="6" borderId="0" xfId="0" applyFont="1" applyFill="1" applyAlignment="1">
      <alignment horizontal="center" vertical="center"/>
    </xf>
    <xf numFmtId="0" fontId="38" fillId="6" borderId="0" xfId="0" applyFont="1" applyFill="1">
      <alignment vertical="center"/>
    </xf>
    <xf numFmtId="0" fontId="4" fillId="0" borderId="0" xfId="0" applyFont="1" applyAlignment="1" applyProtection="1">
      <alignment horizontal="left" vertical="center"/>
      <protection locked="0"/>
    </xf>
    <xf numFmtId="0" fontId="23" fillId="0" borderId="0" xfId="0" applyFont="1" applyAlignment="1" applyProtection="1">
      <alignment horizontal="left" vertical="center"/>
      <protection locked="0"/>
    </xf>
    <xf numFmtId="49" fontId="23" fillId="0" borderId="1" xfId="0" applyNumberFormat="1" applyFont="1" applyBorder="1" applyAlignment="1" applyProtection="1">
      <alignment horizontal="center" vertical="center" shrinkToFit="1"/>
      <protection locked="0"/>
    </xf>
    <xf numFmtId="49" fontId="23" fillId="0" borderId="4" xfId="0" applyNumberFormat="1" applyFont="1" applyBorder="1" applyAlignment="1" applyProtection="1">
      <alignment horizontal="center" vertical="center" shrinkToFit="1"/>
      <protection locked="0"/>
    </xf>
    <xf numFmtId="49" fontId="26" fillId="0" borderId="62" xfId="0" applyNumberFormat="1" applyFont="1" applyBorder="1" applyAlignment="1" applyProtection="1">
      <alignment horizontal="center" vertical="center" shrinkToFit="1"/>
      <protection locked="0"/>
    </xf>
    <xf numFmtId="49" fontId="26" fillId="0" borderId="62" xfId="0" quotePrefix="1" applyNumberFormat="1" applyFont="1" applyBorder="1" applyAlignment="1" applyProtection="1">
      <alignment horizontal="center" vertical="center" shrinkToFit="1"/>
      <protection locked="0"/>
    </xf>
    <xf numFmtId="49" fontId="4" fillId="0" borderId="28" xfId="0" applyNumberFormat="1" applyFont="1" applyBorder="1" applyAlignment="1">
      <alignment horizontal="center" vertical="center" wrapText="1" shrinkToFit="1"/>
    </xf>
    <xf numFmtId="49" fontId="23" fillId="0" borderId="25" xfId="0" applyNumberFormat="1" applyFont="1" applyBorder="1" applyAlignment="1">
      <alignment horizontal="center" vertical="center" wrapText="1" shrinkToFit="1"/>
    </xf>
    <xf numFmtId="49" fontId="4" fillId="0" borderId="29" xfId="0" applyNumberFormat="1" applyFont="1" applyBorder="1" applyAlignment="1">
      <alignment horizontal="center" vertical="center" wrapText="1" shrinkToFit="1"/>
    </xf>
    <xf numFmtId="49" fontId="23" fillId="0" borderId="8" xfId="0" applyNumberFormat="1" applyFont="1" applyBorder="1" applyAlignment="1">
      <alignment horizontal="center" vertical="center" wrapText="1" shrinkToFit="1"/>
    </xf>
    <xf numFmtId="49" fontId="23" fillId="0" borderId="17" xfId="0" applyNumberFormat="1" applyFont="1" applyBorder="1" applyAlignment="1" applyProtection="1">
      <alignment horizontal="center" vertical="center" wrapText="1"/>
      <protection locked="0"/>
    </xf>
    <xf numFmtId="49" fontId="23" fillId="0" borderId="18" xfId="0" applyNumberFormat="1" applyFont="1" applyBorder="1" applyAlignment="1" applyProtection="1">
      <alignment horizontal="center" vertical="center" wrapText="1"/>
      <protection locked="0"/>
    </xf>
    <xf numFmtId="49" fontId="23" fillId="0" borderId="18" xfId="0" applyNumberFormat="1" applyFont="1" applyBorder="1" applyProtection="1">
      <alignment vertical="center"/>
      <protection locked="0"/>
    </xf>
    <xf numFmtId="0" fontId="23" fillId="0" borderId="18" xfId="0" applyFont="1" applyBorder="1" applyProtection="1">
      <alignment vertical="center"/>
      <protection locked="0"/>
    </xf>
    <xf numFmtId="0" fontId="4" fillId="0" borderId="23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82" fontId="4" fillId="0" borderId="23" xfId="0" applyNumberFormat="1" applyFont="1" applyBorder="1" applyAlignment="1" applyProtection="1">
      <alignment horizontal="center" vertical="center" wrapText="1"/>
      <protection locked="0"/>
    </xf>
    <xf numFmtId="182" fontId="0" fillId="0" borderId="8" xfId="0" applyNumberFormat="1" applyBorder="1" applyAlignment="1" applyProtection="1">
      <alignment horizontal="center" vertical="center"/>
      <protection locked="0"/>
    </xf>
    <xf numFmtId="49" fontId="4" fillId="0" borderId="17" xfId="0" applyNumberFormat="1" applyFont="1" applyBorder="1" applyAlignment="1">
      <alignment horizontal="center" vertical="center" wrapText="1"/>
    </xf>
    <xf numFmtId="49" fontId="4" fillId="0" borderId="12" xfId="0" applyNumberFormat="1" applyFont="1" applyBorder="1" applyAlignment="1">
      <alignment horizontal="center" vertical="center"/>
    </xf>
    <xf numFmtId="49" fontId="4" fillId="0" borderId="42" xfId="0" applyNumberFormat="1" applyFont="1" applyBorder="1" applyAlignment="1">
      <alignment horizontal="center" vertical="center"/>
    </xf>
    <xf numFmtId="49" fontId="23" fillId="0" borderId="20" xfId="0" applyNumberFormat="1" applyFont="1" applyBorder="1" applyAlignment="1">
      <alignment horizontal="center" vertical="center" shrinkToFit="1"/>
    </xf>
    <xf numFmtId="49" fontId="23" fillId="0" borderId="21" xfId="0" applyNumberFormat="1" applyFont="1" applyBorder="1" applyAlignment="1">
      <alignment horizontal="center" vertical="center" shrinkToFit="1"/>
    </xf>
    <xf numFmtId="49" fontId="23" fillId="0" borderId="26" xfId="0" applyNumberFormat="1" applyFont="1" applyBorder="1" applyAlignment="1" applyProtection="1">
      <alignment horizontal="center" vertical="center" shrinkToFit="1"/>
      <protection locked="0"/>
    </xf>
    <xf numFmtId="0" fontId="23" fillId="0" borderId="0" xfId="0" applyFont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49" fontId="4" fillId="0" borderId="11" xfId="0" applyNumberFormat="1" applyFont="1" applyBorder="1" applyAlignment="1">
      <alignment horizontal="center" vertical="center" wrapText="1"/>
    </xf>
    <xf numFmtId="49" fontId="4" fillId="0" borderId="25" xfId="0" applyNumberFormat="1" applyFont="1" applyBorder="1" applyAlignment="1">
      <alignment horizontal="center" vertical="center" wrapText="1"/>
    </xf>
    <xf numFmtId="49" fontId="4" fillId="0" borderId="12" xfId="0" applyNumberFormat="1" applyFont="1" applyBorder="1" applyAlignment="1">
      <alignment horizontal="center" vertical="center" wrapText="1"/>
    </xf>
    <xf numFmtId="49" fontId="4" fillId="0" borderId="13" xfId="0" applyNumberFormat="1" applyFont="1" applyBorder="1" applyAlignment="1">
      <alignment horizontal="center" vertical="center" wrapText="1"/>
    </xf>
    <xf numFmtId="49" fontId="4" fillId="0" borderId="8" xfId="0" applyNumberFormat="1" applyFont="1" applyBorder="1" applyAlignment="1">
      <alignment horizontal="center" vertical="center" wrapText="1"/>
    </xf>
    <xf numFmtId="49" fontId="4" fillId="0" borderId="9" xfId="0" applyNumberFormat="1" applyFont="1" applyBorder="1" applyAlignment="1">
      <alignment horizontal="center" vertical="center" wrapText="1"/>
    </xf>
    <xf numFmtId="49" fontId="23" fillId="0" borderId="14" xfId="0" quotePrefix="1" applyNumberFormat="1" applyFont="1" applyBorder="1" applyAlignment="1">
      <alignment horizontal="center" vertical="center" shrinkToFit="1"/>
    </xf>
    <xf numFmtId="49" fontId="23" fillId="0" borderId="27" xfId="0" applyNumberFormat="1" applyFont="1" applyBorder="1" applyAlignment="1" applyProtection="1">
      <alignment horizontal="center" vertical="center" shrinkToFit="1"/>
      <protection locked="0"/>
    </xf>
    <xf numFmtId="49" fontId="23" fillId="0" borderId="23" xfId="0" applyNumberFormat="1" applyFont="1" applyBorder="1" applyAlignment="1" applyProtection="1">
      <alignment horizontal="center" vertical="center" wrapText="1" shrinkToFit="1"/>
      <protection locked="0"/>
    </xf>
    <xf numFmtId="49" fontId="23" fillId="0" borderId="24" xfId="0" applyNumberFormat="1" applyFont="1" applyBorder="1" applyAlignment="1" applyProtection="1">
      <alignment horizontal="center" vertical="center" wrapText="1" shrinkToFit="1"/>
      <protection locked="0"/>
    </xf>
    <xf numFmtId="49" fontId="23" fillId="0" borderId="24" xfId="0" applyNumberFormat="1" applyFont="1" applyBorder="1" applyAlignment="1" applyProtection="1">
      <alignment vertical="center" wrapText="1"/>
      <protection locked="0"/>
    </xf>
    <xf numFmtId="0" fontId="23" fillId="0" borderId="16" xfId="0" applyFont="1" applyBorder="1" applyAlignment="1">
      <alignment horizontal="center" vertical="center"/>
    </xf>
    <xf numFmtId="0" fontId="27" fillId="0" borderId="0" xfId="0" applyFont="1">
      <alignment vertical="center"/>
    </xf>
    <xf numFmtId="49" fontId="23" fillId="0" borderId="16" xfId="0" applyNumberFormat="1" applyFont="1" applyBorder="1" applyAlignment="1">
      <alignment horizontal="center" vertical="center" shrinkToFit="1"/>
    </xf>
    <xf numFmtId="0" fontId="23" fillId="0" borderId="26" xfId="0" applyFont="1" applyBorder="1" applyAlignment="1">
      <alignment horizontal="center" vertical="center" wrapText="1"/>
    </xf>
    <xf numFmtId="0" fontId="23" fillId="0" borderId="0" xfId="0" applyFont="1" applyAlignment="1">
      <alignment horizontal="right" vertical="center"/>
    </xf>
    <xf numFmtId="49" fontId="26" fillId="0" borderId="10" xfId="0" quotePrefix="1" applyNumberFormat="1" applyFont="1" applyBorder="1" applyAlignment="1" applyProtection="1">
      <alignment horizontal="center" vertical="center" shrinkToFit="1"/>
      <protection locked="0"/>
    </xf>
    <xf numFmtId="0" fontId="23" fillId="2" borderId="28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5" fillId="10" borderId="55" xfId="0" applyFont="1" applyFill="1" applyBorder="1" applyAlignment="1">
      <alignment horizontal="center" vertical="center"/>
    </xf>
    <xf numFmtId="0" fontId="66" fillId="10" borderId="56" xfId="0" applyFont="1" applyFill="1" applyBorder="1" applyAlignment="1">
      <alignment horizontal="center" vertical="center"/>
    </xf>
    <xf numFmtId="176" fontId="4" fillId="0" borderId="26" xfId="0" applyNumberFormat="1" applyFont="1" applyBorder="1" applyAlignment="1" applyProtection="1">
      <alignment horizontal="center" vertical="center" wrapText="1"/>
      <protection locked="0"/>
    </xf>
    <xf numFmtId="176" fontId="0" fillId="0" borderId="26" xfId="0" applyNumberFormat="1" applyBorder="1" applyAlignment="1" applyProtection="1">
      <alignment horizontal="center" vertical="center"/>
      <protection locked="0"/>
    </xf>
    <xf numFmtId="0" fontId="54" fillId="7" borderId="0" xfId="0" applyFont="1" applyFill="1" applyAlignment="1">
      <alignment horizontal="center" vertical="center"/>
    </xf>
    <xf numFmtId="0" fontId="55" fillId="7" borderId="0" xfId="0" applyFont="1" applyFill="1">
      <alignment vertical="center"/>
    </xf>
    <xf numFmtId="49" fontId="26" fillId="0" borderId="42" xfId="0" applyNumberFormat="1" applyFont="1" applyBorder="1" applyAlignment="1" applyProtection="1">
      <alignment horizontal="center" vertical="center" shrinkToFit="1"/>
      <protection locked="0"/>
    </xf>
    <xf numFmtId="0" fontId="52" fillId="0" borderId="127" xfId="0" applyFont="1" applyBorder="1" applyAlignment="1" applyProtection="1">
      <alignment horizontal="center" vertical="center" wrapText="1"/>
      <protection hidden="1"/>
    </xf>
    <xf numFmtId="0" fontId="0" fillId="0" borderId="61" xfId="0" applyBorder="1" applyAlignment="1" applyProtection="1">
      <alignment horizontal="left" vertical="top"/>
      <protection locked="0"/>
    </xf>
    <xf numFmtId="0" fontId="0" fillId="0" borderId="67" xfId="0" applyBorder="1" applyAlignment="1" applyProtection="1">
      <alignment horizontal="left" vertical="top"/>
      <protection locked="0"/>
    </xf>
    <xf numFmtId="0" fontId="0" fillId="0" borderId="66" xfId="0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5" xfId="0" applyBorder="1" applyAlignment="1" applyProtection="1">
      <alignment horizontal="left" vertical="top"/>
      <protection locked="0"/>
    </xf>
    <xf numFmtId="0" fontId="0" fillId="0" borderId="16" xfId="0" applyBorder="1" applyAlignment="1" applyProtection="1">
      <alignment horizontal="left" vertical="top"/>
      <protection locked="0"/>
    </xf>
    <xf numFmtId="0" fontId="0" fillId="0" borderId="26" xfId="0" applyBorder="1" applyAlignment="1" applyProtection="1">
      <alignment horizontal="left" vertical="top"/>
      <protection locked="0"/>
    </xf>
    <xf numFmtId="0" fontId="0" fillId="0" borderId="22" xfId="0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49" fontId="4" fillId="0" borderId="28" xfId="0" applyNumberFormat="1" applyFont="1" applyBorder="1" applyAlignment="1" applyProtection="1">
      <alignment horizontal="center" vertical="center" wrapText="1" shrinkToFit="1"/>
      <protection hidden="1"/>
    </xf>
    <xf numFmtId="49" fontId="23" fillId="0" borderId="25" xfId="0" applyNumberFormat="1" applyFont="1" applyBorder="1" applyAlignment="1" applyProtection="1">
      <alignment horizontal="center" vertical="center" wrapText="1" shrinkToFit="1"/>
      <protection hidden="1"/>
    </xf>
    <xf numFmtId="0" fontId="23" fillId="0" borderId="17" xfId="0" applyFont="1" applyBorder="1" applyAlignment="1" applyProtection="1">
      <alignment horizontal="center" vertical="center" wrapText="1"/>
      <protection hidden="1"/>
    </xf>
    <xf numFmtId="0" fontId="23" fillId="0" borderId="18" xfId="0" applyFont="1" applyBorder="1" applyAlignment="1" applyProtection="1">
      <alignment horizontal="center" vertical="center" wrapText="1"/>
      <protection hidden="1"/>
    </xf>
    <xf numFmtId="0" fontId="23" fillId="0" borderId="18" xfId="0" applyFont="1" applyBorder="1" applyProtection="1">
      <alignment vertical="center"/>
      <protection hidden="1"/>
    </xf>
    <xf numFmtId="49" fontId="4" fillId="0" borderId="29" xfId="0" applyNumberFormat="1" applyFont="1" applyBorder="1" applyAlignment="1" applyProtection="1">
      <alignment horizontal="center" vertical="center" wrapText="1" shrinkToFit="1"/>
      <protection hidden="1"/>
    </xf>
    <xf numFmtId="49" fontId="23" fillId="0" borderId="8" xfId="0" applyNumberFormat="1" applyFont="1" applyBorder="1" applyAlignment="1" applyProtection="1">
      <alignment horizontal="center" vertical="center" wrapText="1" shrinkToFit="1"/>
      <protection hidden="1"/>
    </xf>
    <xf numFmtId="0" fontId="23" fillId="0" borderId="23" xfId="0" applyFont="1" applyBorder="1" applyAlignment="1" applyProtection="1">
      <alignment horizontal="center" vertical="center" wrapText="1" shrinkToFit="1"/>
      <protection hidden="1"/>
    </xf>
    <xf numFmtId="0" fontId="23" fillId="0" borderId="24" xfId="0" applyFont="1" applyBorder="1" applyAlignment="1" applyProtection="1">
      <alignment horizontal="center" vertical="center" wrapText="1" shrinkToFit="1"/>
      <protection hidden="1"/>
    </xf>
    <xf numFmtId="0" fontId="23" fillId="0" borderId="24" xfId="0" applyFont="1" applyBorder="1" applyAlignment="1" applyProtection="1">
      <alignment vertical="center" wrapText="1"/>
      <protection hidden="1"/>
    </xf>
    <xf numFmtId="0" fontId="4" fillId="0" borderId="23" xfId="0" applyFont="1" applyBorder="1" applyAlignment="1" applyProtection="1">
      <alignment horizontal="center" vertical="center"/>
      <protection hidden="1"/>
    </xf>
    <xf numFmtId="184" fontId="4" fillId="0" borderId="23" xfId="0" applyNumberFormat="1" applyFont="1" applyBorder="1" applyAlignment="1" applyProtection="1">
      <alignment horizontal="center" vertical="center" wrapText="1"/>
      <protection locked="0"/>
    </xf>
    <xf numFmtId="184" fontId="0" fillId="0" borderId="8" xfId="0" applyNumberFormat="1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 shrinkToFit="1"/>
      <protection locked="0"/>
    </xf>
    <xf numFmtId="0" fontId="0" fillId="0" borderId="18" xfId="0" applyBorder="1" applyAlignment="1" applyProtection="1">
      <alignment horizontal="center" vertical="center" shrinkToFit="1"/>
      <protection locked="0"/>
    </xf>
    <xf numFmtId="0" fontId="0" fillId="0" borderId="19" xfId="0" applyBorder="1" applyAlignment="1" applyProtection="1">
      <alignment horizontal="center" vertical="center" shrinkToFit="1"/>
      <protection locked="0"/>
    </xf>
    <xf numFmtId="0" fontId="54" fillId="7" borderId="0" xfId="0" applyFont="1" applyFill="1" applyAlignment="1">
      <alignment horizontal="center" vertical="center" shrinkToFit="1"/>
    </xf>
    <xf numFmtId="0" fontId="55" fillId="7" borderId="0" xfId="0" applyFont="1" applyFill="1" applyAlignment="1">
      <alignment vertical="center" shrinkToFit="1"/>
    </xf>
    <xf numFmtId="49" fontId="23" fillId="0" borderId="61" xfId="0" applyNumberFormat="1" applyFont="1" applyBorder="1" applyAlignment="1" applyProtection="1">
      <alignment horizontal="center" vertical="center" shrinkToFit="1"/>
      <protection locked="0"/>
    </xf>
    <xf numFmtId="49" fontId="23" fillId="0" borderId="66" xfId="0" quotePrefix="1" applyNumberFormat="1" applyFont="1" applyBorder="1" applyAlignment="1">
      <alignment horizontal="center" vertical="center" shrinkToFit="1"/>
    </xf>
    <xf numFmtId="49" fontId="23" fillId="0" borderId="0" xfId="0" applyNumberFormat="1" applyFont="1" applyAlignment="1" applyProtection="1">
      <alignment horizontal="center" vertical="center" shrinkToFit="1"/>
      <protection locked="0"/>
    </xf>
    <xf numFmtId="0" fontId="23" fillId="0" borderId="56" xfId="0" applyFont="1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49" fontId="26" fillId="0" borderId="40" xfId="0" applyNumberFormat="1" applyFont="1" applyBorder="1" applyAlignment="1" applyProtection="1">
      <alignment horizontal="center" vertical="center" shrinkToFit="1"/>
      <protection locked="0"/>
    </xf>
    <xf numFmtId="49" fontId="26" fillId="0" borderId="131" xfId="0" quotePrefix="1" applyNumberFormat="1" applyFont="1" applyBorder="1" applyAlignment="1" applyProtection="1">
      <alignment horizontal="center" vertical="center" shrinkToFit="1"/>
      <protection locked="0"/>
    </xf>
    <xf numFmtId="49" fontId="23" fillId="0" borderId="66" xfId="0" applyNumberFormat="1" applyFont="1" applyBorder="1" applyAlignment="1">
      <alignment horizontal="center" vertical="center" shrinkToFit="1"/>
    </xf>
    <xf numFmtId="49" fontId="23" fillId="0" borderId="64" xfId="0" applyNumberFormat="1" applyFont="1" applyBorder="1" applyAlignment="1" applyProtection="1">
      <alignment horizontal="center" vertical="center" shrinkToFit="1"/>
      <protection locked="0"/>
    </xf>
    <xf numFmtId="182" fontId="4" fillId="0" borderId="92" xfId="0" applyNumberFormat="1" applyFont="1" applyBorder="1" applyAlignment="1" applyProtection="1">
      <alignment horizontal="center" vertical="center" wrapText="1"/>
      <protection locked="0"/>
    </xf>
    <xf numFmtId="182" fontId="0" fillId="0" borderId="39" xfId="0" applyNumberFormat="1" applyBorder="1" applyAlignment="1" applyProtection="1">
      <alignment horizontal="center" vertical="center" wrapText="1"/>
      <protection locked="0"/>
    </xf>
    <xf numFmtId="0" fontId="23" fillId="0" borderId="55" xfId="0" applyFont="1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 wrapText="1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184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 vertical="center"/>
    </xf>
    <xf numFmtId="49" fontId="4" fillId="0" borderId="50" xfId="0" applyNumberFormat="1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23" fillId="0" borderId="63" xfId="0" applyFont="1" applyBorder="1" applyAlignment="1" applyProtection="1">
      <alignment horizontal="center" vertical="center" wrapText="1"/>
      <protection locked="0"/>
    </xf>
    <xf numFmtId="0" fontId="0" fillId="0" borderId="130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49" fontId="4" fillId="0" borderId="50" xfId="0" applyNumberFormat="1" applyFont="1" applyBorder="1" applyAlignment="1" applyProtection="1">
      <alignment horizontal="center" vertical="center" wrapText="1"/>
      <protection locked="0"/>
    </xf>
    <xf numFmtId="0" fontId="0" fillId="0" borderId="53" xfId="0" applyBorder="1" applyAlignment="1" applyProtection="1">
      <alignment horizontal="center" vertical="center" wrapText="1"/>
      <protection locked="0"/>
    </xf>
    <xf numFmtId="0" fontId="4" fillId="0" borderId="23" xfId="0" applyFon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54" fillId="8" borderId="0" xfId="0" applyFont="1" applyFill="1" applyAlignment="1">
      <alignment horizontal="center" vertical="center"/>
    </xf>
    <xf numFmtId="0" fontId="55" fillId="8" borderId="0" xfId="0" applyFont="1" applyFill="1">
      <alignment vertical="center"/>
    </xf>
    <xf numFmtId="0" fontId="8" fillId="0" borderId="0" xfId="2" applyFont="1" applyAlignment="1">
      <alignment horizontal="center" vertical="center"/>
    </xf>
    <xf numFmtId="0" fontId="12" fillId="0" borderId="14" xfId="2" applyFont="1" applyBorder="1" applyAlignment="1">
      <alignment horizontal="right" vertical="center"/>
    </xf>
    <xf numFmtId="0" fontId="12" fillId="0" borderId="0" xfId="2" applyFont="1" applyAlignment="1">
      <alignment horizontal="right" vertical="center"/>
    </xf>
    <xf numFmtId="0" fontId="8" fillId="0" borderId="11" xfId="2" applyFont="1" applyBorder="1" applyAlignment="1">
      <alignment horizontal="center" vertical="center"/>
    </xf>
    <xf numFmtId="0" fontId="8" fillId="0" borderId="13" xfId="2" applyFont="1" applyBorder="1" applyAlignment="1">
      <alignment horizontal="center" vertical="center"/>
    </xf>
    <xf numFmtId="0" fontId="8" fillId="0" borderId="41" xfId="2" applyFont="1" applyBorder="1" applyAlignment="1">
      <alignment horizontal="center" vertical="center" wrapText="1"/>
    </xf>
    <xf numFmtId="0" fontId="8" fillId="0" borderId="39" xfId="2" applyFont="1" applyBorder="1" applyAlignment="1">
      <alignment horizontal="center" vertical="center" wrapText="1"/>
    </xf>
    <xf numFmtId="0" fontId="8" fillId="0" borderId="40" xfId="2" applyFont="1" applyBorder="1" applyAlignment="1">
      <alignment horizontal="center" vertical="center" wrapText="1"/>
    </xf>
    <xf numFmtId="0" fontId="8" fillId="0" borderId="31" xfId="2" applyFont="1" applyBorder="1" applyAlignment="1">
      <alignment horizontal="center" vertical="center" wrapText="1"/>
    </xf>
    <xf numFmtId="0" fontId="11" fillId="0" borderId="16" xfId="2" applyFont="1" applyBorder="1" applyAlignment="1">
      <alignment horizontal="center" vertical="center" wrapText="1"/>
    </xf>
    <xf numFmtId="0" fontId="11" fillId="0" borderId="26" xfId="2" applyFont="1" applyBorder="1" applyAlignment="1">
      <alignment horizontal="center" vertical="center" wrapText="1"/>
    </xf>
    <xf numFmtId="0" fontId="8" fillId="0" borderId="37" xfId="2" applyFont="1" applyBorder="1" applyAlignment="1" applyProtection="1">
      <alignment horizontal="left" vertical="center"/>
      <protection locked="0"/>
    </xf>
    <xf numFmtId="0" fontId="20" fillId="0" borderId="0" xfId="0" applyFont="1" applyAlignment="1" applyProtection="1">
      <alignment horizontal="left" vertical="center"/>
      <protection locked="0"/>
    </xf>
    <xf numFmtId="0" fontId="8" fillId="0" borderId="53" xfId="2" applyFont="1" applyBorder="1" applyProtection="1">
      <alignment vertical="center"/>
      <protection locked="0"/>
    </xf>
    <xf numFmtId="0" fontId="20" fillId="0" borderId="26" xfId="0" applyFont="1" applyBorder="1" applyProtection="1">
      <alignment vertical="center"/>
      <protection locked="0"/>
    </xf>
    <xf numFmtId="0" fontId="8" fillId="0" borderId="27" xfId="2" applyFont="1" applyBorder="1" applyAlignment="1" applyProtection="1">
      <alignment horizontal="left" vertical="center"/>
      <protection locked="0"/>
    </xf>
    <xf numFmtId="0" fontId="20" fillId="0" borderId="27" xfId="0" applyFont="1" applyBorder="1" applyProtection="1">
      <alignment vertical="center"/>
      <protection locked="0"/>
    </xf>
    <xf numFmtId="177" fontId="15" fillId="0" borderId="27" xfId="2" applyNumberFormat="1" applyFont="1" applyBorder="1" applyAlignment="1" applyProtection="1">
      <alignment horizontal="right" vertical="center"/>
      <protection locked="0"/>
    </xf>
    <xf numFmtId="177" fontId="21" fillId="0" borderId="27" xfId="0" applyNumberFormat="1" applyFont="1" applyBorder="1" applyAlignment="1" applyProtection="1">
      <alignment horizontal="right" vertical="center"/>
      <protection locked="0"/>
    </xf>
    <xf numFmtId="0" fontId="10" fillId="0" borderId="27" xfId="2" applyFont="1" applyBorder="1" applyAlignment="1">
      <alignment horizontal="right" vertical="center"/>
    </xf>
    <xf numFmtId="0" fontId="10" fillId="0" borderId="37" xfId="2" applyFont="1" applyBorder="1" applyAlignment="1" applyProtection="1">
      <alignment horizontal="center" vertical="center"/>
      <protection locked="0"/>
    </xf>
    <xf numFmtId="0" fontId="10" fillId="0" borderId="0" xfId="2" applyFont="1" applyAlignment="1" applyProtection="1">
      <alignment horizontal="center" vertical="center"/>
      <protection locked="0"/>
    </xf>
    <xf numFmtId="0" fontId="10" fillId="0" borderId="15" xfId="2" applyFont="1" applyBorder="1" applyAlignment="1" applyProtection="1">
      <alignment horizontal="center" vertical="center"/>
      <protection locked="0"/>
    </xf>
    <xf numFmtId="0" fontId="8" fillId="0" borderId="0" xfId="2" applyFont="1" applyAlignment="1" applyProtection="1">
      <alignment horizontal="left" vertical="center"/>
      <protection locked="0"/>
    </xf>
    <xf numFmtId="0" fontId="0" fillId="0" borderId="15" xfId="0" applyBorder="1" applyProtection="1">
      <alignment vertical="center"/>
      <protection locked="0"/>
    </xf>
    <xf numFmtId="0" fontId="8" fillId="0" borderId="26" xfId="2" applyFont="1" applyBorder="1" applyProtection="1">
      <alignment vertical="center"/>
      <protection locked="0"/>
    </xf>
    <xf numFmtId="0" fontId="0" fillId="0" borderId="38" xfId="0" applyBorder="1" applyProtection="1">
      <alignment vertical="center"/>
      <protection locked="0"/>
    </xf>
    <xf numFmtId="0" fontId="8" fillId="0" borderId="64" xfId="2" applyFont="1" applyBorder="1" applyProtection="1">
      <alignment vertical="center"/>
      <protection locked="0"/>
    </xf>
    <xf numFmtId="0" fontId="0" fillId="0" borderId="65" xfId="0" applyBorder="1" applyProtection="1">
      <alignment vertical="center"/>
      <protection locked="0"/>
    </xf>
    <xf numFmtId="0" fontId="0" fillId="0" borderId="0" xfId="0">
      <alignment vertical="center"/>
    </xf>
    <xf numFmtId="0" fontId="8" fillId="0" borderId="49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12" xfId="2" applyFont="1" applyBorder="1" applyAlignment="1">
      <alignment horizontal="center" vertical="center"/>
    </xf>
    <xf numFmtId="0" fontId="8" fillId="0" borderId="32" xfId="2" applyFont="1" applyBorder="1" applyAlignment="1">
      <alignment horizontal="center" vertical="center"/>
    </xf>
    <xf numFmtId="0" fontId="8" fillId="0" borderId="36" xfId="2" applyFont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5" xfId="2" applyFont="1" applyBorder="1" applyAlignment="1" applyProtection="1">
      <alignment horizontal="center" vertical="center"/>
      <protection locked="0"/>
    </xf>
    <xf numFmtId="0" fontId="8" fillId="0" borderId="44" xfId="2" applyFont="1" applyBorder="1" applyAlignment="1" applyProtection="1">
      <alignment horizontal="center" vertical="center"/>
      <protection locked="0"/>
    </xf>
    <xf numFmtId="0" fontId="8" fillId="0" borderId="54" xfId="2" applyFont="1" applyBorder="1" applyAlignment="1" applyProtection="1">
      <alignment horizontal="center" vertical="center"/>
      <protection locked="0"/>
    </xf>
    <xf numFmtId="0" fontId="7" fillId="2" borderId="55" xfId="2" applyFont="1" applyFill="1" applyBorder="1" applyAlignment="1">
      <alignment horizontal="center" vertical="center" wrapText="1"/>
    </xf>
    <xf numFmtId="0" fontId="20" fillId="2" borderId="56" xfId="0" applyFont="1" applyFill="1" applyBorder="1" applyAlignment="1">
      <alignment horizontal="center" vertical="center"/>
    </xf>
    <xf numFmtId="0" fontId="8" fillId="0" borderId="31" xfId="2" applyFont="1" applyBorder="1" applyAlignment="1">
      <alignment horizontal="center" vertical="center"/>
    </xf>
    <xf numFmtId="0" fontId="12" fillId="0" borderId="30" xfId="2" applyFont="1" applyBorder="1" applyAlignment="1">
      <alignment horizontal="center" vertical="center"/>
    </xf>
    <xf numFmtId="0" fontId="12" fillId="0" borderId="27" xfId="2" applyFont="1" applyBorder="1" applyAlignment="1">
      <alignment horizontal="center" vertical="center"/>
    </xf>
    <xf numFmtId="0" fontId="12" fillId="0" borderId="52" xfId="2" applyFont="1" applyBorder="1" applyAlignment="1">
      <alignment horizontal="center" vertical="center"/>
    </xf>
    <xf numFmtId="0" fontId="8" fillId="0" borderId="17" xfId="2" applyFont="1" applyBorder="1" applyAlignment="1" applyProtection="1">
      <alignment horizontal="center" vertical="center"/>
      <protection locked="0"/>
    </xf>
    <xf numFmtId="0" fontId="20" fillId="0" borderId="25" xfId="0" applyFont="1" applyBorder="1" applyProtection="1">
      <alignment vertical="center"/>
      <protection locked="0"/>
    </xf>
    <xf numFmtId="0" fontId="7" fillId="0" borderId="9" xfId="2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0" borderId="23" xfId="2" applyFont="1" applyBorder="1" applyAlignment="1" applyProtection="1">
      <alignment horizontal="center" vertical="center" wrapText="1"/>
      <protection hidden="1"/>
    </xf>
    <xf numFmtId="0" fontId="0" fillId="0" borderId="24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7" fillId="0" borderId="23" xfId="2" applyFont="1" applyBorder="1" applyAlignment="1" applyProtection="1">
      <alignment horizontal="center" vertical="center"/>
      <protection locked="0"/>
    </xf>
    <xf numFmtId="0" fontId="0" fillId="0" borderId="24" xfId="0" applyBorder="1" applyProtection="1">
      <alignment vertical="center"/>
      <protection locked="0"/>
    </xf>
    <xf numFmtId="0" fontId="0" fillId="0" borderId="51" xfId="0" applyBorder="1" applyProtection="1">
      <alignment vertical="center"/>
      <protection locked="0"/>
    </xf>
    <xf numFmtId="0" fontId="10" fillId="0" borderId="16" xfId="2" applyFont="1" applyBorder="1" applyAlignment="1" applyProtection="1">
      <alignment horizontal="center" vertical="center"/>
      <protection locked="0"/>
    </xf>
    <xf numFmtId="0" fontId="0" fillId="0" borderId="26" xfId="0" applyBorder="1" applyAlignment="1">
      <alignment horizontal="center" vertical="center"/>
    </xf>
    <xf numFmtId="0" fontId="63" fillId="0" borderId="0" xfId="2" applyFont="1" applyAlignment="1" applyProtection="1">
      <alignment horizontal="center" vertical="center"/>
      <protection locked="0"/>
    </xf>
    <xf numFmtId="0" fontId="64" fillId="0" borderId="0" xfId="0" applyFont="1" applyProtection="1">
      <alignment vertical="center"/>
      <protection locked="0"/>
    </xf>
    <xf numFmtId="0" fontId="25" fillId="0" borderId="72" xfId="0" applyFont="1" applyBorder="1" applyAlignment="1" applyProtection="1">
      <alignment horizontal="center" vertical="center"/>
      <protection locked="0"/>
    </xf>
    <xf numFmtId="0" fontId="0" fillId="0" borderId="72" xfId="0" applyBorder="1" applyAlignment="1" applyProtection="1">
      <alignment horizontal="center" vertical="center"/>
      <protection locked="0"/>
    </xf>
    <xf numFmtId="0" fontId="25" fillId="0" borderId="112" xfId="0" applyFont="1" applyBorder="1" applyAlignment="1" applyProtection="1">
      <alignment horizontal="center" vertical="center" wrapText="1"/>
      <protection locked="0"/>
    </xf>
    <xf numFmtId="0" fontId="0" fillId="0" borderId="125" xfId="0" applyBorder="1" applyAlignment="1" applyProtection="1">
      <alignment horizontal="center" vertical="center" wrapText="1"/>
      <protection locked="0"/>
    </xf>
    <xf numFmtId="0" fontId="0" fillId="0" borderId="37" xfId="0" applyBorder="1" applyAlignment="1" applyProtection="1">
      <alignment horizontal="center" vertical="center" wrapText="1"/>
      <protection locked="0"/>
    </xf>
    <xf numFmtId="0" fontId="0" fillId="0" borderId="68" xfId="0" applyBorder="1" applyAlignment="1" applyProtection="1">
      <alignment horizontal="center" vertical="center" wrapText="1"/>
      <protection locked="0"/>
    </xf>
    <xf numFmtId="0" fontId="0" fillId="0" borderId="101" xfId="0" applyBorder="1" applyAlignment="1" applyProtection="1">
      <alignment horizontal="center" vertical="center" wrapText="1"/>
      <protection locked="0"/>
    </xf>
    <xf numFmtId="0" fontId="0" fillId="0" borderId="71" xfId="0" applyBorder="1" applyAlignment="1" applyProtection="1">
      <alignment horizontal="center" vertical="center" wrapText="1"/>
      <protection locked="0"/>
    </xf>
    <xf numFmtId="0" fontId="40" fillId="0" borderId="0" xfId="0" applyFont="1" applyAlignment="1" applyProtection="1">
      <alignment horizontal="center" vertical="center"/>
      <protection hidden="1"/>
    </xf>
    <xf numFmtId="0" fontId="40" fillId="0" borderId="0" xfId="0" applyFont="1" applyProtection="1">
      <alignment vertical="center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0" xfId="0" applyFont="1" applyProtection="1">
      <alignment vertical="center"/>
      <protection hidden="1"/>
    </xf>
    <xf numFmtId="0" fontId="25" fillId="0" borderId="80" xfId="0" applyFont="1" applyBorder="1" applyAlignment="1" applyProtection="1">
      <alignment horizontal="center" vertical="center" wrapText="1"/>
      <protection hidden="1"/>
    </xf>
    <xf numFmtId="0" fontId="25" fillId="0" borderId="81" xfId="0" applyFont="1" applyBorder="1" applyAlignment="1" applyProtection="1">
      <alignment horizontal="center" vertical="center" wrapText="1"/>
      <protection hidden="1"/>
    </xf>
    <xf numFmtId="0" fontId="25" fillId="0" borderId="81" xfId="0" applyFont="1" applyBorder="1" applyAlignment="1" applyProtection="1">
      <alignment horizontal="center" vertical="center" wrapText="1"/>
      <protection locked="0"/>
    </xf>
    <xf numFmtId="0" fontId="25" fillId="0" borderId="82" xfId="0" applyFont="1" applyBorder="1" applyAlignment="1" applyProtection="1">
      <alignment horizontal="center" vertical="center" wrapText="1"/>
      <protection locked="0"/>
    </xf>
    <xf numFmtId="176" fontId="25" fillId="0" borderId="72" xfId="0" applyNumberFormat="1" applyFont="1" applyBorder="1" applyAlignment="1" applyProtection="1">
      <alignment horizontal="center" vertical="center"/>
      <protection locked="0"/>
    </xf>
    <xf numFmtId="0" fontId="25" fillId="0" borderId="0" xfId="0" applyFont="1" applyProtection="1">
      <alignment vertical="center"/>
      <protection locked="0"/>
    </xf>
    <xf numFmtId="49" fontId="42" fillId="0" borderId="32" xfId="0" applyNumberFormat="1" applyFont="1" applyBorder="1" applyAlignment="1" applyProtection="1">
      <alignment horizontal="center" vertical="center" shrinkToFit="1"/>
      <protection locked="0"/>
    </xf>
    <xf numFmtId="49" fontId="42" fillId="0" borderId="46" xfId="0" quotePrefix="1" applyNumberFormat="1" applyFont="1" applyBorder="1" applyAlignment="1" applyProtection="1">
      <alignment horizontal="center" vertical="center" shrinkToFit="1"/>
      <protection locked="0"/>
    </xf>
    <xf numFmtId="49" fontId="42" fillId="0" borderId="109" xfId="0" applyNumberFormat="1" applyFont="1" applyBorder="1" applyAlignment="1" applyProtection="1">
      <alignment horizontal="center" vertical="center" shrinkToFit="1"/>
      <protection locked="0"/>
    </xf>
    <xf numFmtId="49" fontId="42" fillId="0" borderId="32" xfId="0" quotePrefix="1" applyNumberFormat="1" applyFont="1" applyBorder="1" applyAlignment="1" applyProtection="1">
      <alignment horizontal="center" vertical="center" shrinkToFit="1"/>
      <protection locked="0"/>
    </xf>
    <xf numFmtId="49" fontId="42" fillId="0" borderId="84" xfId="0" applyNumberFormat="1" applyFont="1" applyBorder="1" applyAlignment="1" applyProtection="1">
      <alignment horizontal="center" vertical="center" shrinkToFit="1"/>
      <protection locked="0"/>
    </xf>
    <xf numFmtId="49" fontId="42" fillId="0" borderId="91" xfId="0" quotePrefix="1" applyNumberFormat="1" applyFont="1" applyBorder="1" applyAlignment="1" applyProtection="1">
      <alignment horizontal="center" vertical="center" shrinkToFit="1"/>
      <protection locked="0"/>
    </xf>
    <xf numFmtId="49" fontId="43" fillId="0" borderId="17" xfId="0" applyNumberFormat="1" applyFont="1" applyBorder="1" applyAlignment="1" applyProtection="1">
      <alignment horizontal="center" vertical="center"/>
      <protection hidden="1"/>
    </xf>
    <xf numFmtId="49" fontId="43" fillId="0" borderId="18" xfId="0" applyNumberFormat="1" applyFont="1" applyBorder="1" applyAlignment="1" applyProtection="1">
      <alignment horizontal="center" vertical="center"/>
      <protection hidden="1"/>
    </xf>
    <xf numFmtId="0" fontId="41" fillId="0" borderId="18" xfId="0" applyFont="1" applyBorder="1">
      <alignment vertical="center"/>
    </xf>
    <xf numFmtId="0" fontId="41" fillId="0" borderId="113" xfId="0" applyFont="1" applyBorder="1">
      <alignment vertical="center"/>
    </xf>
    <xf numFmtId="49" fontId="43" fillId="0" borderId="89" xfId="0" applyNumberFormat="1" applyFont="1" applyBorder="1" applyAlignment="1" applyProtection="1">
      <alignment horizontal="center" vertical="center" wrapText="1"/>
      <protection hidden="1"/>
    </xf>
    <xf numFmtId="49" fontId="43" fillId="0" borderId="25" xfId="0" applyNumberFormat="1" applyFont="1" applyBorder="1" applyAlignment="1" applyProtection="1">
      <alignment horizontal="center" vertical="center" wrapText="1"/>
      <protection hidden="1"/>
    </xf>
    <xf numFmtId="49" fontId="43" fillId="0" borderId="12" xfId="0" applyNumberFormat="1" applyFont="1" applyBorder="1" applyAlignment="1" applyProtection="1">
      <alignment horizontal="center" vertical="center" wrapText="1"/>
      <protection hidden="1"/>
    </xf>
    <xf numFmtId="49" fontId="43" fillId="0" borderId="85" xfId="0" applyNumberFormat="1" applyFont="1" applyBorder="1" applyAlignment="1" applyProtection="1">
      <alignment horizontal="center" vertical="center" wrapText="1"/>
      <protection hidden="1"/>
    </xf>
    <xf numFmtId="49" fontId="43" fillId="0" borderId="8" xfId="0" applyNumberFormat="1" applyFont="1" applyBorder="1" applyAlignment="1" applyProtection="1">
      <alignment horizontal="center" vertical="center" wrapText="1"/>
      <protection hidden="1"/>
    </xf>
    <xf numFmtId="49" fontId="43" fillId="0" borderId="9" xfId="0" applyNumberFormat="1" applyFont="1" applyBorder="1" applyAlignment="1" applyProtection="1">
      <alignment horizontal="center" vertical="center" wrapText="1"/>
      <protection hidden="1"/>
    </xf>
    <xf numFmtId="0" fontId="25" fillId="0" borderId="81" xfId="0" applyFont="1" applyBorder="1" applyAlignment="1" applyProtection="1">
      <alignment horizontal="center" vertical="center"/>
      <protection hidden="1"/>
    </xf>
    <xf numFmtId="0" fontId="41" fillId="0" borderId="81" xfId="0" applyFont="1" applyBorder="1" applyAlignment="1" applyProtection="1">
      <alignment horizontal="center" vertical="center"/>
      <protection hidden="1"/>
    </xf>
    <xf numFmtId="0" fontId="25" fillId="0" borderId="86" xfId="0" applyFont="1" applyBorder="1" applyAlignment="1" applyProtection="1">
      <alignment horizontal="center" vertical="center" wrapText="1"/>
      <protection hidden="1"/>
    </xf>
    <xf numFmtId="0" fontId="25" fillId="0" borderId="36" xfId="0" applyFont="1" applyBorder="1" applyAlignment="1" applyProtection="1">
      <alignment horizontal="center" vertical="center" wrapText="1"/>
      <protection hidden="1"/>
    </xf>
    <xf numFmtId="0" fontId="25" fillId="0" borderId="75" xfId="0" applyFont="1" applyBorder="1" applyAlignment="1" applyProtection="1">
      <alignment horizontal="center" vertical="center" wrapText="1"/>
      <protection hidden="1"/>
    </xf>
    <xf numFmtId="0" fontId="25" fillId="0" borderId="75" xfId="0" applyFont="1" applyBorder="1" applyAlignment="1" applyProtection="1">
      <alignment vertical="center" wrapText="1"/>
      <protection hidden="1"/>
    </xf>
    <xf numFmtId="49" fontId="42" fillId="0" borderId="84" xfId="0" quotePrefix="1" applyNumberFormat="1" applyFont="1" applyBorder="1" applyAlignment="1" applyProtection="1">
      <alignment horizontal="center" vertical="center" shrinkToFit="1"/>
      <protection locked="0"/>
    </xf>
    <xf numFmtId="49" fontId="42" fillId="0" borderId="117" xfId="0" applyNumberFormat="1" applyFont="1" applyBorder="1" applyAlignment="1" applyProtection="1">
      <alignment horizontal="center" vertical="center" shrinkToFit="1"/>
      <protection locked="0"/>
    </xf>
    <xf numFmtId="0" fontId="25" fillId="0" borderId="72" xfId="0" applyFont="1" applyBorder="1" applyAlignment="1" applyProtection="1">
      <alignment horizontal="center" vertical="center"/>
      <protection hidden="1"/>
    </xf>
    <xf numFmtId="0" fontId="25" fillId="0" borderId="89" xfId="0" applyFont="1" applyBorder="1" applyAlignment="1" applyProtection="1">
      <alignment horizontal="center" vertical="center" wrapText="1"/>
      <protection hidden="1"/>
    </xf>
    <xf numFmtId="0" fontId="25" fillId="0" borderId="12" xfId="0" applyFont="1" applyBorder="1" applyAlignment="1" applyProtection="1">
      <alignment horizontal="center" vertical="center" wrapText="1"/>
      <protection hidden="1"/>
    </xf>
    <xf numFmtId="0" fontId="25" fillId="0" borderId="77" xfId="0" applyFont="1" applyBorder="1" applyProtection="1">
      <alignment vertical="center"/>
      <protection hidden="1"/>
    </xf>
    <xf numFmtId="0" fontId="41" fillId="0" borderId="75" xfId="0" applyFont="1" applyBorder="1" applyProtection="1">
      <alignment vertical="center"/>
      <protection hidden="1"/>
    </xf>
    <xf numFmtId="0" fontId="25" fillId="0" borderId="92" xfId="0" applyFont="1" applyBorder="1" applyAlignment="1" applyProtection="1">
      <alignment vertical="center" wrapText="1"/>
      <protection hidden="1"/>
    </xf>
    <xf numFmtId="0" fontId="25" fillId="0" borderId="93" xfId="0" applyFont="1" applyBorder="1" applyAlignment="1" applyProtection="1">
      <alignment vertical="center" wrapText="1"/>
      <protection hidden="1"/>
    </xf>
    <xf numFmtId="0" fontId="25" fillId="0" borderId="39" xfId="0" applyFont="1" applyBorder="1" applyAlignment="1" applyProtection="1">
      <alignment vertical="center" wrapText="1"/>
      <protection locked="0"/>
    </xf>
    <xf numFmtId="0" fontId="25" fillId="0" borderId="31" xfId="0" applyFont="1" applyBorder="1" applyAlignment="1" applyProtection="1">
      <alignment vertical="center" wrapText="1"/>
      <protection locked="0"/>
    </xf>
    <xf numFmtId="0" fontId="25" fillId="0" borderId="93" xfId="0" applyFont="1" applyBorder="1" applyAlignment="1" applyProtection="1">
      <alignment vertical="center" wrapText="1"/>
      <protection locked="0"/>
    </xf>
    <xf numFmtId="0" fontId="25" fillId="0" borderId="94" xfId="0" applyFont="1" applyBorder="1" applyAlignment="1" applyProtection="1">
      <alignment vertical="center" wrapText="1"/>
      <protection locked="0"/>
    </xf>
    <xf numFmtId="0" fontId="25" fillId="0" borderId="95" xfId="0" applyFont="1" applyBorder="1" applyAlignment="1" applyProtection="1">
      <alignment vertical="center" wrapText="1"/>
      <protection locked="0"/>
    </xf>
    <xf numFmtId="0" fontId="25" fillId="0" borderId="98" xfId="0" applyFont="1" applyBorder="1" applyAlignment="1" applyProtection="1">
      <alignment vertical="center" wrapText="1"/>
      <protection hidden="1"/>
    </xf>
    <xf numFmtId="0" fontId="25" fillId="0" borderId="99" xfId="0" applyFont="1" applyBorder="1" applyAlignment="1" applyProtection="1">
      <alignment vertical="center" wrapText="1"/>
      <protection hidden="1"/>
    </xf>
    <xf numFmtId="0" fontId="25" fillId="0" borderId="83" xfId="0" applyFont="1" applyBorder="1" applyAlignment="1" applyProtection="1">
      <alignment horizontal="center" vertical="center" wrapText="1"/>
      <protection hidden="1"/>
    </xf>
    <xf numFmtId="0" fontId="25" fillId="0" borderId="90" xfId="0" applyFont="1" applyBorder="1" applyAlignment="1" applyProtection="1">
      <alignment horizontal="center" vertical="center" wrapText="1"/>
      <protection hidden="1"/>
    </xf>
    <xf numFmtId="0" fontId="25" fillId="0" borderId="81" xfId="0" applyFont="1" applyBorder="1" applyProtection="1">
      <alignment vertical="center"/>
      <protection locked="0"/>
    </xf>
    <xf numFmtId="0" fontId="41" fillId="0" borderId="81" xfId="0" applyFont="1" applyBorder="1" applyProtection="1">
      <alignment vertical="center"/>
      <protection locked="0"/>
    </xf>
    <xf numFmtId="0" fontId="25" fillId="0" borderId="58" xfId="0" applyFont="1" applyBorder="1" applyAlignment="1" applyProtection="1">
      <alignment horizontal="left" vertical="center"/>
      <protection hidden="1"/>
    </xf>
    <xf numFmtId="0" fontId="0" fillId="0" borderId="58" xfId="0" applyBorder="1">
      <alignment vertical="center"/>
    </xf>
    <xf numFmtId="0" fontId="0" fillId="0" borderId="121" xfId="0" applyBorder="1">
      <alignment vertical="center"/>
    </xf>
    <xf numFmtId="0" fontId="25" fillId="0" borderId="112" xfId="0" applyFont="1" applyBorder="1" applyAlignment="1" applyProtection="1">
      <alignment horizontal="center" vertical="center" wrapText="1"/>
      <protection hidden="1"/>
    </xf>
    <xf numFmtId="0" fontId="0" fillId="0" borderId="61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25" fillId="0" borderId="102" xfId="0" applyFont="1" applyBorder="1" applyAlignment="1" applyProtection="1">
      <alignment horizontal="center" vertical="center" wrapText="1"/>
      <protection hidden="1"/>
    </xf>
    <xf numFmtId="0" fontId="41" fillId="0" borderId="69" xfId="0" applyFont="1" applyBorder="1" applyAlignment="1" applyProtection="1">
      <alignment horizontal="center" vertical="center" wrapText="1"/>
      <protection hidden="1"/>
    </xf>
    <xf numFmtId="0" fontId="41" fillId="0" borderId="70" xfId="0" applyFont="1" applyBorder="1" applyAlignment="1" applyProtection="1">
      <alignment horizontal="center" vertical="center" wrapText="1"/>
      <protection hidden="1"/>
    </xf>
    <xf numFmtId="0" fontId="25" fillId="0" borderId="72" xfId="0" applyFont="1" applyBorder="1" applyAlignment="1" applyProtection="1">
      <alignment vertical="center" wrapText="1"/>
      <protection locked="0"/>
    </xf>
    <xf numFmtId="0" fontId="41" fillId="0" borderId="71" xfId="0" applyFont="1" applyBorder="1" applyAlignment="1" applyProtection="1">
      <alignment vertical="center" wrapText="1"/>
      <protection locked="0"/>
    </xf>
    <xf numFmtId="0" fontId="25" fillId="0" borderId="77" xfId="0" applyFont="1" applyBorder="1" applyAlignment="1" applyProtection="1">
      <alignment horizontal="center" vertical="center" wrapText="1"/>
      <protection locked="0"/>
    </xf>
    <xf numFmtId="0" fontId="41" fillId="0" borderId="75" xfId="0" applyFont="1" applyBorder="1" applyProtection="1">
      <alignment vertical="center"/>
      <protection locked="0"/>
    </xf>
    <xf numFmtId="0" fontId="41" fillId="0" borderId="79" xfId="0" applyFont="1" applyBorder="1" applyProtection="1">
      <alignment vertical="center"/>
      <protection locked="0"/>
    </xf>
    <xf numFmtId="0" fontId="41" fillId="0" borderId="66" xfId="0" applyFont="1" applyBorder="1" applyProtection="1">
      <alignment vertical="center"/>
      <protection locked="0"/>
    </xf>
    <xf numFmtId="0" fontId="41" fillId="0" borderId="0" xfId="0" applyFont="1" applyProtection="1">
      <alignment vertical="center"/>
      <protection locked="0"/>
    </xf>
    <xf numFmtId="0" fontId="41" fillId="0" borderId="68" xfId="0" applyFont="1" applyBorder="1" applyProtection="1">
      <alignment vertical="center"/>
      <protection locked="0"/>
    </xf>
    <xf numFmtId="0" fontId="25" fillId="0" borderId="77" xfId="0" applyFont="1" applyBorder="1" applyAlignment="1" applyProtection="1">
      <alignment horizontal="center" vertical="center" wrapText="1"/>
      <protection hidden="1"/>
    </xf>
    <xf numFmtId="0" fontId="41" fillId="0" borderId="78" xfId="0" applyFont="1" applyBorder="1" applyProtection="1">
      <alignment vertical="center"/>
      <protection hidden="1"/>
    </xf>
    <xf numFmtId="0" fontId="41" fillId="0" borderId="66" xfId="0" applyFont="1" applyBorder="1">
      <alignment vertical="center"/>
    </xf>
    <xf numFmtId="0" fontId="41" fillId="0" borderId="0" xfId="0" applyFont="1">
      <alignment vertical="center"/>
    </xf>
    <xf numFmtId="0" fontId="41" fillId="0" borderId="15" xfId="0" applyFont="1" applyBorder="1">
      <alignment vertical="center"/>
    </xf>
    <xf numFmtId="0" fontId="25" fillId="0" borderId="37" xfId="0" applyFont="1" applyBorder="1" applyAlignment="1" applyProtection="1">
      <alignment vertical="center" wrapText="1"/>
      <protection locked="0"/>
    </xf>
    <xf numFmtId="0" fontId="25" fillId="0" borderId="0" xfId="0" applyFont="1" applyAlignment="1" applyProtection="1">
      <alignment vertical="center" wrapText="1"/>
      <protection locked="0"/>
    </xf>
    <xf numFmtId="0" fontId="25" fillId="0" borderId="68" xfId="0" applyFont="1" applyBorder="1" applyAlignment="1" applyProtection="1">
      <alignment vertical="center" wrapText="1"/>
      <protection locked="0"/>
    </xf>
    <xf numFmtId="0" fontId="25" fillId="0" borderId="17" xfId="0" applyFont="1" applyBorder="1" applyAlignment="1" applyProtection="1">
      <alignment vertical="top" wrapText="1"/>
      <protection hidden="1"/>
    </xf>
    <xf numFmtId="0" fontId="0" fillId="0" borderId="113" xfId="0" applyBorder="1" applyAlignment="1">
      <alignment vertical="top" wrapText="1"/>
    </xf>
    <xf numFmtId="0" fontId="25" fillId="0" borderId="120" xfId="0" applyFont="1" applyBorder="1" applyAlignment="1" applyProtection="1">
      <alignment horizontal="center" vertical="center" wrapText="1"/>
      <protection hidden="1"/>
    </xf>
    <xf numFmtId="0" fontId="25" fillId="0" borderId="58" xfId="0" applyFont="1" applyBorder="1" applyAlignment="1" applyProtection="1">
      <alignment horizontal="center" vertical="center" wrapText="1"/>
      <protection hidden="1"/>
    </xf>
    <xf numFmtId="0" fontId="25" fillId="0" borderId="99" xfId="0" applyFont="1" applyBorder="1" applyAlignment="1" applyProtection="1">
      <alignment vertical="center" wrapText="1"/>
      <protection locked="0"/>
    </xf>
    <xf numFmtId="0" fontId="25" fillId="0" borderId="100" xfId="0" applyFont="1" applyBorder="1" applyAlignment="1" applyProtection="1">
      <alignment vertical="center" wrapText="1"/>
      <protection locked="0"/>
    </xf>
    <xf numFmtId="49" fontId="25" fillId="0" borderId="119" xfId="0" quotePrefix="1" applyNumberFormat="1" applyFont="1" applyBorder="1" applyAlignment="1" applyProtection="1">
      <alignment horizontal="center" vertical="center" shrinkToFit="1"/>
      <protection locked="0"/>
    </xf>
    <xf numFmtId="0" fontId="41" fillId="0" borderId="64" xfId="0" applyFont="1" applyBorder="1" applyAlignment="1" applyProtection="1">
      <alignment horizontal="center" vertical="center" shrinkToFit="1"/>
      <protection locked="0"/>
    </xf>
    <xf numFmtId="49" fontId="25" fillId="0" borderId="114" xfId="0" applyNumberFormat="1" applyFont="1" applyBorder="1" applyAlignment="1" applyProtection="1">
      <alignment horizontal="center" vertical="center" shrinkToFit="1"/>
      <protection locked="0"/>
    </xf>
    <xf numFmtId="0" fontId="41" fillId="0" borderId="4" xfId="0" applyFont="1" applyBorder="1" applyAlignment="1" applyProtection="1">
      <alignment horizontal="center" vertical="center" shrinkToFit="1"/>
      <protection locked="0"/>
    </xf>
    <xf numFmtId="49" fontId="25" fillId="0" borderId="115" xfId="0" applyNumberFormat="1" applyFont="1" applyBorder="1" applyAlignment="1" applyProtection="1">
      <alignment horizontal="center" vertical="center" shrinkToFit="1"/>
      <protection locked="0"/>
    </xf>
    <xf numFmtId="0" fontId="41" fillId="0" borderId="61" xfId="0" applyFont="1" applyBorder="1" applyAlignment="1" applyProtection="1">
      <alignment horizontal="center" vertical="center" shrinkToFit="1"/>
      <protection locked="0"/>
    </xf>
    <xf numFmtId="0" fontId="41" fillId="0" borderId="118" xfId="0" applyFont="1" applyBorder="1" applyAlignment="1" applyProtection="1">
      <alignment horizontal="center" vertical="center" shrinkToFit="1"/>
      <protection locked="0"/>
    </xf>
    <xf numFmtId="0" fontId="41" fillId="0" borderId="72" xfId="0" applyFont="1" applyBorder="1" applyAlignment="1" applyProtection="1">
      <alignment horizontal="center" vertical="center" shrinkToFit="1"/>
      <protection locked="0"/>
    </xf>
    <xf numFmtId="0" fontId="25" fillId="0" borderId="88" xfId="0" applyFont="1" applyBorder="1" applyAlignment="1" applyProtection="1">
      <alignment horizontal="center" vertical="center" wrapText="1"/>
      <protection hidden="1"/>
    </xf>
    <xf numFmtId="0" fontId="25" fillId="0" borderId="32" xfId="0" applyFont="1" applyBorder="1" applyAlignment="1" applyProtection="1">
      <alignment vertical="center" wrapText="1"/>
      <protection locked="0"/>
    </xf>
    <xf numFmtId="0" fontId="25" fillId="0" borderId="46" xfId="0" applyFont="1" applyBorder="1" applyAlignment="1" applyProtection="1">
      <alignment vertical="center" wrapText="1"/>
      <protection locked="0"/>
    </xf>
    <xf numFmtId="0" fontId="25" fillId="0" borderId="0" xfId="0" applyFont="1" applyAlignment="1" applyProtection="1">
      <alignment horizontal="right" wrapText="1"/>
      <protection locked="0"/>
    </xf>
    <xf numFmtId="0" fontId="25" fillId="0" borderId="12" xfId="0" applyFont="1" applyBorder="1" applyAlignment="1" applyProtection="1">
      <alignment horizontal="left" vertical="center" wrapText="1"/>
      <protection hidden="1"/>
    </xf>
    <xf numFmtId="0" fontId="25" fillId="0" borderId="75" xfId="0" applyFont="1" applyBorder="1" applyAlignment="1" applyProtection="1">
      <alignment horizontal="right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locked="0"/>
    </xf>
    <xf numFmtId="0" fontId="25" fillId="0" borderId="68" xfId="0" applyFont="1" applyBorder="1" applyAlignment="1" applyProtection="1">
      <alignment horizontal="center" vertical="center" wrapText="1"/>
      <protection locked="0"/>
    </xf>
    <xf numFmtId="0" fontId="25" fillId="0" borderId="69" xfId="0" applyFont="1" applyBorder="1" applyAlignment="1" applyProtection="1">
      <alignment horizontal="center" vertical="center" wrapText="1"/>
      <protection hidden="1"/>
    </xf>
    <xf numFmtId="0" fontId="25" fillId="0" borderId="76" xfId="0" applyFont="1" applyBorder="1" applyAlignment="1" applyProtection="1">
      <alignment horizontal="center" vertical="center" wrapText="1"/>
      <protection hidden="1"/>
    </xf>
    <xf numFmtId="0" fontId="25" fillId="0" borderId="35" xfId="0" applyFont="1" applyBorder="1" applyAlignment="1" applyProtection="1">
      <alignment vertical="center" wrapText="1"/>
      <protection locked="0"/>
    </xf>
    <xf numFmtId="0" fontId="41" fillId="0" borderId="34" xfId="0" applyFont="1" applyBorder="1" applyAlignment="1" applyProtection="1">
      <alignment vertical="center" wrapText="1"/>
      <protection locked="0"/>
    </xf>
    <xf numFmtId="0" fontId="25" fillId="0" borderId="41" xfId="0" applyFont="1" applyBorder="1" applyAlignment="1" applyProtection="1">
      <alignment vertical="center" wrapText="1"/>
      <protection locked="0"/>
    </xf>
    <xf numFmtId="0" fontId="25" fillId="0" borderId="40" xfId="0" applyFont="1" applyBorder="1" applyAlignment="1" applyProtection="1">
      <alignment vertical="center" wrapText="1"/>
      <protection locked="0"/>
    </xf>
    <xf numFmtId="0" fontId="25" fillId="0" borderId="96" xfId="0" applyFont="1" applyBorder="1" applyAlignment="1" applyProtection="1">
      <alignment vertical="center" wrapText="1"/>
      <protection locked="0"/>
    </xf>
    <xf numFmtId="0" fontId="41" fillId="0" borderId="9" xfId="0" applyFont="1" applyBorder="1" applyAlignment="1" applyProtection="1">
      <alignment horizontal="center" vertical="center" wrapText="1"/>
      <protection locked="0"/>
    </xf>
    <xf numFmtId="0" fontId="41" fillId="0" borderId="23" xfId="0" applyFont="1" applyBorder="1" applyAlignment="1" applyProtection="1">
      <alignment horizontal="center" vertical="center" wrapText="1"/>
      <protection locked="0"/>
    </xf>
    <xf numFmtId="0" fontId="41" fillId="0" borderId="72" xfId="0" applyFont="1" applyBorder="1" applyProtection="1">
      <alignment vertical="center"/>
      <protection locked="0"/>
    </xf>
    <xf numFmtId="0" fontId="41" fillId="0" borderId="71" xfId="0" applyFont="1" applyBorder="1" applyProtection="1">
      <alignment vertical="center"/>
      <protection locked="0"/>
    </xf>
    <xf numFmtId="0" fontId="25" fillId="0" borderId="9" xfId="0" applyFont="1" applyBorder="1" applyAlignment="1" applyProtection="1">
      <alignment horizontal="right" vertical="center" wrapText="1"/>
      <protection locked="0"/>
    </xf>
    <xf numFmtId="0" fontId="41" fillId="0" borderId="9" xfId="0" applyFont="1" applyBorder="1" applyAlignment="1" applyProtection="1">
      <alignment horizontal="right" vertical="center" wrapText="1"/>
      <protection locked="0"/>
    </xf>
    <xf numFmtId="0" fontId="25" fillId="0" borderId="75" xfId="0" applyFont="1" applyBorder="1" applyProtection="1">
      <alignment vertical="center"/>
      <protection hidden="1"/>
    </xf>
    <xf numFmtId="0" fontId="41" fillId="0" borderId="79" xfId="0" applyFont="1" applyBorder="1" applyProtection="1">
      <alignment vertical="center"/>
      <protection hidden="1"/>
    </xf>
    <xf numFmtId="0" fontId="41" fillId="0" borderId="69" xfId="0" applyFont="1" applyBorder="1" applyAlignment="1" applyProtection="1">
      <alignment vertical="center" wrapText="1"/>
      <protection hidden="1"/>
    </xf>
    <xf numFmtId="0" fontId="41" fillId="0" borderId="70" xfId="0" applyFont="1" applyBorder="1" applyAlignment="1" applyProtection="1">
      <alignment vertical="center" wrapText="1"/>
      <protection hidden="1"/>
    </xf>
    <xf numFmtId="0" fontId="25" fillId="0" borderId="76" xfId="0" applyFont="1" applyBorder="1" applyAlignment="1" applyProtection="1">
      <alignment vertical="center" wrapText="1"/>
      <protection hidden="1"/>
    </xf>
    <xf numFmtId="0" fontId="25" fillId="0" borderId="66" xfId="0" applyFont="1" applyBorder="1" applyAlignment="1" applyProtection="1">
      <alignment horizontal="center" shrinkToFit="1"/>
      <protection locked="0"/>
    </xf>
    <xf numFmtId="0" fontId="41" fillId="0" borderId="0" xfId="0" applyFont="1" applyAlignment="1" applyProtection="1">
      <alignment shrinkToFit="1"/>
      <protection locked="0"/>
    </xf>
    <xf numFmtId="0" fontId="25" fillId="0" borderId="74" xfId="0" applyFont="1" applyBorder="1" applyProtection="1">
      <alignment vertical="center"/>
      <protection locked="0"/>
    </xf>
    <xf numFmtId="0" fontId="41" fillId="0" borderId="74" xfId="0" applyFont="1" applyBorder="1" applyProtection="1">
      <alignment vertical="center"/>
      <protection locked="0"/>
    </xf>
    <xf numFmtId="0" fontId="25" fillId="0" borderId="106" xfId="0" applyFont="1" applyBorder="1" applyAlignment="1" applyProtection="1">
      <alignment horizontal="center" vertical="center" wrapText="1"/>
      <protection hidden="1"/>
    </xf>
    <xf numFmtId="0" fontId="41" fillId="0" borderId="107" xfId="0" applyFont="1" applyBorder="1" applyProtection="1">
      <alignment vertical="center"/>
      <protection hidden="1"/>
    </xf>
    <xf numFmtId="0" fontId="25" fillId="0" borderId="93" xfId="0" applyFont="1" applyBorder="1" applyProtection="1">
      <alignment vertical="center"/>
      <protection locked="0"/>
    </xf>
    <xf numFmtId="0" fontId="41" fillId="0" borderId="93" xfId="0" applyFont="1" applyBorder="1" applyProtection="1">
      <alignment vertical="center"/>
      <protection locked="0"/>
    </xf>
    <xf numFmtId="0" fontId="41" fillId="0" borderId="108" xfId="0" applyFont="1" applyBorder="1" applyProtection="1">
      <alignment vertical="center"/>
      <protection locked="0"/>
    </xf>
    <xf numFmtId="0" fontId="25" fillId="0" borderId="93" xfId="0" applyFont="1" applyBorder="1" applyAlignment="1" applyProtection="1">
      <alignment horizontal="center" vertical="center" wrapText="1"/>
      <protection hidden="1"/>
    </xf>
    <xf numFmtId="0" fontId="41" fillId="0" borderId="108" xfId="0" applyFont="1" applyBorder="1" applyProtection="1">
      <alignment vertical="center"/>
      <protection hidden="1"/>
    </xf>
    <xf numFmtId="0" fontId="41" fillId="0" borderId="50" xfId="0" applyFont="1" applyBorder="1" applyProtection="1">
      <alignment vertical="center"/>
      <protection locked="0"/>
    </xf>
    <xf numFmtId="0" fontId="41" fillId="0" borderId="101" xfId="0" applyFont="1" applyBorder="1" applyProtection="1">
      <alignment vertical="center"/>
      <protection locked="0"/>
    </xf>
    <xf numFmtId="0" fontId="25" fillId="0" borderId="63" xfId="0" applyFont="1" applyBorder="1" applyProtection="1">
      <alignment vertical="center"/>
      <protection hidden="1"/>
    </xf>
    <xf numFmtId="0" fontId="41" fillId="0" borderId="64" xfId="0" applyFont="1" applyBorder="1" applyProtection="1">
      <alignment vertical="center"/>
      <protection hidden="1"/>
    </xf>
    <xf numFmtId="0" fontId="25" fillId="0" borderId="103" xfId="0" applyFont="1" applyBorder="1" applyAlignment="1" applyProtection="1">
      <alignment horizontal="center" vertical="center" wrapText="1"/>
      <protection hidden="1"/>
    </xf>
    <xf numFmtId="0" fontId="41" fillId="0" borderId="104" xfId="0" applyFont="1" applyBorder="1" applyAlignment="1" applyProtection="1">
      <alignment horizontal="center" vertical="center" wrapText="1"/>
      <protection hidden="1"/>
    </xf>
    <xf numFmtId="0" fontId="41" fillId="0" borderId="105" xfId="0" applyFont="1" applyBorder="1" applyAlignment="1" applyProtection="1">
      <alignment horizontal="center" vertical="center" wrapText="1"/>
      <protection hidden="1"/>
    </xf>
    <xf numFmtId="0" fontId="25" fillId="0" borderId="111" xfId="0" applyFont="1" applyBorder="1" applyAlignment="1" applyProtection="1">
      <alignment horizontal="center" vertical="center" wrapText="1"/>
      <protection hidden="1"/>
    </xf>
    <xf numFmtId="0" fontId="41" fillId="0" borderId="122" xfId="0" applyFont="1" applyBorder="1" applyAlignment="1" applyProtection="1">
      <alignment horizontal="center" vertical="center" wrapText="1"/>
      <protection hidden="1"/>
    </xf>
    <xf numFmtId="0" fontId="41" fillId="0" borderId="109" xfId="0" applyFont="1" applyBorder="1" applyAlignment="1" applyProtection="1">
      <alignment vertical="center" wrapText="1"/>
      <protection locked="0"/>
    </xf>
    <xf numFmtId="0" fontId="41" fillId="0" borderId="123" xfId="0" applyFont="1" applyBorder="1" applyProtection="1">
      <alignment vertical="center"/>
      <protection locked="0"/>
    </xf>
    <xf numFmtId="0" fontId="41" fillId="0" borderId="32" xfId="0" applyFont="1" applyBorder="1" applyAlignment="1" applyProtection="1">
      <alignment vertical="center" wrapText="1"/>
      <protection locked="0"/>
    </xf>
    <xf numFmtId="0" fontId="41" fillId="0" borderId="33" xfId="0" applyFont="1" applyBorder="1" applyProtection="1">
      <alignment vertical="center"/>
      <protection locked="0"/>
    </xf>
    <xf numFmtId="0" fontId="25" fillId="0" borderId="4" xfId="0" applyFont="1" applyBorder="1" applyAlignment="1" applyProtection="1">
      <alignment vertical="center" wrapText="1"/>
      <protection hidden="1"/>
    </xf>
    <xf numFmtId="0" fontId="41" fillId="0" borderId="3" xfId="0" applyFont="1" applyBorder="1" applyAlignment="1" applyProtection="1">
      <alignment vertical="center" wrapText="1"/>
      <protection hidden="1"/>
    </xf>
    <xf numFmtId="0" fontId="25" fillId="0" borderId="110" xfId="0" applyFont="1" applyBorder="1" applyAlignment="1" applyProtection="1">
      <alignment horizontal="center" vertical="center" wrapText="1"/>
      <protection hidden="1"/>
    </xf>
    <xf numFmtId="0" fontId="41" fillId="0" borderId="111" xfId="0" applyFont="1" applyBorder="1" applyAlignment="1" applyProtection="1">
      <alignment horizontal="center" vertical="center" wrapText="1"/>
      <protection hidden="1"/>
    </xf>
    <xf numFmtId="0" fontId="25" fillId="0" borderId="64" xfId="0" applyFont="1" applyBorder="1" applyAlignment="1" applyProtection="1">
      <alignment vertical="center" wrapText="1"/>
      <protection hidden="1"/>
    </xf>
    <xf numFmtId="0" fontId="41" fillId="0" borderId="73" xfId="0" applyFont="1" applyBorder="1" applyProtection="1">
      <alignment vertical="center"/>
      <protection hidden="1"/>
    </xf>
    <xf numFmtId="0" fontId="25" fillId="0" borderId="35" xfId="0" applyFont="1" applyBorder="1" applyAlignment="1" applyProtection="1">
      <alignment vertical="center" wrapText="1"/>
      <protection hidden="1"/>
    </xf>
    <xf numFmtId="0" fontId="41" fillId="0" borderId="34" xfId="0" applyFont="1" applyBorder="1" applyAlignment="1" applyProtection="1">
      <alignment vertical="center" wrapText="1"/>
      <protection hidden="1"/>
    </xf>
    <xf numFmtId="0" fontId="8" fillId="0" borderId="0" xfId="1" applyFont="1" applyAlignment="1" applyProtection="1">
      <alignment horizontal="center" wrapText="1"/>
      <protection hidden="1"/>
    </xf>
    <xf numFmtId="0" fontId="52" fillId="0" borderId="0" xfId="0" applyFont="1" applyAlignment="1">
      <alignment horizontal="center"/>
    </xf>
    <xf numFmtId="0" fontId="33" fillId="0" borderId="0" xfId="1" applyFont="1" applyAlignment="1" applyProtection="1">
      <alignment horizontal="left" vertical="center" shrinkToFit="1"/>
      <protection hidden="1"/>
    </xf>
    <xf numFmtId="0" fontId="34" fillId="0" borderId="0" xfId="0" applyFont="1" applyAlignment="1">
      <alignment vertical="center" shrinkToFit="1"/>
    </xf>
    <xf numFmtId="0" fontId="30" fillId="0" borderId="0" xfId="1" applyFont="1" applyAlignment="1" applyProtection="1">
      <alignment horizontal="center" wrapText="1"/>
      <protection hidden="1"/>
    </xf>
    <xf numFmtId="0" fontId="31" fillId="0" borderId="0" xfId="1" applyFont="1" applyAlignment="1" applyProtection="1">
      <alignment horizontal="center" wrapText="1"/>
      <protection hidden="1"/>
    </xf>
    <xf numFmtId="0" fontId="33" fillId="9" borderId="0" xfId="1" applyFont="1" applyFill="1" applyAlignment="1" applyProtection="1">
      <alignment horizontal="center" vertical="center"/>
      <protection hidden="1"/>
    </xf>
    <xf numFmtId="0" fontId="34" fillId="9" borderId="0" xfId="0" applyFont="1" applyFill="1" applyAlignment="1">
      <alignment horizontal="center" vertical="center"/>
    </xf>
    <xf numFmtId="0" fontId="35" fillId="3" borderId="0" xfId="1" applyFont="1" applyFill="1" applyAlignment="1" applyProtection="1">
      <alignment horizontal="center" vertical="center"/>
      <protection locked="0"/>
    </xf>
    <xf numFmtId="0" fontId="36" fillId="3" borderId="0" xfId="0" applyFont="1" applyFill="1" applyAlignment="1" applyProtection="1">
      <alignment horizontal="center" vertical="center"/>
      <protection locked="0"/>
    </xf>
    <xf numFmtId="0" fontId="7" fillId="5" borderId="0" xfId="1" applyFont="1" applyFill="1" applyAlignment="1" applyProtection="1">
      <alignment horizontal="center"/>
      <protection hidden="1"/>
    </xf>
    <xf numFmtId="0" fontId="0" fillId="5" borderId="0" xfId="0" applyFill="1" applyAlignment="1">
      <alignment horizontal="center"/>
    </xf>
    <xf numFmtId="0" fontId="31" fillId="0" borderId="0" xfId="1" applyFont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46" fillId="6" borderId="0" xfId="1" applyFont="1" applyFill="1" applyAlignment="1" applyProtection="1">
      <alignment horizontal="left" vertical="center"/>
      <protection hidden="1"/>
    </xf>
    <xf numFmtId="0" fontId="47" fillId="6" borderId="0" xfId="0" applyFont="1" applyFill="1" applyAlignment="1">
      <alignment horizontal="left" vertical="center"/>
    </xf>
    <xf numFmtId="0" fontId="11" fillId="0" borderId="124" xfId="1" applyFont="1" applyBorder="1" applyAlignment="1" applyProtection="1">
      <alignment horizontal="distributed" vertical="center"/>
      <protection hidden="1"/>
    </xf>
    <xf numFmtId="0" fontId="47" fillId="0" borderId="124" xfId="0" applyFont="1" applyBorder="1" applyAlignment="1">
      <alignment horizontal="distributed" vertical="center"/>
    </xf>
    <xf numFmtId="0" fontId="8" fillId="7" borderId="0" xfId="1" applyFont="1" applyFill="1" applyAlignment="1" applyProtection="1">
      <alignment horizontal="center" vertical="center" wrapText="1"/>
      <protection hidden="1"/>
    </xf>
    <xf numFmtId="0" fontId="52" fillId="7" borderId="0" xfId="0" applyFont="1" applyFill="1" applyAlignment="1">
      <alignment horizontal="center" vertical="center"/>
    </xf>
    <xf numFmtId="0" fontId="11" fillId="0" borderId="0" xfId="1" applyFont="1" applyAlignment="1" applyProtection="1">
      <alignment horizontal="distributed" vertical="center"/>
      <protection hidden="1"/>
    </xf>
    <xf numFmtId="0" fontId="47" fillId="0" borderId="0" xfId="0" applyFont="1" applyAlignment="1">
      <alignment horizontal="distributed" vertical="center"/>
    </xf>
    <xf numFmtId="0" fontId="33" fillId="0" borderId="0" xfId="1" applyFont="1" applyAlignment="1" applyProtection="1">
      <alignment vertical="center" shrinkToFit="1"/>
      <protection hidden="1"/>
    </xf>
  </cellXfs>
  <cellStyles count="6">
    <cellStyle name="一般" xfId="0" builtinId="0"/>
    <cellStyle name="一般 2" xfId="1" xr:uid="{00000000-0005-0000-0000-000001000000}"/>
    <cellStyle name="一般 3" xfId="2" xr:uid="{00000000-0005-0000-0000-000002000000}"/>
    <cellStyle name="一般 4" xfId="3" xr:uid="{00000000-0005-0000-0000-000003000000}"/>
    <cellStyle name="百分比" xfId="4" builtinId="5"/>
    <cellStyle name="超連結" xfId="5" builtinId="8"/>
  </cellStyles>
  <dxfs count="850"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/>
</file>

<file path=xl/ctrlProps/ctrlProp77.xml><?xml version="1.0" encoding="utf-8"?>
<formControlPr xmlns="http://schemas.microsoft.com/office/spreadsheetml/2009/9/main" objectType="Button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693420</xdr:colOff>
          <xdr:row>42</xdr:row>
          <xdr:rowOff>106680</xdr:rowOff>
        </xdr:from>
        <xdr:to>
          <xdr:col>10</xdr:col>
          <xdr:colOff>647700</xdr:colOff>
          <xdr:row>42</xdr:row>
          <xdr:rowOff>312420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693420</xdr:colOff>
          <xdr:row>42</xdr:row>
          <xdr:rowOff>99060</xdr:rowOff>
        </xdr:from>
        <xdr:to>
          <xdr:col>9</xdr:col>
          <xdr:colOff>502920</xdr:colOff>
          <xdr:row>42</xdr:row>
          <xdr:rowOff>312420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693420</xdr:colOff>
          <xdr:row>42</xdr:row>
          <xdr:rowOff>106680</xdr:rowOff>
        </xdr:from>
        <xdr:to>
          <xdr:col>10</xdr:col>
          <xdr:colOff>647700</xdr:colOff>
          <xdr:row>42</xdr:row>
          <xdr:rowOff>312420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693420</xdr:colOff>
          <xdr:row>42</xdr:row>
          <xdr:rowOff>99060</xdr:rowOff>
        </xdr:from>
        <xdr:to>
          <xdr:col>9</xdr:col>
          <xdr:colOff>502920</xdr:colOff>
          <xdr:row>42</xdr:row>
          <xdr:rowOff>312420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693420</xdr:colOff>
          <xdr:row>42</xdr:row>
          <xdr:rowOff>106680</xdr:rowOff>
        </xdr:from>
        <xdr:to>
          <xdr:col>11</xdr:col>
          <xdr:colOff>655320</xdr:colOff>
          <xdr:row>42</xdr:row>
          <xdr:rowOff>312420</xdr:rowOff>
        </xdr:to>
        <xdr:sp macro="" textlink="">
          <xdr:nvSpPr>
            <xdr:cNvPr id="18433" name="Check Box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693420</xdr:colOff>
          <xdr:row>42</xdr:row>
          <xdr:rowOff>99060</xdr:rowOff>
        </xdr:from>
        <xdr:to>
          <xdr:col>10</xdr:col>
          <xdr:colOff>502920</xdr:colOff>
          <xdr:row>42</xdr:row>
          <xdr:rowOff>312420</xdr:rowOff>
        </xdr:to>
        <xdr:sp macro="" textlink="">
          <xdr:nvSpPr>
            <xdr:cNvPr id="18434" name="Check Box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693420</xdr:colOff>
          <xdr:row>42</xdr:row>
          <xdr:rowOff>106680</xdr:rowOff>
        </xdr:from>
        <xdr:to>
          <xdr:col>10</xdr:col>
          <xdr:colOff>655320</xdr:colOff>
          <xdr:row>42</xdr:row>
          <xdr:rowOff>312420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693420</xdr:colOff>
          <xdr:row>42</xdr:row>
          <xdr:rowOff>99060</xdr:rowOff>
        </xdr:from>
        <xdr:to>
          <xdr:col>9</xdr:col>
          <xdr:colOff>502920</xdr:colOff>
          <xdr:row>42</xdr:row>
          <xdr:rowOff>312420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5</xdr:row>
          <xdr:rowOff>22860</xdr:rowOff>
        </xdr:from>
        <xdr:to>
          <xdr:col>9</xdr:col>
          <xdr:colOff>800100</xdr:colOff>
          <xdr:row>18</xdr:row>
          <xdr:rowOff>327660</xdr:rowOff>
        </xdr:to>
        <xdr:grpSp>
          <xdr:nvGrpSpPr>
            <xdr:cNvPr id="10" name="群組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GrpSpPr/>
          </xdr:nvGrpSpPr>
          <xdr:grpSpPr>
            <a:xfrm>
              <a:off x="850302" y="1690295"/>
              <a:ext cx="7749092" cy="4814047"/>
              <a:chOff x="853440" y="1676400"/>
              <a:chExt cx="7741920" cy="4777740"/>
            </a:xfrm>
          </xdr:grpSpPr>
          <xdr:grpSp>
            <xdr:nvGrpSpPr>
              <xdr:cNvPr id="7" name="群組 6">
                <a:extLst>
                  <a:ext uri="{FF2B5EF4-FFF2-40B4-BE49-F238E27FC236}">
                    <a16:creationId xmlns:a16="http://schemas.microsoft.com/office/drawing/2014/main" id="{00000000-0008-0000-0400-000007000000}"/>
                  </a:ext>
                </a:extLst>
              </xdr:cNvPr>
              <xdr:cNvGrpSpPr/>
            </xdr:nvGrpSpPr>
            <xdr:grpSpPr>
              <a:xfrm>
                <a:off x="853440" y="4709213"/>
                <a:ext cx="3154680" cy="1386794"/>
                <a:chOff x="853440" y="4709213"/>
                <a:chExt cx="3154680" cy="1386794"/>
              </a:xfrm>
            </xdr:grpSpPr>
            <xdr:sp macro="" textlink="">
              <xdr:nvSpPr>
                <xdr:cNvPr id="3073" name="Check Box 1" hidden="1">
                  <a:extLst>
                    <a:ext uri="{63B3BB69-23CF-44E3-9099-C40C66FF867C}">
                      <a14:compatExt spid="_x0000_s3073"/>
                    </a:ext>
                    <a:ext uri="{FF2B5EF4-FFF2-40B4-BE49-F238E27FC236}">
                      <a16:creationId xmlns:a16="http://schemas.microsoft.com/office/drawing/2014/main" id="{00000000-0008-0000-0400-0000010C0000}"/>
                    </a:ext>
                  </a:extLst>
                </xdr:cNvPr>
                <xdr:cNvSpPr/>
              </xdr:nvSpPr>
              <xdr:spPr bwMode="auto">
                <a:xfrm>
                  <a:off x="853440" y="4716780"/>
                  <a:ext cx="65532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紙箱*</a:t>
                  </a:r>
                </a:p>
              </xdr:txBody>
            </xdr:sp>
            <xdr:sp macro="" textlink="">
              <xdr:nvSpPr>
                <xdr:cNvPr id="3077" name="Check Box 5" hidden="1">
                  <a:extLst>
                    <a:ext uri="{63B3BB69-23CF-44E3-9099-C40C66FF867C}">
                      <a14:compatExt spid="_x0000_s3077"/>
                    </a:ext>
                    <a:ext uri="{FF2B5EF4-FFF2-40B4-BE49-F238E27FC236}">
                      <a16:creationId xmlns:a16="http://schemas.microsoft.com/office/drawing/2014/main" id="{00000000-0008-0000-0400-0000050C0000}"/>
                    </a:ext>
                  </a:extLst>
                </xdr:cNvPr>
                <xdr:cNvSpPr/>
              </xdr:nvSpPr>
              <xdr:spPr bwMode="auto">
                <a:xfrm>
                  <a:off x="853440" y="5082540"/>
                  <a:ext cx="8382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塑膠桶*</a:t>
                  </a:r>
                </a:p>
              </xdr:txBody>
            </xdr:sp>
            <xdr:sp macro="" textlink="">
              <xdr:nvSpPr>
                <xdr:cNvPr id="3078" name="Check Box 6" hidden="1">
                  <a:extLst>
                    <a:ext uri="{63B3BB69-23CF-44E3-9099-C40C66FF867C}">
                      <a14:compatExt spid="_x0000_s3078"/>
                    </a:ext>
                    <a:ext uri="{FF2B5EF4-FFF2-40B4-BE49-F238E27FC236}">
                      <a16:creationId xmlns:a16="http://schemas.microsoft.com/office/drawing/2014/main" id="{00000000-0008-0000-0400-0000060C0000}"/>
                    </a:ext>
                  </a:extLst>
                </xdr:cNvPr>
                <xdr:cNvSpPr/>
              </xdr:nvSpPr>
              <xdr:spPr bwMode="auto">
                <a:xfrm>
                  <a:off x="853440" y="5455920"/>
                  <a:ext cx="8382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鐵桶*</a:t>
                  </a:r>
                </a:p>
              </xdr:txBody>
            </xdr:sp>
            <xdr:sp macro="" textlink="">
              <xdr:nvSpPr>
                <xdr:cNvPr id="3079" name="Check Box 7" hidden="1">
                  <a:extLst>
                    <a:ext uri="{63B3BB69-23CF-44E3-9099-C40C66FF867C}">
                      <a14:compatExt spid="_x0000_s3079"/>
                    </a:ext>
                    <a:ext uri="{FF2B5EF4-FFF2-40B4-BE49-F238E27FC236}">
                      <a16:creationId xmlns:a16="http://schemas.microsoft.com/office/drawing/2014/main" id="{00000000-0008-0000-0400-0000070C0000}"/>
                    </a:ext>
                  </a:extLst>
                </xdr:cNvPr>
                <xdr:cNvSpPr/>
              </xdr:nvSpPr>
              <xdr:spPr bwMode="auto">
                <a:xfrm>
                  <a:off x="853440" y="5814060"/>
                  <a:ext cx="838200" cy="281947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其他*</a:t>
                  </a:r>
                </a:p>
              </xdr:txBody>
            </xdr:sp>
            <xdr:sp macro="" textlink="">
              <xdr:nvSpPr>
                <xdr:cNvPr id="3080" name="Check Box 8" hidden="1">
                  <a:extLst>
                    <a:ext uri="{63B3BB69-23CF-44E3-9099-C40C66FF867C}">
                      <a14:compatExt spid="_x0000_s3080"/>
                    </a:ext>
                    <a:ext uri="{FF2B5EF4-FFF2-40B4-BE49-F238E27FC236}">
                      <a16:creationId xmlns:a16="http://schemas.microsoft.com/office/drawing/2014/main" id="{00000000-0008-0000-0400-0000080C0000}"/>
                    </a:ext>
                  </a:extLst>
                </xdr:cNvPr>
                <xdr:cNvSpPr/>
              </xdr:nvSpPr>
              <xdr:spPr bwMode="auto">
                <a:xfrm>
                  <a:off x="1737360" y="5448300"/>
                  <a:ext cx="8382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鐵架*  </a:t>
                  </a:r>
                </a:p>
              </xdr:txBody>
            </xdr:sp>
            <xdr:sp macro="" textlink="">
              <xdr:nvSpPr>
                <xdr:cNvPr id="3081" name="Check Box 9" hidden="1">
                  <a:extLst>
                    <a:ext uri="{63B3BB69-23CF-44E3-9099-C40C66FF867C}">
                      <a14:compatExt spid="_x0000_s3081"/>
                    </a:ext>
                    <a:ext uri="{FF2B5EF4-FFF2-40B4-BE49-F238E27FC236}">
                      <a16:creationId xmlns:a16="http://schemas.microsoft.com/office/drawing/2014/main" id="{00000000-0008-0000-0400-0000090C0000}"/>
                    </a:ext>
                  </a:extLst>
                </xdr:cNvPr>
                <xdr:cNvSpPr/>
              </xdr:nvSpPr>
              <xdr:spPr bwMode="auto">
                <a:xfrm>
                  <a:off x="2697480" y="5440680"/>
                  <a:ext cx="6477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客供</a:t>
                  </a:r>
                </a:p>
              </xdr:txBody>
            </xdr:sp>
            <xdr:sp macro="" textlink="">
              <xdr:nvSpPr>
                <xdr:cNvPr id="3082" name="Check Box 10" hidden="1">
                  <a:extLst>
                    <a:ext uri="{63B3BB69-23CF-44E3-9099-C40C66FF867C}">
                      <a14:compatExt spid="_x0000_s3082"/>
                    </a:ext>
                    <a:ext uri="{FF2B5EF4-FFF2-40B4-BE49-F238E27FC236}">
                      <a16:creationId xmlns:a16="http://schemas.microsoft.com/office/drawing/2014/main" id="{00000000-0008-0000-0400-00000A0C0000}"/>
                    </a:ext>
                  </a:extLst>
                </xdr:cNvPr>
                <xdr:cNvSpPr/>
              </xdr:nvSpPr>
              <xdr:spPr bwMode="auto">
                <a:xfrm>
                  <a:off x="3413760" y="544830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超正</a:t>
                  </a:r>
                </a:p>
              </xdr:txBody>
            </xdr:sp>
            <xdr:sp macro="" textlink="">
              <xdr:nvSpPr>
                <xdr:cNvPr id="3083" name="Check Box 11" hidden="1">
                  <a:extLst>
                    <a:ext uri="{63B3BB69-23CF-44E3-9099-C40C66FF867C}">
                      <a14:compatExt spid="_x0000_s3083"/>
                    </a:ext>
                    <a:ext uri="{FF2B5EF4-FFF2-40B4-BE49-F238E27FC236}">
                      <a16:creationId xmlns:a16="http://schemas.microsoft.com/office/drawing/2014/main" id="{00000000-0008-0000-0400-00000B0C0000}"/>
                    </a:ext>
                  </a:extLst>
                </xdr:cNvPr>
                <xdr:cNvSpPr/>
              </xdr:nvSpPr>
              <xdr:spPr bwMode="auto">
                <a:xfrm>
                  <a:off x="1737360" y="5082540"/>
                  <a:ext cx="8382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蝴蝶籠*</a:t>
                  </a:r>
                </a:p>
              </xdr:txBody>
            </xdr:sp>
            <xdr:sp macro="" textlink="">
              <xdr:nvSpPr>
                <xdr:cNvPr id="3084" name="Check Box 12" hidden="1">
                  <a:extLst>
                    <a:ext uri="{63B3BB69-23CF-44E3-9099-C40C66FF867C}">
                      <a14:compatExt spid="_x0000_s3084"/>
                    </a:ext>
                    <a:ext uri="{FF2B5EF4-FFF2-40B4-BE49-F238E27FC236}">
                      <a16:creationId xmlns:a16="http://schemas.microsoft.com/office/drawing/2014/main" id="{00000000-0008-0000-0400-00000C0C0000}"/>
                    </a:ext>
                  </a:extLst>
                </xdr:cNvPr>
                <xdr:cNvSpPr/>
              </xdr:nvSpPr>
              <xdr:spPr bwMode="auto">
                <a:xfrm>
                  <a:off x="2697480" y="5074920"/>
                  <a:ext cx="6477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客供</a:t>
                  </a:r>
                </a:p>
              </xdr:txBody>
            </xdr:sp>
            <xdr:sp macro="" textlink="">
              <xdr:nvSpPr>
                <xdr:cNvPr id="3085" name="Check Box 13" hidden="1">
                  <a:extLst>
                    <a:ext uri="{63B3BB69-23CF-44E3-9099-C40C66FF867C}">
                      <a14:compatExt spid="_x0000_s3085"/>
                    </a:ext>
                    <a:ext uri="{FF2B5EF4-FFF2-40B4-BE49-F238E27FC236}">
                      <a16:creationId xmlns:a16="http://schemas.microsoft.com/office/drawing/2014/main" id="{00000000-0008-0000-0400-00000D0C0000}"/>
                    </a:ext>
                  </a:extLst>
                </xdr:cNvPr>
                <xdr:cNvSpPr/>
              </xdr:nvSpPr>
              <xdr:spPr bwMode="auto">
                <a:xfrm>
                  <a:off x="3413760" y="508254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超正</a:t>
                  </a:r>
                </a:p>
              </xdr:txBody>
            </xdr:sp>
            <xdr:sp macro="" textlink="">
              <xdr:nvSpPr>
                <xdr:cNvPr id="3087" name="Check Box 15" hidden="1">
                  <a:extLst>
                    <a:ext uri="{63B3BB69-23CF-44E3-9099-C40C66FF867C}">
                      <a14:compatExt spid="_x0000_s3087"/>
                    </a:ext>
                    <a:ext uri="{FF2B5EF4-FFF2-40B4-BE49-F238E27FC236}">
                      <a16:creationId xmlns:a16="http://schemas.microsoft.com/office/drawing/2014/main" id="{00000000-0008-0000-0400-00000F0C0000}"/>
                    </a:ext>
                  </a:extLst>
                </xdr:cNvPr>
                <xdr:cNvSpPr/>
              </xdr:nvSpPr>
              <xdr:spPr bwMode="auto">
                <a:xfrm>
                  <a:off x="1882140" y="4709213"/>
                  <a:ext cx="6477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客供</a:t>
                  </a:r>
                </a:p>
              </xdr:txBody>
            </xdr:sp>
            <xdr:sp macro="" textlink="">
              <xdr:nvSpPr>
                <xdr:cNvPr id="3088" name="Check Box 16" hidden="1">
                  <a:extLst>
                    <a:ext uri="{63B3BB69-23CF-44E3-9099-C40C66FF867C}">
                      <a14:compatExt spid="_x0000_s3088"/>
                    </a:ext>
                    <a:ext uri="{FF2B5EF4-FFF2-40B4-BE49-F238E27FC236}">
                      <a16:creationId xmlns:a16="http://schemas.microsoft.com/office/drawing/2014/main" id="{00000000-0008-0000-0400-0000100C0000}"/>
                    </a:ext>
                  </a:extLst>
                </xdr:cNvPr>
                <xdr:cNvSpPr/>
              </xdr:nvSpPr>
              <xdr:spPr bwMode="auto">
                <a:xfrm>
                  <a:off x="2606040" y="471678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超正</a:t>
                  </a:r>
                </a:p>
              </xdr:txBody>
            </xdr:sp>
            <xdr:sp macro="" textlink="">
              <xdr:nvSpPr>
                <xdr:cNvPr id="3089" name="Check Box 17" hidden="1">
                  <a:extLst>
                    <a:ext uri="{63B3BB69-23CF-44E3-9099-C40C66FF867C}">
                      <a14:compatExt spid="_x0000_s3089"/>
                    </a:ext>
                    <a:ext uri="{FF2B5EF4-FFF2-40B4-BE49-F238E27FC236}">
                      <a16:creationId xmlns:a16="http://schemas.microsoft.com/office/drawing/2014/main" id="{00000000-0008-0000-0400-0000110C0000}"/>
                    </a:ext>
                  </a:extLst>
                </xdr:cNvPr>
                <xdr:cNvSpPr/>
              </xdr:nvSpPr>
              <xdr:spPr bwMode="auto">
                <a:xfrm>
                  <a:off x="3421380" y="471678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無印刷</a:t>
                  </a:r>
                </a:p>
              </xdr:txBody>
            </xdr:sp>
          </xdr:grpSp>
          <xdr:grpSp>
            <xdr:nvGrpSpPr>
              <xdr:cNvPr id="9" name="群組 8">
                <a:extLst>
                  <a:ext uri="{FF2B5EF4-FFF2-40B4-BE49-F238E27FC236}">
                    <a16:creationId xmlns:a16="http://schemas.microsoft.com/office/drawing/2014/main" id="{00000000-0008-0000-0400-000009000000}"/>
                  </a:ext>
                </a:extLst>
              </xdr:cNvPr>
              <xdr:cNvGrpSpPr/>
            </xdr:nvGrpSpPr>
            <xdr:grpSpPr>
              <a:xfrm>
                <a:off x="1752613" y="6172200"/>
                <a:ext cx="4632947" cy="281940"/>
                <a:chOff x="1752613" y="6172200"/>
                <a:chExt cx="4632947" cy="281940"/>
              </a:xfrm>
            </xdr:grpSpPr>
            <xdr:sp macro="" textlink="">
              <xdr:nvSpPr>
                <xdr:cNvPr id="3090" name="Check Box 18" hidden="1">
                  <a:extLst>
                    <a:ext uri="{63B3BB69-23CF-44E3-9099-C40C66FF867C}">
                      <a14:compatExt spid="_x0000_s3090"/>
                    </a:ext>
                    <a:ext uri="{FF2B5EF4-FFF2-40B4-BE49-F238E27FC236}">
                      <a16:creationId xmlns:a16="http://schemas.microsoft.com/office/drawing/2014/main" id="{00000000-0008-0000-0400-0000120C0000}"/>
                    </a:ext>
                  </a:extLst>
                </xdr:cNvPr>
                <xdr:cNvSpPr/>
              </xdr:nvSpPr>
              <xdr:spPr bwMode="auto">
                <a:xfrm>
                  <a:off x="1752613" y="6172200"/>
                  <a:ext cx="7620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合格</a:t>
                  </a:r>
                </a:p>
              </xdr:txBody>
            </xdr:sp>
            <xdr:sp macro="" textlink="">
              <xdr:nvSpPr>
                <xdr:cNvPr id="3091" name="Check Box 19" hidden="1">
                  <a:extLst>
                    <a:ext uri="{63B3BB69-23CF-44E3-9099-C40C66FF867C}">
                      <a14:compatExt spid="_x0000_s3091"/>
                    </a:ext>
                    <a:ext uri="{FF2B5EF4-FFF2-40B4-BE49-F238E27FC236}">
                      <a16:creationId xmlns:a16="http://schemas.microsoft.com/office/drawing/2014/main" id="{00000000-0008-0000-0400-0000130C0000}"/>
                    </a:ext>
                  </a:extLst>
                </xdr:cNvPr>
                <xdr:cNvSpPr/>
              </xdr:nvSpPr>
              <xdr:spPr bwMode="auto">
                <a:xfrm>
                  <a:off x="3467100" y="6172200"/>
                  <a:ext cx="7620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不合格</a:t>
                  </a:r>
                </a:p>
              </xdr:txBody>
            </xdr:sp>
            <xdr:sp macro="" textlink="">
              <xdr:nvSpPr>
                <xdr:cNvPr id="3092" name="Check Box 20" hidden="1">
                  <a:extLst>
                    <a:ext uri="{63B3BB69-23CF-44E3-9099-C40C66FF867C}">
                      <a14:compatExt spid="_x0000_s3092"/>
                    </a:ext>
                    <a:ext uri="{FF2B5EF4-FFF2-40B4-BE49-F238E27FC236}">
                      <a16:creationId xmlns:a16="http://schemas.microsoft.com/office/drawing/2014/main" id="{00000000-0008-0000-0400-0000140C0000}"/>
                    </a:ext>
                  </a:extLst>
                </xdr:cNvPr>
                <xdr:cNvSpPr/>
              </xdr:nvSpPr>
              <xdr:spPr bwMode="auto">
                <a:xfrm>
                  <a:off x="5623560" y="6172200"/>
                  <a:ext cx="7620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待判</a:t>
                  </a:r>
                </a:p>
              </xdr:txBody>
            </xdr:sp>
          </xdr:grpSp>
          <xdr:grpSp>
            <xdr:nvGrpSpPr>
              <xdr:cNvPr id="8" name="群組 7">
                <a:extLst>
                  <a:ext uri="{FF2B5EF4-FFF2-40B4-BE49-F238E27FC236}">
                    <a16:creationId xmlns:a16="http://schemas.microsoft.com/office/drawing/2014/main" id="{00000000-0008-0000-0400-000008000000}"/>
                  </a:ext>
                </a:extLst>
              </xdr:cNvPr>
              <xdr:cNvGrpSpPr/>
            </xdr:nvGrpSpPr>
            <xdr:grpSpPr>
              <a:xfrm>
                <a:off x="6309360" y="5455920"/>
                <a:ext cx="899160" cy="640110"/>
                <a:chOff x="6309360" y="5455920"/>
                <a:chExt cx="899160" cy="640110"/>
              </a:xfrm>
            </xdr:grpSpPr>
            <xdr:sp macro="" textlink="">
              <xdr:nvSpPr>
                <xdr:cNvPr id="3093" name="Check Box 21" hidden="1">
                  <a:extLst>
                    <a:ext uri="{63B3BB69-23CF-44E3-9099-C40C66FF867C}">
                      <a14:compatExt spid="_x0000_s3093"/>
                    </a:ext>
                    <a:ext uri="{FF2B5EF4-FFF2-40B4-BE49-F238E27FC236}">
                      <a16:creationId xmlns:a16="http://schemas.microsoft.com/office/drawing/2014/main" id="{00000000-0008-0000-0400-0000150C0000}"/>
                    </a:ext>
                  </a:extLst>
                </xdr:cNvPr>
                <xdr:cNvSpPr/>
              </xdr:nvSpPr>
              <xdr:spPr bwMode="auto">
                <a:xfrm>
                  <a:off x="6309360" y="5455920"/>
                  <a:ext cx="762000" cy="28188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成品入庫：</a:t>
                  </a:r>
                </a:p>
              </xdr:txBody>
            </xdr:sp>
            <xdr:sp macro="" textlink="">
              <xdr:nvSpPr>
                <xdr:cNvPr id="3094" name="Check Box 22" hidden="1">
                  <a:extLst>
                    <a:ext uri="{63B3BB69-23CF-44E3-9099-C40C66FF867C}">
                      <a14:compatExt spid="_x0000_s3094"/>
                    </a:ext>
                    <a:ext uri="{FF2B5EF4-FFF2-40B4-BE49-F238E27FC236}">
                      <a16:creationId xmlns:a16="http://schemas.microsoft.com/office/drawing/2014/main" id="{00000000-0008-0000-0400-0000160C0000}"/>
                    </a:ext>
                  </a:extLst>
                </xdr:cNvPr>
                <xdr:cNvSpPr/>
              </xdr:nvSpPr>
              <xdr:spPr bwMode="auto">
                <a:xfrm>
                  <a:off x="6309360" y="5814092"/>
                  <a:ext cx="899160" cy="28193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棧板+膠膜*</a:t>
                  </a:r>
                </a:p>
              </xdr:txBody>
            </xdr:sp>
          </xdr:grpSp>
          <xdr:grpSp>
            <xdr:nvGrpSpPr>
              <xdr:cNvPr id="2" name="群組 1">
                <a:extLst>
                  <a:ext uri="{FF2B5EF4-FFF2-40B4-BE49-F238E27FC236}">
                    <a16:creationId xmlns:a16="http://schemas.microsoft.com/office/drawing/2014/main" id="{00000000-0008-0000-0400-000002000000}"/>
                  </a:ext>
                </a:extLst>
              </xdr:cNvPr>
              <xdr:cNvGrpSpPr/>
            </xdr:nvGrpSpPr>
            <xdr:grpSpPr>
              <a:xfrm>
                <a:off x="853440" y="3977640"/>
                <a:ext cx="3154620" cy="289560"/>
                <a:chOff x="853440" y="3977640"/>
                <a:chExt cx="3154620" cy="289560"/>
              </a:xfrm>
            </xdr:grpSpPr>
            <xdr:sp macro="" textlink="">
              <xdr:nvSpPr>
                <xdr:cNvPr id="3095" name="Check Box 23" hidden="1">
                  <a:extLst>
                    <a:ext uri="{63B3BB69-23CF-44E3-9099-C40C66FF867C}">
                      <a14:compatExt spid="_x0000_s3095"/>
                    </a:ext>
                    <a:ext uri="{FF2B5EF4-FFF2-40B4-BE49-F238E27FC236}">
                      <a16:creationId xmlns:a16="http://schemas.microsoft.com/office/drawing/2014/main" id="{00000000-0008-0000-0400-0000170C0000}"/>
                    </a:ext>
                  </a:extLst>
                </xdr:cNvPr>
                <xdr:cNvSpPr/>
              </xdr:nvSpPr>
              <xdr:spPr bwMode="auto">
                <a:xfrm>
                  <a:off x="853440" y="3977640"/>
                  <a:ext cx="65532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加強防銹</a:t>
                  </a:r>
                </a:p>
              </xdr:txBody>
            </xdr:sp>
            <xdr:sp macro="" textlink="">
              <xdr:nvSpPr>
                <xdr:cNvPr id="3096" name="Check Box 24" hidden="1">
                  <a:extLst>
                    <a:ext uri="{63B3BB69-23CF-44E3-9099-C40C66FF867C}">
                      <a14:compatExt spid="_x0000_s3096"/>
                    </a:ext>
                    <a:ext uri="{FF2B5EF4-FFF2-40B4-BE49-F238E27FC236}">
                      <a16:creationId xmlns:a16="http://schemas.microsoft.com/office/drawing/2014/main" id="{00000000-0008-0000-0400-0000180C0000}"/>
                    </a:ext>
                  </a:extLst>
                </xdr:cNvPr>
                <xdr:cNvSpPr/>
              </xdr:nvSpPr>
              <xdr:spPr bwMode="auto">
                <a:xfrm>
                  <a:off x="1882140" y="3977640"/>
                  <a:ext cx="6477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防銹袋</a:t>
                  </a:r>
                </a:p>
              </xdr:txBody>
            </xdr:sp>
            <xdr:sp macro="" textlink="">
              <xdr:nvSpPr>
                <xdr:cNvPr id="3097" name="Check Box 25" hidden="1">
                  <a:extLst>
                    <a:ext uri="{63B3BB69-23CF-44E3-9099-C40C66FF867C}">
                      <a14:compatExt spid="_x0000_s3097"/>
                    </a:ext>
                    <a:ext uri="{FF2B5EF4-FFF2-40B4-BE49-F238E27FC236}">
                      <a16:creationId xmlns:a16="http://schemas.microsoft.com/office/drawing/2014/main" id="{00000000-0008-0000-0400-0000190C0000}"/>
                    </a:ext>
                  </a:extLst>
                </xdr:cNvPr>
                <xdr:cNvSpPr/>
              </xdr:nvSpPr>
              <xdr:spPr bwMode="auto">
                <a:xfrm>
                  <a:off x="2606040" y="3985260"/>
                  <a:ext cx="79248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防銹油</a:t>
                  </a:r>
                </a:p>
              </xdr:txBody>
            </xdr:sp>
            <xdr:sp macro="" textlink="">
              <xdr:nvSpPr>
                <xdr:cNvPr id="3098" name="Check Box 26" hidden="1">
                  <a:extLst>
                    <a:ext uri="{63B3BB69-23CF-44E3-9099-C40C66FF867C}">
                      <a14:compatExt spid="_x0000_s3098"/>
                    </a:ext>
                    <a:ext uri="{FF2B5EF4-FFF2-40B4-BE49-F238E27FC236}">
                      <a16:creationId xmlns:a16="http://schemas.microsoft.com/office/drawing/2014/main" id="{00000000-0008-0000-0400-00001A0C0000}"/>
                    </a:ext>
                  </a:extLst>
                </xdr:cNvPr>
                <xdr:cNvSpPr/>
              </xdr:nvSpPr>
              <xdr:spPr bwMode="auto">
                <a:xfrm>
                  <a:off x="3421380" y="3985260"/>
                  <a:ext cx="58668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</xdr:grpSp>
          <xdr:sp macro="" textlink="">
            <xdr:nvSpPr>
              <xdr:cNvPr id="3099" name="Check Box 27" hidden="1">
                <a:extLst>
                  <a:ext uri="{63B3BB69-23CF-44E3-9099-C40C66FF867C}">
                    <a14:compatExt spid="_x0000_s3099"/>
                  </a:ext>
                  <a:ext uri="{FF2B5EF4-FFF2-40B4-BE49-F238E27FC236}">
                    <a16:creationId xmlns:a16="http://schemas.microsoft.com/office/drawing/2014/main" id="{00000000-0008-0000-0400-00001B0C0000}"/>
                  </a:ext>
                </a:extLst>
              </xdr:cNvPr>
              <xdr:cNvSpPr/>
            </xdr:nvSpPr>
            <xdr:spPr bwMode="auto">
              <a:xfrm>
                <a:off x="5501640" y="3977640"/>
                <a:ext cx="153924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治具 / 模具 / 量具  *</a:t>
                </a:r>
              </a:p>
            </xdr:txBody>
          </xdr:sp>
          <xdr:sp macro="" textlink="">
            <xdr:nvSpPr>
              <xdr:cNvPr id="3100" name="Check Box 28" hidden="1">
                <a:extLst>
                  <a:ext uri="{63B3BB69-23CF-44E3-9099-C40C66FF867C}">
                    <a14:compatExt spid="_x0000_s3100"/>
                  </a:ext>
                  <a:ext uri="{FF2B5EF4-FFF2-40B4-BE49-F238E27FC236}">
                    <a16:creationId xmlns:a16="http://schemas.microsoft.com/office/drawing/2014/main" id="{00000000-0008-0000-0400-00001C0C0000}"/>
                  </a:ext>
                </a:extLst>
              </xdr:cNvPr>
              <xdr:cNvSpPr/>
            </xdr:nvSpPr>
            <xdr:spPr bwMode="auto">
              <a:xfrm>
                <a:off x="7940040" y="3977640"/>
                <a:ext cx="65532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樣品 *</a:t>
                </a:r>
              </a:p>
            </xdr:txBody>
          </xdr:sp>
          <xdr:grpSp>
            <xdr:nvGrpSpPr>
              <xdr:cNvPr id="5" name="群組 4">
                <a:extLst>
                  <a:ext uri="{FF2B5EF4-FFF2-40B4-BE49-F238E27FC236}">
                    <a16:creationId xmlns:a16="http://schemas.microsoft.com/office/drawing/2014/main" id="{00000000-0008-0000-0400-000005000000}"/>
                  </a:ext>
                </a:extLst>
              </xdr:cNvPr>
              <xdr:cNvGrpSpPr/>
            </xdr:nvGrpSpPr>
            <xdr:grpSpPr>
              <a:xfrm>
                <a:off x="853440" y="4343400"/>
                <a:ext cx="1676400" cy="281940"/>
                <a:chOff x="853440" y="4343400"/>
                <a:chExt cx="1676400" cy="281940"/>
              </a:xfrm>
            </xdr:grpSpPr>
            <xdr:sp macro="" textlink="">
              <xdr:nvSpPr>
                <xdr:cNvPr id="3101" name="Check Box 29" hidden="1">
                  <a:extLst>
                    <a:ext uri="{63B3BB69-23CF-44E3-9099-C40C66FF867C}">
                      <a14:compatExt spid="_x0000_s3101"/>
                    </a:ext>
                    <a:ext uri="{FF2B5EF4-FFF2-40B4-BE49-F238E27FC236}">
                      <a16:creationId xmlns:a16="http://schemas.microsoft.com/office/drawing/2014/main" id="{00000000-0008-0000-0400-00001D0C0000}"/>
                    </a:ext>
                  </a:extLst>
                </xdr:cNvPr>
                <xdr:cNvSpPr/>
              </xdr:nvSpPr>
              <xdr:spPr bwMode="auto">
                <a:xfrm>
                  <a:off x="853440" y="4343400"/>
                  <a:ext cx="65532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確認防撞</a:t>
                  </a:r>
                </a:p>
              </xdr:txBody>
            </xdr:sp>
            <xdr:sp macro="" textlink="">
              <xdr:nvSpPr>
                <xdr:cNvPr id="3102" name="Check Box 30" hidden="1">
                  <a:extLst>
                    <a:ext uri="{63B3BB69-23CF-44E3-9099-C40C66FF867C}">
                      <a14:compatExt spid="_x0000_s3102"/>
                    </a:ext>
                    <a:ext uri="{FF2B5EF4-FFF2-40B4-BE49-F238E27FC236}">
                      <a16:creationId xmlns:a16="http://schemas.microsoft.com/office/drawing/2014/main" id="{00000000-0008-0000-0400-00001E0C0000}"/>
                    </a:ext>
                  </a:extLst>
                </xdr:cNvPr>
                <xdr:cNvSpPr/>
              </xdr:nvSpPr>
              <xdr:spPr bwMode="auto">
                <a:xfrm>
                  <a:off x="1882140" y="4343400"/>
                  <a:ext cx="6477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泡殼</a:t>
                  </a:r>
                </a:p>
              </xdr:txBody>
            </xdr:sp>
          </xdr:grpSp>
          <xdr:grpSp>
            <xdr:nvGrpSpPr>
              <xdr:cNvPr id="6" name="群組 5">
                <a:extLst>
                  <a:ext uri="{FF2B5EF4-FFF2-40B4-BE49-F238E27FC236}">
                    <a16:creationId xmlns:a16="http://schemas.microsoft.com/office/drawing/2014/main" id="{00000000-0008-0000-0400-000006000000}"/>
                  </a:ext>
                </a:extLst>
              </xdr:cNvPr>
              <xdr:cNvGrpSpPr/>
            </xdr:nvGrpSpPr>
            <xdr:grpSpPr>
              <a:xfrm>
                <a:off x="4251939" y="4343400"/>
                <a:ext cx="2049831" cy="289560"/>
                <a:chOff x="4251939" y="4343400"/>
                <a:chExt cx="2049831" cy="289560"/>
              </a:xfrm>
            </xdr:grpSpPr>
            <xdr:sp macro="" textlink="">
              <xdr:nvSpPr>
                <xdr:cNvPr id="3103" name="Check Box 31" hidden="1">
                  <a:extLst>
                    <a:ext uri="{63B3BB69-23CF-44E3-9099-C40C66FF867C}">
                      <a14:compatExt spid="_x0000_s3103"/>
                    </a:ext>
                    <a:ext uri="{FF2B5EF4-FFF2-40B4-BE49-F238E27FC236}">
                      <a16:creationId xmlns:a16="http://schemas.microsoft.com/office/drawing/2014/main" id="{00000000-0008-0000-0400-00001F0C0000}"/>
                    </a:ext>
                  </a:extLst>
                </xdr:cNvPr>
                <xdr:cNvSpPr/>
              </xdr:nvSpPr>
              <xdr:spPr bwMode="auto">
                <a:xfrm>
                  <a:off x="4251939" y="4351020"/>
                  <a:ext cx="79248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隔板</a:t>
                  </a:r>
                </a:p>
              </xdr:txBody>
            </xdr:sp>
            <xdr:sp macro="" textlink="">
              <xdr:nvSpPr>
                <xdr:cNvPr id="3104" name="Check Box 32" hidden="1">
                  <a:extLst>
                    <a:ext uri="{63B3BB69-23CF-44E3-9099-C40C66FF867C}">
                      <a14:compatExt spid="_x0000_s3104"/>
                    </a:ext>
                    <a:ext uri="{FF2B5EF4-FFF2-40B4-BE49-F238E27FC236}">
                      <a16:creationId xmlns:a16="http://schemas.microsoft.com/office/drawing/2014/main" id="{00000000-0008-0000-0400-0000200C0000}"/>
                    </a:ext>
                  </a:extLst>
                </xdr:cNvPr>
                <xdr:cNvSpPr/>
              </xdr:nvSpPr>
              <xdr:spPr bwMode="auto">
                <a:xfrm>
                  <a:off x="4846320" y="4351020"/>
                  <a:ext cx="69342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氣泡紙</a:t>
                  </a:r>
                </a:p>
              </xdr:txBody>
            </xdr:sp>
            <xdr:sp macro="" textlink="">
              <xdr:nvSpPr>
                <xdr:cNvPr id="3107" name="Check Box 35" hidden="1">
                  <a:extLst>
                    <a:ext uri="{63B3BB69-23CF-44E3-9099-C40C66FF867C}">
                      <a14:compatExt spid="_x0000_s3107"/>
                    </a:ext>
                    <a:ext uri="{FF2B5EF4-FFF2-40B4-BE49-F238E27FC236}">
                      <a16:creationId xmlns:a16="http://schemas.microsoft.com/office/drawing/2014/main" id="{00000000-0008-0000-0400-0000230C0000}"/>
                    </a:ext>
                  </a:extLst>
                </xdr:cNvPr>
                <xdr:cNvSpPr/>
              </xdr:nvSpPr>
              <xdr:spPr bwMode="auto">
                <a:xfrm>
                  <a:off x="5600730" y="4343400"/>
                  <a:ext cx="701040" cy="28188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報紙</a:t>
                  </a:r>
                </a:p>
              </xdr:txBody>
            </xdr:sp>
          </xdr:grpSp>
          <xdr:sp macro="" textlink="">
            <xdr:nvSpPr>
              <xdr:cNvPr id="3109" name="Check Box 37" hidden="1">
                <a:extLst>
                  <a:ext uri="{63B3BB69-23CF-44E3-9099-C40C66FF867C}">
                    <a14:compatExt spid="_x0000_s3109"/>
                  </a:ext>
                  <a:ext uri="{FF2B5EF4-FFF2-40B4-BE49-F238E27FC236}">
                    <a16:creationId xmlns:a16="http://schemas.microsoft.com/office/drawing/2014/main" id="{00000000-0008-0000-0400-0000250C0000}"/>
                  </a:ext>
                </a:extLst>
              </xdr:cNvPr>
              <xdr:cNvSpPr/>
            </xdr:nvSpPr>
            <xdr:spPr bwMode="auto">
              <a:xfrm>
                <a:off x="7818120" y="4351020"/>
                <a:ext cx="58674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其他：</a:t>
                </a:r>
              </a:p>
            </xdr:txBody>
          </xdr:sp>
          <xdr:grpSp>
            <xdr:nvGrpSpPr>
              <xdr:cNvPr id="4" name="群組 3">
                <a:extLst>
                  <a:ext uri="{FF2B5EF4-FFF2-40B4-BE49-F238E27FC236}">
                    <a16:creationId xmlns:a16="http://schemas.microsoft.com/office/drawing/2014/main" id="{00000000-0008-0000-0400-000004000000}"/>
                  </a:ext>
                </a:extLst>
              </xdr:cNvPr>
              <xdr:cNvGrpSpPr/>
            </xdr:nvGrpSpPr>
            <xdr:grpSpPr>
              <a:xfrm>
                <a:off x="5638800" y="1676400"/>
                <a:ext cx="2514600" cy="1600200"/>
                <a:chOff x="5638800" y="1676400"/>
                <a:chExt cx="2514600" cy="1600200"/>
              </a:xfrm>
            </xdr:grpSpPr>
            <xdr:grpSp>
              <xdr:nvGrpSpPr>
                <xdr:cNvPr id="3" name="群組 2">
                  <a:extLst>
                    <a:ext uri="{FF2B5EF4-FFF2-40B4-BE49-F238E27FC236}">
                      <a16:creationId xmlns:a16="http://schemas.microsoft.com/office/drawing/2014/main" id="{00000000-0008-0000-0400-000003000000}"/>
                    </a:ext>
                  </a:extLst>
                </xdr:cNvPr>
                <xdr:cNvGrpSpPr/>
              </xdr:nvGrpSpPr>
              <xdr:grpSpPr>
                <a:xfrm>
                  <a:off x="5638800" y="1676400"/>
                  <a:ext cx="2514568" cy="289560"/>
                  <a:chOff x="5638800" y="1676400"/>
                  <a:chExt cx="2514568" cy="289560"/>
                </a:xfrm>
              </xdr:grpSpPr>
              <xdr:sp macro="" textlink="">
                <xdr:nvSpPr>
                  <xdr:cNvPr id="3110" name="Check Box 38" hidden="1">
                    <a:extLst>
                      <a:ext uri="{63B3BB69-23CF-44E3-9099-C40C66FF867C}">
                        <a14:compatExt spid="_x0000_s3110"/>
                      </a:ext>
                      <a:ext uri="{FF2B5EF4-FFF2-40B4-BE49-F238E27FC236}">
                        <a16:creationId xmlns:a16="http://schemas.microsoft.com/office/drawing/2014/main" id="{00000000-0008-0000-0400-0000260C0000}"/>
                      </a:ext>
                    </a:extLst>
                  </xdr:cNvPr>
                  <xdr:cNvSpPr/>
                </xdr:nvSpPr>
                <xdr:spPr bwMode="auto">
                  <a:xfrm>
                    <a:off x="5638800" y="1676400"/>
                    <a:ext cx="746760" cy="2819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36576" tIns="32004" rIns="0" bIns="32004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12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無生銹</a:t>
                    </a:r>
                  </a:p>
                </xdr:txBody>
              </xdr:sp>
              <xdr:sp macro="" textlink="">
                <xdr:nvSpPr>
                  <xdr:cNvPr id="3111" name="Check Box 39" hidden="1">
                    <a:extLst>
                      <a:ext uri="{63B3BB69-23CF-44E3-9099-C40C66FF867C}">
                        <a14:compatExt spid="_x0000_s3111"/>
                      </a:ext>
                      <a:ext uri="{FF2B5EF4-FFF2-40B4-BE49-F238E27FC236}">
                        <a16:creationId xmlns:a16="http://schemas.microsoft.com/office/drawing/2014/main" id="{00000000-0008-0000-0400-0000270C0000}"/>
                      </a:ext>
                    </a:extLst>
                  </xdr:cNvPr>
                  <xdr:cNvSpPr/>
                </xdr:nvSpPr>
                <xdr:spPr bwMode="auto">
                  <a:xfrm>
                    <a:off x="6438900" y="1684020"/>
                    <a:ext cx="883920" cy="2819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36576" tIns="32004" rIns="0" bIns="32004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12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生銹已除銹</a:t>
                    </a:r>
                  </a:p>
                </xdr:txBody>
              </xdr:sp>
              <xdr:sp macro="" textlink="">
                <xdr:nvSpPr>
                  <xdr:cNvPr id="3112" name="Check Box 40" hidden="1">
                    <a:extLst>
                      <a:ext uri="{63B3BB69-23CF-44E3-9099-C40C66FF867C}">
                        <a14:compatExt spid="_x0000_s3112"/>
                      </a:ext>
                      <a:ext uri="{FF2B5EF4-FFF2-40B4-BE49-F238E27FC236}">
                        <a16:creationId xmlns:a16="http://schemas.microsoft.com/office/drawing/2014/main" id="{00000000-0008-0000-0400-0000280C0000}"/>
                      </a:ext>
                    </a:extLst>
                  </xdr:cNvPr>
                  <xdr:cNvSpPr/>
                </xdr:nvSpPr>
                <xdr:spPr bwMode="auto">
                  <a:xfrm>
                    <a:off x="7566660" y="1684020"/>
                    <a:ext cx="586708" cy="2819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36576" tIns="32004" rIns="0" bIns="32004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12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其他：</a:t>
                    </a:r>
                  </a:p>
                </xdr:txBody>
              </xdr:sp>
            </xdr:grpSp>
            <xdr:sp macro="" textlink="">
              <xdr:nvSpPr>
                <xdr:cNvPr id="3113" name="Check Box 41" hidden="1">
                  <a:extLst>
                    <a:ext uri="{63B3BB69-23CF-44E3-9099-C40C66FF867C}">
                      <a14:compatExt spid="_x0000_s3113"/>
                    </a:ext>
                    <a:ext uri="{FF2B5EF4-FFF2-40B4-BE49-F238E27FC236}">
                      <a16:creationId xmlns:a16="http://schemas.microsoft.com/office/drawing/2014/main" id="{00000000-0008-0000-0400-0000290C0000}"/>
                    </a:ext>
                  </a:extLst>
                </xdr:cNvPr>
                <xdr:cNvSpPr/>
              </xdr:nvSpPr>
              <xdr:spPr bwMode="auto">
                <a:xfrm>
                  <a:off x="5638800" y="2004060"/>
                  <a:ext cx="7467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無碰撞傷</a:t>
                  </a:r>
                </a:p>
              </xdr:txBody>
            </xdr:sp>
            <xdr:sp macro="" textlink="">
              <xdr:nvSpPr>
                <xdr:cNvPr id="3114" name="Check Box 42" hidden="1">
                  <a:extLst>
                    <a:ext uri="{63B3BB69-23CF-44E3-9099-C40C66FF867C}">
                      <a14:compatExt spid="_x0000_s3114"/>
                    </a:ext>
                    <a:ext uri="{FF2B5EF4-FFF2-40B4-BE49-F238E27FC236}">
                      <a16:creationId xmlns:a16="http://schemas.microsoft.com/office/drawing/2014/main" id="{00000000-0008-0000-0400-00002A0C0000}"/>
                    </a:ext>
                  </a:extLst>
                </xdr:cNvPr>
                <xdr:cNvSpPr/>
              </xdr:nvSpPr>
              <xdr:spPr bwMode="auto">
                <a:xfrm>
                  <a:off x="6438900" y="2011680"/>
                  <a:ext cx="10896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碰撞傷已整修</a:t>
                  </a:r>
                </a:p>
              </xdr:txBody>
            </xdr:sp>
            <xdr:sp macro="" textlink="">
              <xdr:nvSpPr>
                <xdr:cNvPr id="3115" name="Check Box 43" hidden="1">
                  <a:extLst>
                    <a:ext uri="{63B3BB69-23CF-44E3-9099-C40C66FF867C}">
                      <a14:compatExt spid="_x0000_s3115"/>
                    </a:ext>
                    <a:ext uri="{FF2B5EF4-FFF2-40B4-BE49-F238E27FC236}">
                      <a16:creationId xmlns:a16="http://schemas.microsoft.com/office/drawing/2014/main" id="{00000000-0008-0000-0400-00002B0C0000}"/>
                    </a:ext>
                  </a:extLst>
                </xdr:cNvPr>
                <xdr:cNvSpPr/>
              </xdr:nvSpPr>
              <xdr:spPr bwMode="auto">
                <a:xfrm>
                  <a:off x="7566660" y="201168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  <xdr:sp macro="" textlink="">
              <xdr:nvSpPr>
                <xdr:cNvPr id="3116" name="Check Box 44" hidden="1">
                  <a:extLst>
                    <a:ext uri="{63B3BB69-23CF-44E3-9099-C40C66FF867C}">
                      <a14:compatExt spid="_x0000_s3116"/>
                    </a:ext>
                    <a:ext uri="{FF2B5EF4-FFF2-40B4-BE49-F238E27FC236}">
                      <a16:creationId xmlns:a16="http://schemas.microsoft.com/office/drawing/2014/main" id="{00000000-0008-0000-0400-00002C0C0000}"/>
                    </a:ext>
                  </a:extLst>
                </xdr:cNvPr>
                <xdr:cNvSpPr/>
              </xdr:nvSpPr>
              <xdr:spPr bwMode="auto">
                <a:xfrm>
                  <a:off x="5638800" y="2331720"/>
                  <a:ext cx="7467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無黑皮</a:t>
                  </a:r>
                </a:p>
              </xdr:txBody>
            </xdr:sp>
            <xdr:sp macro="" textlink="">
              <xdr:nvSpPr>
                <xdr:cNvPr id="3117" name="Check Box 45" hidden="1">
                  <a:extLst>
                    <a:ext uri="{63B3BB69-23CF-44E3-9099-C40C66FF867C}">
                      <a14:compatExt spid="_x0000_s3117"/>
                    </a:ext>
                    <a:ext uri="{FF2B5EF4-FFF2-40B4-BE49-F238E27FC236}">
                      <a16:creationId xmlns:a16="http://schemas.microsoft.com/office/drawing/2014/main" id="{00000000-0008-0000-0400-00002D0C0000}"/>
                    </a:ext>
                  </a:extLst>
                </xdr:cNvPr>
                <xdr:cNvSpPr/>
              </xdr:nvSpPr>
              <xdr:spPr bwMode="auto">
                <a:xfrm>
                  <a:off x="6438900" y="2339340"/>
                  <a:ext cx="8915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黑皮已整修</a:t>
                  </a:r>
                </a:p>
              </xdr:txBody>
            </xdr:sp>
            <xdr:sp macro="" textlink="">
              <xdr:nvSpPr>
                <xdr:cNvPr id="3118" name="Check Box 46" hidden="1">
                  <a:extLst>
                    <a:ext uri="{63B3BB69-23CF-44E3-9099-C40C66FF867C}">
                      <a14:compatExt spid="_x0000_s3118"/>
                    </a:ext>
                    <a:ext uri="{FF2B5EF4-FFF2-40B4-BE49-F238E27FC236}">
                      <a16:creationId xmlns:a16="http://schemas.microsoft.com/office/drawing/2014/main" id="{00000000-0008-0000-0400-00002E0C0000}"/>
                    </a:ext>
                  </a:extLst>
                </xdr:cNvPr>
                <xdr:cNvSpPr/>
              </xdr:nvSpPr>
              <xdr:spPr bwMode="auto">
                <a:xfrm>
                  <a:off x="7566660" y="233934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  <xdr:sp macro="" textlink="">
              <xdr:nvSpPr>
                <xdr:cNvPr id="3119" name="Check Box 47" hidden="1">
                  <a:extLst>
                    <a:ext uri="{63B3BB69-23CF-44E3-9099-C40C66FF867C}">
                      <a14:compatExt spid="_x0000_s3119"/>
                    </a:ext>
                    <a:ext uri="{FF2B5EF4-FFF2-40B4-BE49-F238E27FC236}">
                      <a16:creationId xmlns:a16="http://schemas.microsoft.com/office/drawing/2014/main" id="{00000000-0008-0000-0400-00002F0C0000}"/>
                    </a:ext>
                  </a:extLst>
                </xdr:cNvPr>
                <xdr:cNvSpPr/>
              </xdr:nvSpPr>
              <xdr:spPr bwMode="auto">
                <a:xfrm>
                  <a:off x="5638800" y="2659380"/>
                  <a:ext cx="7467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無毛邊</a:t>
                  </a:r>
                </a:p>
              </xdr:txBody>
            </xdr:sp>
            <xdr:sp macro="" textlink="">
              <xdr:nvSpPr>
                <xdr:cNvPr id="3120" name="Check Box 48" hidden="1">
                  <a:extLst>
                    <a:ext uri="{63B3BB69-23CF-44E3-9099-C40C66FF867C}">
                      <a14:compatExt spid="_x0000_s3120"/>
                    </a:ext>
                    <a:ext uri="{FF2B5EF4-FFF2-40B4-BE49-F238E27FC236}">
                      <a16:creationId xmlns:a16="http://schemas.microsoft.com/office/drawing/2014/main" id="{00000000-0008-0000-0400-0000300C0000}"/>
                    </a:ext>
                  </a:extLst>
                </xdr:cNvPr>
                <xdr:cNvSpPr/>
              </xdr:nvSpPr>
              <xdr:spPr bwMode="auto">
                <a:xfrm>
                  <a:off x="6438900" y="2667000"/>
                  <a:ext cx="8915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毛邊已整修</a:t>
                  </a:r>
                </a:p>
              </xdr:txBody>
            </xdr:sp>
            <xdr:sp macro="" textlink="">
              <xdr:nvSpPr>
                <xdr:cNvPr id="3121" name="Check Box 49" hidden="1">
                  <a:extLst>
                    <a:ext uri="{63B3BB69-23CF-44E3-9099-C40C66FF867C}">
                      <a14:compatExt spid="_x0000_s3121"/>
                    </a:ext>
                    <a:ext uri="{FF2B5EF4-FFF2-40B4-BE49-F238E27FC236}">
                      <a16:creationId xmlns:a16="http://schemas.microsoft.com/office/drawing/2014/main" id="{00000000-0008-0000-0400-0000310C0000}"/>
                    </a:ext>
                  </a:extLst>
                </xdr:cNvPr>
                <xdr:cNvSpPr/>
              </xdr:nvSpPr>
              <xdr:spPr bwMode="auto">
                <a:xfrm>
                  <a:off x="7566660" y="266700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  <xdr:sp macro="" textlink="">
              <xdr:nvSpPr>
                <xdr:cNvPr id="3122" name="Check Box 50" hidden="1">
                  <a:extLst>
                    <a:ext uri="{63B3BB69-23CF-44E3-9099-C40C66FF867C}">
                      <a14:compatExt spid="_x0000_s3122"/>
                    </a:ext>
                    <a:ext uri="{FF2B5EF4-FFF2-40B4-BE49-F238E27FC236}">
                      <a16:creationId xmlns:a16="http://schemas.microsoft.com/office/drawing/2014/main" id="{00000000-0008-0000-0400-0000320C0000}"/>
                    </a:ext>
                  </a:extLst>
                </xdr:cNvPr>
                <xdr:cNvSpPr/>
              </xdr:nvSpPr>
              <xdr:spPr bwMode="auto">
                <a:xfrm>
                  <a:off x="5638800" y="2987040"/>
                  <a:ext cx="7467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不需雷刻</a:t>
                  </a:r>
                </a:p>
              </xdr:txBody>
            </xdr:sp>
            <xdr:sp macro="" textlink="">
              <xdr:nvSpPr>
                <xdr:cNvPr id="3123" name="Check Box 51" hidden="1">
                  <a:extLst>
                    <a:ext uri="{63B3BB69-23CF-44E3-9099-C40C66FF867C}">
                      <a14:compatExt spid="_x0000_s3123"/>
                    </a:ext>
                    <a:ext uri="{FF2B5EF4-FFF2-40B4-BE49-F238E27FC236}">
                      <a16:creationId xmlns:a16="http://schemas.microsoft.com/office/drawing/2014/main" id="{00000000-0008-0000-0400-0000330C0000}"/>
                    </a:ext>
                  </a:extLst>
                </xdr:cNvPr>
                <xdr:cNvSpPr/>
              </xdr:nvSpPr>
              <xdr:spPr bwMode="auto">
                <a:xfrm>
                  <a:off x="6438900" y="2994660"/>
                  <a:ext cx="8915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雷刻正確</a:t>
                  </a:r>
                </a:p>
              </xdr:txBody>
            </xdr:sp>
            <xdr:sp macro="" textlink="">
              <xdr:nvSpPr>
                <xdr:cNvPr id="3124" name="Check Box 52" hidden="1">
                  <a:extLst>
                    <a:ext uri="{63B3BB69-23CF-44E3-9099-C40C66FF867C}">
                      <a14:compatExt spid="_x0000_s3124"/>
                    </a:ext>
                    <a:ext uri="{FF2B5EF4-FFF2-40B4-BE49-F238E27FC236}">
                      <a16:creationId xmlns:a16="http://schemas.microsoft.com/office/drawing/2014/main" id="{00000000-0008-0000-0400-0000340C0000}"/>
                    </a:ext>
                  </a:extLst>
                </xdr:cNvPr>
                <xdr:cNvSpPr/>
              </xdr:nvSpPr>
              <xdr:spPr bwMode="auto">
                <a:xfrm>
                  <a:off x="7566660" y="299466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已修改</a:t>
                  </a:r>
                </a:p>
              </xdr:txBody>
            </xdr:sp>
          </xdr:grpSp>
        </xdr:grp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487680</xdr:colOff>
          <xdr:row>15</xdr:row>
          <xdr:rowOff>22820</xdr:rowOff>
        </xdr:from>
        <xdr:to>
          <xdr:col>9</xdr:col>
          <xdr:colOff>22853</xdr:colOff>
          <xdr:row>41</xdr:row>
          <xdr:rowOff>53578</xdr:rowOff>
        </xdr:to>
        <xdr:grpSp>
          <xdr:nvGrpSpPr>
            <xdr:cNvPr id="4" name="群組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87680" y="3097324"/>
              <a:ext cx="4007782" cy="4669019"/>
              <a:chOff x="487680" y="3097324"/>
              <a:chExt cx="4007782" cy="4669019"/>
            </a:xfrm>
          </xdr:grpSpPr>
          <xdr:grpSp>
            <xdr:nvGrpSpPr>
              <xdr:cNvPr id="10" name="群組 9">
                <a:extLst>
                  <a:ext uri="{FF2B5EF4-FFF2-40B4-BE49-F238E27FC236}">
                    <a16:creationId xmlns:a16="http://schemas.microsoft.com/office/drawing/2014/main" id="{00000000-0008-0000-0500-00000A000000}"/>
                  </a:ext>
                </a:extLst>
              </xdr:cNvPr>
              <xdr:cNvGrpSpPr/>
            </xdr:nvGrpSpPr>
            <xdr:grpSpPr>
              <a:xfrm>
                <a:off x="618422" y="3097324"/>
                <a:ext cx="3877040" cy="4669019"/>
                <a:chOff x="618423" y="2905168"/>
                <a:chExt cx="3877040" cy="4642514"/>
              </a:xfrm>
            </xdr:grpSpPr>
            <xdr:grpSp>
              <xdr:nvGrpSpPr>
                <xdr:cNvPr id="3" name="群組 2">
                  <a:extLst>
                    <a:ext uri="{FF2B5EF4-FFF2-40B4-BE49-F238E27FC236}">
                      <a16:creationId xmlns:a16="http://schemas.microsoft.com/office/drawing/2014/main" id="{00000000-0008-0000-0500-000003000000}"/>
                    </a:ext>
                  </a:extLst>
                </xdr:cNvPr>
                <xdr:cNvGrpSpPr/>
              </xdr:nvGrpSpPr>
              <xdr:grpSpPr>
                <a:xfrm>
                  <a:off x="1088510" y="3975496"/>
                  <a:ext cx="3307550" cy="223121"/>
                  <a:chOff x="834791" y="1566664"/>
                  <a:chExt cx="2895590" cy="225176"/>
                </a:xfrm>
              </xdr:grpSpPr>
              <xdr:sp macro="" textlink="">
                <xdr:nvSpPr>
                  <xdr:cNvPr id="12296" name="Check Box 8" hidden="1">
                    <a:extLst>
                      <a:ext uri="{63B3BB69-23CF-44E3-9099-C40C66FF867C}">
                        <a14:compatExt spid="_x0000_s12296"/>
                      </a:ext>
                      <a:ext uri="{FF2B5EF4-FFF2-40B4-BE49-F238E27FC236}">
                        <a16:creationId xmlns:a16="http://schemas.microsoft.com/office/drawing/2014/main" id="{00000000-0008-0000-0500-000008300000}"/>
                      </a:ext>
                    </a:extLst>
                  </xdr:cNvPr>
                  <xdr:cNvSpPr/>
                </xdr:nvSpPr>
                <xdr:spPr bwMode="auto">
                  <a:xfrm>
                    <a:off x="834791" y="1566664"/>
                    <a:ext cx="394925" cy="225176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退料</a:t>
                    </a:r>
                  </a:p>
                </xdr:txBody>
              </xdr:sp>
              <xdr:sp macro="" textlink="">
                <xdr:nvSpPr>
                  <xdr:cNvPr id="12297" name="Check Box 9" hidden="1">
                    <a:extLst>
                      <a:ext uri="{63B3BB69-23CF-44E3-9099-C40C66FF867C}">
                        <a14:compatExt spid="_x0000_s12297"/>
                      </a:ext>
                      <a:ext uri="{FF2B5EF4-FFF2-40B4-BE49-F238E27FC236}">
                        <a16:creationId xmlns:a16="http://schemas.microsoft.com/office/drawing/2014/main" id="{00000000-0008-0000-0500-000009300000}"/>
                      </a:ext>
                    </a:extLst>
                  </xdr:cNvPr>
                  <xdr:cNvSpPr/>
                </xdr:nvSpPr>
                <xdr:spPr bwMode="auto">
                  <a:xfrm>
                    <a:off x="1313797" y="1568406"/>
                    <a:ext cx="499238" cy="22019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特採</a:t>
                    </a:r>
                  </a:p>
                </xdr:txBody>
              </xdr:sp>
              <xdr:sp macro="" textlink="">
                <xdr:nvSpPr>
                  <xdr:cNvPr id="12298" name="Check Box 10" hidden="1">
                    <a:extLst>
                      <a:ext uri="{63B3BB69-23CF-44E3-9099-C40C66FF867C}">
                        <a14:compatExt spid="_x0000_s12298"/>
                      </a:ext>
                      <a:ext uri="{FF2B5EF4-FFF2-40B4-BE49-F238E27FC236}">
                        <a16:creationId xmlns:a16="http://schemas.microsoft.com/office/drawing/2014/main" id="{00000000-0008-0000-0500-00000A300000}"/>
                      </a:ext>
                    </a:extLst>
                  </xdr:cNvPr>
                  <xdr:cNvSpPr/>
                </xdr:nvSpPr>
                <xdr:spPr bwMode="auto">
                  <a:xfrm>
                    <a:off x="1814086" y="1568406"/>
                    <a:ext cx="495300" cy="22019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報廢</a:t>
                    </a:r>
                  </a:p>
                </xdr:txBody>
              </xdr:sp>
              <xdr:sp macro="" textlink="">
                <xdr:nvSpPr>
                  <xdr:cNvPr id="12299" name="Check Box 11" hidden="1">
                    <a:extLst>
                      <a:ext uri="{63B3BB69-23CF-44E3-9099-C40C66FF867C}">
                        <a14:compatExt spid="_x0000_s12299"/>
                      </a:ext>
                      <a:ext uri="{FF2B5EF4-FFF2-40B4-BE49-F238E27FC236}">
                        <a16:creationId xmlns:a16="http://schemas.microsoft.com/office/drawing/2014/main" id="{00000000-0008-0000-0500-00000B300000}"/>
                      </a:ext>
                    </a:extLst>
                  </xdr:cNvPr>
                  <xdr:cNvSpPr/>
                </xdr:nvSpPr>
                <xdr:spPr bwMode="auto">
                  <a:xfrm>
                    <a:off x="2320420" y="1568406"/>
                    <a:ext cx="495300" cy="22019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重工</a:t>
                    </a:r>
                  </a:p>
                </xdr:txBody>
              </xdr:sp>
              <xdr:sp macro="" textlink="">
                <xdr:nvSpPr>
                  <xdr:cNvPr id="12300" name="Check Box 12" hidden="1">
                    <a:extLst>
                      <a:ext uri="{63B3BB69-23CF-44E3-9099-C40C66FF867C}">
                        <a14:compatExt spid="_x0000_s12300"/>
                      </a:ext>
                      <a:ext uri="{FF2B5EF4-FFF2-40B4-BE49-F238E27FC236}">
                        <a16:creationId xmlns:a16="http://schemas.microsoft.com/office/drawing/2014/main" id="{00000000-0008-0000-0500-00000C300000}"/>
                      </a:ext>
                    </a:extLst>
                  </xdr:cNvPr>
                  <xdr:cNvSpPr/>
                </xdr:nvSpPr>
                <xdr:spPr bwMode="auto">
                  <a:xfrm>
                    <a:off x="2860123" y="1568406"/>
                    <a:ext cx="870258" cy="22019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轉總經理裁示</a:t>
                    </a:r>
                  </a:p>
                </xdr:txBody>
              </xdr:sp>
            </xdr:grpSp>
            <xdr:grpSp>
              <xdr:nvGrpSpPr>
                <xdr:cNvPr id="9" name="群組 8">
                  <a:extLst>
                    <a:ext uri="{FF2B5EF4-FFF2-40B4-BE49-F238E27FC236}">
                      <a16:creationId xmlns:a16="http://schemas.microsoft.com/office/drawing/2014/main" id="{00000000-0008-0000-0500-000009000000}"/>
                    </a:ext>
                  </a:extLst>
                </xdr:cNvPr>
                <xdr:cNvGrpSpPr/>
              </xdr:nvGrpSpPr>
              <xdr:grpSpPr>
                <a:xfrm>
                  <a:off x="618423" y="7108199"/>
                  <a:ext cx="1307449" cy="439483"/>
                  <a:chOff x="630918" y="6980403"/>
                  <a:chExt cx="1306314" cy="440618"/>
                </a:xfrm>
              </xdr:grpSpPr>
              <xdr:sp macro="" textlink="">
                <xdr:nvSpPr>
                  <xdr:cNvPr id="12308" name="Check Box 20" hidden="1">
                    <a:extLst>
                      <a:ext uri="{63B3BB69-23CF-44E3-9099-C40C66FF867C}">
                        <a14:compatExt spid="_x0000_s12308"/>
                      </a:ext>
                      <a:ext uri="{FF2B5EF4-FFF2-40B4-BE49-F238E27FC236}">
                        <a16:creationId xmlns:a16="http://schemas.microsoft.com/office/drawing/2014/main" id="{00000000-0008-0000-0500-000014300000}"/>
                      </a:ext>
                    </a:extLst>
                  </xdr:cNvPr>
                  <xdr:cNvSpPr/>
                </xdr:nvSpPr>
                <xdr:spPr bwMode="auto">
                  <a:xfrm>
                    <a:off x="631493" y="6983905"/>
                    <a:ext cx="595570" cy="18756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特採</a:t>
                    </a:r>
                  </a:p>
                </xdr:txBody>
              </xdr:sp>
              <xdr:sp macro="" textlink="">
                <xdr:nvSpPr>
                  <xdr:cNvPr id="12309" name="Check Box 21" hidden="1">
                    <a:extLst>
                      <a:ext uri="{63B3BB69-23CF-44E3-9099-C40C66FF867C}">
                        <a14:compatExt spid="_x0000_s12309"/>
                      </a:ext>
                      <a:ext uri="{FF2B5EF4-FFF2-40B4-BE49-F238E27FC236}">
                        <a16:creationId xmlns:a16="http://schemas.microsoft.com/office/drawing/2014/main" id="{00000000-0008-0000-0500-000015300000}"/>
                      </a:ext>
                    </a:extLst>
                  </xdr:cNvPr>
                  <xdr:cNvSpPr/>
                </xdr:nvSpPr>
                <xdr:spPr bwMode="auto">
                  <a:xfrm>
                    <a:off x="630918" y="7229676"/>
                    <a:ext cx="590810" cy="19134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報廢</a:t>
                    </a:r>
                  </a:p>
                </xdr:txBody>
              </xdr:sp>
              <xdr:sp macro="" textlink="">
                <xdr:nvSpPr>
                  <xdr:cNvPr id="12310" name="Check Box 22" hidden="1">
                    <a:extLst>
                      <a:ext uri="{63B3BB69-23CF-44E3-9099-C40C66FF867C}">
                        <a14:compatExt spid="_x0000_s12310"/>
                      </a:ext>
                      <a:ext uri="{FF2B5EF4-FFF2-40B4-BE49-F238E27FC236}">
                        <a16:creationId xmlns:a16="http://schemas.microsoft.com/office/drawing/2014/main" id="{00000000-0008-0000-0500-000016300000}"/>
                      </a:ext>
                    </a:extLst>
                  </xdr:cNvPr>
                  <xdr:cNvSpPr/>
                </xdr:nvSpPr>
                <xdr:spPr bwMode="auto">
                  <a:xfrm>
                    <a:off x="1236864" y="6980403"/>
                    <a:ext cx="590863" cy="19135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重工</a:t>
                    </a:r>
                  </a:p>
                </xdr:txBody>
              </xdr:sp>
              <xdr:sp macro="" textlink="">
                <xdr:nvSpPr>
                  <xdr:cNvPr id="12311" name="Check Box 23" hidden="1">
                    <a:extLst>
                      <a:ext uri="{63B3BB69-23CF-44E3-9099-C40C66FF867C}">
                        <a14:compatExt spid="_x0000_s12311"/>
                      </a:ext>
                      <a:ext uri="{FF2B5EF4-FFF2-40B4-BE49-F238E27FC236}">
                        <a16:creationId xmlns:a16="http://schemas.microsoft.com/office/drawing/2014/main" id="{00000000-0008-0000-0500-000017300000}"/>
                      </a:ext>
                    </a:extLst>
                  </xdr:cNvPr>
                  <xdr:cNvSpPr/>
                </xdr:nvSpPr>
                <xdr:spPr bwMode="auto">
                  <a:xfrm>
                    <a:off x="1241909" y="7227148"/>
                    <a:ext cx="695323" cy="191353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需矯正</a:t>
                    </a:r>
                  </a:p>
                </xdr:txBody>
              </xdr:sp>
            </xdr:grpSp>
            <xdr:grpSp>
              <xdr:nvGrpSpPr>
                <xdr:cNvPr id="12313" name="群組 1">
                  <a:extLst>
                    <a:ext uri="{FF2B5EF4-FFF2-40B4-BE49-F238E27FC236}">
                      <a16:creationId xmlns:a16="http://schemas.microsoft.com/office/drawing/2014/main" id="{00000000-0008-0000-0500-0000193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085352" y="2905168"/>
                  <a:ext cx="3410111" cy="175265"/>
                  <a:chOff x="876827" y="1566782"/>
                  <a:chExt cx="3127609" cy="225192"/>
                </a:xfrm>
              </xdr:grpSpPr>
              <xdr:sp macro="" textlink="">
                <xdr:nvSpPr>
                  <xdr:cNvPr id="12314" name="Check Box 26" hidden="1">
                    <a:extLst>
                      <a:ext uri="{63B3BB69-23CF-44E3-9099-C40C66FF867C}">
                        <a14:compatExt spid="_x0000_s12314"/>
                      </a:ext>
                      <a:ext uri="{FF2B5EF4-FFF2-40B4-BE49-F238E27FC236}">
                        <a16:creationId xmlns:a16="http://schemas.microsoft.com/office/drawing/2014/main" id="{00000000-0008-0000-0500-00001A300000}"/>
                      </a:ext>
                    </a:extLst>
                  </xdr:cNvPr>
                  <xdr:cNvSpPr/>
                </xdr:nvSpPr>
                <xdr:spPr bwMode="auto">
                  <a:xfrm>
                    <a:off x="876827" y="1566782"/>
                    <a:ext cx="394925" cy="22519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人</a:t>
                    </a:r>
                  </a:p>
                </xdr:txBody>
              </xdr:sp>
              <xdr:sp macro="" textlink="">
                <xdr:nvSpPr>
                  <xdr:cNvPr id="12315" name="Check Box 27" hidden="1">
                    <a:extLst>
                      <a:ext uri="{63B3BB69-23CF-44E3-9099-C40C66FF867C}">
                        <a14:compatExt spid="_x0000_s12315"/>
                      </a:ext>
                      <a:ext uri="{FF2B5EF4-FFF2-40B4-BE49-F238E27FC236}">
                        <a16:creationId xmlns:a16="http://schemas.microsoft.com/office/drawing/2014/main" id="{00000000-0008-0000-0500-00001B300000}"/>
                      </a:ext>
                    </a:extLst>
                  </xdr:cNvPr>
                  <xdr:cNvSpPr/>
                </xdr:nvSpPr>
                <xdr:spPr bwMode="auto">
                  <a:xfrm>
                    <a:off x="1313797" y="1568406"/>
                    <a:ext cx="499238" cy="22019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機器</a:t>
                    </a:r>
                  </a:p>
                </xdr:txBody>
              </xdr:sp>
              <xdr:sp macro="" textlink="">
                <xdr:nvSpPr>
                  <xdr:cNvPr id="12316" name="Check Box 28" hidden="1">
                    <a:extLst>
                      <a:ext uri="{63B3BB69-23CF-44E3-9099-C40C66FF867C}">
                        <a14:compatExt spid="_x0000_s12316"/>
                      </a:ext>
                      <a:ext uri="{FF2B5EF4-FFF2-40B4-BE49-F238E27FC236}">
                        <a16:creationId xmlns:a16="http://schemas.microsoft.com/office/drawing/2014/main" id="{00000000-0008-0000-0500-00001C300000}"/>
                      </a:ext>
                    </a:extLst>
                  </xdr:cNvPr>
                  <xdr:cNvSpPr/>
                </xdr:nvSpPr>
                <xdr:spPr bwMode="auto">
                  <a:xfrm>
                    <a:off x="1814086" y="1568406"/>
                    <a:ext cx="495300" cy="22019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材料</a:t>
                    </a:r>
                  </a:p>
                </xdr:txBody>
              </xdr:sp>
              <xdr:sp macro="" textlink="">
                <xdr:nvSpPr>
                  <xdr:cNvPr id="12317" name="Check Box 29" hidden="1">
                    <a:extLst>
                      <a:ext uri="{63B3BB69-23CF-44E3-9099-C40C66FF867C}">
                        <a14:compatExt spid="_x0000_s12317"/>
                      </a:ext>
                      <a:ext uri="{FF2B5EF4-FFF2-40B4-BE49-F238E27FC236}">
                        <a16:creationId xmlns:a16="http://schemas.microsoft.com/office/drawing/2014/main" id="{00000000-0008-0000-0500-00001D300000}"/>
                      </a:ext>
                    </a:extLst>
                  </xdr:cNvPr>
                  <xdr:cNvSpPr/>
                </xdr:nvSpPr>
                <xdr:spPr bwMode="auto">
                  <a:xfrm>
                    <a:off x="2320420" y="1568406"/>
                    <a:ext cx="495300" cy="22019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方法</a:t>
                    </a:r>
                  </a:p>
                </xdr:txBody>
              </xdr:sp>
              <xdr:sp macro="" textlink="">
                <xdr:nvSpPr>
                  <xdr:cNvPr id="12318" name="Check Box 30" hidden="1">
                    <a:extLst>
                      <a:ext uri="{63B3BB69-23CF-44E3-9099-C40C66FF867C}">
                        <a14:compatExt spid="_x0000_s12318"/>
                      </a:ext>
                      <a:ext uri="{FF2B5EF4-FFF2-40B4-BE49-F238E27FC236}">
                        <a16:creationId xmlns:a16="http://schemas.microsoft.com/office/drawing/2014/main" id="{00000000-0008-0000-0500-00001E300000}"/>
                      </a:ext>
                    </a:extLst>
                  </xdr:cNvPr>
                  <xdr:cNvSpPr/>
                </xdr:nvSpPr>
                <xdr:spPr bwMode="auto">
                  <a:xfrm>
                    <a:off x="2860127" y="1568406"/>
                    <a:ext cx="495300" cy="22019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工具</a:t>
                    </a:r>
                  </a:p>
                </xdr:txBody>
              </xdr:sp>
              <xdr:sp macro="" textlink="">
                <xdr:nvSpPr>
                  <xdr:cNvPr id="12319" name="Check Box 31" hidden="1">
                    <a:extLst>
                      <a:ext uri="{63B3BB69-23CF-44E3-9099-C40C66FF867C}">
                        <a14:compatExt spid="_x0000_s12319"/>
                      </a:ext>
                      <a:ext uri="{FF2B5EF4-FFF2-40B4-BE49-F238E27FC236}">
                        <a16:creationId xmlns:a16="http://schemas.microsoft.com/office/drawing/2014/main" id="{00000000-0008-0000-0500-00001F300000}"/>
                      </a:ext>
                    </a:extLst>
                  </xdr:cNvPr>
                  <xdr:cNvSpPr/>
                </xdr:nvSpPr>
                <xdr:spPr bwMode="auto">
                  <a:xfrm>
                    <a:off x="3404033" y="1568406"/>
                    <a:ext cx="600403" cy="22019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其他：</a:t>
                    </a:r>
                  </a:p>
                </xdr:txBody>
              </xdr:sp>
            </xdr:grpSp>
          </xdr:grpSp>
          <xdr:grpSp>
            <xdr:nvGrpSpPr>
              <xdr:cNvPr id="2" name="群組 1">
                <a:extLst>
                  <a:ext uri="{FF2B5EF4-FFF2-40B4-BE49-F238E27FC236}">
                    <a16:creationId xmlns:a16="http://schemas.microsoft.com/office/drawing/2014/main" id="{00000000-0008-0000-0500-000002000000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487680" y="5247861"/>
                <a:ext cx="1507766" cy="1616765"/>
                <a:chOff x="487680" y="5247861"/>
                <a:chExt cx="1507766" cy="1616765"/>
              </a:xfrm>
            </xdr:grpSpPr>
            <xdr:sp macro="" textlink="">
              <xdr:nvSpPr>
                <xdr:cNvPr id="12321" name="Check Box 33" hidden="1">
                  <a:extLst>
                    <a:ext uri="{63B3BB69-23CF-44E3-9099-C40C66FF867C}">
                      <a14:compatExt spid="_x0000_s12321"/>
                    </a:ext>
                    <a:ext uri="{FF2B5EF4-FFF2-40B4-BE49-F238E27FC236}">
                      <a16:creationId xmlns:a16="http://schemas.microsoft.com/office/drawing/2014/main" id="{00000000-0008-0000-0500-000021300000}"/>
                    </a:ext>
                  </a:extLst>
                </xdr:cNvPr>
                <xdr:cNvSpPr/>
              </xdr:nvSpPr>
              <xdr:spPr bwMode="auto">
                <a:xfrm>
                  <a:off x="496957" y="5247861"/>
                  <a:ext cx="1498489" cy="17526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發生單位(僅廠內需填)</a:t>
                  </a:r>
                </a:p>
              </xdr:txBody>
            </xdr:sp>
            <xdr:sp macro="" textlink="">
              <xdr:nvSpPr>
                <xdr:cNvPr id="12322" name="Check Box 34" hidden="1">
                  <a:extLst>
                    <a:ext uri="{63B3BB69-23CF-44E3-9099-C40C66FF867C}">
                      <a14:compatExt spid="_x0000_s12322"/>
                    </a:ext>
                    <a:ext uri="{FF2B5EF4-FFF2-40B4-BE49-F238E27FC236}">
                      <a16:creationId xmlns:a16="http://schemas.microsoft.com/office/drawing/2014/main" id="{00000000-0008-0000-0500-000022300000}"/>
                    </a:ext>
                  </a:extLst>
                </xdr:cNvPr>
                <xdr:cNvSpPr/>
              </xdr:nvSpPr>
              <xdr:spPr bwMode="auto">
                <a:xfrm>
                  <a:off x="487680" y="5608651"/>
                  <a:ext cx="1500146" cy="17791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生管/採購</a:t>
                  </a:r>
                </a:p>
              </xdr:txBody>
            </xdr:sp>
            <xdr:sp macro="" textlink="">
              <xdr:nvSpPr>
                <xdr:cNvPr id="12323" name="Check Box 35" hidden="1">
                  <a:extLst>
                    <a:ext uri="{63B3BB69-23CF-44E3-9099-C40C66FF867C}">
                      <a14:compatExt spid="_x0000_s12323"/>
                    </a:ext>
                    <a:ext uri="{FF2B5EF4-FFF2-40B4-BE49-F238E27FC236}">
                      <a16:creationId xmlns:a16="http://schemas.microsoft.com/office/drawing/2014/main" id="{00000000-0008-0000-0500-000023300000}"/>
                    </a:ext>
                  </a:extLst>
                </xdr:cNvPr>
                <xdr:cNvSpPr/>
              </xdr:nvSpPr>
              <xdr:spPr bwMode="auto">
                <a:xfrm>
                  <a:off x="487680" y="5976730"/>
                  <a:ext cx="1500146" cy="17227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品保</a:t>
                  </a:r>
                </a:p>
              </xdr:txBody>
            </xdr:sp>
            <xdr:sp macro="" textlink="">
              <xdr:nvSpPr>
                <xdr:cNvPr id="12324" name="Check Box 36" hidden="1">
                  <a:extLst>
                    <a:ext uri="{63B3BB69-23CF-44E3-9099-C40C66FF867C}">
                      <a14:compatExt spid="_x0000_s12324"/>
                    </a:ext>
                    <a:ext uri="{FF2B5EF4-FFF2-40B4-BE49-F238E27FC236}">
                      <a16:creationId xmlns:a16="http://schemas.microsoft.com/office/drawing/2014/main" id="{00000000-0008-0000-0500-000024300000}"/>
                    </a:ext>
                  </a:extLst>
                </xdr:cNvPr>
                <xdr:cNvSpPr/>
              </xdr:nvSpPr>
              <xdr:spPr bwMode="auto">
                <a:xfrm>
                  <a:off x="487680" y="6334539"/>
                  <a:ext cx="1500146" cy="17227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技術</a:t>
                  </a:r>
                </a:p>
              </xdr:txBody>
            </xdr:sp>
            <xdr:sp macro="" textlink="">
              <xdr:nvSpPr>
                <xdr:cNvPr id="12325" name="Check Box 37" hidden="1">
                  <a:extLst>
                    <a:ext uri="{63B3BB69-23CF-44E3-9099-C40C66FF867C}">
                      <a14:compatExt spid="_x0000_s12325"/>
                    </a:ext>
                    <a:ext uri="{FF2B5EF4-FFF2-40B4-BE49-F238E27FC236}">
                      <a16:creationId xmlns:a16="http://schemas.microsoft.com/office/drawing/2014/main" id="{00000000-0008-0000-0500-000025300000}"/>
                    </a:ext>
                  </a:extLst>
                </xdr:cNvPr>
                <xdr:cNvSpPr/>
              </xdr:nvSpPr>
              <xdr:spPr bwMode="auto">
                <a:xfrm>
                  <a:off x="487680" y="6692348"/>
                  <a:ext cx="1500146" cy="17227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業務</a:t>
                  </a:r>
                </a:p>
              </xdr:txBody>
            </xdr:sp>
          </xdr:grpSp>
        </xdr:grp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68580</xdr:rowOff>
        </xdr:from>
        <xdr:to>
          <xdr:col>4</xdr:col>
          <xdr:colOff>7620</xdr:colOff>
          <xdr:row>6</xdr:row>
          <xdr:rowOff>160020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外箱列印(上銀專用)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3</xdr:row>
          <xdr:rowOff>22860</xdr:rowOff>
        </xdr:from>
        <xdr:to>
          <xdr:col>14</xdr:col>
          <xdr:colOff>68580</xdr:colOff>
          <xdr:row>4</xdr:row>
          <xdr:rowOff>160020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外包裝列印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2</xdr:col>
      <xdr:colOff>243840</xdr:colOff>
      <xdr:row>7</xdr:row>
      <xdr:rowOff>7620</xdr:rowOff>
    </xdr:from>
    <xdr:ext cx="2857500" cy="2141220"/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4140" y="1699260"/>
          <a:ext cx="2857500" cy="2141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14</xdr:col>
          <xdr:colOff>388620</xdr:colOff>
          <xdr:row>16</xdr:row>
          <xdr:rowOff>182880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6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品管列印吊卡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18</xdr:row>
          <xdr:rowOff>243840</xdr:rowOff>
        </xdr:from>
        <xdr:to>
          <xdr:col>1</xdr:col>
          <xdr:colOff>1150620</xdr:colOff>
          <xdr:row>21</xdr:row>
          <xdr:rowOff>7620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6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顯示 QR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47" Type="http://schemas.openxmlformats.org/officeDocument/2006/relationships/ctrlProp" Target="../ctrlProps/ctrlProp52.x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49" Type="http://schemas.openxmlformats.org/officeDocument/2006/relationships/comments" Target="../comments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48" Type="http://schemas.openxmlformats.org/officeDocument/2006/relationships/ctrlProp" Target="../ctrlProps/ctrlProp53.xml"/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46" Type="http://schemas.openxmlformats.org/officeDocument/2006/relationships/ctrlProp" Target="../ctrlProps/ctrlProp51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18" Type="http://schemas.openxmlformats.org/officeDocument/2006/relationships/ctrlProp" Target="../ctrlProps/ctrlProp68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71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66.xml"/><Relationship Id="rId20" Type="http://schemas.openxmlformats.org/officeDocument/2006/relationships/ctrlProp" Target="../ctrlProps/ctrlProp7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23" Type="http://schemas.openxmlformats.org/officeDocument/2006/relationships/ctrlProp" Target="../ctrlProps/ctrlProp73.xml"/><Relationship Id="rId10" Type="http://schemas.openxmlformats.org/officeDocument/2006/relationships/ctrlProp" Target="../ctrlProps/ctrlProp60.xml"/><Relationship Id="rId19" Type="http://schemas.openxmlformats.org/officeDocument/2006/relationships/ctrlProp" Target="../ctrlProps/ctrlProp69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Relationship Id="rId22" Type="http://schemas.openxmlformats.org/officeDocument/2006/relationships/ctrlProp" Target="../ctrlProps/ctrlProp7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6" tint="0.39997558519241921"/>
    <pageSetUpPr fitToPage="1"/>
  </sheetPr>
  <dimension ref="A1:Y44"/>
  <sheetViews>
    <sheetView tabSelected="1"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O21" sqref="O21:O22"/>
    </sheetView>
  </sheetViews>
  <sheetFormatPr defaultColWidth="9" defaultRowHeight="16.2"/>
  <cols>
    <col min="1" max="2" width="5.6640625" style="1" hidden="1" customWidth="1"/>
    <col min="3" max="3" width="9" style="1" hidden="1" customWidth="1"/>
    <col min="4" max="4" width="4.109375" style="1" customWidth="1"/>
    <col min="5" max="5" width="10.33203125" style="1" customWidth="1"/>
    <col min="6" max="6" width="7.88671875" style="1" customWidth="1"/>
    <col min="7" max="18" width="10.33203125" style="1" customWidth="1"/>
    <col min="19" max="19" width="4.33203125" style="1" customWidth="1"/>
    <col min="20" max="20" width="23.44140625" style="15" customWidth="1"/>
    <col min="21" max="24" width="9" style="1"/>
    <col min="25" max="25" width="17.88671875" style="1" customWidth="1"/>
    <col min="26" max="16384" width="9" style="1"/>
  </cols>
  <sheetData>
    <row r="1" spans="1:25" ht="47.4" customHeight="1" thickBot="1">
      <c r="C1" s="250" t="s">
        <v>16</v>
      </c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T1" s="2" t="s">
        <v>71</v>
      </c>
      <c r="V1" s="268" t="s">
        <v>73</v>
      </c>
      <c r="W1" s="269"/>
      <c r="X1" s="270"/>
      <c r="Y1" s="2" t="s">
        <v>179</v>
      </c>
    </row>
    <row r="2" spans="1:25" ht="21.75" customHeight="1" thickBot="1">
      <c r="C2" s="3"/>
      <c r="D2" s="189" t="s">
        <v>304</v>
      </c>
      <c r="E2" s="190"/>
      <c r="F2" s="191"/>
      <c r="G2" s="192"/>
      <c r="H2" s="192"/>
      <c r="I2" s="193"/>
      <c r="J2" s="3"/>
      <c r="K2" s="4"/>
      <c r="L2" s="3"/>
      <c r="M2" s="3"/>
      <c r="N2" s="3"/>
      <c r="O2" s="3"/>
      <c r="P2" s="4" t="s">
        <v>62</v>
      </c>
      <c r="Q2" s="273"/>
      <c r="R2" s="274"/>
      <c r="T2" s="26" t="s">
        <v>72</v>
      </c>
      <c r="V2" s="5" t="s">
        <v>74</v>
      </c>
      <c r="W2" s="6" t="s">
        <v>75</v>
      </c>
      <c r="X2" s="7" t="s">
        <v>76</v>
      </c>
      <c r="Y2" s="143" t="s">
        <v>171</v>
      </c>
    </row>
    <row r="3" spans="1:25" ht="30.9" customHeight="1">
      <c r="A3" s="8"/>
      <c r="B3" s="9"/>
      <c r="C3" s="9"/>
      <c r="D3" s="229" t="s">
        <v>18</v>
      </c>
      <c r="E3" s="230"/>
      <c r="F3" s="233"/>
      <c r="G3" s="234"/>
      <c r="H3" s="234"/>
      <c r="I3" s="234"/>
      <c r="J3" s="235"/>
      <c r="K3" s="236"/>
      <c r="L3" s="236"/>
      <c r="M3" s="10" t="s">
        <v>63</v>
      </c>
      <c r="N3" s="241" t="s">
        <v>77</v>
      </c>
      <c r="O3" s="203"/>
      <c r="P3" s="203"/>
      <c r="Q3" s="203"/>
      <c r="R3" s="204"/>
      <c r="T3" s="26" t="s">
        <v>170</v>
      </c>
      <c r="V3" s="5">
        <v>1</v>
      </c>
      <c r="W3" s="6">
        <v>15</v>
      </c>
      <c r="X3" s="7">
        <v>2</v>
      </c>
    </row>
    <row r="4" spans="1:25" ht="30.9" customHeight="1" thickBot="1">
      <c r="A4" s="11"/>
      <c r="D4" s="231" t="s">
        <v>80</v>
      </c>
      <c r="E4" s="232"/>
      <c r="F4" s="259"/>
      <c r="G4" s="260"/>
      <c r="H4" s="260"/>
      <c r="I4" s="260"/>
      <c r="J4" s="261"/>
      <c r="K4" s="261"/>
      <c r="L4" s="261"/>
      <c r="M4" s="12" t="s">
        <v>17</v>
      </c>
      <c r="N4" s="239"/>
      <c r="O4" s="240"/>
      <c r="P4" s="13" t="s">
        <v>64</v>
      </c>
      <c r="Q4" s="237" t="str">
        <f>IF($N$4="","",IF($N$4=1,1,IF($N$4&gt;=$V$12,$X$12,IF($N$4&gt;=$V$11,$X$11,IF($N$4&gt;=$V$10,$X$10,IF($N$4&gt;=$V$9,$X$9,IF($N$4&gt;=$V$8,$X$8,IF($N$4&gt;=$V$7,$X$7,IF($N$4&gt;=$V$6,$X$6,IF($N$4&gt;=$V$5,$X$5,IF($N$4&gt;=$V$4,$X$4,IF($N$4&gt;=$V$3,$X$3,$X$12))))))))))))</f>
        <v/>
      </c>
      <c r="R4" s="238"/>
      <c r="T4" s="26"/>
      <c r="V4" s="5">
        <f>W3+1</f>
        <v>16</v>
      </c>
      <c r="W4" s="6">
        <v>25</v>
      </c>
      <c r="X4" s="7">
        <v>3</v>
      </c>
    </row>
    <row r="5" spans="1:25" ht="19.5" customHeight="1">
      <c r="A5" s="11"/>
      <c r="D5" s="212" t="s">
        <v>65</v>
      </c>
      <c r="E5" s="203"/>
      <c r="F5" s="203"/>
      <c r="G5" s="203"/>
      <c r="H5" s="203"/>
      <c r="I5" s="203"/>
      <c r="J5" s="203"/>
      <c r="K5" s="203"/>
      <c r="L5" s="203"/>
      <c r="M5" s="203"/>
      <c r="N5" s="213"/>
      <c r="O5" s="202" t="s">
        <v>177</v>
      </c>
      <c r="P5" s="203"/>
      <c r="Q5" s="203"/>
      <c r="R5" s="204"/>
      <c r="S5" s="14"/>
      <c r="T5" s="26"/>
      <c r="V5" s="5">
        <f t="shared" ref="V5:V12" si="0">W4+1</f>
        <v>26</v>
      </c>
      <c r="W5" s="6">
        <v>50</v>
      </c>
      <c r="X5" s="7">
        <v>5</v>
      </c>
    </row>
    <row r="6" spans="1:25" ht="22.5" customHeight="1" thickBot="1">
      <c r="A6" s="11"/>
      <c r="C6" s="15"/>
      <c r="D6" s="214"/>
      <c r="E6" s="206"/>
      <c r="F6" s="206"/>
      <c r="G6" s="206"/>
      <c r="H6" s="206"/>
      <c r="I6" s="206"/>
      <c r="J6" s="206"/>
      <c r="K6" s="206"/>
      <c r="L6" s="206"/>
      <c r="M6" s="206"/>
      <c r="N6" s="215"/>
      <c r="O6" s="205"/>
      <c r="P6" s="206"/>
      <c r="Q6" s="206"/>
      <c r="R6" s="207"/>
      <c r="T6" s="27"/>
      <c r="V6" s="5">
        <f t="shared" si="0"/>
        <v>51</v>
      </c>
      <c r="W6" s="6">
        <v>90</v>
      </c>
      <c r="X6" s="7">
        <v>8</v>
      </c>
    </row>
    <row r="7" spans="1:25" ht="32.25" customHeight="1">
      <c r="A7" s="11"/>
      <c r="C7" s="15"/>
      <c r="D7" s="216"/>
      <c r="E7" s="208"/>
      <c r="F7" s="208"/>
      <c r="G7" s="208"/>
      <c r="H7" s="208"/>
      <c r="I7" s="208"/>
      <c r="J7" s="208"/>
      <c r="K7" s="208"/>
      <c r="L7" s="208"/>
      <c r="M7" s="208"/>
      <c r="N7" s="217"/>
      <c r="O7" s="208"/>
      <c r="P7" s="208"/>
      <c r="Q7" s="208"/>
      <c r="R7" s="209"/>
      <c r="V7" s="5">
        <f t="shared" si="0"/>
        <v>91</v>
      </c>
      <c r="W7" s="6">
        <v>150</v>
      </c>
      <c r="X7" s="7">
        <v>8</v>
      </c>
    </row>
    <row r="8" spans="1:25" ht="18.75" customHeight="1" thickBot="1">
      <c r="A8" s="11"/>
      <c r="C8" s="15"/>
      <c r="D8" s="218"/>
      <c r="E8" s="210"/>
      <c r="F8" s="210"/>
      <c r="G8" s="210"/>
      <c r="H8" s="210"/>
      <c r="I8" s="210"/>
      <c r="J8" s="210"/>
      <c r="K8" s="210"/>
      <c r="L8" s="210"/>
      <c r="M8" s="210"/>
      <c r="N8" s="219"/>
      <c r="O8" s="210"/>
      <c r="P8" s="210"/>
      <c r="Q8" s="210"/>
      <c r="R8" s="211"/>
      <c r="V8" s="5">
        <f t="shared" si="0"/>
        <v>151</v>
      </c>
      <c r="W8" s="6">
        <v>280</v>
      </c>
      <c r="X8" s="7">
        <v>12</v>
      </c>
    </row>
    <row r="9" spans="1:25" ht="15.6" customHeight="1">
      <c r="A9" s="11"/>
      <c r="C9" s="247"/>
      <c r="D9" s="251" t="s">
        <v>66</v>
      </c>
      <c r="E9" s="252"/>
      <c r="F9" s="253"/>
      <c r="G9" s="242" t="s">
        <v>67</v>
      </c>
      <c r="H9" s="242"/>
      <c r="I9" s="242"/>
      <c r="J9" s="242"/>
      <c r="K9" s="242"/>
      <c r="L9" s="242"/>
      <c r="M9" s="242"/>
      <c r="N9" s="242"/>
      <c r="O9" s="242"/>
      <c r="P9" s="242"/>
      <c r="Q9" s="242"/>
      <c r="R9" s="243"/>
      <c r="T9" s="271" t="s">
        <v>322</v>
      </c>
      <c r="V9" s="5">
        <f t="shared" si="0"/>
        <v>281</v>
      </c>
      <c r="W9" s="6">
        <v>500</v>
      </c>
      <c r="X9" s="7">
        <v>12</v>
      </c>
    </row>
    <row r="10" spans="1:25" ht="15.6" customHeight="1" thickBot="1">
      <c r="A10" s="11"/>
      <c r="C10" s="247"/>
      <c r="D10" s="254"/>
      <c r="E10" s="255"/>
      <c r="F10" s="25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272"/>
      <c r="V10" s="5">
        <f t="shared" si="0"/>
        <v>501</v>
      </c>
      <c r="W10" s="6">
        <v>1200</v>
      </c>
      <c r="X10" s="7">
        <v>12</v>
      </c>
    </row>
    <row r="11" spans="1:25" ht="27" customHeight="1" thickBot="1">
      <c r="A11" s="248"/>
      <c r="B11" s="17"/>
      <c r="C11" s="247"/>
      <c r="D11" s="257" t="s">
        <v>0</v>
      </c>
      <c r="E11" s="258"/>
      <c r="F11" s="86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77"/>
      <c r="S11" s="263"/>
      <c r="T11" s="179"/>
      <c r="V11" s="5">
        <f t="shared" si="0"/>
        <v>1201</v>
      </c>
      <c r="W11" s="6">
        <v>3200</v>
      </c>
      <c r="X11" s="7">
        <v>12</v>
      </c>
    </row>
    <row r="12" spans="1:25" ht="27" customHeight="1" thickBot="1">
      <c r="A12" s="249"/>
      <c r="B12" s="17"/>
      <c r="C12" s="247"/>
      <c r="D12" s="245"/>
      <c r="E12" s="226"/>
      <c r="F12" s="28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28"/>
      <c r="S12" s="263"/>
      <c r="T12" s="177" t="s">
        <v>321</v>
      </c>
      <c r="V12" s="18">
        <f t="shared" si="0"/>
        <v>3201</v>
      </c>
      <c r="W12" s="19">
        <v>10000</v>
      </c>
      <c r="X12" s="20">
        <v>12</v>
      </c>
    </row>
    <row r="13" spans="1:25" ht="27" customHeight="1" thickBot="1">
      <c r="A13" s="248"/>
      <c r="B13" s="17"/>
      <c r="C13" s="247"/>
      <c r="D13" s="244" t="s">
        <v>1</v>
      </c>
      <c r="E13" s="225"/>
      <c r="F13" s="29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27"/>
      <c r="S13" s="263"/>
      <c r="T13" s="178"/>
    </row>
    <row r="14" spans="1:25" ht="27" customHeight="1">
      <c r="A14" s="249"/>
      <c r="B14" s="17"/>
      <c r="C14" s="247"/>
      <c r="D14" s="245"/>
      <c r="E14" s="226"/>
      <c r="F14" s="28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28"/>
      <c r="S14" s="263"/>
    </row>
    <row r="15" spans="1:25" ht="27" customHeight="1">
      <c r="A15" s="248"/>
      <c r="B15" s="17"/>
      <c r="C15" s="247"/>
      <c r="D15" s="244" t="s">
        <v>2</v>
      </c>
      <c r="E15" s="225"/>
      <c r="F15" s="29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27"/>
      <c r="S15" s="263"/>
      <c r="T15" s="221" t="s">
        <v>103</v>
      </c>
      <c r="U15" s="222"/>
      <c r="V15" s="222"/>
      <c r="W15" s="222"/>
      <c r="X15" s="222"/>
    </row>
    <row r="16" spans="1:25" ht="27" customHeight="1">
      <c r="A16" s="249"/>
      <c r="B16" s="17"/>
      <c r="C16" s="247"/>
      <c r="D16" s="245"/>
      <c r="E16" s="226"/>
      <c r="F16" s="28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201"/>
      <c r="R16" s="228"/>
      <c r="S16" s="263"/>
      <c r="T16" s="222"/>
      <c r="U16" s="222"/>
      <c r="V16" s="222"/>
      <c r="W16" s="222"/>
      <c r="X16" s="222"/>
    </row>
    <row r="17" spans="1:24" ht="27" customHeight="1">
      <c r="A17" s="248"/>
      <c r="B17" s="17"/>
      <c r="C17" s="247"/>
      <c r="D17" s="244" t="s">
        <v>3</v>
      </c>
      <c r="E17" s="225"/>
      <c r="F17" s="29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27"/>
      <c r="S17" s="263"/>
      <c r="T17" s="275" t="str">
        <f>IF(N3="","",N3)</f>
        <v>進料</v>
      </c>
      <c r="U17" s="276"/>
      <c r="V17" s="276"/>
      <c r="W17" s="276"/>
      <c r="X17" s="276"/>
    </row>
    <row r="18" spans="1:24" ht="27" customHeight="1">
      <c r="A18" s="249"/>
      <c r="B18" s="17"/>
      <c r="C18" s="247"/>
      <c r="D18" s="245"/>
      <c r="E18" s="226"/>
      <c r="F18" s="28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28"/>
      <c r="S18" s="263"/>
      <c r="T18" s="276"/>
      <c r="U18" s="276"/>
      <c r="V18" s="276"/>
      <c r="W18" s="276"/>
      <c r="X18" s="276"/>
    </row>
    <row r="19" spans="1:24" ht="27" customHeight="1">
      <c r="A19" s="248"/>
      <c r="B19" s="17"/>
      <c r="C19" s="247"/>
      <c r="D19" s="244" t="s">
        <v>4</v>
      </c>
      <c r="E19" s="225"/>
      <c r="F19" s="29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27"/>
      <c r="S19" s="263"/>
      <c r="T19" s="276"/>
      <c r="U19" s="276"/>
      <c r="V19" s="276"/>
      <c r="W19" s="276"/>
      <c r="X19" s="276"/>
    </row>
    <row r="20" spans="1:24" ht="27" customHeight="1">
      <c r="A20" s="249"/>
      <c r="B20" s="17"/>
      <c r="C20" s="247"/>
      <c r="D20" s="245"/>
      <c r="E20" s="226"/>
      <c r="F20" s="28"/>
      <c r="G20" s="201"/>
      <c r="H20" s="201"/>
      <c r="I20" s="201"/>
      <c r="J20" s="201"/>
      <c r="K20" s="201"/>
      <c r="L20" s="201"/>
      <c r="M20" s="201"/>
      <c r="N20" s="201"/>
      <c r="O20" s="201"/>
      <c r="P20" s="201"/>
      <c r="Q20" s="201"/>
      <c r="R20" s="228"/>
      <c r="S20" s="263"/>
    </row>
    <row r="21" spans="1:24" ht="27" customHeight="1">
      <c r="A21" s="248"/>
      <c r="B21" s="17"/>
      <c r="C21" s="247"/>
      <c r="D21" s="244" t="s">
        <v>5</v>
      </c>
      <c r="E21" s="225"/>
      <c r="F21" s="29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27"/>
      <c r="S21" s="263"/>
    </row>
    <row r="22" spans="1:24" ht="27" customHeight="1">
      <c r="A22" s="249"/>
      <c r="B22" s="17"/>
      <c r="C22" s="247"/>
      <c r="D22" s="245"/>
      <c r="E22" s="226"/>
      <c r="F22" s="28"/>
      <c r="G22" s="201"/>
      <c r="H22" s="201"/>
      <c r="I22" s="201"/>
      <c r="J22" s="201"/>
      <c r="K22" s="201"/>
      <c r="L22" s="201"/>
      <c r="M22" s="201"/>
      <c r="N22" s="201"/>
      <c r="O22" s="201"/>
      <c r="P22" s="201"/>
      <c r="Q22" s="201"/>
      <c r="R22" s="228"/>
      <c r="S22" s="263"/>
    </row>
    <row r="23" spans="1:24" ht="27" customHeight="1">
      <c r="A23" s="248"/>
      <c r="B23" s="17"/>
      <c r="C23" s="247"/>
      <c r="D23" s="244" t="s">
        <v>6</v>
      </c>
      <c r="E23" s="225"/>
      <c r="F23" s="29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27"/>
      <c r="S23" s="263"/>
    </row>
    <row r="24" spans="1:24" ht="27" customHeight="1">
      <c r="A24" s="249"/>
      <c r="B24" s="17"/>
      <c r="C24" s="247"/>
      <c r="D24" s="245"/>
      <c r="E24" s="226"/>
      <c r="F24" s="28"/>
      <c r="G24" s="201"/>
      <c r="H24" s="201"/>
      <c r="I24" s="201"/>
      <c r="J24" s="201"/>
      <c r="K24" s="201"/>
      <c r="L24" s="201"/>
      <c r="M24" s="201"/>
      <c r="N24" s="201"/>
      <c r="O24" s="201"/>
      <c r="P24" s="201"/>
      <c r="Q24" s="201"/>
      <c r="R24" s="228"/>
      <c r="S24" s="263"/>
    </row>
    <row r="25" spans="1:24" ht="27" customHeight="1">
      <c r="A25" s="248"/>
      <c r="B25" s="17"/>
      <c r="C25" s="247"/>
      <c r="D25" s="244" t="s">
        <v>7</v>
      </c>
      <c r="E25" s="225"/>
      <c r="F25" s="29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27"/>
      <c r="S25" s="263"/>
    </row>
    <row r="26" spans="1:24" ht="27" customHeight="1">
      <c r="A26" s="249"/>
      <c r="B26" s="17"/>
      <c r="C26" s="247"/>
      <c r="D26" s="245"/>
      <c r="E26" s="226"/>
      <c r="F26" s="28"/>
      <c r="G26" s="201"/>
      <c r="H26" s="201"/>
      <c r="I26" s="201"/>
      <c r="J26" s="201"/>
      <c r="K26" s="201"/>
      <c r="L26" s="201"/>
      <c r="M26" s="201"/>
      <c r="N26" s="201"/>
      <c r="O26" s="201"/>
      <c r="P26" s="201"/>
      <c r="Q26" s="201"/>
      <c r="R26" s="228"/>
      <c r="S26" s="263"/>
    </row>
    <row r="27" spans="1:24" ht="27" customHeight="1">
      <c r="A27" s="248"/>
      <c r="B27" s="17"/>
      <c r="C27" s="247"/>
      <c r="D27" s="244" t="s">
        <v>8</v>
      </c>
      <c r="E27" s="225"/>
      <c r="F27" s="29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27"/>
      <c r="S27" s="263"/>
    </row>
    <row r="28" spans="1:24" ht="27" customHeight="1">
      <c r="A28" s="249"/>
      <c r="B28" s="17"/>
      <c r="C28" s="247"/>
      <c r="D28" s="245"/>
      <c r="E28" s="226"/>
      <c r="F28" s="28"/>
      <c r="G28" s="201"/>
      <c r="H28" s="201"/>
      <c r="I28" s="201"/>
      <c r="J28" s="201"/>
      <c r="K28" s="201"/>
      <c r="L28" s="201"/>
      <c r="M28" s="201"/>
      <c r="N28" s="201"/>
      <c r="O28" s="201"/>
      <c r="P28" s="201"/>
      <c r="Q28" s="201"/>
      <c r="R28" s="228"/>
      <c r="S28" s="263"/>
    </row>
    <row r="29" spans="1:24" ht="27" customHeight="1">
      <c r="A29" s="248"/>
      <c r="B29" s="17"/>
      <c r="C29" s="247"/>
      <c r="D29" s="244" t="s">
        <v>9</v>
      </c>
      <c r="E29" s="225"/>
      <c r="F29" s="29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27"/>
      <c r="S29" s="263"/>
    </row>
    <row r="30" spans="1:24" ht="27" customHeight="1">
      <c r="A30" s="249"/>
      <c r="B30" s="17"/>
      <c r="C30" s="247"/>
      <c r="D30" s="245"/>
      <c r="E30" s="226"/>
      <c r="F30" s="28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28"/>
      <c r="S30" s="263"/>
    </row>
    <row r="31" spans="1:24" ht="27" customHeight="1">
      <c r="A31" s="248"/>
      <c r="B31" s="17"/>
      <c r="C31" s="247"/>
      <c r="D31" s="244" t="s">
        <v>10</v>
      </c>
      <c r="E31" s="225"/>
      <c r="F31" s="29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27"/>
      <c r="S31" s="263"/>
    </row>
    <row r="32" spans="1:24" ht="27" customHeight="1">
      <c r="A32" s="249"/>
      <c r="B32" s="17"/>
      <c r="C32" s="247"/>
      <c r="D32" s="245"/>
      <c r="E32" s="226"/>
      <c r="F32" s="28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28"/>
      <c r="S32" s="263"/>
    </row>
    <row r="33" spans="1:20" ht="27" customHeight="1">
      <c r="A33" s="248"/>
      <c r="B33" s="17"/>
      <c r="C33" s="247"/>
      <c r="D33" s="244" t="s">
        <v>11</v>
      </c>
      <c r="E33" s="225"/>
      <c r="F33" s="29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27"/>
      <c r="S33" s="263"/>
    </row>
    <row r="34" spans="1:20" ht="27" customHeight="1">
      <c r="A34" s="249"/>
      <c r="B34" s="17"/>
      <c r="C34" s="247"/>
      <c r="D34" s="245"/>
      <c r="E34" s="226"/>
      <c r="F34" s="28"/>
      <c r="G34" s="201"/>
      <c r="H34" s="201"/>
      <c r="I34" s="201"/>
      <c r="J34" s="201"/>
      <c r="K34" s="201"/>
      <c r="L34" s="201"/>
      <c r="M34" s="201"/>
      <c r="N34" s="201"/>
      <c r="O34" s="201"/>
      <c r="P34" s="201"/>
      <c r="Q34" s="201"/>
      <c r="R34" s="228"/>
      <c r="S34" s="263"/>
    </row>
    <row r="35" spans="1:20" ht="27" customHeight="1">
      <c r="A35" s="248"/>
      <c r="B35" s="17"/>
      <c r="C35" s="247"/>
      <c r="D35" s="244" t="s">
        <v>12</v>
      </c>
      <c r="E35" s="225"/>
      <c r="F35" s="29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27"/>
      <c r="S35" s="263"/>
    </row>
    <row r="36" spans="1:20" ht="27" customHeight="1">
      <c r="A36" s="249"/>
      <c r="B36" s="17"/>
      <c r="C36" s="247"/>
      <c r="D36" s="245"/>
      <c r="E36" s="226"/>
      <c r="F36" s="28"/>
      <c r="G36" s="201"/>
      <c r="H36" s="201"/>
      <c r="I36" s="201"/>
      <c r="J36" s="201"/>
      <c r="K36" s="201"/>
      <c r="L36" s="201"/>
      <c r="M36" s="201"/>
      <c r="N36" s="201"/>
      <c r="O36" s="201"/>
      <c r="P36" s="201"/>
      <c r="Q36" s="201"/>
      <c r="R36" s="228"/>
      <c r="S36" s="263"/>
    </row>
    <row r="37" spans="1:20" ht="27" customHeight="1">
      <c r="A37" s="248"/>
      <c r="B37" s="17"/>
      <c r="C37" s="247"/>
      <c r="D37" s="244" t="s">
        <v>13</v>
      </c>
      <c r="E37" s="225"/>
      <c r="F37" s="29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27"/>
      <c r="S37" s="263"/>
    </row>
    <row r="38" spans="1:20" ht="27" customHeight="1">
      <c r="A38" s="249"/>
      <c r="B38" s="17"/>
      <c r="C38" s="247"/>
      <c r="D38" s="245"/>
      <c r="E38" s="226"/>
      <c r="F38" s="28"/>
      <c r="G38" s="201"/>
      <c r="H38" s="201"/>
      <c r="I38" s="201"/>
      <c r="J38" s="201"/>
      <c r="K38" s="201"/>
      <c r="L38" s="201"/>
      <c r="M38" s="201"/>
      <c r="N38" s="201"/>
      <c r="O38" s="201"/>
      <c r="P38" s="201"/>
      <c r="Q38" s="201"/>
      <c r="R38" s="228"/>
      <c r="S38" s="263"/>
    </row>
    <row r="39" spans="1:20" ht="27" customHeight="1">
      <c r="A39" s="248"/>
      <c r="B39" s="17"/>
      <c r="C39" s="247"/>
      <c r="D39" s="244" t="s">
        <v>14</v>
      </c>
      <c r="E39" s="225"/>
      <c r="F39" s="29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27"/>
      <c r="S39" s="263"/>
    </row>
    <row r="40" spans="1:20" ht="27" customHeight="1">
      <c r="A40" s="249"/>
      <c r="B40" s="17"/>
      <c r="C40" s="247"/>
      <c r="D40" s="245"/>
      <c r="E40" s="226"/>
      <c r="F40" s="28"/>
      <c r="G40" s="201"/>
      <c r="H40" s="201"/>
      <c r="I40" s="201"/>
      <c r="J40" s="201"/>
      <c r="K40" s="201"/>
      <c r="L40" s="201"/>
      <c r="M40" s="201"/>
      <c r="N40" s="201"/>
      <c r="O40" s="201"/>
      <c r="P40" s="201"/>
      <c r="Q40" s="201"/>
      <c r="R40" s="228"/>
      <c r="S40" s="263"/>
    </row>
    <row r="41" spans="1:20" ht="27" customHeight="1">
      <c r="A41" s="248"/>
      <c r="B41" s="17"/>
      <c r="C41" s="247"/>
      <c r="D41" s="244" t="s">
        <v>15</v>
      </c>
      <c r="E41" s="225"/>
      <c r="F41" s="29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27"/>
      <c r="S41" s="263"/>
    </row>
    <row r="42" spans="1:20" ht="27" customHeight="1" thickBot="1">
      <c r="A42" s="262"/>
      <c r="B42" s="21"/>
      <c r="C42" s="265"/>
      <c r="D42" s="264"/>
      <c r="E42" s="246"/>
      <c r="F42" s="30"/>
      <c r="G42" s="220"/>
      <c r="H42" s="220"/>
      <c r="I42" s="220"/>
      <c r="J42" s="220"/>
      <c r="K42" s="220"/>
      <c r="L42" s="220"/>
      <c r="M42" s="220"/>
      <c r="N42" s="220"/>
      <c r="O42" s="220"/>
      <c r="P42" s="220"/>
      <c r="Q42" s="220"/>
      <c r="R42" s="267"/>
      <c r="S42" s="263"/>
    </row>
    <row r="43" spans="1:20" s="22" customFormat="1" ht="30" customHeight="1">
      <c r="D43" s="23"/>
      <c r="E43" s="24" t="s">
        <v>68</v>
      </c>
      <c r="F43" s="194"/>
      <c r="G43" s="195"/>
      <c r="H43" s="23"/>
      <c r="I43" s="23" t="s">
        <v>69</v>
      </c>
      <c r="J43" s="25" t="s">
        <v>70</v>
      </c>
      <c r="K43" s="196" t="s">
        <v>148</v>
      </c>
      <c r="L43" s="197"/>
      <c r="M43" s="23"/>
      <c r="N43" s="198" t="s">
        <v>147</v>
      </c>
      <c r="O43" s="199"/>
      <c r="P43" s="223"/>
      <c r="Q43" s="223"/>
      <c r="R43" s="224"/>
      <c r="T43" s="25"/>
    </row>
    <row r="44" spans="1:20">
      <c r="P44" s="266"/>
      <c r="Q44" s="266"/>
      <c r="R44" s="266"/>
    </row>
  </sheetData>
  <mergeCells count="299">
    <mergeCell ref="T9:T10"/>
    <mergeCell ref="Q2:R2"/>
    <mergeCell ref="T17:X19"/>
    <mergeCell ref="J23:J24"/>
    <mergeCell ref="J25:J26"/>
    <mergeCell ref="J27:J28"/>
    <mergeCell ref="J29:J30"/>
    <mergeCell ref="J31:J32"/>
    <mergeCell ref="J33:J34"/>
    <mergeCell ref="S25:S26"/>
    <mergeCell ref="S27:S28"/>
    <mergeCell ref="K17:K18"/>
    <mergeCell ref="S29:S30"/>
    <mergeCell ref="S31:S32"/>
    <mergeCell ref="S33:S34"/>
    <mergeCell ref="S23:S24"/>
    <mergeCell ref="L11:L12"/>
    <mergeCell ref="M11:M12"/>
    <mergeCell ref="O11:O12"/>
    <mergeCell ref="P11:P12"/>
    <mergeCell ref="R11:R12"/>
    <mergeCell ref="K13:K14"/>
    <mergeCell ref="L13:L14"/>
    <mergeCell ref="M13:M14"/>
    <mergeCell ref="M25:M26"/>
    <mergeCell ref="O25:O26"/>
    <mergeCell ref="L33:L34"/>
    <mergeCell ref="M33:M34"/>
    <mergeCell ref="O33:O34"/>
    <mergeCell ref="K31:K32"/>
    <mergeCell ref="L25:L26"/>
    <mergeCell ref="K25:K26"/>
    <mergeCell ref="N29:N30"/>
    <mergeCell ref="S35:S36"/>
    <mergeCell ref="V1:X1"/>
    <mergeCell ref="K35:K36"/>
    <mergeCell ref="L35:L36"/>
    <mergeCell ref="M35:M36"/>
    <mergeCell ref="O35:O36"/>
    <mergeCell ref="P35:P36"/>
    <mergeCell ref="K33:K34"/>
    <mergeCell ref="P25:P26"/>
    <mergeCell ref="P33:P34"/>
    <mergeCell ref="R19:R20"/>
    <mergeCell ref="R21:R22"/>
    <mergeCell ref="K23:K24"/>
    <mergeCell ref="L23:L24"/>
    <mergeCell ref="M23:M24"/>
    <mergeCell ref="O23:O24"/>
    <mergeCell ref="P23:P24"/>
    <mergeCell ref="R23:R24"/>
    <mergeCell ref="K21:K22"/>
    <mergeCell ref="L21:L22"/>
    <mergeCell ref="M21:M22"/>
    <mergeCell ref="O21:O22"/>
    <mergeCell ref="P21:P22"/>
    <mergeCell ref="S21:S22"/>
    <mergeCell ref="O13:O14"/>
    <mergeCell ref="P13:P14"/>
    <mergeCell ref="S11:S12"/>
    <mergeCell ref="S13:S14"/>
    <mergeCell ref="S15:S16"/>
    <mergeCell ref="S17:S18"/>
    <mergeCell ref="S19:S20"/>
    <mergeCell ref="O17:O18"/>
    <mergeCell ref="P17:P18"/>
    <mergeCell ref="R17:R18"/>
    <mergeCell ref="R15:R16"/>
    <mergeCell ref="P44:R44"/>
    <mergeCell ref="R29:R30"/>
    <mergeCell ref="R31:R32"/>
    <mergeCell ref="R33:R34"/>
    <mergeCell ref="R35:R36"/>
    <mergeCell ref="P37:P38"/>
    <mergeCell ref="R37:R38"/>
    <mergeCell ref="P39:P40"/>
    <mergeCell ref="R39:R40"/>
    <mergeCell ref="P29:P30"/>
    <mergeCell ref="P41:P42"/>
    <mergeCell ref="R41:R42"/>
    <mergeCell ref="P31:P32"/>
    <mergeCell ref="Q29:Q30"/>
    <mergeCell ref="A39:A40"/>
    <mergeCell ref="A41:A42"/>
    <mergeCell ref="S37:S38"/>
    <mergeCell ref="S39:S40"/>
    <mergeCell ref="S41:S42"/>
    <mergeCell ref="K37:K38"/>
    <mergeCell ref="L37:L38"/>
    <mergeCell ref="M37:M38"/>
    <mergeCell ref="O37:O38"/>
    <mergeCell ref="K39:K40"/>
    <mergeCell ref="L39:L40"/>
    <mergeCell ref="M39:M40"/>
    <mergeCell ref="O39:O40"/>
    <mergeCell ref="K41:K42"/>
    <mergeCell ref="L41:L42"/>
    <mergeCell ref="M41:M42"/>
    <mergeCell ref="J39:J40"/>
    <mergeCell ref="J41:J42"/>
    <mergeCell ref="O41:O42"/>
    <mergeCell ref="J37:J38"/>
    <mergeCell ref="A37:A38"/>
    <mergeCell ref="D41:D42"/>
    <mergeCell ref="C41:C42"/>
    <mergeCell ref="C39:C40"/>
    <mergeCell ref="C1:R1"/>
    <mergeCell ref="C9:C10"/>
    <mergeCell ref="D9:F10"/>
    <mergeCell ref="C11:C12"/>
    <mergeCell ref="D11:D12"/>
    <mergeCell ref="A29:A30"/>
    <mergeCell ref="A31:A32"/>
    <mergeCell ref="A33:A34"/>
    <mergeCell ref="K19:K20"/>
    <mergeCell ref="L19:L20"/>
    <mergeCell ref="M19:M20"/>
    <mergeCell ref="O19:O20"/>
    <mergeCell ref="D21:D22"/>
    <mergeCell ref="D33:D34"/>
    <mergeCell ref="E11:E12"/>
    <mergeCell ref="F4:L4"/>
    <mergeCell ref="R13:R14"/>
    <mergeCell ref="K15:K16"/>
    <mergeCell ref="L15:L16"/>
    <mergeCell ref="M15:M16"/>
    <mergeCell ref="M31:M32"/>
    <mergeCell ref="L31:L32"/>
    <mergeCell ref="J11:J12"/>
    <mergeCell ref="K11:K12"/>
    <mergeCell ref="A35:A36"/>
    <mergeCell ref="A11:A12"/>
    <mergeCell ref="A13:A14"/>
    <mergeCell ref="A15:A16"/>
    <mergeCell ref="A17:A18"/>
    <mergeCell ref="A19:A20"/>
    <mergeCell ref="A21:A22"/>
    <mergeCell ref="A23:A24"/>
    <mergeCell ref="A25:A26"/>
    <mergeCell ref="A27:A28"/>
    <mergeCell ref="C13:C14"/>
    <mergeCell ref="D13:D14"/>
    <mergeCell ref="C15:C16"/>
    <mergeCell ref="D15:D16"/>
    <mergeCell ref="E19:E20"/>
    <mergeCell ref="E21:E22"/>
    <mergeCell ref="C37:C38"/>
    <mergeCell ref="C35:C36"/>
    <mergeCell ref="C33:C34"/>
    <mergeCell ref="C27:C28"/>
    <mergeCell ref="C25:C26"/>
    <mergeCell ref="C23:C24"/>
    <mergeCell ref="C21:C22"/>
    <mergeCell ref="D23:D24"/>
    <mergeCell ref="D25:D26"/>
    <mergeCell ref="E13:E14"/>
    <mergeCell ref="E15:E16"/>
    <mergeCell ref="D39:D40"/>
    <mergeCell ref="E41:E42"/>
    <mergeCell ref="C31:C32"/>
    <mergeCell ref="C17:C18"/>
    <mergeCell ref="D17:D18"/>
    <mergeCell ref="C19:C20"/>
    <mergeCell ref="D19:D20"/>
    <mergeCell ref="C29:C30"/>
    <mergeCell ref="D31:D32"/>
    <mergeCell ref="E17:E18"/>
    <mergeCell ref="D35:D36"/>
    <mergeCell ref="D37:D38"/>
    <mergeCell ref="D27:D28"/>
    <mergeCell ref="D29:D30"/>
    <mergeCell ref="D3:E3"/>
    <mergeCell ref="D4:E4"/>
    <mergeCell ref="J13:J14"/>
    <mergeCell ref="J15:J16"/>
    <mergeCell ref="J17:J18"/>
    <mergeCell ref="F3:L3"/>
    <mergeCell ref="Q4:R4"/>
    <mergeCell ref="N4:O4"/>
    <mergeCell ref="N3:R3"/>
    <mergeCell ref="G9:R9"/>
    <mergeCell ref="G17:G18"/>
    <mergeCell ref="H17:H18"/>
    <mergeCell ref="I17:I18"/>
    <mergeCell ref="N17:N18"/>
    <mergeCell ref="Q17:Q18"/>
    <mergeCell ref="G15:G16"/>
    <mergeCell ref="H15:H16"/>
    <mergeCell ref="G11:G12"/>
    <mergeCell ref="H11:H12"/>
    <mergeCell ref="I11:I12"/>
    <mergeCell ref="N11:N12"/>
    <mergeCell ref="Q11:Q12"/>
    <mergeCell ref="L17:L18"/>
    <mergeCell ref="M17:M18"/>
    <mergeCell ref="T15:X16"/>
    <mergeCell ref="P43:R43"/>
    <mergeCell ref="E23:E24"/>
    <mergeCell ref="E25:E26"/>
    <mergeCell ref="E27:E28"/>
    <mergeCell ref="E29:E30"/>
    <mergeCell ref="E31:E32"/>
    <mergeCell ref="E33:E34"/>
    <mergeCell ref="E35:E36"/>
    <mergeCell ref="E37:E38"/>
    <mergeCell ref="E39:E40"/>
    <mergeCell ref="K29:K30"/>
    <mergeCell ref="L29:L30"/>
    <mergeCell ref="M29:M30"/>
    <mergeCell ref="O29:O30"/>
    <mergeCell ref="R25:R26"/>
    <mergeCell ref="K27:K28"/>
    <mergeCell ref="L27:L28"/>
    <mergeCell ref="M27:M28"/>
    <mergeCell ref="O27:O28"/>
    <mergeCell ref="P27:P28"/>
    <mergeCell ref="R27:R28"/>
    <mergeCell ref="O15:O16"/>
    <mergeCell ref="P15:P16"/>
    <mergeCell ref="G35:G36"/>
    <mergeCell ref="H35:H36"/>
    <mergeCell ref="I35:I36"/>
    <mergeCell ref="N35:N36"/>
    <mergeCell ref="Q35:Q36"/>
    <mergeCell ref="G37:G38"/>
    <mergeCell ref="H37:H38"/>
    <mergeCell ref="I37:I38"/>
    <mergeCell ref="N37:N38"/>
    <mergeCell ref="Q37:Q38"/>
    <mergeCell ref="J35:J36"/>
    <mergeCell ref="G39:G40"/>
    <mergeCell ref="H39:H40"/>
    <mergeCell ref="I39:I40"/>
    <mergeCell ref="N39:N40"/>
    <mergeCell ref="Q39:Q40"/>
    <mergeCell ref="G41:G42"/>
    <mergeCell ref="H41:H42"/>
    <mergeCell ref="I41:I42"/>
    <mergeCell ref="N41:N42"/>
    <mergeCell ref="Q41:Q42"/>
    <mergeCell ref="G33:G34"/>
    <mergeCell ref="H33:H34"/>
    <mergeCell ref="I33:I34"/>
    <mergeCell ref="N33:N34"/>
    <mergeCell ref="Q33:Q34"/>
    <mergeCell ref="G31:G32"/>
    <mergeCell ref="H31:H32"/>
    <mergeCell ref="I31:I32"/>
    <mergeCell ref="N31:N32"/>
    <mergeCell ref="Q31:Q32"/>
    <mergeCell ref="O31:O32"/>
    <mergeCell ref="I29:I30"/>
    <mergeCell ref="G21:G22"/>
    <mergeCell ref="H21:H22"/>
    <mergeCell ref="I21:I22"/>
    <mergeCell ref="N21:N22"/>
    <mergeCell ref="Q21:Q22"/>
    <mergeCell ref="O5:R5"/>
    <mergeCell ref="O6:R8"/>
    <mergeCell ref="D5:N5"/>
    <mergeCell ref="D6:N8"/>
    <mergeCell ref="G19:G20"/>
    <mergeCell ref="H19:H20"/>
    <mergeCell ref="I19:I20"/>
    <mergeCell ref="N19:N20"/>
    <mergeCell ref="Q19:Q20"/>
    <mergeCell ref="P19:P20"/>
    <mergeCell ref="J19:J20"/>
    <mergeCell ref="J21:J22"/>
    <mergeCell ref="G27:G28"/>
    <mergeCell ref="H27:H28"/>
    <mergeCell ref="I27:I28"/>
    <mergeCell ref="N27:N28"/>
    <mergeCell ref="Q27:Q28"/>
    <mergeCell ref="Q23:Q24"/>
    <mergeCell ref="D2:E2"/>
    <mergeCell ref="F2:I2"/>
    <mergeCell ref="F43:G43"/>
    <mergeCell ref="K43:L43"/>
    <mergeCell ref="N43:O43"/>
    <mergeCell ref="I15:I16"/>
    <mergeCell ref="N15:N16"/>
    <mergeCell ref="Q15:Q16"/>
    <mergeCell ref="G13:G14"/>
    <mergeCell ref="H13:H14"/>
    <mergeCell ref="I13:I14"/>
    <mergeCell ref="N13:N14"/>
    <mergeCell ref="Q13:Q14"/>
    <mergeCell ref="G25:G26"/>
    <mergeCell ref="H25:H26"/>
    <mergeCell ref="I25:I26"/>
    <mergeCell ref="N25:N26"/>
    <mergeCell ref="Q25:Q26"/>
    <mergeCell ref="G23:G24"/>
    <mergeCell ref="H23:H24"/>
    <mergeCell ref="I23:I24"/>
    <mergeCell ref="N23:N24"/>
    <mergeCell ref="G29:G30"/>
    <mergeCell ref="H29:H30"/>
  </mergeCells>
  <phoneticPr fontId="2" type="noConversion"/>
  <conditionalFormatting sqref="F11">
    <cfRule type="expression" dxfId="849" priority="208">
      <formula>$A11="X"</formula>
    </cfRule>
  </conditionalFormatting>
  <conditionalFormatting sqref="F12">
    <cfRule type="expression" dxfId="848" priority="207">
      <formula>$A11="x"</formula>
    </cfRule>
  </conditionalFormatting>
  <conditionalFormatting sqref="F13 F15 F17 F19 F21 F23 F25 F27 F29 F31 F33 F35 F37 F39 F41">
    <cfRule type="expression" dxfId="847" priority="206">
      <formula>$A13="X"</formula>
    </cfRule>
  </conditionalFormatting>
  <conditionalFormatting sqref="F14 F16 F18 F20 F22 F24 F26 F28 F30 F32 F34 F36 F38 F40 F42">
    <cfRule type="expression" dxfId="846" priority="205">
      <formula>$A13="x"</formula>
    </cfRule>
  </conditionalFormatting>
  <conditionalFormatting sqref="G35:J35 G37:J37 G39:J39 G41:J41 G33:J33 G31:J31 G29:J29 G27:J27 G25:J25 G23:J23 G21:J21 G19:J19 G17:J17 G15:J15 G13:J13">
    <cfRule type="expression" dxfId="845" priority="173">
      <formula>AND(G13&lt;&gt;"",G13&lt;#REF!)</formula>
    </cfRule>
    <cfRule type="expression" dxfId="844" priority="174">
      <formula>AND(G13&lt;&gt;"",G13&gt;#REF!)</formula>
    </cfRule>
    <cfRule type="expression" dxfId="843" priority="175">
      <formula>AND(G13&lt;&gt;"",G13&lt;#REF!)</formula>
    </cfRule>
    <cfRule type="expression" dxfId="842" priority="176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841" priority="191">
      <formula>AND(G11&lt;&gt;"",G11&lt;#REF!)</formula>
    </cfRule>
    <cfRule type="expression" dxfId="840" priority="192">
      <formula>AND(G11&lt;&gt;"",G11&gt;#REF!)</formula>
    </cfRule>
    <cfRule type="expression" dxfId="839" priority="193">
      <formula>AND(G11&lt;&gt;"",G11&lt;#REF!)</formula>
    </cfRule>
    <cfRule type="expression" dxfId="838" priority="194">
      <formula>AND(G11&lt;&gt;"",G11&gt;#REF!)</formula>
    </cfRule>
    <cfRule type="expression" dxfId="837" priority="195">
      <formula>AND(G11&lt;&gt;"",G11&lt;#REF!)</formula>
    </cfRule>
    <cfRule type="expression" dxfId="836" priority="196">
      <formula>AND(G11&lt;&gt;"",G11&gt;#REF!)</formula>
    </cfRule>
    <cfRule type="expression" dxfId="835" priority="197">
      <formula>AND(G11&lt;&gt;"",G11&lt;#REF!)</formula>
    </cfRule>
    <cfRule type="expression" dxfId="834" priority="198">
      <formula>AND(G11&lt;&gt;"",G11&gt;#REF!)</formula>
    </cfRule>
    <cfRule type="expression" dxfId="833" priority="199">
      <formula>AND(G11&lt;&gt;"",G11&lt;#REF!)</formula>
    </cfRule>
    <cfRule type="expression" dxfId="832" priority="200">
      <formula>AND(G11&lt;&gt;"",G11&gt;#REF!)</formula>
    </cfRule>
    <cfRule type="expression" dxfId="831" priority="201">
      <formula>AND(G11&lt;&gt;"",G11&lt;#REF!)</formula>
    </cfRule>
    <cfRule type="expression" dxfId="830" priority="202">
      <formula>AND(G11&lt;&gt;"",G11&gt;#REF!)</formula>
    </cfRule>
    <cfRule type="expression" dxfId="829" priority="203">
      <formula>AND(G11&lt;&gt;"",G11&lt;#REF!)</formula>
    </cfRule>
    <cfRule type="expression" dxfId="828" priority="204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827" priority="183">
      <formula>AND(K11&lt;&gt;"",K11&lt;#REF!)</formula>
    </cfRule>
    <cfRule type="expression" dxfId="826" priority="184">
      <formula>AND(K11&lt;&gt;"",K11&gt;#REF!)</formula>
    </cfRule>
  </conditionalFormatting>
  <conditionalFormatting sqref="J11:R42">
    <cfRule type="expression" dxfId="825" priority="230">
      <formula>AND(J11&lt;&gt;"",J11&lt;#REF!)</formula>
    </cfRule>
    <cfRule type="expression" dxfId="824" priority="231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823" priority="177">
      <formula>AND(G13&lt;&gt;"",G13&lt;#REF!)</formula>
    </cfRule>
    <cfRule type="expression" dxfId="822" priority="178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821" priority="181">
      <formula>AND(K11&lt;&gt;"",K11&lt;#REF!)</formula>
    </cfRule>
    <cfRule type="expression" dxfId="820" priority="182">
      <formula>AND(K11&lt;&gt;"",K11&gt;#REF!)</formula>
    </cfRule>
  </conditionalFormatting>
  <conditionalFormatting sqref="R11">
    <cfRule type="expression" dxfId="819" priority="179">
      <formula>AND(R11&lt;&gt;"",R11&lt;#REF!)</formula>
    </cfRule>
    <cfRule type="expression" dxfId="818" priority="180">
      <formula>AND(R11&lt;&gt;"",R11&gt;#REF!)</formula>
    </cfRule>
  </conditionalFormatting>
  <conditionalFormatting sqref="G35:I36">
    <cfRule type="expression" dxfId="817" priority="165">
      <formula>AND(G35&lt;&gt;"",G35&lt;#REF!)</formula>
    </cfRule>
    <cfRule type="expression" dxfId="816" priority="166">
      <formula>AND(G35&lt;&gt;"",G35&gt;#REF!)</formula>
    </cfRule>
  </conditionalFormatting>
  <conditionalFormatting sqref="N35">
    <cfRule type="expression" dxfId="815" priority="161">
      <formula>AND(N35&lt;&gt;"",N35&lt;#REF!)</formula>
    </cfRule>
    <cfRule type="expression" dxfId="814" priority="162">
      <formula>AND(N35&lt;&gt;"",N35&gt;#REF!)</formula>
    </cfRule>
    <cfRule type="expression" dxfId="813" priority="163">
      <formula>AND(N35&lt;&gt;"",N35&lt;#REF!)</formula>
    </cfRule>
    <cfRule type="expression" dxfId="812" priority="164">
      <formula>AND(N35&lt;&gt;"",N35&gt;#REF!)</formula>
    </cfRule>
  </conditionalFormatting>
  <conditionalFormatting sqref="Q35">
    <cfRule type="expression" dxfId="811" priority="157">
      <formula>AND(Q35&lt;&gt;"",Q35&lt;#REF!)</formula>
    </cfRule>
    <cfRule type="expression" dxfId="810" priority="158">
      <formula>AND(Q35&lt;&gt;"",Q35&gt;#REF!)</formula>
    </cfRule>
    <cfRule type="expression" dxfId="809" priority="159">
      <formula>AND(Q35&lt;&gt;"",Q35&lt;#REF!)</formula>
    </cfRule>
    <cfRule type="expression" dxfId="808" priority="160">
      <formula>AND(Q35&lt;&gt;"",Q35&gt;#REF!)</formula>
    </cfRule>
  </conditionalFormatting>
  <conditionalFormatting sqref="G37:I38">
    <cfRule type="expression" dxfId="807" priority="155">
      <formula>AND(G37&lt;&gt;"",G37&lt;#REF!)</formula>
    </cfRule>
    <cfRule type="expression" dxfId="806" priority="156">
      <formula>AND(G37&lt;&gt;"",G37&gt;#REF!)</formula>
    </cfRule>
  </conditionalFormatting>
  <conditionalFormatting sqref="N37">
    <cfRule type="expression" dxfId="805" priority="151">
      <formula>AND(N37&lt;&gt;"",N37&lt;#REF!)</formula>
    </cfRule>
    <cfRule type="expression" dxfId="804" priority="152">
      <formula>AND(N37&lt;&gt;"",N37&gt;#REF!)</formula>
    </cfRule>
    <cfRule type="expression" dxfId="803" priority="153">
      <formula>AND(N37&lt;&gt;"",N37&lt;#REF!)</formula>
    </cfRule>
    <cfRule type="expression" dxfId="802" priority="154">
      <formula>AND(N37&lt;&gt;"",N37&gt;#REF!)</formula>
    </cfRule>
  </conditionalFormatting>
  <conditionalFormatting sqref="Q37">
    <cfRule type="expression" dxfId="801" priority="147">
      <formula>AND(Q37&lt;&gt;"",Q37&lt;#REF!)</formula>
    </cfRule>
    <cfRule type="expression" dxfId="800" priority="148">
      <formula>AND(Q37&lt;&gt;"",Q37&gt;#REF!)</formula>
    </cfRule>
    <cfRule type="expression" dxfId="799" priority="149">
      <formula>AND(Q37&lt;&gt;"",Q37&lt;#REF!)</formula>
    </cfRule>
    <cfRule type="expression" dxfId="798" priority="150">
      <formula>AND(Q37&lt;&gt;"",Q37&gt;#REF!)</formula>
    </cfRule>
  </conditionalFormatting>
  <conditionalFormatting sqref="G39:I40">
    <cfRule type="expression" dxfId="797" priority="145">
      <formula>AND(G39&lt;&gt;"",G39&lt;#REF!)</formula>
    </cfRule>
    <cfRule type="expression" dxfId="796" priority="146">
      <formula>AND(G39&lt;&gt;"",G39&gt;#REF!)</formula>
    </cfRule>
  </conditionalFormatting>
  <conditionalFormatting sqref="N39">
    <cfRule type="expression" dxfId="795" priority="141">
      <formula>AND(N39&lt;&gt;"",N39&lt;#REF!)</formula>
    </cfRule>
    <cfRule type="expression" dxfId="794" priority="142">
      <formula>AND(N39&lt;&gt;"",N39&gt;#REF!)</formula>
    </cfRule>
    <cfRule type="expression" dxfId="793" priority="143">
      <formula>AND(N39&lt;&gt;"",N39&lt;#REF!)</formula>
    </cfRule>
    <cfRule type="expression" dxfId="792" priority="144">
      <formula>AND(N39&lt;&gt;"",N39&gt;#REF!)</formula>
    </cfRule>
  </conditionalFormatting>
  <conditionalFormatting sqref="Q39">
    <cfRule type="expression" dxfId="791" priority="137">
      <formula>AND(Q39&lt;&gt;"",Q39&lt;#REF!)</formula>
    </cfRule>
    <cfRule type="expression" dxfId="790" priority="138">
      <formula>AND(Q39&lt;&gt;"",Q39&gt;#REF!)</formula>
    </cfRule>
    <cfRule type="expression" dxfId="789" priority="139">
      <formula>AND(Q39&lt;&gt;"",Q39&lt;#REF!)</formula>
    </cfRule>
    <cfRule type="expression" dxfId="788" priority="140">
      <formula>AND(Q39&lt;&gt;"",Q39&gt;#REF!)</formula>
    </cfRule>
  </conditionalFormatting>
  <conditionalFormatting sqref="G41:I42">
    <cfRule type="expression" dxfId="787" priority="135">
      <formula>AND(G41&lt;&gt;"",G41&lt;#REF!)</formula>
    </cfRule>
    <cfRule type="expression" dxfId="786" priority="136">
      <formula>AND(G41&lt;&gt;"",G41&gt;#REF!)</formula>
    </cfRule>
  </conditionalFormatting>
  <conditionalFormatting sqref="N41">
    <cfRule type="expression" dxfId="785" priority="131">
      <formula>AND(N41&lt;&gt;"",N41&lt;#REF!)</formula>
    </cfRule>
    <cfRule type="expression" dxfId="784" priority="132">
      <formula>AND(N41&lt;&gt;"",N41&gt;#REF!)</formula>
    </cfRule>
    <cfRule type="expression" dxfId="783" priority="133">
      <formula>AND(N41&lt;&gt;"",N41&lt;#REF!)</formula>
    </cfRule>
    <cfRule type="expression" dxfId="782" priority="134">
      <formula>AND(N41&lt;&gt;"",N41&gt;#REF!)</formula>
    </cfRule>
  </conditionalFormatting>
  <conditionalFormatting sqref="Q41">
    <cfRule type="expression" dxfId="781" priority="127">
      <formula>AND(Q41&lt;&gt;"",Q41&lt;#REF!)</formula>
    </cfRule>
    <cfRule type="expression" dxfId="780" priority="128">
      <formula>AND(Q41&lt;&gt;"",Q41&gt;#REF!)</formula>
    </cfRule>
    <cfRule type="expression" dxfId="779" priority="129">
      <formula>AND(Q41&lt;&gt;"",Q41&lt;#REF!)</formula>
    </cfRule>
    <cfRule type="expression" dxfId="778" priority="130">
      <formula>AND(Q41&lt;&gt;"",Q41&gt;#REF!)</formula>
    </cfRule>
  </conditionalFormatting>
  <conditionalFormatting sqref="G33:I34">
    <cfRule type="expression" dxfId="777" priority="125">
      <formula>AND(G33&lt;&gt;"",G33&lt;#REF!)</formula>
    </cfRule>
    <cfRule type="expression" dxfId="776" priority="126">
      <formula>AND(G33&lt;&gt;"",G33&gt;#REF!)</formula>
    </cfRule>
  </conditionalFormatting>
  <conditionalFormatting sqref="N33">
    <cfRule type="expression" dxfId="775" priority="121">
      <formula>AND(N33&lt;&gt;"",N33&lt;#REF!)</formula>
    </cfRule>
    <cfRule type="expression" dxfId="774" priority="122">
      <formula>AND(N33&lt;&gt;"",N33&gt;#REF!)</formula>
    </cfRule>
    <cfRule type="expression" dxfId="773" priority="123">
      <formula>AND(N33&lt;&gt;"",N33&lt;#REF!)</formula>
    </cfRule>
    <cfRule type="expression" dxfId="772" priority="124">
      <formula>AND(N33&lt;&gt;"",N33&gt;#REF!)</formula>
    </cfRule>
  </conditionalFormatting>
  <conditionalFormatting sqref="Q33">
    <cfRule type="expression" dxfId="771" priority="117">
      <formula>AND(Q33&lt;&gt;"",Q33&lt;#REF!)</formula>
    </cfRule>
    <cfRule type="expression" dxfId="770" priority="118">
      <formula>AND(Q33&lt;&gt;"",Q33&gt;#REF!)</formula>
    </cfRule>
    <cfRule type="expression" dxfId="769" priority="119">
      <formula>AND(Q33&lt;&gt;"",Q33&lt;#REF!)</formula>
    </cfRule>
    <cfRule type="expression" dxfId="768" priority="120">
      <formula>AND(Q33&lt;&gt;"",Q33&gt;#REF!)</formula>
    </cfRule>
  </conditionalFormatting>
  <conditionalFormatting sqref="G31:I32">
    <cfRule type="expression" dxfId="767" priority="115">
      <formula>AND(G31&lt;&gt;"",G31&lt;#REF!)</formula>
    </cfRule>
    <cfRule type="expression" dxfId="766" priority="116">
      <formula>AND(G31&lt;&gt;"",G31&gt;#REF!)</formula>
    </cfRule>
  </conditionalFormatting>
  <conditionalFormatting sqref="N31">
    <cfRule type="expression" dxfId="765" priority="111">
      <formula>AND(N31&lt;&gt;"",N31&lt;#REF!)</formula>
    </cfRule>
    <cfRule type="expression" dxfId="764" priority="112">
      <formula>AND(N31&lt;&gt;"",N31&gt;#REF!)</formula>
    </cfRule>
    <cfRule type="expression" dxfId="763" priority="113">
      <formula>AND(N31&lt;&gt;"",N31&lt;#REF!)</formula>
    </cfRule>
    <cfRule type="expression" dxfId="762" priority="114">
      <formula>AND(N31&lt;&gt;"",N31&gt;#REF!)</formula>
    </cfRule>
  </conditionalFormatting>
  <conditionalFormatting sqref="Q31">
    <cfRule type="expression" dxfId="761" priority="107">
      <formula>AND(Q31&lt;&gt;"",Q31&lt;#REF!)</formula>
    </cfRule>
    <cfRule type="expression" dxfId="760" priority="108">
      <formula>AND(Q31&lt;&gt;"",Q31&gt;#REF!)</formula>
    </cfRule>
    <cfRule type="expression" dxfId="759" priority="109">
      <formula>AND(Q31&lt;&gt;"",Q31&lt;#REF!)</formula>
    </cfRule>
    <cfRule type="expression" dxfId="758" priority="110">
      <formula>AND(Q31&lt;&gt;"",Q31&gt;#REF!)</formula>
    </cfRule>
  </conditionalFormatting>
  <conditionalFormatting sqref="G29:I30">
    <cfRule type="expression" dxfId="757" priority="105">
      <formula>AND(G29&lt;&gt;"",G29&lt;#REF!)</formula>
    </cfRule>
    <cfRule type="expression" dxfId="756" priority="106">
      <formula>AND(G29&lt;&gt;"",G29&gt;#REF!)</formula>
    </cfRule>
  </conditionalFormatting>
  <conditionalFormatting sqref="N29">
    <cfRule type="expression" dxfId="755" priority="101">
      <formula>AND(N29&lt;&gt;"",N29&lt;#REF!)</formula>
    </cfRule>
    <cfRule type="expression" dxfId="754" priority="102">
      <formula>AND(N29&lt;&gt;"",N29&gt;#REF!)</formula>
    </cfRule>
    <cfRule type="expression" dxfId="753" priority="103">
      <formula>AND(N29&lt;&gt;"",N29&lt;#REF!)</formula>
    </cfRule>
    <cfRule type="expression" dxfId="752" priority="104">
      <formula>AND(N29&lt;&gt;"",N29&gt;#REF!)</formula>
    </cfRule>
  </conditionalFormatting>
  <conditionalFormatting sqref="Q29">
    <cfRule type="expression" dxfId="751" priority="97">
      <formula>AND(Q29&lt;&gt;"",Q29&lt;#REF!)</formula>
    </cfRule>
    <cfRule type="expression" dxfId="750" priority="98">
      <formula>AND(Q29&lt;&gt;"",Q29&gt;#REF!)</formula>
    </cfRule>
    <cfRule type="expression" dxfId="749" priority="99">
      <formula>AND(Q29&lt;&gt;"",Q29&lt;#REF!)</formula>
    </cfRule>
    <cfRule type="expression" dxfId="748" priority="100">
      <formula>AND(Q29&lt;&gt;"",Q29&gt;#REF!)</formula>
    </cfRule>
  </conditionalFormatting>
  <conditionalFormatting sqref="G27:I28">
    <cfRule type="expression" dxfId="747" priority="95">
      <formula>AND(G27&lt;&gt;"",G27&lt;#REF!)</formula>
    </cfRule>
    <cfRule type="expression" dxfId="746" priority="96">
      <formula>AND(G27&lt;&gt;"",G27&gt;#REF!)</formula>
    </cfRule>
  </conditionalFormatting>
  <conditionalFormatting sqref="N27">
    <cfRule type="expression" dxfId="745" priority="91">
      <formula>AND(N27&lt;&gt;"",N27&lt;#REF!)</formula>
    </cfRule>
    <cfRule type="expression" dxfId="744" priority="92">
      <formula>AND(N27&lt;&gt;"",N27&gt;#REF!)</formula>
    </cfRule>
    <cfRule type="expression" dxfId="743" priority="93">
      <formula>AND(N27&lt;&gt;"",N27&lt;#REF!)</formula>
    </cfRule>
    <cfRule type="expression" dxfId="742" priority="94">
      <formula>AND(N27&lt;&gt;"",N27&gt;#REF!)</formula>
    </cfRule>
  </conditionalFormatting>
  <conditionalFormatting sqref="Q27">
    <cfRule type="expression" dxfId="741" priority="87">
      <formula>AND(Q27&lt;&gt;"",Q27&lt;#REF!)</formula>
    </cfRule>
    <cfRule type="expression" dxfId="740" priority="88">
      <formula>AND(Q27&lt;&gt;"",Q27&gt;#REF!)</formula>
    </cfRule>
    <cfRule type="expression" dxfId="739" priority="89">
      <formula>AND(Q27&lt;&gt;"",Q27&lt;#REF!)</formula>
    </cfRule>
    <cfRule type="expression" dxfId="738" priority="90">
      <formula>AND(Q27&lt;&gt;"",Q27&gt;#REF!)</formula>
    </cfRule>
  </conditionalFormatting>
  <conditionalFormatting sqref="G25:I26">
    <cfRule type="expression" dxfId="737" priority="85">
      <formula>AND(G25&lt;&gt;"",G25&lt;#REF!)</formula>
    </cfRule>
    <cfRule type="expression" dxfId="736" priority="86">
      <formula>AND(G25&lt;&gt;"",G25&gt;#REF!)</formula>
    </cfRule>
  </conditionalFormatting>
  <conditionalFormatting sqref="N25">
    <cfRule type="expression" dxfId="735" priority="81">
      <formula>AND(N25&lt;&gt;"",N25&lt;#REF!)</formula>
    </cfRule>
    <cfRule type="expression" dxfId="734" priority="82">
      <formula>AND(N25&lt;&gt;"",N25&gt;#REF!)</formula>
    </cfRule>
    <cfRule type="expression" dxfId="733" priority="83">
      <formula>AND(N25&lt;&gt;"",N25&lt;#REF!)</formula>
    </cfRule>
    <cfRule type="expression" dxfId="732" priority="84">
      <formula>AND(N25&lt;&gt;"",N25&gt;#REF!)</formula>
    </cfRule>
  </conditionalFormatting>
  <conditionalFormatting sqref="Q25">
    <cfRule type="expression" dxfId="731" priority="77">
      <formula>AND(Q25&lt;&gt;"",Q25&lt;#REF!)</formula>
    </cfRule>
    <cfRule type="expression" dxfId="730" priority="78">
      <formula>AND(Q25&lt;&gt;"",Q25&gt;#REF!)</formula>
    </cfRule>
    <cfRule type="expression" dxfId="729" priority="79">
      <formula>AND(Q25&lt;&gt;"",Q25&lt;#REF!)</formula>
    </cfRule>
    <cfRule type="expression" dxfId="728" priority="80">
      <formula>AND(Q25&lt;&gt;"",Q25&gt;#REF!)</formula>
    </cfRule>
  </conditionalFormatting>
  <conditionalFormatting sqref="G23:I24">
    <cfRule type="expression" dxfId="727" priority="75">
      <formula>AND(G23&lt;&gt;"",G23&lt;#REF!)</formula>
    </cfRule>
    <cfRule type="expression" dxfId="726" priority="76">
      <formula>AND(G23&lt;&gt;"",G23&gt;#REF!)</formula>
    </cfRule>
  </conditionalFormatting>
  <conditionalFormatting sqref="N23">
    <cfRule type="expression" dxfId="725" priority="71">
      <formula>AND(N23&lt;&gt;"",N23&lt;#REF!)</formula>
    </cfRule>
    <cfRule type="expression" dxfId="724" priority="72">
      <formula>AND(N23&lt;&gt;"",N23&gt;#REF!)</formula>
    </cfRule>
    <cfRule type="expression" dxfId="723" priority="73">
      <formula>AND(N23&lt;&gt;"",N23&lt;#REF!)</formula>
    </cfRule>
    <cfRule type="expression" dxfId="722" priority="74">
      <formula>AND(N23&lt;&gt;"",N23&gt;#REF!)</formula>
    </cfRule>
  </conditionalFormatting>
  <conditionalFormatting sqref="Q23">
    <cfRule type="expression" dxfId="721" priority="67">
      <formula>AND(Q23&lt;&gt;"",Q23&lt;#REF!)</formula>
    </cfRule>
    <cfRule type="expression" dxfId="720" priority="68">
      <formula>AND(Q23&lt;&gt;"",Q23&gt;#REF!)</formula>
    </cfRule>
    <cfRule type="expression" dxfId="719" priority="69">
      <formula>AND(Q23&lt;&gt;"",Q23&lt;#REF!)</formula>
    </cfRule>
    <cfRule type="expression" dxfId="718" priority="70">
      <formula>AND(Q23&lt;&gt;"",Q23&gt;#REF!)</formula>
    </cfRule>
  </conditionalFormatting>
  <conditionalFormatting sqref="G21:I22">
    <cfRule type="expression" dxfId="717" priority="65">
      <formula>AND(G21&lt;&gt;"",G21&lt;#REF!)</formula>
    </cfRule>
    <cfRule type="expression" dxfId="716" priority="66">
      <formula>AND(G21&lt;&gt;"",G21&gt;#REF!)</formula>
    </cfRule>
  </conditionalFormatting>
  <conditionalFormatting sqref="N21">
    <cfRule type="expression" dxfId="715" priority="61">
      <formula>AND(N21&lt;&gt;"",N21&lt;#REF!)</formula>
    </cfRule>
    <cfRule type="expression" dxfId="714" priority="62">
      <formula>AND(N21&lt;&gt;"",N21&gt;#REF!)</formula>
    </cfRule>
    <cfRule type="expression" dxfId="713" priority="63">
      <formula>AND(N21&lt;&gt;"",N21&lt;#REF!)</formula>
    </cfRule>
    <cfRule type="expression" dxfId="712" priority="64">
      <formula>AND(N21&lt;&gt;"",N21&gt;#REF!)</formula>
    </cfRule>
  </conditionalFormatting>
  <conditionalFormatting sqref="Q21">
    <cfRule type="expression" dxfId="711" priority="57">
      <formula>AND(Q21&lt;&gt;"",Q21&lt;#REF!)</formula>
    </cfRule>
    <cfRule type="expression" dxfId="710" priority="58">
      <formula>AND(Q21&lt;&gt;"",Q21&gt;#REF!)</formula>
    </cfRule>
    <cfRule type="expression" dxfId="709" priority="59">
      <formula>AND(Q21&lt;&gt;"",Q21&lt;#REF!)</formula>
    </cfRule>
    <cfRule type="expression" dxfId="708" priority="60">
      <formula>AND(Q21&lt;&gt;"",Q21&gt;#REF!)</formula>
    </cfRule>
  </conditionalFormatting>
  <conditionalFormatting sqref="G19:I20">
    <cfRule type="expression" dxfId="707" priority="55">
      <formula>AND(G19&lt;&gt;"",G19&lt;#REF!)</formula>
    </cfRule>
    <cfRule type="expression" dxfId="706" priority="56">
      <formula>AND(G19&lt;&gt;"",G19&gt;#REF!)</formula>
    </cfRule>
  </conditionalFormatting>
  <conditionalFormatting sqref="N19">
    <cfRule type="expression" dxfId="705" priority="51">
      <formula>AND(N19&lt;&gt;"",N19&lt;#REF!)</formula>
    </cfRule>
    <cfRule type="expression" dxfId="704" priority="52">
      <formula>AND(N19&lt;&gt;"",N19&gt;#REF!)</formula>
    </cfRule>
    <cfRule type="expression" dxfId="703" priority="53">
      <formula>AND(N19&lt;&gt;"",N19&lt;#REF!)</formula>
    </cfRule>
    <cfRule type="expression" dxfId="702" priority="54">
      <formula>AND(N19&lt;&gt;"",N19&gt;#REF!)</formula>
    </cfRule>
  </conditionalFormatting>
  <conditionalFormatting sqref="Q19">
    <cfRule type="expression" dxfId="701" priority="47">
      <formula>AND(Q19&lt;&gt;"",Q19&lt;#REF!)</formula>
    </cfRule>
    <cfRule type="expression" dxfId="700" priority="48">
      <formula>AND(Q19&lt;&gt;"",Q19&gt;#REF!)</formula>
    </cfRule>
    <cfRule type="expression" dxfId="699" priority="49">
      <formula>AND(Q19&lt;&gt;"",Q19&lt;#REF!)</formula>
    </cfRule>
    <cfRule type="expression" dxfId="698" priority="50">
      <formula>AND(Q19&lt;&gt;"",Q19&gt;#REF!)</formula>
    </cfRule>
  </conditionalFormatting>
  <conditionalFormatting sqref="G17:I18">
    <cfRule type="expression" dxfId="697" priority="45">
      <formula>AND(G17&lt;&gt;"",G17&lt;#REF!)</formula>
    </cfRule>
    <cfRule type="expression" dxfId="696" priority="46">
      <formula>AND(G17&lt;&gt;"",G17&gt;#REF!)</formula>
    </cfRule>
  </conditionalFormatting>
  <conditionalFormatting sqref="N17">
    <cfRule type="expression" dxfId="695" priority="41">
      <formula>AND(N17&lt;&gt;"",N17&lt;#REF!)</formula>
    </cfRule>
    <cfRule type="expression" dxfId="694" priority="42">
      <formula>AND(N17&lt;&gt;"",N17&gt;#REF!)</formula>
    </cfRule>
    <cfRule type="expression" dxfId="693" priority="43">
      <formula>AND(N17&lt;&gt;"",N17&lt;#REF!)</formula>
    </cfRule>
    <cfRule type="expression" dxfId="692" priority="44">
      <formula>AND(N17&lt;&gt;"",N17&gt;#REF!)</formula>
    </cfRule>
  </conditionalFormatting>
  <conditionalFormatting sqref="Q17">
    <cfRule type="expression" dxfId="691" priority="37">
      <formula>AND(Q17&lt;&gt;"",Q17&lt;#REF!)</formula>
    </cfRule>
    <cfRule type="expression" dxfId="690" priority="38">
      <formula>AND(Q17&lt;&gt;"",Q17&gt;#REF!)</formula>
    </cfRule>
    <cfRule type="expression" dxfId="689" priority="39">
      <formula>AND(Q17&lt;&gt;"",Q17&lt;#REF!)</formula>
    </cfRule>
    <cfRule type="expression" dxfId="688" priority="40">
      <formula>AND(Q17&lt;&gt;"",Q17&gt;#REF!)</formula>
    </cfRule>
  </conditionalFormatting>
  <conditionalFormatting sqref="G15:I16">
    <cfRule type="expression" dxfId="687" priority="35">
      <formula>AND(G15&lt;&gt;"",G15&lt;#REF!)</formula>
    </cfRule>
    <cfRule type="expression" dxfId="686" priority="36">
      <formula>AND(G15&lt;&gt;"",G15&gt;#REF!)</formula>
    </cfRule>
  </conditionalFormatting>
  <conditionalFormatting sqref="N15">
    <cfRule type="expression" dxfId="685" priority="31">
      <formula>AND(N15&lt;&gt;"",N15&lt;#REF!)</formula>
    </cfRule>
    <cfRule type="expression" dxfId="684" priority="32">
      <formula>AND(N15&lt;&gt;"",N15&gt;#REF!)</formula>
    </cfRule>
    <cfRule type="expression" dxfId="683" priority="33">
      <formula>AND(N15&lt;&gt;"",N15&lt;#REF!)</formula>
    </cfRule>
    <cfRule type="expression" dxfId="682" priority="34">
      <formula>AND(N15&lt;&gt;"",N15&gt;#REF!)</formula>
    </cfRule>
  </conditionalFormatting>
  <conditionalFormatting sqref="Q15">
    <cfRule type="expression" dxfId="681" priority="27">
      <formula>AND(Q15&lt;&gt;"",Q15&lt;#REF!)</formula>
    </cfRule>
    <cfRule type="expression" dxfId="680" priority="28">
      <formula>AND(Q15&lt;&gt;"",Q15&gt;#REF!)</formula>
    </cfRule>
    <cfRule type="expression" dxfId="679" priority="29">
      <formula>AND(Q15&lt;&gt;"",Q15&lt;#REF!)</formula>
    </cfRule>
    <cfRule type="expression" dxfId="678" priority="30">
      <formula>AND(Q15&lt;&gt;"",Q15&gt;#REF!)</formula>
    </cfRule>
  </conditionalFormatting>
  <conditionalFormatting sqref="G13:I14">
    <cfRule type="expression" dxfId="677" priority="25">
      <formula>AND(G13&lt;&gt;"",G13&lt;#REF!)</formula>
    </cfRule>
    <cfRule type="expression" dxfId="676" priority="26">
      <formula>AND(G13&lt;&gt;"",G13&gt;#REF!)</formula>
    </cfRule>
  </conditionalFormatting>
  <conditionalFormatting sqref="N13">
    <cfRule type="expression" dxfId="675" priority="21">
      <formula>AND(N13&lt;&gt;"",N13&lt;#REF!)</formula>
    </cfRule>
    <cfRule type="expression" dxfId="674" priority="22">
      <formula>AND(N13&lt;&gt;"",N13&gt;#REF!)</formula>
    </cfRule>
    <cfRule type="expression" dxfId="673" priority="23">
      <formula>AND(N13&lt;&gt;"",N13&lt;#REF!)</formula>
    </cfRule>
    <cfRule type="expression" dxfId="672" priority="24">
      <formula>AND(N13&lt;&gt;"",N13&gt;#REF!)</formula>
    </cfRule>
  </conditionalFormatting>
  <conditionalFormatting sqref="Q13">
    <cfRule type="expression" dxfId="671" priority="17">
      <formula>AND(Q13&lt;&gt;"",Q13&lt;#REF!)</formula>
    </cfRule>
    <cfRule type="expression" dxfId="670" priority="18">
      <formula>AND(Q13&lt;&gt;"",Q13&gt;#REF!)</formula>
    </cfRule>
    <cfRule type="expression" dxfId="669" priority="19">
      <formula>AND(Q13&lt;&gt;"",Q13&lt;#REF!)</formula>
    </cfRule>
    <cfRule type="expression" dxfId="668" priority="20">
      <formula>AND(Q13&lt;&gt;"",Q13&gt;#REF!)</formula>
    </cfRule>
  </conditionalFormatting>
  <conditionalFormatting sqref="G11:J11">
    <cfRule type="expression" dxfId="667" priority="11">
      <formula>AND(G11&lt;&gt;"",G11&lt;#REF!)</formula>
    </cfRule>
    <cfRule type="expression" dxfId="666" priority="12">
      <formula>AND(G11&lt;&gt;"",G11&gt;#REF!)</formula>
    </cfRule>
    <cfRule type="expression" dxfId="665" priority="13">
      <formula>AND(G11&lt;&gt;"",G11&lt;#REF!)</formula>
    </cfRule>
    <cfRule type="expression" dxfId="664" priority="14">
      <formula>AND(G11&lt;&gt;"",G11&gt;#REF!)</formula>
    </cfRule>
  </conditionalFormatting>
  <conditionalFormatting sqref="G11:Q11">
    <cfRule type="expression" dxfId="663" priority="15">
      <formula>AND(G11&lt;&gt;"",G11&lt;#REF!)</formula>
    </cfRule>
    <cfRule type="expression" dxfId="662" priority="16">
      <formula>AND(G11&lt;&gt;"",G11&gt;#REF!)</formula>
    </cfRule>
  </conditionalFormatting>
  <conditionalFormatting sqref="G11:I12">
    <cfRule type="expression" dxfId="661" priority="9">
      <formula>AND(G11&lt;&gt;"",G11&lt;#REF!)</formula>
    </cfRule>
    <cfRule type="expression" dxfId="660" priority="10">
      <formula>AND(G11&lt;&gt;"",G11&gt;#REF!)</formula>
    </cfRule>
  </conditionalFormatting>
  <conditionalFormatting sqref="N11">
    <cfRule type="expression" dxfId="659" priority="5">
      <formula>AND(N11&lt;&gt;"",N11&lt;#REF!)</formula>
    </cfRule>
    <cfRule type="expression" dxfId="658" priority="6">
      <formula>AND(N11&lt;&gt;"",N11&gt;#REF!)</formula>
    </cfRule>
    <cfRule type="expression" dxfId="657" priority="7">
      <formula>AND(N11&lt;&gt;"",N11&lt;#REF!)</formula>
    </cfRule>
    <cfRule type="expression" dxfId="656" priority="8">
      <formula>AND(N11&lt;&gt;"",N11&gt;#REF!)</formula>
    </cfRule>
  </conditionalFormatting>
  <conditionalFormatting sqref="Q11">
    <cfRule type="expression" dxfId="655" priority="1">
      <formula>AND(Q11&lt;&gt;"",Q11&lt;#REF!)</formula>
    </cfRule>
    <cfRule type="expression" dxfId="654" priority="2">
      <formula>AND(Q11&lt;&gt;"",Q11&gt;#REF!)</formula>
    </cfRule>
    <cfRule type="expression" dxfId="653" priority="3">
      <formula>AND(Q11&lt;&gt;"",Q11&lt;#REF!)</formula>
    </cfRule>
    <cfRule type="expression" dxfId="652" priority="4">
      <formula>AND(Q11&lt;&gt;"",Q11&gt;#REF!)</formula>
    </cfRule>
  </conditionalFormatting>
  <dataValidations disablePrompts="1" count="1">
    <dataValidation type="list" allowBlank="1" showInputMessage="1" showErrorMessage="1" sqref="F43:G43" xr:uid="{00000000-0002-0000-0000-000000000000}">
      <formula1>$T$2:$T$6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6" orientation="portrait" horizontalDpi="4294967293" r:id="rId1"/>
  <headerFooter alignWithMargins="0">
    <oddFooter>&amp;R&amp;"微軟正黑體,標準"2-QA-01-06 V04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9</xdr:col>
                    <xdr:colOff>693420</xdr:colOff>
                    <xdr:row>42</xdr:row>
                    <xdr:rowOff>106680</xdr:rowOff>
                  </from>
                  <to>
                    <xdr:col>10</xdr:col>
                    <xdr:colOff>647700</xdr:colOff>
                    <xdr:row>42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Check Box 7">
              <controlPr defaultSize="0" autoFill="0" autoLine="0" autoPict="0">
                <anchor moveWithCells="1">
                  <from>
                    <xdr:col>8</xdr:col>
                    <xdr:colOff>693420</xdr:colOff>
                    <xdr:row>42</xdr:row>
                    <xdr:rowOff>99060</xdr:rowOff>
                  </from>
                  <to>
                    <xdr:col>9</xdr:col>
                    <xdr:colOff>502920</xdr:colOff>
                    <xdr:row>42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6" tint="0.39997558519241921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U6" sqref="U6"/>
    </sheetView>
  </sheetViews>
  <sheetFormatPr defaultColWidth="9" defaultRowHeight="16.2"/>
  <cols>
    <col min="1" max="2" width="5.6640625" style="1" hidden="1" customWidth="1"/>
    <col min="3" max="3" width="9" style="1" hidden="1" customWidth="1"/>
    <col min="4" max="4" width="4.109375" style="1" customWidth="1"/>
    <col min="5" max="5" width="10.33203125" style="1" customWidth="1"/>
    <col min="6" max="6" width="7.88671875" style="1" customWidth="1"/>
    <col min="7" max="18" width="10.33203125" style="1" customWidth="1"/>
    <col min="19" max="19" width="4.33203125" style="1" customWidth="1"/>
    <col min="20" max="20" width="23.44140625" style="15" customWidth="1"/>
    <col min="21" max="24" width="9" style="1"/>
    <col min="25" max="25" width="17.88671875" style="1" customWidth="1"/>
    <col min="26" max="16384" width="9" style="1"/>
  </cols>
  <sheetData>
    <row r="1" spans="1:25" ht="47.4" customHeight="1" thickBot="1">
      <c r="C1" s="250" t="s">
        <v>16</v>
      </c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T1" s="91"/>
      <c r="V1" s="268" t="str">
        <f>進料檢!V1</f>
        <v>抽樣表</v>
      </c>
      <c r="W1" s="269"/>
      <c r="X1" s="270"/>
      <c r="Y1" s="2" t="s">
        <v>179</v>
      </c>
    </row>
    <row r="2" spans="1:25" ht="21.75" customHeight="1" thickBot="1">
      <c r="C2" s="3"/>
      <c r="D2" s="189" t="s">
        <v>304</v>
      </c>
      <c r="E2" s="278"/>
      <c r="F2" s="191"/>
      <c r="G2" s="192"/>
      <c r="H2" s="192"/>
      <c r="I2" s="193"/>
      <c r="J2" s="3"/>
      <c r="K2" s="3"/>
      <c r="L2" s="3"/>
      <c r="M2" s="3"/>
      <c r="N2" s="3"/>
      <c r="O2" s="3"/>
      <c r="P2" s="4" t="s">
        <v>62</v>
      </c>
      <c r="Q2" s="273"/>
      <c r="R2" s="274"/>
      <c r="V2" s="5" t="str">
        <f>進料檢!V2</f>
        <v>下限</v>
      </c>
      <c r="W2" s="6" t="str">
        <f>進料檢!W2</f>
        <v>上限</v>
      </c>
      <c r="X2" s="7" t="str">
        <f>進料檢!X2</f>
        <v>抽樣數</v>
      </c>
      <c r="Y2" s="143" t="s">
        <v>172</v>
      </c>
    </row>
    <row r="3" spans="1:25" ht="30.9" customHeight="1">
      <c r="A3" s="8"/>
      <c r="B3" s="9"/>
      <c r="C3" s="9"/>
      <c r="D3" s="290" t="s">
        <v>18</v>
      </c>
      <c r="E3" s="291"/>
      <c r="F3" s="292" t="str">
        <f>IF(進料檢!F3="","",進料檢!F3)</f>
        <v/>
      </c>
      <c r="G3" s="293"/>
      <c r="H3" s="293"/>
      <c r="I3" s="293"/>
      <c r="J3" s="294"/>
      <c r="K3" s="294"/>
      <c r="L3" s="294"/>
      <c r="M3" s="88" t="s">
        <v>78</v>
      </c>
      <c r="N3" s="303"/>
      <c r="O3" s="304"/>
      <c r="P3" s="304"/>
      <c r="Q3" s="304"/>
      <c r="R3" s="305"/>
      <c r="V3" s="5">
        <f>進料檢!V3</f>
        <v>1</v>
      </c>
      <c r="W3" s="6">
        <f>進料檢!W3</f>
        <v>15</v>
      </c>
      <c r="X3" s="7">
        <f>進料檢!X3</f>
        <v>2</v>
      </c>
    </row>
    <row r="4" spans="1:25" ht="30.9" customHeight="1" thickBot="1">
      <c r="A4" s="11"/>
      <c r="D4" s="295" t="s">
        <v>80</v>
      </c>
      <c r="E4" s="296"/>
      <c r="F4" s="297" t="str">
        <f>IF(進料檢!F4="","",進料檢!F4)</f>
        <v/>
      </c>
      <c r="G4" s="298"/>
      <c r="H4" s="298"/>
      <c r="I4" s="298"/>
      <c r="J4" s="299"/>
      <c r="K4" s="299"/>
      <c r="L4" s="299"/>
      <c r="M4" s="89" t="s">
        <v>79</v>
      </c>
      <c r="N4" s="301" t="str">
        <f>IF(進料檢!N4="","",進料檢!N4)</f>
        <v/>
      </c>
      <c r="O4" s="302"/>
      <c r="P4" s="90" t="s">
        <v>64</v>
      </c>
      <c r="Q4" s="300" t="str">
        <f>IF($N$4="","",IF($N$4=1,1,IF($N$4&gt;=進料檢!$V$12,進料檢!$X$12,IF($N$4&gt;=進料檢!$V$11,進料檢!$X$11,IF($N$4&gt;=進料檢!$V$10,進料檢!$X$10,IF($N$4&gt;=進料檢!$V$9,進料檢!$X$9,IF($N$4&gt;=進料檢!$V$8,進料檢!$X$8,IF($N$4&gt;=進料檢!$V$7,進料檢!$X$7,IF($N$4&gt;=進料檢!$V$6,進料檢!$X$6,IF($N$4&gt;=進料檢!$V$5,進料檢!$X$5,IF($N$4&gt;=進料檢!$V$4,進料檢!$X$4,IF($N$4&gt;=進料檢!$V$3,進料檢!$X$3,進料檢!$X$12))))))))))))</f>
        <v/>
      </c>
      <c r="R4" s="238"/>
      <c r="V4" s="5">
        <f>進料檢!V4</f>
        <v>16</v>
      </c>
      <c r="W4" s="6">
        <f>進料檢!W4</f>
        <v>25</v>
      </c>
      <c r="X4" s="7">
        <f>進料檢!X4</f>
        <v>3</v>
      </c>
    </row>
    <row r="5" spans="1:25" ht="19.5" customHeight="1">
      <c r="A5" s="11"/>
      <c r="D5" s="212" t="s">
        <v>65</v>
      </c>
      <c r="E5" s="203"/>
      <c r="F5" s="203"/>
      <c r="G5" s="203"/>
      <c r="H5" s="203"/>
      <c r="I5" s="203"/>
      <c r="J5" s="203"/>
      <c r="K5" s="203"/>
      <c r="L5" s="203"/>
      <c r="M5" s="203"/>
      <c r="N5" s="213"/>
      <c r="O5" s="202" t="s">
        <v>177</v>
      </c>
      <c r="P5" s="203"/>
      <c r="Q5" s="203"/>
      <c r="R5" s="204"/>
      <c r="S5" s="14"/>
      <c r="V5" s="5">
        <f>進料檢!V5</f>
        <v>26</v>
      </c>
      <c r="W5" s="6">
        <f>進料檢!W5</f>
        <v>50</v>
      </c>
      <c r="X5" s="7">
        <f>進料檢!X5</f>
        <v>5</v>
      </c>
    </row>
    <row r="6" spans="1:25" ht="22.5" customHeight="1">
      <c r="A6" s="11"/>
      <c r="C6" s="15"/>
      <c r="D6" s="214"/>
      <c r="E6" s="279"/>
      <c r="F6" s="279"/>
      <c r="G6" s="279"/>
      <c r="H6" s="279"/>
      <c r="I6" s="279"/>
      <c r="J6" s="279"/>
      <c r="K6" s="279"/>
      <c r="L6" s="279"/>
      <c r="M6" s="279"/>
      <c r="N6" s="280"/>
      <c r="O6" s="205"/>
      <c r="P6" s="279"/>
      <c r="Q6" s="279"/>
      <c r="R6" s="287"/>
      <c r="V6" s="5">
        <f>進料檢!V6</f>
        <v>51</v>
      </c>
      <c r="W6" s="6">
        <f>進料檢!W6</f>
        <v>90</v>
      </c>
      <c r="X6" s="7">
        <f>進料檢!X6</f>
        <v>8</v>
      </c>
    </row>
    <row r="7" spans="1:25" ht="32.25" customHeight="1">
      <c r="A7" s="11"/>
      <c r="C7" s="15"/>
      <c r="D7" s="281"/>
      <c r="E7" s="282"/>
      <c r="F7" s="282"/>
      <c r="G7" s="282"/>
      <c r="H7" s="282"/>
      <c r="I7" s="282"/>
      <c r="J7" s="282"/>
      <c r="K7" s="282"/>
      <c r="L7" s="282"/>
      <c r="M7" s="282"/>
      <c r="N7" s="283"/>
      <c r="O7" s="282"/>
      <c r="P7" s="282"/>
      <c r="Q7" s="282"/>
      <c r="R7" s="288"/>
      <c r="V7" s="5">
        <f>進料檢!V7</f>
        <v>91</v>
      </c>
      <c r="W7" s="6">
        <f>進料檢!W7</f>
        <v>150</v>
      </c>
      <c r="X7" s="7">
        <f>進料檢!X7</f>
        <v>8</v>
      </c>
    </row>
    <row r="8" spans="1:25" ht="18.75" customHeight="1" thickBot="1">
      <c r="A8" s="11"/>
      <c r="C8" s="15"/>
      <c r="D8" s="284"/>
      <c r="E8" s="285"/>
      <c r="F8" s="285"/>
      <c r="G8" s="285"/>
      <c r="H8" s="285"/>
      <c r="I8" s="285"/>
      <c r="J8" s="285"/>
      <c r="K8" s="285"/>
      <c r="L8" s="285"/>
      <c r="M8" s="285"/>
      <c r="N8" s="286"/>
      <c r="O8" s="285"/>
      <c r="P8" s="285"/>
      <c r="Q8" s="285"/>
      <c r="R8" s="289"/>
      <c r="V8" s="5">
        <f>進料檢!V8</f>
        <v>151</v>
      </c>
      <c r="W8" s="6">
        <f>進料檢!W8</f>
        <v>280</v>
      </c>
      <c r="X8" s="7">
        <f>進料檢!X8</f>
        <v>12</v>
      </c>
    </row>
    <row r="9" spans="1:25" ht="15.6" customHeight="1">
      <c r="A9" s="11"/>
      <c r="C9" s="247"/>
      <c r="D9" s="251" t="s">
        <v>66</v>
      </c>
      <c r="E9" s="252"/>
      <c r="F9" s="253"/>
      <c r="G9" s="242" t="s">
        <v>67</v>
      </c>
      <c r="H9" s="242"/>
      <c r="I9" s="242"/>
      <c r="J9" s="242"/>
      <c r="K9" s="242"/>
      <c r="L9" s="242"/>
      <c r="M9" s="242"/>
      <c r="N9" s="242"/>
      <c r="O9" s="242"/>
      <c r="P9" s="242"/>
      <c r="Q9" s="242"/>
      <c r="R9" s="243"/>
      <c r="T9" s="271" t="s">
        <v>322</v>
      </c>
      <c r="V9" s="5">
        <f>進料檢!V9</f>
        <v>281</v>
      </c>
      <c r="W9" s="6">
        <f>進料檢!W9</f>
        <v>500</v>
      </c>
      <c r="X9" s="7">
        <f>進料檢!X9</f>
        <v>12</v>
      </c>
    </row>
    <row r="10" spans="1:25" ht="15.6" customHeight="1" thickBot="1">
      <c r="A10" s="11"/>
      <c r="C10" s="247"/>
      <c r="D10" s="254"/>
      <c r="E10" s="255"/>
      <c r="F10" s="25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272"/>
      <c r="V10" s="5">
        <f>進料檢!V10</f>
        <v>501</v>
      </c>
      <c r="W10" s="6">
        <f>進料檢!W10</f>
        <v>1200</v>
      </c>
      <c r="X10" s="7">
        <f>進料檢!X10</f>
        <v>12</v>
      </c>
    </row>
    <row r="11" spans="1:25" ht="27" customHeight="1" thickBot="1">
      <c r="A11" s="248"/>
      <c r="B11" s="17"/>
      <c r="C11" s="247"/>
      <c r="D11" s="257" t="s">
        <v>0</v>
      </c>
      <c r="E11" s="258"/>
      <c r="F11" s="86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77"/>
      <c r="S11" s="263"/>
      <c r="T11" s="180" t="str">
        <f>IF(進料檢!$T$11="","",進料檢!$T$11)</f>
        <v/>
      </c>
      <c r="V11" s="5">
        <f>進料檢!V11</f>
        <v>1201</v>
      </c>
      <c r="W11" s="6">
        <f>進料檢!W11</f>
        <v>3200</v>
      </c>
      <c r="X11" s="7">
        <f>進料檢!X11</f>
        <v>12</v>
      </c>
    </row>
    <row r="12" spans="1:25" ht="27" customHeight="1" thickBot="1">
      <c r="A12" s="249"/>
      <c r="B12" s="17"/>
      <c r="C12" s="247"/>
      <c r="D12" s="245"/>
      <c r="E12" s="226"/>
      <c r="F12" s="28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28"/>
      <c r="S12" s="263"/>
      <c r="T12" s="177" t="s">
        <v>321</v>
      </c>
      <c r="V12" s="18">
        <f>進料檢!V12</f>
        <v>3201</v>
      </c>
      <c r="W12" s="19">
        <f>進料檢!W12</f>
        <v>10000</v>
      </c>
      <c r="X12" s="20">
        <f>進料檢!X12</f>
        <v>12</v>
      </c>
    </row>
    <row r="13" spans="1:25" ht="27" customHeight="1" thickBot="1">
      <c r="A13" s="248"/>
      <c r="B13" s="17"/>
      <c r="C13" s="247"/>
      <c r="D13" s="244" t="s">
        <v>1</v>
      </c>
      <c r="E13" s="225"/>
      <c r="F13" s="29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27"/>
      <c r="S13" s="263"/>
      <c r="T13" s="181" t="str">
        <f>IF(進料檢!$T$13="","",進料檢!$T$13)</f>
        <v/>
      </c>
    </row>
    <row r="14" spans="1:25" ht="27" customHeight="1">
      <c r="A14" s="249"/>
      <c r="B14" s="17"/>
      <c r="C14" s="247"/>
      <c r="D14" s="245"/>
      <c r="E14" s="226"/>
      <c r="F14" s="28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28"/>
      <c r="S14" s="263"/>
    </row>
    <row r="15" spans="1:25" ht="27" customHeight="1">
      <c r="A15" s="248"/>
      <c r="B15" s="17"/>
      <c r="C15" s="247"/>
      <c r="D15" s="244" t="s">
        <v>2</v>
      </c>
      <c r="E15" s="225"/>
      <c r="F15" s="29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27"/>
      <c r="S15" s="263"/>
      <c r="T15" s="221" t="s">
        <v>103</v>
      </c>
      <c r="U15" s="222"/>
      <c r="V15" s="222"/>
      <c r="W15" s="222"/>
      <c r="X15" s="222"/>
    </row>
    <row r="16" spans="1:25" ht="27" customHeight="1">
      <c r="A16" s="249"/>
      <c r="B16" s="17"/>
      <c r="C16" s="247"/>
      <c r="D16" s="245"/>
      <c r="E16" s="226"/>
      <c r="F16" s="28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201"/>
      <c r="R16" s="228"/>
      <c r="S16" s="263"/>
      <c r="T16" s="222"/>
      <c r="U16" s="222"/>
      <c r="V16" s="222"/>
      <c r="W16" s="222"/>
      <c r="X16" s="222"/>
    </row>
    <row r="17" spans="1:24" ht="27" customHeight="1">
      <c r="A17" s="248"/>
      <c r="B17" s="17"/>
      <c r="C17" s="247"/>
      <c r="D17" s="244" t="s">
        <v>3</v>
      </c>
      <c r="E17" s="225"/>
      <c r="F17" s="29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27"/>
      <c r="S17" s="263"/>
      <c r="T17" s="306" t="str">
        <f>IF(N3="","",N3)</f>
        <v/>
      </c>
      <c r="U17" s="307"/>
      <c r="V17" s="307"/>
      <c r="W17" s="307"/>
      <c r="X17" s="307"/>
    </row>
    <row r="18" spans="1:24" ht="27" customHeight="1">
      <c r="A18" s="249"/>
      <c r="B18" s="17"/>
      <c r="C18" s="247"/>
      <c r="D18" s="245"/>
      <c r="E18" s="226"/>
      <c r="F18" s="28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28"/>
      <c r="S18" s="263"/>
      <c r="T18" s="307"/>
      <c r="U18" s="307"/>
      <c r="V18" s="307"/>
      <c r="W18" s="307"/>
      <c r="X18" s="307"/>
    </row>
    <row r="19" spans="1:24" ht="27" customHeight="1">
      <c r="A19" s="248"/>
      <c r="B19" s="17"/>
      <c r="C19" s="247"/>
      <c r="D19" s="244" t="s">
        <v>4</v>
      </c>
      <c r="E19" s="225"/>
      <c r="F19" s="29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27"/>
      <c r="S19" s="263"/>
      <c r="T19" s="307"/>
      <c r="U19" s="307"/>
      <c r="V19" s="307"/>
      <c r="W19" s="307"/>
      <c r="X19" s="307"/>
    </row>
    <row r="20" spans="1:24" ht="27" customHeight="1">
      <c r="A20" s="249"/>
      <c r="B20" s="17"/>
      <c r="C20" s="247"/>
      <c r="D20" s="245"/>
      <c r="E20" s="226"/>
      <c r="F20" s="28"/>
      <c r="G20" s="201"/>
      <c r="H20" s="201"/>
      <c r="I20" s="201"/>
      <c r="J20" s="201"/>
      <c r="K20" s="201"/>
      <c r="L20" s="201"/>
      <c r="M20" s="201"/>
      <c r="N20" s="201"/>
      <c r="O20" s="201"/>
      <c r="P20" s="201"/>
      <c r="Q20" s="201"/>
      <c r="R20" s="228"/>
      <c r="S20" s="263"/>
    </row>
    <row r="21" spans="1:24" ht="27" customHeight="1">
      <c r="A21" s="248"/>
      <c r="B21" s="17"/>
      <c r="C21" s="247"/>
      <c r="D21" s="244" t="s">
        <v>5</v>
      </c>
      <c r="E21" s="225"/>
      <c r="F21" s="29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27"/>
      <c r="S21" s="263"/>
    </row>
    <row r="22" spans="1:24" ht="27" customHeight="1">
      <c r="A22" s="249"/>
      <c r="B22" s="17"/>
      <c r="C22" s="247"/>
      <c r="D22" s="245"/>
      <c r="E22" s="226"/>
      <c r="F22" s="28"/>
      <c r="G22" s="201"/>
      <c r="H22" s="201"/>
      <c r="I22" s="201"/>
      <c r="J22" s="201"/>
      <c r="K22" s="201"/>
      <c r="L22" s="201"/>
      <c r="M22" s="201"/>
      <c r="N22" s="201"/>
      <c r="O22" s="201"/>
      <c r="P22" s="201"/>
      <c r="Q22" s="201"/>
      <c r="R22" s="228"/>
      <c r="S22" s="263"/>
    </row>
    <row r="23" spans="1:24" ht="27" customHeight="1">
      <c r="A23" s="248"/>
      <c r="B23" s="17"/>
      <c r="C23" s="247"/>
      <c r="D23" s="244" t="s">
        <v>6</v>
      </c>
      <c r="E23" s="225"/>
      <c r="F23" s="29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27"/>
      <c r="S23" s="263"/>
    </row>
    <row r="24" spans="1:24" ht="27" customHeight="1">
      <c r="A24" s="249"/>
      <c r="B24" s="17"/>
      <c r="C24" s="247"/>
      <c r="D24" s="245"/>
      <c r="E24" s="226"/>
      <c r="F24" s="28"/>
      <c r="G24" s="201"/>
      <c r="H24" s="201"/>
      <c r="I24" s="201"/>
      <c r="J24" s="201"/>
      <c r="K24" s="201"/>
      <c r="L24" s="201"/>
      <c r="M24" s="201"/>
      <c r="N24" s="201"/>
      <c r="O24" s="201"/>
      <c r="P24" s="201"/>
      <c r="Q24" s="201"/>
      <c r="R24" s="228"/>
      <c r="S24" s="263"/>
    </row>
    <row r="25" spans="1:24" ht="27" customHeight="1">
      <c r="A25" s="248"/>
      <c r="B25" s="17"/>
      <c r="C25" s="247"/>
      <c r="D25" s="244" t="s">
        <v>7</v>
      </c>
      <c r="E25" s="225"/>
      <c r="F25" s="29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27"/>
      <c r="S25" s="263"/>
    </row>
    <row r="26" spans="1:24" ht="27" customHeight="1">
      <c r="A26" s="249"/>
      <c r="B26" s="17"/>
      <c r="C26" s="247"/>
      <c r="D26" s="245"/>
      <c r="E26" s="226"/>
      <c r="F26" s="28"/>
      <c r="G26" s="201"/>
      <c r="H26" s="201"/>
      <c r="I26" s="201"/>
      <c r="J26" s="201"/>
      <c r="K26" s="201"/>
      <c r="L26" s="201"/>
      <c r="M26" s="201"/>
      <c r="N26" s="201"/>
      <c r="O26" s="201"/>
      <c r="P26" s="201"/>
      <c r="Q26" s="201"/>
      <c r="R26" s="228"/>
      <c r="S26" s="263"/>
    </row>
    <row r="27" spans="1:24" ht="27" customHeight="1">
      <c r="A27" s="248"/>
      <c r="B27" s="17"/>
      <c r="C27" s="247"/>
      <c r="D27" s="244" t="s">
        <v>8</v>
      </c>
      <c r="E27" s="225"/>
      <c r="F27" s="29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27"/>
      <c r="S27" s="263"/>
    </row>
    <row r="28" spans="1:24" ht="27" customHeight="1">
      <c r="A28" s="249"/>
      <c r="B28" s="17"/>
      <c r="C28" s="247"/>
      <c r="D28" s="245"/>
      <c r="E28" s="226"/>
      <c r="F28" s="28"/>
      <c r="G28" s="201"/>
      <c r="H28" s="201"/>
      <c r="I28" s="201"/>
      <c r="J28" s="201"/>
      <c r="K28" s="201"/>
      <c r="L28" s="201"/>
      <c r="M28" s="201"/>
      <c r="N28" s="201"/>
      <c r="O28" s="201"/>
      <c r="P28" s="201"/>
      <c r="Q28" s="201"/>
      <c r="R28" s="228"/>
      <c r="S28" s="263"/>
    </row>
    <row r="29" spans="1:24" ht="27" customHeight="1">
      <c r="A29" s="248"/>
      <c r="B29" s="17"/>
      <c r="C29" s="247"/>
      <c r="D29" s="244" t="s">
        <v>9</v>
      </c>
      <c r="E29" s="225"/>
      <c r="F29" s="29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27"/>
      <c r="S29" s="263"/>
    </row>
    <row r="30" spans="1:24" ht="27" customHeight="1">
      <c r="A30" s="249"/>
      <c r="B30" s="17"/>
      <c r="C30" s="247"/>
      <c r="D30" s="245"/>
      <c r="E30" s="226"/>
      <c r="F30" s="28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28"/>
      <c r="S30" s="263"/>
    </row>
    <row r="31" spans="1:24" ht="27" customHeight="1">
      <c r="A31" s="248"/>
      <c r="B31" s="17"/>
      <c r="C31" s="247"/>
      <c r="D31" s="244" t="s">
        <v>10</v>
      </c>
      <c r="E31" s="225"/>
      <c r="F31" s="29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27"/>
      <c r="S31" s="263"/>
    </row>
    <row r="32" spans="1:24" ht="27" customHeight="1">
      <c r="A32" s="249"/>
      <c r="B32" s="17"/>
      <c r="C32" s="247"/>
      <c r="D32" s="245"/>
      <c r="E32" s="226"/>
      <c r="F32" s="28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28"/>
      <c r="S32" s="263"/>
    </row>
    <row r="33" spans="1:20" ht="27" customHeight="1">
      <c r="A33" s="248"/>
      <c r="B33" s="17"/>
      <c r="C33" s="247"/>
      <c r="D33" s="244" t="s">
        <v>11</v>
      </c>
      <c r="E33" s="225"/>
      <c r="F33" s="29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27"/>
      <c r="S33" s="263"/>
    </row>
    <row r="34" spans="1:20" ht="27" customHeight="1">
      <c r="A34" s="249"/>
      <c r="B34" s="17"/>
      <c r="C34" s="247"/>
      <c r="D34" s="245"/>
      <c r="E34" s="226"/>
      <c r="F34" s="28"/>
      <c r="G34" s="201"/>
      <c r="H34" s="201"/>
      <c r="I34" s="201"/>
      <c r="J34" s="201"/>
      <c r="K34" s="201"/>
      <c r="L34" s="201"/>
      <c r="M34" s="201"/>
      <c r="N34" s="201"/>
      <c r="O34" s="201"/>
      <c r="P34" s="201"/>
      <c r="Q34" s="201"/>
      <c r="R34" s="228"/>
      <c r="S34" s="263"/>
    </row>
    <row r="35" spans="1:20" ht="27" customHeight="1">
      <c r="A35" s="248"/>
      <c r="B35" s="17"/>
      <c r="C35" s="247"/>
      <c r="D35" s="244" t="s">
        <v>12</v>
      </c>
      <c r="E35" s="225"/>
      <c r="F35" s="29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27"/>
      <c r="S35" s="263"/>
    </row>
    <row r="36" spans="1:20" ht="27" customHeight="1">
      <c r="A36" s="249"/>
      <c r="B36" s="17"/>
      <c r="C36" s="247"/>
      <c r="D36" s="245"/>
      <c r="E36" s="226"/>
      <c r="F36" s="28"/>
      <c r="G36" s="201"/>
      <c r="H36" s="201"/>
      <c r="I36" s="201"/>
      <c r="J36" s="201"/>
      <c r="K36" s="201"/>
      <c r="L36" s="201"/>
      <c r="M36" s="201"/>
      <c r="N36" s="201"/>
      <c r="O36" s="201"/>
      <c r="P36" s="201"/>
      <c r="Q36" s="201"/>
      <c r="R36" s="228"/>
      <c r="S36" s="263"/>
    </row>
    <row r="37" spans="1:20" ht="27" customHeight="1">
      <c r="A37" s="248"/>
      <c r="B37" s="17"/>
      <c r="C37" s="247"/>
      <c r="D37" s="244" t="s">
        <v>13</v>
      </c>
      <c r="E37" s="225"/>
      <c r="F37" s="29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27"/>
      <c r="S37" s="263"/>
    </row>
    <row r="38" spans="1:20" ht="27" customHeight="1">
      <c r="A38" s="249"/>
      <c r="B38" s="17"/>
      <c r="C38" s="247"/>
      <c r="D38" s="245"/>
      <c r="E38" s="226"/>
      <c r="F38" s="28"/>
      <c r="G38" s="201"/>
      <c r="H38" s="201"/>
      <c r="I38" s="201"/>
      <c r="J38" s="201"/>
      <c r="K38" s="201"/>
      <c r="L38" s="201"/>
      <c r="M38" s="201"/>
      <c r="N38" s="201"/>
      <c r="O38" s="201"/>
      <c r="P38" s="201"/>
      <c r="Q38" s="201"/>
      <c r="R38" s="228"/>
      <c r="S38" s="263"/>
    </row>
    <row r="39" spans="1:20" ht="27" customHeight="1">
      <c r="A39" s="248"/>
      <c r="B39" s="17"/>
      <c r="C39" s="247"/>
      <c r="D39" s="244" t="s">
        <v>14</v>
      </c>
      <c r="E39" s="225"/>
      <c r="F39" s="29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27"/>
      <c r="S39" s="263"/>
    </row>
    <row r="40" spans="1:20" ht="27" customHeight="1">
      <c r="A40" s="249"/>
      <c r="B40" s="17"/>
      <c r="C40" s="247"/>
      <c r="D40" s="245"/>
      <c r="E40" s="226"/>
      <c r="F40" s="28"/>
      <c r="G40" s="201"/>
      <c r="H40" s="201"/>
      <c r="I40" s="201"/>
      <c r="J40" s="201"/>
      <c r="K40" s="201"/>
      <c r="L40" s="201"/>
      <c r="M40" s="201"/>
      <c r="N40" s="201"/>
      <c r="O40" s="201"/>
      <c r="P40" s="201"/>
      <c r="Q40" s="201"/>
      <c r="R40" s="228"/>
      <c r="S40" s="263"/>
    </row>
    <row r="41" spans="1:20" ht="27" customHeight="1">
      <c r="A41" s="248"/>
      <c r="B41" s="17"/>
      <c r="C41" s="247"/>
      <c r="D41" s="244" t="s">
        <v>15</v>
      </c>
      <c r="E41" s="225"/>
      <c r="F41" s="29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27"/>
      <c r="S41" s="263"/>
    </row>
    <row r="42" spans="1:20" ht="27" customHeight="1" thickBot="1">
      <c r="A42" s="262"/>
      <c r="B42" s="21"/>
      <c r="C42" s="265"/>
      <c r="D42" s="264"/>
      <c r="E42" s="246"/>
      <c r="F42" s="30"/>
      <c r="G42" s="220"/>
      <c r="H42" s="220"/>
      <c r="I42" s="220"/>
      <c r="J42" s="220"/>
      <c r="K42" s="220"/>
      <c r="L42" s="220"/>
      <c r="M42" s="220"/>
      <c r="N42" s="220"/>
      <c r="O42" s="220"/>
      <c r="P42" s="220"/>
      <c r="Q42" s="220"/>
      <c r="R42" s="267"/>
      <c r="S42" s="263"/>
    </row>
    <row r="43" spans="1:20" s="22" customFormat="1" ht="30" customHeight="1">
      <c r="D43" s="23"/>
      <c r="E43" s="24" t="s">
        <v>68</v>
      </c>
      <c r="F43" s="194"/>
      <c r="G43" s="195"/>
      <c r="H43" s="23"/>
      <c r="I43" s="23" t="s">
        <v>69</v>
      </c>
      <c r="J43" s="25" t="s">
        <v>70</v>
      </c>
      <c r="K43" s="196" t="s">
        <v>148</v>
      </c>
      <c r="L43" s="197"/>
      <c r="M43" s="23"/>
      <c r="N43" s="198" t="s">
        <v>147</v>
      </c>
      <c r="O43" s="199"/>
      <c r="P43" s="223"/>
      <c r="Q43" s="223"/>
      <c r="R43" s="224"/>
      <c r="T43" s="25"/>
    </row>
    <row r="44" spans="1:20">
      <c r="P44" s="266"/>
      <c r="Q44" s="266"/>
      <c r="R44" s="266"/>
    </row>
  </sheetData>
  <mergeCells count="299">
    <mergeCell ref="T9:T10"/>
    <mergeCell ref="T17:X19"/>
    <mergeCell ref="P44:R44"/>
    <mergeCell ref="K41:K42"/>
    <mergeCell ref="L41:L42"/>
    <mergeCell ref="M41:M42"/>
    <mergeCell ref="O41:O42"/>
    <mergeCell ref="P41:P42"/>
    <mergeCell ref="R41:R42"/>
    <mergeCell ref="P37:P38"/>
    <mergeCell ref="R37:R38"/>
    <mergeCell ref="S37:S38"/>
    <mergeCell ref="P39:P40"/>
    <mergeCell ref="R39:R40"/>
    <mergeCell ref="S39:S40"/>
    <mergeCell ref="N29:N30"/>
    <mergeCell ref="S29:S30"/>
    <mergeCell ref="K31:K32"/>
    <mergeCell ref="L31:L32"/>
    <mergeCell ref="M31:M32"/>
    <mergeCell ref="O31:O32"/>
    <mergeCell ref="K29:K30"/>
    <mergeCell ref="L29:L30"/>
    <mergeCell ref="M29:M30"/>
    <mergeCell ref="A41:A42"/>
    <mergeCell ref="C41:C42"/>
    <mergeCell ref="D41:D42"/>
    <mergeCell ref="E41:E42"/>
    <mergeCell ref="J41:J42"/>
    <mergeCell ref="F43:G43"/>
    <mergeCell ref="K43:L43"/>
    <mergeCell ref="N43:O43"/>
    <mergeCell ref="S41:S42"/>
    <mergeCell ref="P43:R43"/>
    <mergeCell ref="G41:G42"/>
    <mergeCell ref="H41:H42"/>
    <mergeCell ref="I41:I42"/>
    <mergeCell ref="N41:N42"/>
    <mergeCell ref="Q41:Q42"/>
    <mergeCell ref="A39:A40"/>
    <mergeCell ref="C39:C40"/>
    <mergeCell ref="D39:D40"/>
    <mergeCell ref="E39:E40"/>
    <mergeCell ref="J39:J40"/>
    <mergeCell ref="K39:K40"/>
    <mergeCell ref="L39:L40"/>
    <mergeCell ref="M39:M40"/>
    <mergeCell ref="O39:O40"/>
    <mergeCell ref="A37:A38"/>
    <mergeCell ref="C37:C38"/>
    <mergeCell ref="D37:D38"/>
    <mergeCell ref="E37:E38"/>
    <mergeCell ref="J37:J38"/>
    <mergeCell ref="G39:G40"/>
    <mergeCell ref="H39:H40"/>
    <mergeCell ref="R33:R34"/>
    <mergeCell ref="S33:S34"/>
    <mergeCell ref="A35:A36"/>
    <mergeCell ref="C35:C36"/>
    <mergeCell ref="D35:D36"/>
    <mergeCell ref="E35:E36"/>
    <mergeCell ref="J35:J36"/>
    <mergeCell ref="S35:S36"/>
    <mergeCell ref="K35:K36"/>
    <mergeCell ref="L35:L36"/>
    <mergeCell ref="M35:M36"/>
    <mergeCell ref="O35:O36"/>
    <mergeCell ref="P35:P36"/>
    <mergeCell ref="R35:R36"/>
    <mergeCell ref="A33:A34"/>
    <mergeCell ref="C33:C34"/>
    <mergeCell ref="D33:D34"/>
    <mergeCell ref="E33:E34"/>
    <mergeCell ref="J33:J34"/>
    <mergeCell ref="A29:A30"/>
    <mergeCell ref="C29:C30"/>
    <mergeCell ref="D29:D30"/>
    <mergeCell ref="E29:E30"/>
    <mergeCell ref="J29:J30"/>
    <mergeCell ref="G33:G34"/>
    <mergeCell ref="H33:H34"/>
    <mergeCell ref="I33:I34"/>
    <mergeCell ref="G31:G32"/>
    <mergeCell ref="H31:H32"/>
    <mergeCell ref="I31:I32"/>
    <mergeCell ref="G29:G30"/>
    <mergeCell ref="H29:H30"/>
    <mergeCell ref="I29:I30"/>
    <mergeCell ref="A31:A32"/>
    <mergeCell ref="C31:C32"/>
    <mergeCell ref="D31:D32"/>
    <mergeCell ref="E31:E32"/>
    <mergeCell ref="J31:J32"/>
    <mergeCell ref="O29:O30"/>
    <mergeCell ref="P29:P30"/>
    <mergeCell ref="R29:R30"/>
    <mergeCell ref="P31:P32"/>
    <mergeCell ref="R31:R32"/>
    <mergeCell ref="S31:S32"/>
    <mergeCell ref="N31:N32"/>
    <mergeCell ref="Q31:Q32"/>
    <mergeCell ref="R25:R26"/>
    <mergeCell ref="S25:S26"/>
    <mergeCell ref="P27:P28"/>
    <mergeCell ref="R27:R28"/>
    <mergeCell ref="S27:S28"/>
    <mergeCell ref="Q29:Q30"/>
    <mergeCell ref="A27:A28"/>
    <mergeCell ref="C27:C28"/>
    <mergeCell ref="D27:D28"/>
    <mergeCell ref="E27:E28"/>
    <mergeCell ref="J27:J28"/>
    <mergeCell ref="K27:K28"/>
    <mergeCell ref="L27:L28"/>
    <mergeCell ref="M27:M28"/>
    <mergeCell ref="O27:O28"/>
    <mergeCell ref="A25:A26"/>
    <mergeCell ref="C25:C26"/>
    <mergeCell ref="D25:D26"/>
    <mergeCell ref="E25:E26"/>
    <mergeCell ref="J25:J26"/>
    <mergeCell ref="K25:K26"/>
    <mergeCell ref="L25:L26"/>
    <mergeCell ref="M25:M26"/>
    <mergeCell ref="H25:H26"/>
    <mergeCell ref="I25:I26"/>
    <mergeCell ref="R21:R22"/>
    <mergeCell ref="S21:S22"/>
    <mergeCell ref="A23:A24"/>
    <mergeCell ref="C23:C24"/>
    <mergeCell ref="D23:D24"/>
    <mergeCell ref="E23:E24"/>
    <mergeCell ref="J23:J24"/>
    <mergeCell ref="S23:S24"/>
    <mergeCell ref="K23:K24"/>
    <mergeCell ref="L23:L24"/>
    <mergeCell ref="M23:M24"/>
    <mergeCell ref="O23:O24"/>
    <mergeCell ref="P23:P24"/>
    <mergeCell ref="R23:R24"/>
    <mergeCell ref="A21:A22"/>
    <mergeCell ref="C21:C22"/>
    <mergeCell ref="D21:D22"/>
    <mergeCell ref="E21:E22"/>
    <mergeCell ref="J21:J22"/>
    <mergeCell ref="K21:K22"/>
    <mergeCell ref="L21:L22"/>
    <mergeCell ref="M21:M22"/>
    <mergeCell ref="H21:H22"/>
    <mergeCell ref="I21:I22"/>
    <mergeCell ref="A17:A18"/>
    <mergeCell ref="C17:C18"/>
    <mergeCell ref="D17:D18"/>
    <mergeCell ref="E17:E18"/>
    <mergeCell ref="J17:J18"/>
    <mergeCell ref="S17:S18"/>
    <mergeCell ref="A19:A20"/>
    <mergeCell ref="C19:C20"/>
    <mergeCell ref="D19:D20"/>
    <mergeCell ref="E19:E20"/>
    <mergeCell ref="J19:J20"/>
    <mergeCell ref="K19:K20"/>
    <mergeCell ref="L19:L20"/>
    <mergeCell ref="M19:M20"/>
    <mergeCell ref="O19:O20"/>
    <mergeCell ref="K17:K18"/>
    <mergeCell ref="L17:L18"/>
    <mergeCell ref="M17:M18"/>
    <mergeCell ref="O17:O18"/>
    <mergeCell ref="P17:P18"/>
    <mergeCell ref="R17:R18"/>
    <mergeCell ref="P19:P20"/>
    <mergeCell ref="R19:R20"/>
    <mergeCell ref="S19:S20"/>
    <mergeCell ref="A13:A14"/>
    <mergeCell ref="C13:C14"/>
    <mergeCell ref="D13:D14"/>
    <mergeCell ref="E13:E14"/>
    <mergeCell ref="J13:J14"/>
    <mergeCell ref="K13:K14"/>
    <mergeCell ref="L13:L14"/>
    <mergeCell ref="M13:M14"/>
    <mergeCell ref="O13:O14"/>
    <mergeCell ref="G13:G14"/>
    <mergeCell ref="H13:H14"/>
    <mergeCell ref="I13:I14"/>
    <mergeCell ref="N13:N14"/>
    <mergeCell ref="A15:A16"/>
    <mergeCell ref="C15:C16"/>
    <mergeCell ref="D15:D16"/>
    <mergeCell ref="E15:E16"/>
    <mergeCell ref="J15:J16"/>
    <mergeCell ref="K15:K16"/>
    <mergeCell ref="L15:L16"/>
    <mergeCell ref="M15:M16"/>
    <mergeCell ref="O15:O16"/>
    <mergeCell ref="N15:N16"/>
    <mergeCell ref="I15:I16"/>
    <mergeCell ref="A11:A12"/>
    <mergeCell ref="C11:C12"/>
    <mergeCell ref="D11:D12"/>
    <mergeCell ref="E11:E12"/>
    <mergeCell ref="J11:J12"/>
    <mergeCell ref="S11:S12"/>
    <mergeCell ref="K11:K12"/>
    <mergeCell ref="L11:L12"/>
    <mergeCell ref="M11:M12"/>
    <mergeCell ref="O11:O12"/>
    <mergeCell ref="P11:P12"/>
    <mergeCell ref="R11:R12"/>
    <mergeCell ref="H11:H12"/>
    <mergeCell ref="I11:I12"/>
    <mergeCell ref="N11:N12"/>
    <mergeCell ref="Q11:Q12"/>
    <mergeCell ref="Q15:Q16"/>
    <mergeCell ref="T15:X16"/>
    <mergeCell ref="C1:R1"/>
    <mergeCell ref="V1:X1"/>
    <mergeCell ref="D3:E3"/>
    <mergeCell ref="F3:L3"/>
    <mergeCell ref="D4:E4"/>
    <mergeCell ref="F4:L4"/>
    <mergeCell ref="C9:C10"/>
    <mergeCell ref="D9:F10"/>
    <mergeCell ref="P13:P14"/>
    <mergeCell ref="R13:R14"/>
    <mergeCell ref="S13:S14"/>
    <mergeCell ref="P15:P16"/>
    <mergeCell ref="R15:R16"/>
    <mergeCell ref="S15:S16"/>
    <mergeCell ref="Q4:R4"/>
    <mergeCell ref="N4:O4"/>
    <mergeCell ref="N3:R3"/>
    <mergeCell ref="G9:R9"/>
    <mergeCell ref="G11:G12"/>
    <mergeCell ref="Q13:Q14"/>
    <mergeCell ref="G15:G16"/>
    <mergeCell ref="H15:H16"/>
    <mergeCell ref="G17:G18"/>
    <mergeCell ref="H17:H18"/>
    <mergeCell ref="I17:I18"/>
    <mergeCell ref="N17:N18"/>
    <mergeCell ref="Q17:Q18"/>
    <mergeCell ref="G19:G20"/>
    <mergeCell ref="H19:H20"/>
    <mergeCell ref="I19:I20"/>
    <mergeCell ref="N19:N20"/>
    <mergeCell ref="Q19:Q20"/>
    <mergeCell ref="Q21:Q22"/>
    <mergeCell ref="P21:P22"/>
    <mergeCell ref="G23:G24"/>
    <mergeCell ref="H23:H24"/>
    <mergeCell ref="I23:I24"/>
    <mergeCell ref="N23:N24"/>
    <mergeCell ref="Q23:Q24"/>
    <mergeCell ref="O21:O22"/>
    <mergeCell ref="G21:G22"/>
    <mergeCell ref="Q33:Q34"/>
    <mergeCell ref="G35:G36"/>
    <mergeCell ref="H35:H36"/>
    <mergeCell ref="I35:I36"/>
    <mergeCell ref="N35:N36"/>
    <mergeCell ref="Q35:Q36"/>
    <mergeCell ref="G37:G38"/>
    <mergeCell ref="H37:H38"/>
    <mergeCell ref="I37:I38"/>
    <mergeCell ref="N37:N38"/>
    <mergeCell ref="Q37:Q38"/>
    <mergeCell ref="K33:K34"/>
    <mergeCell ref="L33:L34"/>
    <mergeCell ref="M33:M34"/>
    <mergeCell ref="O33:O34"/>
    <mergeCell ref="K37:K38"/>
    <mergeCell ref="L37:L38"/>
    <mergeCell ref="M37:M38"/>
    <mergeCell ref="D2:E2"/>
    <mergeCell ref="F2:I2"/>
    <mergeCell ref="D5:N5"/>
    <mergeCell ref="O5:R5"/>
    <mergeCell ref="D6:N8"/>
    <mergeCell ref="O6:R8"/>
    <mergeCell ref="Q2:R2"/>
    <mergeCell ref="I39:I40"/>
    <mergeCell ref="N39:N40"/>
    <mergeCell ref="Q39:Q40"/>
    <mergeCell ref="O37:O38"/>
    <mergeCell ref="P33:P34"/>
    <mergeCell ref="N33:N34"/>
    <mergeCell ref="N25:N26"/>
    <mergeCell ref="Q25:Q26"/>
    <mergeCell ref="P25:P26"/>
    <mergeCell ref="G27:G28"/>
    <mergeCell ref="H27:H28"/>
    <mergeCell ref="I27:I28"/>
    <mergeCell ref="N27:N28"/>
    <mergeCell ref="Q27:Q28"/>
    <mergeCell ref="O25:O26"/>
    <mergeCell ref="G25:G26"/>
    <mergeCell ref="N21:N22"/>
  </mergeCells>
  <phoneticPr fontId="2" type="noConversion"/>
  <conditionalFormatting sqref="F11">
    <cfRule type="expression" dxfId="651" priority="196">
      <formula>$A11="X"</formula>
    </cfRule>
  </conditionalFormatting>
  <conditionalFormatting sqref="F12">
    <cfRule type="expression" dxfId="650" priority="195">
      <formula>$A11="x"</formula>
    </cfRule>
  </conditionalFormatting>
  <conditionalFormatting sqref="F13 F15 F17 F19 F21 F23 F25 F27 F29 F31 F33 F35 F37 F39 F41">
    <cfRule type="expression" dxfId="649" priority="194">
      <formula>$A13="X"</formula>
    </cfRule>
  </conditionalFormatting>
  <conditionalFormatting sqref="F14 F16 F18 F20 F22 F24 F26 F28 F30 F32 F34 F36 F38 F40 F42">
    <cfRule type="expression" dxfId="648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647" priority="167">
      <formula>AND(G13&lt;&gt;"",G13&lt;#REF!)</formula>
    </cfRule>
    <cfRule type="expression" dxfId="646" priority="168">
      <formula>AND(G13&lt;&gt;"",G13&gt;#REF!)</formula>
    </cfRule>
    <cfRule type="expression" dxfId="645" priority="169">
      <formula>AND(G13&lt;&gt;"",G13&lt;#REF!)</formula>
    </cfRule>
    <cfRule type="expression" dxfId="644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643" priority="179">
      <formula>AND(G11&lt;&gt;"",G11&lt;#REF!)</formula>
    </cfRule>
    <cfRule type="expression" dxfId="642" priority="180">
      <formula>AND(G11&lt;&gt;"",G11&gt;#REF!)</formula>
    </cfRule>
    <cfRule type="expression" dxfId="641" priority="181">
      <formula>AND(G11&lt;&gt;"",G11&lt;#REF!)</formula>
    </cfRule>
    <cfRule type="expression" dxfId="640" priority="182">
      <formula>AND(G11&lt;&gt;"",G11&gt;#REF!)</formula>
    </cfRule>
    <cfRule type="expression" dxfId="639" priority="183">
      <formula>AND(G11&lt;&gt;"",G11&lt;#REF!)</formula>
    </cfRule>
    <cfRule type="expression" dxfId="638" priority="184">
      <formula>AND(G11&lt;&gt;"",G11&gt;#REF!)</formula>
    </cfRule>
    <cfRule type="expression" dxfId="637" priority="185">
      <formula>AND(G11&lt;&gt;"",G11&lt;#REF!)</formula>
    </cfRule>
    <cfRule type="expression" dxfId="636" priority="186">
      <formula>AND(G11&lt;&gt;"",G11&gt;#REF!)</formula>
    </cfRule>
    <cfRule type="expression" dxfId="635" priority="187">
      <formula>AND(G11&lt;&gt;"",G11&lt;#REF!)</formula>
    </cfRule>
    <cfRule type="expression" dxfId="634" priority="188">
      <formula>AND(G11&lt;&gt;"",G11&gt;#REF!)</formula>
    </cfRule>
    <cfRule type="expression" dxfId="633" priority="189">
      <formula>AND(G11&lt;&gt;"",G11&lt;#REF!)</formula>
    </cfRule>
    <cfRule type="expression" dxfId="632" priority="190">
      <formula>AND(G11&lt;&gt;"",G11&gt;#REF!)</formula>
    </cfRule>
    <cfRule type="expression" dxfId="631" priority="191">
      <formula>AND(G11&lt;&gt;"",G11&lt;#REF!)</formula>
    </cfRule>
    <cfRule type="expression" dxfId="630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629" priority="177">
      <formula>AND(K11&lt;&gt;"",K11&lt;#REF!)</formula>
    </cfRule>
    <cfRule type="expression" dxfId="628" priority="178">
      <formula>AND(K11&lt;&gt;"",K11&gt;#REF!)</formula>
    </cfRule>
  </conditionalFormatting>
  <conditionalFormatting sqref="J11:R42">
    <cfRule type="expression" dxfId="627" priority="197">
      <formula>AND(J11&lt;&gt;"",J11&lt;#REF!)</formula>
    </cfRule>
    <cfRule type="expression" dxfId="626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625" priority="171">
      <formula>AND(G13&lt;&gt;"",G13&lt;#REF!)</formula>
    </cfRule>
    <cfRule type="expression" dxfId="624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623" priority="175">
      <formula>AND(K11&lt;&gt;"",K11&lt;#REF!)</formula>
    </cfRule>
    <cfRule type="expression" dxfId="622" priority="176">
      <formula>AND(K11&lt;&gt;"",K11&gt;#REF!)</formula>
    </cfRule>
  </conditionalFormatting>
  <conditionalFormatting sqref="R11">
    <cfRule type="expression" dxfId="621" priority="173">
      <formula>AND(R11&lt;&gt;"",R11&lt;#REF!)</formula>
    </cfRule>
    <cfRule type="expression" dxfId="620" priority="174">
      <formula>AND(R11&lt;&gt;"",R11&gt;#REF!)</formula>
    </cfRule>
  </conditionalFormatting>
  <conditionalFormatting sqref="G35:I36">
    <cfRule type="expression" dxfId="619" priority="165">
      <formula>AND(G35&lt;&gt;"",G35&lt;#REF!)</formula>
    </cfRule>
    <cfRule type="expression" dxfId="618" priority="166">
      <formula>AND(G35&lt;&gt;"",G35&gt;#REF!)</formula>
    </cfRule>
  </conditionalFormatting>
  <conditionalFormatting sqref="N35">
    <cfRule type="expression" dxfId="617" priority="161">
      <formula>AND(N35&lt;&gt;"",N35&lt;#REF!)</formula>
    </cfRule>
    <cfRule type="expression" dxfId="616" priority="162">
      <formula>AND(N35&lt;&gt;"",N35&gt;#REF!)</formula>
    </cfRule>
    <cfRule type="expression" dxfId="615" priority="163">
      <formula>AND(N35&lt;&gt;"",N35&lt;#REF!)</formula>
    </cfRule>
    <cfRule type="expression" dxfId="614" priority="164">
      <formula>AND(N35&lt;&gt;"",N35&gt;#REF!)</formula>
    </cfRule>
  </conditionalFormatting>
  <conditionalFormatting sqref="Q35">
    <cfRule type="expression" dxfId="613" priority="157">
      <formula>AND(Q35&lt;&gt;"",Q35&lt;#REF!)</formula>
    </cfRule>
    <cfRule type="expression" dxfId="612" priority="158">
      <formula>AND(Q35&lt;&gt;"",Q35&gt;#REF!)</formula>
    </cfRule>
    <cfRule type="expression" dxfId="611" priority="159">
      <formula>AND(Q35&lt;&gt;"",Q35&lt;#REF!)</formula>
    </cfRule>
    <cfRule type="expression" dxfId="610" priority="160">
      <formula>AND(Q35&lt;&gt;"",Q35&gt;#REF!)</formula>
    </cfRule>
  </conditionalFormatting>
  <conditionalFormatting sqref="G37:I38">
    <cfRule type="expression" dxfId="609" priority="155">
      <formula>AND(G37&lt;&gt;"",G37&lt;#REF!)</formula>
    </cfRule>
    <cfRule type="expression" dxfId="608" priority="156">
      <formula>AND(G37&lt;&gt;"",G37&gt;#REF!)</formula>
    </cfRule>
  </conditionalFormatting>
  <conditionalFormatting sqref="N37">
    <cfRule type="expression" dxfId="607" priority="151">
      <formula>AND(N37&lt;&gt;"",N37&lt;#REF!)</formula>
    </cfRule>
    <cfRule type="expression" dxfId="606" priority="152">
      <formula>AND(N37&lt;&gt;"",N37&gt;#REF!)</formula>
    </cfRule>
    <cfRule type="expression" dxfId="605" priority="153">
      <formula>AND(N37&lt;&gt;"",N37&lt;#REF!)</formula>
    </cfRule>
    <cfRule type="expression" dxfId="604" priority="154">
      <formula>AND(N37&lt;&gt;"",N37&gt;#REF!)</formula>
    </cfRule>
  </conditionalFormatting>
  <conditionalFormatting sqref="Q37">
    <cfRule type="expression" dxfId="603" priority="147">
      <formula>AND(Q37&lt;&gt;"",Q37&lt;#REF!)</formula>
    </cfRule>
    <cfRule type="expression" dxfId="602" priority="148">
      <formula>AND(Q37&lt;&gt;"",Q37&gt;#REF!)</formula>
    </cfRule>
    <cfRule type="expression" dxfId="601" priority="149">
      <formula>AND(Q37&lt;&gt;"",Q37&lt;#REF!)</formula>
    </cfRule>
    <cfRule type="expression" dxfId="600" priority="150">
      <formula>AND(Q37&lt;&gt;"",Q37&gt;#REF!)</formula>
    </cfRule>
  </conditionalFormatting>
  <conditionalFormatting sqref="G39:I40">
    <cfRule type="expression" dxfId="599" priority="145">
      <formula>AND(G39&lt;&gt;"",G39&lt;#REF!)</formula>
    </cfRule>
    <cfRule type="expression" dxfId="598" priority="146">
      <formula>AND(G39&lt;&gt;"",G39&gt;#REF!)</formula>
    </cfRule>
  </conditionalFormatting>
  <conditionalFormatting sqref="N39">
    <cfRule type="expression" dxfId="597" priority="141">
      <formula>AND(N39&lt;&gt;"",N39&lt;#REF!)</formula>
    </cfRule>
    <cfRule type="expression" dxfId="596" priority="142">
      <formula>AND(N39&lt;&gt;"",N39&gt;#REF!)</formula>
    </cfRule>
    <cfRule type="expression" dxfId="595" priority="143">
      <formula>AND(N39&lt;&gt;"",N39&lt;#REF!)</formula>
    </cfRule>
    <cfRule type="expression" dxfId="594" priority="144">
      <formula>AND(N39&lt;&gt;"",N39&gt;#REF!)</formula>
    </cfRule>
  </conditionalFormatting>
  <conditionalFormatting sqref="Q39">
    <cfRule type="expression" dxfId="593" priority="137">
      <formula>AND(Q39&lt;&gt;"",Q39&lt;#REF!)</formula>
    </cfRule>
    <cfRule type="expression" dxfId="592" priority="138">
      <formula>AND(Q39&lt;&gt;"",Q39&gt;#REF!)</formula>
    </cfRule>
    <cfRule type="expression" dxfId="591" priority="139">
      <formula>AND(Q39&lt;&gt;"",Q39&lt;#REF!)</formula>
    </cfRule>
    <cfRule type="expression" dxfId="590" priority="140">
      <formula>AND(Q39&lt;&gt;"",Q39&gt;#REF!)</formula>
    </cfRule>
  </conditionalFormatting>
  <conditionalFormatting sqref="G41:I42">
    <cfRule type="expression" dxfId="589" priority="135">
      <formula>AND(G41&lt;&gt;"",G41&lt;#REF!)</formula>
    </cfRule>
    <cfRule type="expression" dxfId="588" priority="136">
      <formula>AND(G41&lt;&gt;"",G41&gt;#REF!)</formula>
    </cfRule>
  </conditionalFormatting>
  <conditionalFormatting sqref="N41">
    <cfRule type="expression" dxfId="587" priority="131">
      <formula>AND(N41&lt;&gt;"",N41&lt;#REF!)</formula>
    </cfRule>
    <cfRule type="expression" dxfId="586" priority="132">
      <formula>AND(N41&lt;&gt;"",N41&gt;#REF!)</formula>
    </cfRule>
    <cfRule type="expression" dxfId="585" priority="133">
      <formula>AND(N41&lt;&gt;"",N41&lt;#REF!)</formula>
    </cfRule>
    <cfRule type="expression" dxfId="584" priority="134">
      <formula>AND(N41&lt;&gt;"",N41&gt;#REF!)</formula>
    </cfRule>
  </conditionalFormatting>
  <conditionalFormatting sqref="Q41">
    <cfRule type="expression" dxfId="583" priority="127">
      <formula>AND(Q41&lt;&gt;"",Q41&lt;#REF!)</formula>
    </cfRule>
    <cfRule type="expression" dxfId="582" priority="128">
      <formula>AND(Q41&lt;&gt;"",Q41&gt;#REF!)</formula>
    </cfRule>
    <cfRule type="expression" dxfId="581" priority="129">
      <formula>AND(Q41&lt;&gt;"",Q41&lt;#REF!)</formula>
    </cfRule>
    <cfRule type="expression" dxfId="580" priority="130">
      <formula>AND(Q41&lt;&gt;"",Q41&gt;#REF!)</formula>
    </cfRule>
  </conditionalFormatting>
  <conditionalFormatting sqref="G33:I34">
    <cfRule type="expression" dxfId="579" priority="125">
      <formula>AND(G33&lt;&gt;"",G33&lt;#REF!)</formula>
    </cfRule>
    <cfRule type="expression" dxfId="578" priority="126">
      <formula>AND(G33&lt;&gt;"",G33&gt;#REF!)</formula>
    </cfRule>
  </conditionalFormatting>
  <conditionalFormatting sqref="N33">
    <cfRule type="expression" dxfId="577" priority="121">
      <formula>AND(N33&lt;&gt;"",N33&lt;#REF!)</formula>
    </cfRule>
    <cfRule type="expression" dxfId="576" priority="122">
      <formula>AND(N33&lt;&gt;"",N33&gt;#REF!)</formula>
    </cfRule>
    <cfRule type="expression" dxfId="575" priority="123">
      <formula>AND(N33&lt;&gt;"",N33&lt;#REF!)</formula>
    </cfRule>
    <cfRule type="expression" dxfId="574" priority="124">
      <formula>AND(N33&lt;&gt;"",N33&gt;#REF!)</formula>
    </cfRule>
  </conditionalFormatting>
  <conditionalFormatting sqref="Q33">
    <cfRule type="expression" dxfId="573" priority="117">
      <formula>AND(Q33&lt;&gt;"",Q33&lt;#REF!)</formula>
    </cfRule>
    <cfRule type="expression" dxfId="572" priority="118">
      <formula>AND(Q33&lt;&gt;"",Q33&gt;#REF!)</formula>
    </cfRule>
    <cfRule type="expression" dxfId="571" priority="119">
      <formula>AND(Q33&lt;&gt;"",Q33&lt;#REF!)</formula>
    </cfRule>
    <cfRule type="expression" dxfId="570" priority="120">
      <formula>AND(Q33&lt;&gt;"",Q33&gt;#REF!)</formula>
    </cfRule>
  </conditionalFormatting>
  <conditionalFormatting sqref="G31:I32">
    <cfRule type="expression" dxfId="569" priority="115">
      <formula>AND(G31&lt;&gt;"",G31&lt;#REF!)</formula>
    </cfRule>
    <cfRule type="expression" dxfId="568" priority="116">
      <formula>AND(G31&lt;&gt;"",G31&gt;#REF!)</formula>
    </cfRule>
  </conditionalFormatting>
  <conditionalFormatting sqref="N31">
    <cfRule type="expression" dxfId="567" priority="111">
      <formula>AND(N31&lt;&gt;"",N31&lt;#REF!)</formula>
    </cfRule>
    <cfRule type="expression" dxfId="566" priority="112">
      <formula>AND(N31&lt;&gt;"",N31&gt;#REF!)</formula>
    </cfRule>
    <cfRule type="expression" dxfId="565" priority="113">
      <formula>AND(N31&lt;&gt;"",N31&lt;#REF!)</formula>
    </cfRule>
    <cfRule type="expression" dxfId="564" priority="114">
      <formula>AND(N31&lt;&gt;"",N31&gt;#REF!)</formula>
    </cfRule>
  </conditionalFormatting>
  <conditionalFormatting sqref="Q31">
    <cfRule type="expression" dxfId="563" priority="107">
      <formula>AND(Q31&lt;&gt;"",Q31&lt;#REF!)</formula>
    </cfRule>
    <cfRule type="expression" dxfId="562" priority="108">
      <formula>AND(Q31&lt;&gt;"",Q31&gt;#REF!)</formula>
    </cfRule>
    <cfRule type="expression" dxfId="561" priority="109">
      <formula>AND(Q31&lt;&gt;"",Q31&lt;#REF!)</formula>
    </cfRule>
    <cfRule type="expression" dxfId="560" priority="110">
      <formula>AND(Q31&lt;&gt;"",Q31&gt;#REF!)</formula>
    </cfRule>
  </conditionalFormatting>
  <conditionalFormatting sqref="G29:I30">
    <cfRule type="expression" dxfId="559" priority="105">
      <formula>AND(G29&lt;&gt;"",G29&lt;#REF!)</formula>
    </cfRule>
    <cfRule type="expression" dxfId="558" priority="106">
      <formula>AND(G29&lt;&gt;"",G29&gt;#REF!)</formula>
    </cfRule>
  </conditionalFormatting>
  <conditionalFormatting sqref="N29">
    <cfRule type="expression" dxfId="557" priority="101">
      <formula>AND(N29&lt;&gt;"",N29&lt;#REF!)</formula>
    </cfRule>
    <cfRule type="expression" dxfId="556" priority="102">
      <formula>AND(N29&lt;&gt;"",N29&gt;#REF!)</formula>
    </cfRule>
    <cfRule type="expression" dxfId="555" priority="103">
      <formula>AND(N29&lt;&gt;"",N29&lt;#REF!)</formula>
    </cfRule>
    <cfRule type="expression" dxfId="554" priority="104">
      <formula>AND(N29&lt;&gt;"",N29&gt;#REF!)</formula>
    </cfRule>
  </conditionalFormatting>
  <conditionalFormatting sqref="Q29">
    <cfRule type="expression" dxfId="553" priority="97">
      <formula>AND(Q29&lt;&gt;"",Q29&lt;#REF!)</formula>
    </cfRule>
    <cfRule type="expression" dxfId="552" priority="98">
      <formula>AND(Q29&lt;&gt;"",Q29&gt;#REF!)</formula>
    </cfRule>
    <cfRule type="expression" dxfId="551" priority="99">
      <formula>AND(Q29&lt;&gt;"",Q29&lt;#REF!)</formula>
    </cfRule>
    <cfRule type="expression" dxfId="550" priority="100">
      <formula>AND(Q29&lt;&gt;"",Q29&gt;#REF!)</formula>
    </cfRule>
  </conditionalFormatting>
  <conditionalFormatting sqref="G27:I28">
    <cfRule type="expression" dxfId="549" priority="95">
      <formula>AND(G27&lt;&gt;"",G27&lt;#REF!)</formula>
    </cfRule>
    <cfRule type="expression" dxfId="548" priority="96">
      <formula>AND(G27&lt;&gt;"",G27&gt;#REF!)</formula>
    </cfRule>
  </conditionalFormatting>
  <conditionalFormatting sqref="N27">
    <cfRule type="expression" dxfId="547" priority="91">
      <formula>AND(N27&lt;&gt;"",N27&lt;#REF!)</formula>
    </cfRule>
    <cfRule type="expression" dxfId="546" priority="92">
      <formula>AND(N27&lt;&gt;"",N27&gt;#REF!)</formula>
    </cfRule>
    <cfRule type="expression" dxfId="545" priority="93">
      <formula>AND(N27&lt;&gt;"",N27&lt;#REF!)</formula>
    </cfRule>
    <cfRule type="expression" dxfId="544" priority="94">
      <formula>AND(N27&lt;&gt;"",N27&gt;#REF!)</formula>
    </cfRule>
  </conditionalFormatting>
  <conditionalFormatting sqref="Q27">
    <cfRule type="expression" dxfId="543" priority="87">
      <formula>AND(Q27&lt;&gt;"",Q27&lt;#REF!)</formula>
    </cfRule>
    <cfRule type="expression" dxfId="542" priority="88">
      <formula>AND(Q27&lt;&gt;"",Q27&gt;#REF!)</formula>
    </cfRule>
    <cfRule type="expression" dxfId="541" priority="89">
      <formula>AND(Q27&lt;&gt;"",Q27&lt;#REF!)</formula>
    </cfRule>
    <cfRule type="expression" dxfId="540" priority="90">
      <formula>AND(Q27&lt;&gt;"",Q27&gt;#REF!)</formula>
    </cfRule>
  </conditionalFormatting>
  <conditionalFormatting sqref="G25:I26">
    <cfRule type="expression" dxfId="539" priority="85">
      <formula>AND(G25&lt;&gt;"",G25&lt;#REF!)</formula>
    </cfRule>
    <cfRule type="expression" dxfId="538" priority="86">
      <formula>AND(G25&lt;&gt;"",G25&gt;#REF!)</formula>
    </cfRule>
  </conditionalFormatting>
  <conditionalFormatting sqref="N25">
    <cfRule type="expression" dxfId="537" priority="81">
      <formula>AND(N25&lt;&gt;"",N25&lt;#REF!)</formula>
    </cfRule>
    <cfRule type="expression" dxfId="536" priority="82">
      <formula>AND(N25&lt;&gt;"",N25&gt;#REF!)</formula>
    </cfRule>
    <cfRule type="expression" dxfId="535" priority="83">
      <formula>AND(N25&lt;&gt;"",N25&lt;#REF!)</formula>
    </cfRule>
    <cfRule type="expression" dxfId="534" priority="84">
      <formula>AND(N25&lt;&gt;"",N25&gt;#REF!)</formula>
    </cfRule>
  </conditionalFormatting>
  <conditionalFormatting sqref="Q25">
    <cfRule type="expression" dxfId="533" priority="77">
      <formula>AND(Q25&lt;&gt;"",Q25&lt;#REF!)</formula>
    </cfRule>
    <cfRule type="expression" dxfId="532" priority="78">
      <formula>AND(Q25&lt;&gt;"",Q25&gt;#REF!)</formula>
    </cfRule>
    <cfRule type="expression" dxfId="531" priority="79">
      <formula>AND(Q25&lt;&gt;"",Q25&lt;#REF!)</formula>
    </cfRule>
    <cfRule type="expression" dxfId="530" priority="80">
      <formula>AND(Q25&lt;&gt;"",Q25&gt;#REF!)</formula>
    </cfRule>
  </conditionalFormatting>
  <conditionalFormatting sqref="G23:I24">
    <cfRule type="expression" dxfId="529" priority="75">
      <formula>AND(G23&lt;&gt;"",G23&lt;#REF!)</formula>
    </cfRule>
    <cfRule type="expression" dxfId="528" priority="76">
      <formula>AND(G23&lt;&gt;"",G23&gt;#REF!)</formula>
    </cfRule>
  </conditionalFormatting>
  <conditionalFormatting sqref="N23">
    <cfRule type="expression" dxfId="527" priority="71">
      <formula>AND(N23&lt;&gt;"",N23&lt;#REF!)</formula>
    </cfRule>
    <cfRule type="expression" dxfId="526" priority="72">
      <formula>AND(N23&lt;&gt;"",N23&gt;#REF!)</formula>
    </cfRule>
    <cfRule type="expression" dxfId="525" priority="73">
      <formula>AND(N23&lt;&gt;"",N23&lt;#REF!)</formula>
    </cfRule>
    <cfRule type="expression" dxfId="524" priority="74">
      <formula>AND(N23&lt;&gt;"",N23&gt;#REF!)</formula>
    </cfRule>
  </conditionalFormatting>
  <conditionalFormatting sqref="Q23">
    <cfRule type="expression" dxfId="523" priority="67">
      <formula>AND(Q23&lt;&gt;"",Q23&lt;#REF!)</formula>
    </cfRule>
    <cfRule type="expression" dxfId="522" priority="68">
      <formula>AND(Q23&lt;&gt;"",Q23&gt;#REF!)</formula>
    </cfRule>
    <cfRule type="expression" dxfId="521" priority="69">
      <formula>AND(Q23&lt;&gt;"",Q23&lt;#REF!)</formula>
    </cfRule>
    <cfRule type="expression" dxfId="520" priority="70">
      <formula>AND(Q23&lt;&gt;"",Q23&gt;#REF!)</formula>
    </cfRule>
  </conditionalFormatting>
  <conditionalFormatting sqref="G21:I22">
    <cfRule type="expression" dxfId="519" priority="65">
      <formula>AND(G21&lt;&gt;"",G21&lt;#REF!)</formula>
    </cfRule>
    <cfRule type="expression" dxfId="518" priority="66">
      <formula>AND(G21&lt;&gt;"",G21&gt;#REF!)</formula>
    </cfRule>
  </conditionalFormatting>
  <conditionalFormatting sqref="N21">
    <cfRule type="expression" dxfId="517" priority="61">
      <formula>AND(N21&lt;&gt;"",N21&lt;#REF!)</formula>
    </cfRule>
    <cfRule type="expression" dxfId="516" priority="62">
      <formula>AND(N21&lt;&gt;"",N21&gt;#REF!)</formula>
    </cfRule>
    <cfRule type="expression" dxfId="515" priority="63">
      <formula>AND(N21&lt;&gt;"",N21&lt;#REF!)</formula>
    </cfRule>
    <cfRule type="expression" dxfId="514" priority="64">
      <formula>AND(N21&lt;&gt;"",N21&gt;#REF!)</formula>
    </cfRule>
  </conditionalFormatting>
  <conditionalFormatting sqref="Q21">
    <cfRule type="expression" dxfId="513" priority="57">
      <formula>AND(Q21&lt;&gt;"",Q21&lt;#REF!)</formula>
    </cfRule>
    <cfRule type="expression" dxfId="512" priority="58">
      <formula>AND(Q21&lt;&gt;"",Q21&gt;#REF!)</formula>
    </cfRule>
    <cfRule type="expression" dxfId="511" priority="59">
      <formula>AND(Q21&lt;&gt;"",Q21&lt;#REF!)</formula>
    </cfRule>
    <cfRule type="expression" dxfId="510" priority="60">
      <formula>AND(Q21&lt;&gt;"",Q21&gt;#REF!)</formula>
    </cfRule>
  </conditionalFormatting>
  <conditionalFormatting sqref="G19:I20">
    <cfRule type="expression" dxfId="509" priority="55">
      <formula>AND(G19&lt;&gt;"",G19&lt;#REF!)</formula>
    </cfRule>
    <cfRule type="expression" dxfId="508" priority="56">
      <formula>AND(G19&lt;&gt;"",G19&gt;#REF!)</formula>
    </cfRule>
  </conditionalFormatting>
  <conditionalFormatting sqref="N19">
    <cfRule type="expression" dxfId="507" priority="51">
      <formula>AND(N19&lt;&gt;"",N19&lt;#REF!)</formula>
    </cfRule>
    <cfRule type="expression" dxfId="506" priority="52">
      <formula>AND(N19&lt;&gt;"",N19&gt;#REF!)</formula>
    </cfRule>
    <cfRule type="expression" dxfId="505" priority="53">
      <formula>AND(N19&lt;&gt;"",N19&lt;#REF!)</formula>
    </cfRule>
    <cfRule type="expression" dxfId="504" priority="54">
      <formula>AND(N19&lt;&gt;"",N19&gt;#REF!)</formula>
    </cfRule>
  </conditionalFormatting>
  <conditionalFormatting sqref="Q19">
    <cfRule type="expression" dxfId="503" priority="47">
      <formula>AND(Q19&lt;&gt;"",Q19&lt;#REF!)</formula>
    </cfRule>
    <cfRule type="expression" dxfId="502" priority="48">
      <formula>AND(Q19&lt;&gt;"",Q19&gt;#REF!)</formula>
    </cfRule>
    <cfRule type="expression" dxfId="501" priority="49">
      <formula>AND(Q19&lt;&gt;"",Q19&lt;#REF!)</formula>
    </cfRule>
    <cfRule type="expression" dxfId="500" priority="50">
      <formula>AND(Q19&lt;&gt;"",Q19&gt;#REF!)</formula>
    </cfRule>
  </conditionalFormatting>
  <conditionalFormatting sqref="G17:I18">
    <cfRule type="expression" dxfId="499" priority="45">
      <formula>AND(G17&lt;&gt;"",G17&lt;#REF!)</formula>
    </cfRule>
    <cfRule type="expression" dxfId="498" priority="46">
      <formula>AND(G17&lt;&gt;"",G17&gt;#REF!)</formula>
    </cfRule>
  </conditionalFormatting>
  <conditionalFormatting sqref="N17">
    <cfRule type="expression" dxfId="497" priority="41">
      <formula>AND(N17&lt;&gt;"",N17&lt;#REF!)</formula>
    </cfRule>
    <cfRule type="expression" dxfId="496" priority="42">
      <formula>AND(N17&lt;&gt;"",N17&gt;#REF!)</formula>
    </cfRule>
    <cfRule type="expression" dxfId="495" priority="43">
      <formula>AND(N17&lt;&gt;"",N17&lt;#REF!)</formula>
    </cfRule>
    <cfRule type="expression" dxfId="494" priority="44">
      <formula>AND(N17&lt;&gt;"",N17&gt;#REF!)</formula>
    </cfRule>
  </conditionalFormatting>
  <conditionalFormatting sqref="Q17">
    <cfRule type="expression" dxfId="493" priority="37">
      <formula>AND(Q17&lt;&gt;"",Q17&lt;#REF!)</formula>
    </cfRule>
    <cfRule type="expression" dxfId="492" priority="38">
      <formula>AND(Q17&lt;&gt;"",Q17&gt;#REF!)</formula>
    </cfRule>
    <cfRule type="expression" dxfId="491" priority="39">
      <formula>AND(Q17&lt;&gt;"",Q17&lt;#REF!)</formula>
    </cfRule>
    <cfRule type="expression" dxfId="490" priority="40">
      <formula>AND(Q17&lt;&gt;"",Q17&gt;#REF!)</formula>
    </cfRule>
  </conditionalFormatting>
  <conditionalFormatting sqref="G15:I16">
    <cfRule type="expression" dxfId="489" priority="35">
      <formula>AND(G15&lt;&gt;"",G15&lt;#REF!)</formula>
    </cfRule>
    <cfRule type="expression" dxfId="488" priority="36">
      <formula>AND(G15&lt;&gt;"",G15&gt;#REF!)</formula>
    </cfRule>
  </conditionalFormatting>
  <conditionalFormatting sqref="N15">
    <cfRule type="expression" dxfId="487" priority="31">
      <formula>AND(N15&lt;&gt;"",N15&lt;#REF!)</formula>
    </cfRule>
    <cfRule type="expression" dxfId="486" priority="32">
      <formula>AND(N15&lt;&gt;"",N15&gt;#REF!)</formula>
    </cfRule>
    <cfRule type="expression" dxfId="485" priority="33">
      <formula>AND(N15&lt;&gt;"",N15&lt;#REF!)</formula>
    </cfRule>
    <cfRule type="expression" dxfId="484" priority="34">
      <formula>AND(N15&lt;&gt;"",N15&gt;#REF!)</formula>
    </cfRule>
  </conditionalFormatting>
  <conditionalFormatting sqref="Q15">
    <cfRule type="expression" dxfId="483" priority="27">
      <formula>AND(Q15&lt;&gt;"",Q15&lt;#REF!)</formula>
    </cfRule>
    <cfRule type="expression" dxfId="482" priority="28">
      <formula>AND(Q15&lt;&gt;"",Q15&gt;#REF!)</formula>
    </cfRule>
    <cfRule type="expression" dxfId="481" priority="29">
      <formula>AND(Q15&lt;&gt;"",Q15&lt;#REF!)</formula>
    </cfRule>
    <cfRule type="expression" dxfId="480" priority="30">
      <formula>AND(Q15&lt;&gt;"",Q15&gt;#REF!)</formula>
    </cfRule>
  </conditionalFormatting>
  <conditionalFormatting sqref="G13:I14">
    <cfRule type="expression" dxfId="479" priority="25">
      <formula>AND(G13&lt;&gt;"",G13&lt;#REF!)</formula>
    </cfRule>
    <cfRule type="expression" dxfId="478" priority="26">
      <formula>AND(G13&lt;&gt;"",G13&gt;#REF!)</formula>
    </cfRule>
  </conditionalFormatting>
  <conditionalFormatting sqref="N13">
    <cfRule type="expression" dxfId="477" priority="21">
      <formula>AND(N13&lt;&gt;"",N13&lt;#REF!)</formula>
    </cfRule>
    <cfRule type="expression" dxfId="476" priority="22">
      <formula>AND(N13&lt;&gt;"",N13&gt;#REF!)</formula>
    </cfRule>
    <cfRule type="expression" dxfId="475" priority="23">
      <formula>AND(N13&lt;&gt;"",N13&lt;#REF!)</formula>
    </cfRule>
    <cfRule type="expression" dxfId="474" priority="24">
      <formula>AND(N13&lt;&gt;"",N13&gt;#REF!)</formula>
    </cfRule>
  </conditionalFormatting>
  <conditionalFormatting sqref="Q13">
    <cfRule type="expression" dxfId="473" priority="17">
      <formula>AND(Q13&lt;&gt;"",Q13&lt;#REF!)</formula>
    </cfRule>
    <cfRule type="expression" dxfId="472" priority="18">
      <formula>AND(Q13&lt;&gt;"",Q13&gt;#REF!)</formula>
    </cfRule>
    <cfRule type="expression" dxfId="471" priority="19">
      <formula>AND(Q13&lt;&gt;"",Q13&lt;#REF!)</formula>
    </cfRule>
    <cfRule type="expression" dxfId="470" priority="20">
      <formula>AND(Q13&lt;&gt;"",Q13&gt;#REF!)</formula>
    </cfRule>
  </conditionalFormatting>
  <conditionalFormatting sqref="G11:J11">
    <cfRule type="expression" dxfId="469" priority="11">
      <formula>AND(G11&lt;&gt;"",G11&lt;#REF!)</formula>
    </cfRule>
    <cfRule type="expression" dxfId="468" priority="12">
      <formula>AND(G11&lt;&gt;"",G11&gt;#REF!)</formula>
    </cfRule>
    <cfRule type="expression" dxfId="467" priority="13">
      <formula>AND(G11&lt;&gt;"",G11&lt;#REF!)</formula>
    </cfRule>
    <cfRule type="expression" dxfId="466" priority="14">
      <formula>AND(G11&lt;&gt;"",G11&gt;#REF!)</formula>
    </cfRule>
  </conditionalFormatting>
  <conditionalFormatting sqref="G11:Q11">
    <cfRule type="expression" dxfId="465" priority="15">
      <formula>AND(G11&lt;&gt;"",G11&lt;#REF!)</formula>
    </cfRule>
    <cfRule type="expression" dxfId="464" priority="16">
      <formula>AND(G11&lt;&gt;"",G11&gt;#REF!)</formula>
    </cfRule>
  </conditionalFormatting>
  <conditionalFormatting sqref="G11:I12">
    <cfRule type="expression" dxfId="463" priority="9">
      <formula>AND(G11&lt;&gt;"",G11&lt;#REF!)</formula>
    </cfRule>
    <cfRule type="expression" dxfId="462" priority="10">
      <formula>AND(G11&lt;&gt;"",G11&gt;#REF!)</formula>
    </cfRule>
  </conditionalFormatting>
  <conditionalFormatting sqref="N11">
    <cfRule type="expression" dxfId="461" priority="5">
      <formula>AND(N11&lt;&gt;"",N11&lt;#REF!)</formula>
    </cfRule>
    <cfRule type="expression" dxfId="460" priority="6">
      <formula>AND(N11&lt;&gt;"",N11&gt;#REF!)</formula>
    </cfRule>
    <cfRule type="expression" dxfId="459" priority="7">
      <formula>AND(N11&lt;&gt;"",N11&lt;#REF!)</formula>
    </cfRule>
    <cfRule type="expression" dxfId="458" priority="8">
      <formula>AND(N11&lt;&gt;"",N11&gt;#REF!)</formula>
    </cfRule>
  </conditionalFormatting>
  <conditionalFormatting sqref="Q11">
    <cfRule type="expression" dxfId="457" priority="1">
      <formula>AND(Q11&lt;&gt;"",Q11&lt;#REF!)</formula>
    </cfRule>
    <cfRule type="expression" dxfId="456" priority="2">
      <formula>AND(Q11&lt;&gt;"",Q11&gt;#REF!)</formula>
    </cfRule>
    <cfRule type="expression" dxfId="455" priority="3">
      <formula>AND(Q11&lt;&gt;"",Q11&lt;#REF!)</formula>
    </cfRule>
    <cfRule type="expression" dxfId="454" priority="4">
      <formula>AND(Q11&lt;&gt;"",Q11&gt;#REF!)</formula>
    </cfRule>
  </conditionalFormatting>
  <printOptions horizontalCentered="1"/>
  <pageMargins left="0.25" right="0.25" top="0.75" bottom="0.75" header="0.3" footer="0.3"/>
  <pageSetup paperSize="9" scale="66" orientation="portrait" horizontalDpi="4294967293" r:id="rId1"/>
  <headerFooter alignWithMargins="0">
    <oddFooter>&amp;R&amp;"微軟正黑體,標準"2-QA-01-06 V04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Check Box 3">
              <controlPr defaultSize="0" autoFill="0" autoLine="0" autoPict="0">
                <anchor moveWithCells="1">
                  <from>
                    <xdr:col>9</xdr:col>
                    <xdr:colOff>693420</xdr:colOff>
                    <xdr:row>42</xdr:row>
                    <xdr:rowOff>106680</xdr:rowOff>
                  </from>
                  <to>
                    <xdr:col>10</xdr:col>
                    <xdr:colOff>647700</xdr:colOff>
                    <xdr:row>42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Check Box 4">
              <controlPr defaultSize="0" autoFill="0" autoLine="0" autoPict="0">
                <anchor moveWithCells="1">
                  <from>
                    <xdr:col>8</xdr:col>
                    <xdr:colOff>693420</xdr:colOff>
                    <xdr:row>42</xdr:row>
                    <xdr:rowOff>99060</xdr:rowOff>
                  </from>
                  <to>
                    <xdr:col>9</xdr:col>
                    <xdr:colOff>502920</xdr:colOff>
                    <xdr:row>42</xdr:row>
                    <xdr:rowOff>312420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進料檢!$T$2:$T$6</xm:f>
          </x14:formula1>
          <xm:sqref>F43:G43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74410-51EC-4C29-8A5F-5D274448B74F}">
  <sheetPr codeName="工作表8">
    <tabColor theme="0" tint="-0.34998626667073579"/>
    <pageSetUpPr fitToPage="1"/>
  </sheetPr>
  <dimension ref="A1:AC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M19" sqref="M19:M20"/>
    </sheetView>
  </sheetViews>
  <sheetFormatPr defaultColWidth="9" defaultRowHeight="16.2"/>
  <cols>
    <col min="1" max="2" width="5.6640625" style="1" hidden="1" customWidth="1"/>
    <col min="3" max="3" width="9" style="1" hidden="1" customWidth="1"/>
    <col min="4" max="4" width="9" style="1" customWidth="1"/>
    <col min="5" max="5" width="4.109375" style="1" customWidth="1"/>
    <col min="6" max="6" width="10.33203125" style="1" customWidth="1"/>
    <col min="7" max="7" width="7.88671875" style="1" customWidth="1"/>
    <col min="8" max="19" width="10.33203125" style="1" customWidth="1"/>
    <col min="20" max="20" width="4.33203125" style="1" customWidth="1"/>
    <col min="21" max="21" width="23.44140625" style="15" customWidth="1"/>
    <col min="22" max="25" width="9" style="1"/>
    <col min="26" max="26" width="17.88671875" style="1" customWidth="1"/>
    <col min="27" max="16384" width="9" style="1"/>
  </cols>
  <sheetData>
    <row r="1" spans="1:29" ht="47.4" customHeight="1" thickBot="1">
      <c r="C1" s="250" t="s">
        <v>16</v>
      </c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S1" s="250"/>
      <c r="U1" s="91"/>
      <c r="V1" s="268">
        <f>進料檢!U1</f>
        <v>0</v>
      </c>
      <c r="W1" s="269"/>
      <c r="X1" s="270"/>
      <c r="Y1" s="2" t="s">
        <v>179</v>
      </c>
      <c r="Z1" s="184"/>
    </row>
    <row r="2" spans="1:29" ht="21.75" customHeight="1" thickBot="1">
      <c r="C2" s="3"/>
      <c r="D2" s="3"/>
      <c r="E2" s="189" t="s">
        <v>304</v>
      </c>
      <c r="F2" s="278"/>
      <c r="G2" s="191"/>
      <c r="H2" s="192"/>
      <c r="I2" s="192"/>
      <c r="J2" s="193"/>
      <c r="K2" s="3"/>
      <c r="L2" s="3"/>
      <c r="M2" s="3"/>
      <c r="N2" s="3"/>
      <c r="O2" s="3"/>
      <c r="P2" s="3"/>
      <c r="Q2" s="4" t="s">
        <v>62</v>
      </c>
      <c r="R2" s="273"/>
      <c r="S2" s="274"/>
      <c r="V2" s="5">
        <f>進料檢!U2</f>
        <v>0</v>
      </c>
      <c r="W2" s="6" t="str">
        <f>進料檢!V2</f>
        <v>下限</v>
      </c>
      <c r="X2" s="7" t="str">
        <f>進料檢!W2</f>
        <v>上限</v>
      </c>
      <c r="Y2" s="143" t="s">
        <v>323</v>
      </c>
      <c r="Z2" s="185"/>
    </row>
    <row r="3" spans="1:29" ht="30.9" customHeight="1">
      <c r="A3" s="8"/>
      <c r="B3" s="9"/>
      <c r="C3" s="9"/>
      <c r="D3" s="183"/>
      <c r="E3" s="290" t="s">
        <v>18</v>
      </c>
      <c r="F3" s="291"/>
      <c r="G3" s="292" t="str">
        <f>IF(進料檢!F3="","",進料檢!F3)</f>
        <v/>
      </c>
      <c r="H3" s="293"/>
      <c r="I3" s="293"/>
      <c r="J3" s="293"/>
      <c r="K3" s="294"/>
      <c r="L3" s="294"/>
      <c r="M3" s="294"/>
      <c r="N3" s="88" t="s">
        <v>78</v>
      </c>
      <c r="O3" s="303" t="s">
        <v>323</v>
      </c>
      <c r="P3" s="304"/>
      <c r="Q3" s="304"/>
      <c r="R3" s="304"/>
      <c r="S3" s="305"/>
      <c r="V3" s="5">
        <f>進料檢!U3</f>
        <v>0</v>
      </c>
      <c r="W3" s="6">
        <f>進料檢!V3</f>
        <v>1</v>
      </c>
      <c r="X3" s="7">
        <f>進料檢!W3</f>
        <v>15</v>
      </c>
      <c r="Y3" s="186"/>
    </row>
    <row r="4" spans="1:29" ht="30.9" customHeight="1" thickBot="1">
      <c r="A4" s="11"/>
      <c r="E4" s="295" t="s">
        <v>80</v>
      </c>
      <c r="F4" s="296"/>
      <c r="G4" s="297" t="str">
        <f>IF(進料檢!F4="","",進料檢!F4)</f>
        <v/>
      </c>
      <c r="H4" s="298"/>
      <c r="I4" s="298"/>
      <c r="J4" s="298"/>
      <c r="K4" s="299"/>
      <c r="L4" s="299"/>
      <c r="M4" s="299"/>
      <c r="N4" s="89" t="s">
        <v>79</v>
      </c>
      <c r="O4" s="301" t="str">
        <f>IF(進料檢!N4="","",進料檢!N4)</f>
        <v/>
      </c>
      <c r="P4" s="327"/>
      <c r="Q4" s="328"/>
      <c r="R4" s="328"/>
      <c r="S4" s="238"/>
      <c r="V4" s="5">
        <f>進料檢!U4</f>
        <v>0</v>
      </c>
      <c r="W4" s="6">
        <f>進料檢!V4</f>
        <v>16</v>
      </c>
      <c r="X4" s="7">
        <f>進料檢!W4</f>
        <v>25</v>
      </c>
      <c r="Y4" s="187"/>
    </row>
    <row r="5" spans="1:29" ht="19.5" customHeight="1">
      <c r="A5" s="11"/>
      <c r="E5" s="212" t="s">
        <v>65</v>
      </c>
      <c r="F5" s="203"/>
      <c r="G5" s="203"/>
      <c r="H5" s="203"/>
      <c r="I5" s="203"/>
      <c r="J5" s="203"/>
      <c r="K5" s="203"/>
      <c r="L5" s="203"/>
      <c r="M5" s="203"/>
      <c r="N5" s="203"/>
      <c r="O5" s="213"/>
      <c r="P5" s="202" t="s">
        <v>177</v>
      </c>
      <c r="Q5" s="203"/>
      <c r="R5" s="203"/>
      <c r="S5" s="204"/>
      <c r="T5" s="14"/>
      <c r="V5" s="5">
        <f>進料檢!U5</f>
        <v>0</v>
      </c>
      <c r="W5" s="6">
        <f>進料檢!V5</f>
        <v>26</v>
      </c>
      <c r="X5" s="7">
        <f>進料檢!W5</f>
        <v>50</v>
      </c>
      <c r="Y5" s="187"/>
    </row>
    <row r="6" spans="1:29" ht="22.5" customHeight="1">
      <c r="A6" s="11"/>
      <c r="C6" s="15"/>
      <c r="D6" s="15"/>
      <c r="E6" s="214"/>
      <c r="F6" s="279"/>
      <c r="G6" s="279"/>
      <c r="H6" s="279"/>
      <c r="I6" s="279"/>
      <c r="J6" s="279"/>
      <c r="K6" s="279"/>
      <c r="L6" s="279"/>
      <c r="M6" s="279"/>
      <c r="N6" s="279"/>
      <c r="O6" s="280"/>
      <c r="P6" s="205"/>
      <c r="Q6" s="279"/>
      <c r="R6" s="279"/>
      <c r="S6" s="287"/>
      <c r="V6" s="5">
        <f>進料檢!U6</f>
        <v>0</v>
      </c>
      <c r="W6" s="6">
        <f>進料檢!V6</f>
        <v>51</v>
      </c>
      <c r="X6" s="7">
        <f>進料檢!W6</f>
        <v>90</v>
      </c>
      <c r="Y6" s="187"/>
    </row>
    <row r="7" spans="1:29" ht="32.25" customHeight="1">
      <c r="A7" s="11"/>
      <c r="C7" s="15"/>
      <c r="D7" s="15"/>
      <c r="E7" s="281"/>
      <c r="F7" s="282"/>
      <c r="G7" s="282"/>
      <c r="H7" s="282"/>
      <c r="I7" s="282"/>
      <c r="J7" s="282"/>
      <c r="K7" s="282"/>
      <c r="L7" s="282"/>
      <c r="M7" s="282"/>
      <c r="N7" s="282"/>
      <c r="O7" s="283"/>
      <c r="P7" s="282"/>
      <c r="Q7" s="282"/>
      <c r="R7" s="282"/>
      <c r="S7" s="288"/>
      <c r="V7" s="5">
        <f>進料檢!U7</f>
        <v>0</v>
      </c>
      <c r="W7" s="6">
        <f>進料檢!V7</f>
        <v>91</v>
      </c>
      <c r="X7" s="7">
        <f>進料檢!W7</f>
        <v>150</v>
      </c>
      <c r="Y7" s="187"/>
    </row>
    <row r="8" spans="1:29" ht="18.75" customHeight="1" thickBot="1">
      <c r="A8" s="11"/>
      <c r="C8" s="15"/>
      <c r="D8" s="15"/>
      <c r="E8" s="281"/>
      <c r="F8" s="282"/>
      <c r="G8" s="282"/>
      <c r="H8" s="282"/>
      <c r="I8" s="282"/>
      <c r="J8" s="282"/>
      <c r="K8" s="282"/>
      <c r="L8" s="282"/>
      <c r="M8" s="282"/>
      <c r="N8" s="282"/>
      <c r="O8" s="283"/>
      <c r="P8" s="282"/>
      <c r="Q8" s="282"/>
      <c r="R8" s="282"/>
      <c r="S8" s="288"/>
      <c r="V8" s="5">
        <f>進料檢!U8</f>
        <v>0</v>
      </c>
      <c r="W8" s="6">
        <f>進料檢!V8</f>
        <v>151</v>
      </c>
      <c r="X8" s="7">
        <f>進料檢!W8</f>
        <v>280</v>
      </c>
      <c r="Y8" s="187"/>
    </row>
    <row r="9" spans="1:29" ht="15.6" customHeight="1">
      <c r="A9" s="11"/>
      <c r="C9" s="247"/>
      <c r="D9" s="333"/>
      <c r="E9" s="334"/>
      <c r="F9" s="329" t="s">
        <v>327</v>
      </c>
      <c r="G9" s="330"/>
      <c r="H9" s="242" t="s">
        <v>67</v>
      </c>
      <c r="I9" s="242"/>
      <c r="J9" s="242"/>
      <c r="K9" s="242"/>
      <c r="L9" s="242"/>
      <c r="M9" s="242"/>
      <c r="N9" s="242"/>
      <c r="O9" s="242"/>
      <c r="P9" s="242"/>
      <c r="Q9" s="242"/>
      <c r="R9" s="242"/>
      <c r="S9" s="243"/>
      <c r="U9" s="271" t="s">
        <v>322</v>
      </c>
      <c r="V9" s="5">
        <f>進料檢!U9</f>
        <v>0</v>
      </c>
      <c r="W9" s="6">
        <f>進料檢!V9</f>
        <v>281</v>
      </c>
      <c r="X9" s="7">
        <f>進料檢!W9</f>
        <v>500</v>
      </c>
      <c r="Y9" s="187"/>
    </row>
    <row r="10" spans="1:29" ht="15.6" customHeight="1" thickBot="1">
      <c r="A10" s="11"/>
      <c r="C10" s="247"/>
      <c r="D10" s="335"/>
      <c r="E10" s="336"/>
      <c r="F10" s="331"/>
      <c r="G10" s="332"/>
      <c r="H10" s="13">
        <v>1</v>
      </c>
      <c r="I10" s="13">
        <v>2</v>
      </c>
      <c r="J10" s="13">
        <v>3</v>
      </c>
      <c r="K10" s="13">
        <v>4</v>
      </c>
      <c r="L10" s="13">
        <v>5</v>
      </c>
      <c r="M10" s="13">
        <v>6</v>
      </c>
      <c r="N10" s="13">
        <v>7</v>
      </c>
      <c r="O10" s="13">
        <v>8</v>
      </c>
      <c r="P10" s="13">
        <v>9</v>
      </c>
      <c r="Q10" s="13">
        <v>10</v>
      </c>
      <c r="R10" s="13">
        <v>11</v>
      </c>
      <c r="S10" s="16">
        <v>12</v>
      </c>
      <c r="U10" s="272"/>
      <c r="V10" s="5">
        <f>進料檢!U10</f>
        <v>0</v>
      </c>
      <c r="W10" s="6">
        <f>進料檢!V10</f>
        <v>501</v>
      </c>
      <c r="X10" s="7">
        <f>進料檢!W10</f>
        <v>1200</v>
      </c>
      <c r="Y10" s="187"/>
    </row>
    <row r="11" spans="1:29" ht="27" customHeight="1" thickBot="1">
      <c r="A11" s="248"/>
      <c r="B11" s="17"/>
      <c r="C11" s="247"/>
      <c r="D11" s="311" t="s">
        <v>324</v>
      </c>
      <c r="E11" s="309" t="s">
        <v>0</v>
      </c>
      <c r="F11" s="310"/>
      <c r="G11" s="86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77"/>
      <c r="T11" s="263"/>
      <c r="U11" s="180" t="str">
        <f>IF(進料檢!$T$11="","",進料檢!$T$11)</f>
        <v/>
      </c>
      <c r="V11" s="5">
        <f>進料檢!U11</f>
        <v>0</v>
      </c>
      <c r="W11" s="6">
        <f>進料檢!V11</f>
        <v>1201</v>
      </c>
      <c r="X11" s="7">
        <f>進料檢!W11</f>
        <v>3200</v>
      </c>
      <c r="Y11" s="187"/>
      <c r="AA11" s="15"/>
      <c r="AB11" s="188"/>
      <c r="AC11" s="188"/>
    </row>
    <row r="12" spans="1:29" ht="27" customHeight="1" thickBot="1">
      <c r="A12" s="249"/>
      <c r="B12" s="17"/>
      <c r="C12" s="247"/>
      <c r="D12" s="312"/>
      <c r="E12" s="245"/>
      <c r="F12" s="226"/>
      <c r="G12" s="28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28"/>
      <c r="T12" s="263"/>
      <c r="U12" s="177" t="s">
        <v>321</v>
      </c>
      <c r="V12" s="18">
        <f>進料檢!U12</f>
        <v>0</v>
      </c>
      <c r="W12" s="19">
        <f>進料檢!V12</f>
        <v>3201</v>
      </c>
      <c r="X12" s="20">
        <f>進料檢!W12</f>
        <v>10000</v>
      </c>
      <c r="Y12" s="187"/>
      <c r="AA12" s="15"/>
      <c r="AB12" s="15"/>
      <c r="AC12" s="15"/>
    </row>
    <row r="13" spans="1:29" ht="27" customHeight="1" thickBot="1">
      <c r="A13" s="248"/>
      <c r="B13" s="17"/>
      <c r="C13" s="247"/>
      <c r="D13" s="311" t="s">
        <v>325</v>
      </c>
      <c r="E13" s="244" t="s">
        <v>1</v>
      </c>
      <c r="F13" s="308"/>
      <c r="G13" s="87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27"/>
      <c r="T13" s="263"/>
      <c r="U13" s="181" t="str">
        <f>IF(進料檢!$T$13="","",進料檢!$T$13)</f>
        <v/>
      </c>
      <c r="AA13" s="15"/>
      <c r="AB13" s="15"/>
      <c r="AC13" s="15"/>
    </row>
    <row r="14" spans="1:29" ht="27" customHeight="1">
      <c r="A14" s="249"/>
      <c r="B14" s="17"/>
      <c r="C14" s="247"/>
      <c r="D14" s="312"/>
      <c r="E14" s="245"/>
      <c r="F14" s="226"/>
      <c r="G14" s="28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28"/>
      <c r="T14" s="263"/>
      <c r="AA14" s="15"/>
      <c r="AB14" s="15"/>
      <c r="AC14" s="15"/>
    </row>
    <row r="15" spans="1:29" ht="27" customHeight="1">
      <c r="A15" s="248"/>
      <c r="B15" s="17"/>
      <c r="C15" s="247"/>
      <c r="D15" s="311" t="s">
        <v>326</v>
      </c>
      <c r="E15" s="244" t="s">
        <v>2</v>
      </c>
      <c r="F15" s="308"/>
      <c r="G15" s="87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27"/>
      <c r="T15" s="263"/>
      <c r="U15" s="221" t="s">
        <v>103</v>
      </c>
      <c r="V15" s="222"/>
      <c r="W15" s="222"/>
      <c r="X15" s="222"/>
      <c r="Y15" s="222"/>
      <c r="AA15" s="15"/>
      <c r="AB15" s="15"/>
      <c r="AC15" s="15"/>
    </row>
    <row r="16" spans="1:29" ht="27" customHeight="1" thickBot="1">
      <c r="A16" s="249"/>
      <c r="B16" s="17"/>
      <c r="C16" s="247"/>
      <c r="D16" s="312"/>
      <c r="E16" s="315"/>
      <c r="F16" s="310"/>
      <c r="G16" s="182"/>
      <c r="H16" s="313"/>
      <c r="I16" s="313"/>
      <c r="J16" s="313"/>
      <c r="K16" s="313"/>
      <c r="L16" s="313"/>
      <c r="M16" s="313"/>
      <c r="N16" s="313"/>
      <c r="O16" s="313"/>
      <c r="P16" s="313"/>
      <c r="Q16" s="313"/>
      <c r="R16" s="313"/>
      <c r="S16" s="314"/>
      <c r="T16" s="263"/>
      <c r="U16" s="222"/>
      <c r="V16" s="222"/>
      <c r="W16" s="222"/>
      <c r="X16" s="222"/>
      <c r="Y16" s="222"/>
      <c r="AA16" s="15"/>
      <c r="AB16" s="15"/>
      <c r="AC16" s="15"/>
    </row>
    <row r="17" spans="1:29" ht="27" customHeight="1">
      <c r="A17" s="248"/>
      <c r="B17" s="17"/>
      <c r="C17" s="247"/>
      <c r="D17" s="333"/>
      <c r="E17" s="334"/>
      <c r="F17" s="329" t="s">
        <v>327</v>
      </c>
      <c r="G17" s="330"/>
      <c r="H17" s="242" t="s">
        <v>67</v>
      </c>
      <c r="I17" s="242"/>
      <c r="J17" s="242"/>
      <c r="K17" s="242"/>
      <c r="L17" s="242"/>
      <c r="M17" s="242"/>
      <c r="N17" s="242"/>
      <c r="O17" s="242"/>
      <c r="P17" s="242"/>
      <c r="Q17" s="242"/>
      <c r="R17" s="242"/>
      <c r="S17" s="243"/>
      <c r="T17" s="263"/>
      <c r="U17" s="306" t="str">
        <f>IF(O3="","",O3)</f>
        <v>熱處理數據</v>
      </c>
      <c r="V17" s="307"/>
      <c r="W17" s="307"/>
      <c r="X17" s="307"/>
      <c r="Y17" s="307"/>
      <c r="AA17" s="15"/>
      <c r="AB17" s="15"/>
      <c r="AC17" s="15"/>
    </row>
    <row r="18" spans="1:29" ht="27" customHeight="1" thickBot="1">
      <c r="A18" s="249"/>
      <c r="B18" s="17"/>
      <c r="C18" s="247"/>
      <c r="D18" s="335"/>
      <c r="E18" s="336"/>
      <c r="F18" s="331"/>
      <c r="G18" s="332"/>
      <c r="H18" s="13">
        <v>1</v>
      </c>
      <c r="I18" s="13">
        <v>2</v>
      </c>
      <c r="J18" s="13">
        <v>3</v>
      </c>
      <c r="K18" s="13">
        <v>4</v>
      </c>
      <c r="L18" s="13">
        <v>5</v>
      </c>
      <c r="M18" s="13">
        <v>6</v>
      </c>
      <c r="N18" s="13">
        <v>7</v>
      </c>
      <c r="O18" s="13">
        <v>8</v>
      </c>
      <c r="P18" s="13">
        <v>9</v>
      </c>
      <c r="Q18" s="13">
        <v>10</v>
      </c>
      <c r="R18" s="13">
        <v>11</v>
      </c>
      <c r="S18" s="16">
        <v>12</v>
      </c>
      <c r="T18" s="263"/>
      <c r="U18" s="307"/>
      <c r="V18" s="307"/>
      <c r="W18" s="307"/>
      <c r="X18" s="307"/>
      <c r="Y18" s="307"/>
      <c r="AA18" s="15"/>
      <c r="AB18" s="15"/>
      <c r="AC18" s="15"/>
    </row>
    <row r="19" spans="1:29" ht="27" customHeight="1">
      <c r="A19" s="248"/>
      <c r="B19" s="17"/>
      <c r="C19" s="247"/>
      <c r="D19" s="311" t="s">
        <v>324</v>
      </c>
      <c r="E19" s="309" t="s">
        <v>0</v>
      </c>
      <c r="F19" s="316"/>
      <c r="G19" s="86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77"/>
      <c r="T19" s="263"/>
      <c r="U19" s="307"/>
      <c r="V19" s="307"/>
      <c r="W19" s="307"/>
      <c r="X19" s="307"/>
      <c r="Y19" s="307"/>
      <c r="AA19" s="15"/>
      <c r="AB19" s="15"/>
      <c r="AC19" s="15"/>
    </row>
    <row r="20" spans="1:29" ht="27" customHeight="1">
      <c r="A20" s="249"/>
      <c r="B20" s="17"/>
      <c r="C20" s="247"/>
      <c r="D20" s="312"/>
      <c r="E20" s="245"/>
      <c r="F20" s="226"/>
      <c r="G20" s="28"/>
      <c r="H20" s="201"/>
      <c r="I20" s="201"/>
      <c r="J20" s="201"/>
      <c r="K20" s="201"/>
      <c r="L20" s="201"/>
      <c r="M20" s="201"/>
      <c r="N20" s="201"/>
      <c r="O20" s="201"/>
      <c r="P20" s="201"/>
      <c r="Q20" s="201"/>
      <c r="R20" s="201"/>
      <c r="S20" s="228"/>
      <c r="T20" s="263"/>
      <c r="AA20" s="15"/>
      <c r="AB20" s="15"/>
      <c r="AC20" s="15"/>
    </row>
    <row r="21" spans="1:29" ht="27" customHeight="1">
      <c r="A21" s="248"/>
      <c r="B21" s="17"/>
      <c r="C21" s="247"/>
      <c r="D21" s="311" t="s">
        <v>325</v>
      </c>
      <c r="E21" s="244" t="s">
        <v>1</v>
      </c>
      <c r="F21" s="308"/>
      <c r="G21" s="87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27"/>
      <c r="T21" s="263"/>
      <c r="AA21" s="15"/>
      <c r="AB21" s="15"/>
      <c r="AC21" s="15"/>
    </row>
    <row r="22" spans="1:29" ht="27" customHeight="1">
      <c r="A22" s="249"/>
      <c r="B22" s="17"/>
      <c r="C22" s="247"/>
      <c r="D22" s="312"/>
      <c r="E22" s="245"/>
      <c r="F22" s="226"/>
      <c r="G22" s="28"/>
      <c r="H22" s="201"/>
      <c r="I22" s="201"/>
      <c r="J22" s="201"/>
      <c r="K22" s="201"/>
      <c r="L22" s="201"/>
      <c r="M22" s="201"/>
      <c r="N22" s="201"/>
      <c r="O22" s="201"/>
      <c r="P22" s="201"/>
      <c r="Q22" s="201"/>
      <c r="R22" s="201"/>
      <c r="S22" s="228"/>
      <c r="T22" s="263"/>
      <c r="AA22" s="15"/>
      <c r="AB22" s="15"/>
      <c r="AC22" s="15"/>
    </row>
    <row r="23" spans="1:29" ht="27" customHeight="1">
      <c r="A23" s="248"/>
      <c r="B23" s="17"/>
      <c r="C23" s="247"/>
      <c r="D23" s="311" t="s">
        <v>326</v>
      </c>
      <c r="E23" s="244" t="s">
        <v>2</v>
      </c>
      <c r="F23" s="308"/>
      <c r="G23" s="87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27"/>
      <c r="T23" s="263"/>
    </row>
    <row r="24" spans="1:29" ht="27" customHeight="1" thickBot="1">
      <c r="A24" s="249"/>
      <c r="B24" s="17"/>
      <c r="C24" s="247"/>
      <c r="D24" s="312"/>
      <c r="E24" s="315"/>
      <c r="F24" s="310"/>
      <c r="G24" s="182"/>
      <c r="H24" s="313"/>
      <c r="I24" s="313"/>
      <c r="J24" s="313"/>
      <c r="K24" s="313"/>
      <c r="L24" s="313"/>
      <c r="M24" s="313"/>
      <c r="N24" s="313"/>
      <c r="O24" s="313"/>
      <c r="P24" s="313"/>
      <c r="Q24" s="313"/>
      <c r="R24" s="313"/>
      <c r="S24" s="314"/>
      <c r="T24" s="263"/>
    </row>
    <row r="25" spans="1:29" ht="27" customHeight="1">
      <c r="A25" s="248"/>
      <c r="B25" s="17"/>
      <c r="C25" s="247"/>
      <c r="D25" s="319" t="s">
        <v>329</v>
      </c>
      <c r="E25" s="317"/>
      <c r="F25" s="329" t="s">
        <v>328</v>
      </c>
      <c r="G25" s="330"/>
      <c r="H25" s="242" t="s">
        <v>67</v>
      </c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3"/>
      <c r="T25" s="263"/>
    </row>
    <row r="26" spans="1:29" ht="27" customHeight="1" thickBot="1">
      <c r="A26" s="249"/>
      <c r="B26" s="17"/>
      <c r="C26" s="247"/>
      <c r="D26" s="320"/>
      <c r="E26" s="318"/>
      <c r="F26" s="331"/>
      <c r="G26" s="332"/>
      <c r="H26" s="13">
        <v>1</v>
      </c>
      <c r="I26" s="13">
        <v>2</v>
      </c>
      <c r="J26" s="13">
        <v>3</v>
      </c>
      <c r="K26" s="13">
        <v>4</v>
      </c>
      <c r="L26" s="13">
        <v>5</v>
      </c>
      <c r="M26" s="13">
        <v>6</v>
      </c>
      <c r="N26" s="13">
        <v>7</v>
      </c>
      <c r="O26" s="13">
        <v>8</v>
      </c>
      <c r="P26" s="13">
        <v>9</v>
      </c>
      <c r="Q26" s="13">
        <v>10</v>
      </c>
      <c r="R26" s="13">
        <v>11</v>
      </c>
      <c r="S26" s="16">
        <v>12</v>
      </c>
      <c r="T26" s="263"/>
    </row>
    <row r="27" spans="1:29" ht="27" customHeight="1">
      <c r="A27" s="248"/>
      <c r="B27" s="17"/>
      <c r="C27" s="247"/>
      <c r="D27" s="311" t="s">
        <v>324</v>
      </c>
      <c r="E27" s="257" t="s">
        <v>0</v>
      </c>
      <c r="F27" s="258"/>
      <c r="G27" s="86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77"/>
      <c r="T27" s="263"/>
    </row>
    <row r="28" spans="1:29" ht="27" customHeight="1">
      <c r="A28" s="249"/>
      <c r="B28" s="17"/>
      <c r="C28" s="247"/>
      <c r="D28" s="312"/>
      <c r="E28" s="245"/>
      <c r="F28" s="226"/>
      <c r="G28" s="28"/>
      <c r="H28" s="201"/>
      <c r="I28" s="201"/>
      <c r="J28" s="201"/>
      <c r="K28" s="201"/>
      <c r="L28" s="201"/>
      <c r="M28" s="201"/>
      <c r="N28" s="201"/>
      <c r="O28" s="201"/>
      <c r="P28" s="201"/>
      <c r="Q28" s="201"/>
      <c r="R28" s="201"/>
      <c r="S28" s="228"/>
      <c r="T28" s="263"/>
    </row>
    <row r="29" spans="1:29" ht="27" customHeight="1">
      <c r="A29" s="248"/>
      <c r="B29" s="17"/>
      <c r="C29" s="247"/>
      <c r="D29" s="311" t="s">
        <v>326</v>
      </c>
      <c r="E29" s="244" t="s">
        <v>1</v>
      </c>
      <c r="F29" s="225"/>
      <c r="G29" s="29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27"/>
      <c r="T29" s="263"/>
    </row>
    <row r="30" spans="1:29" ht="27" customHeight="1" thickBot="1">
      <c r="A30" s="249"/>
      <c r="B30" s="17"/>
      <c r="C30" s="247"/>
      <c r="D30" s="312"/>
      <c r="E30" s="245"/>
      <c r="F30" s="226"/>
      <c r="G30" s="28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28"/>
      <c r="T30" s="263"/>
    </row>
    <row r="31" spans="1:29" ht="27" customHeight="1">
      <c r="A31" s="248"/>
      <c r="B31" s="17"/>
      <c r="C31" s="247"/>
      <c r="D31" s="319" t="s">
        <v>329</v>
      </c>
      <c r="E31" s="317"/>
      <c r="F31" s="329" t="s">
        <v>328</v>
      </c>
      <c r="G31" s="330"/>
      <c r="H31" s="242" t="s">
        <v>67</v>
      </c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3"/>
      <c r="T31" s="263"/>
    </row>
    <row r="32" spans="1:29" ht="27" customHeight="1" thickBot="1">
      <c r="A32" s="249"/>
      <c r="B32" s="17"/>
      <c r="C32" s="247"/>
      <c r="D32" s="320"/>
      <c r="E32" s="318"/>
      <c r="F32" s="331"/>
      <c r="G32" s="332"/>
      <c r="H32" s="13">
        <v>1</v>
      </c>
      <c r="I32" s="13">
        <v>2</v>
      </c>
      <c r="J32" s="13">
        <v>3</v>
      </c>
      <c r="K32" s="13">
        <v>4</v>
      </c>
      <c r="L32" s="13">
        <v>5</v>
      </c>
      <c r="M32" s="13">
        <v>6</v>
      </c>
      <c r="N32" s="13">
        <v>7</v>
      </c>
      <c r="O32" s="13">
        <v>8</v>
      </c>
      <c r="P32" s="13">
        <v>9</v>
      </c>
      <c r="Q32" s="13">
        <v>10</v>
      </c>
      <c r="R32" s="13">
        <v>11</v>
      </c>
      <c r="S32" s="16">
        <v>12</v>
      </c>
      <c r="T32" s="263"/>
    </row>
    <row r="33" spans="1:21" ht="27" customHeight="1">
      <c r="A33" s="248"/>
      <c r="B33" s="17"/>
      <c r="C33" s="247"/>
      <c r="D33" s="311" t="s">
        <v>324</v>
      </c>
      <c r="E33" s="257" t="s">
        <v>0</v>
      </c>
      <c r="F33" s="258"/>
      <c r="G33" s="86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77"/>
      <c r="T33" s="263"/>
    </row>
    <row r="34" spans="1:21" ht="27" customHeight="1">
      <c r="A34" s="249"/>
      <c r="B34" s="17"/>
      <c r="C34" s="247"/>
      <c r="D34" s="312"/>
      <c r="E34" s="245"/>
      <c r="F34" s="226"/>
      <c r="G34" s="28"/>
      <c r="H34" s="201"/>
      <c r="I34" s="201"/>
      <c r="J34" s="201"/>
      <c r="K34" s="201"/>
      <c r="L34" s="201"/>
      <c r="M34" s="201"/>
      <c r="N34" s="201"/>
      <c r="O34" s="201"/>
      <c r="P34" s="201"/>
      <c r="Q34" s="201"/>
      <c r="R34" s="201"/>
      <c r="S34" s="228"/>
      <c r="T34" s="263"/>
    </row>
    <row r="35" spans="1:21" ht="27" customHeight="1">
      <c r="A35" s="248"/>
      <c r="B35" s="17"/>
      <c r="C35" s="247"/>
      <c r="D35" s="311" t="s">
        <v>326</v>
      </c>
      <c r="E35" s="244" t="s">
        <v>1</v>
      </c>
      <c r="F35" s="225"/>
      <c r="G35" s="29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27"/>
      <c r="T35" s="263"/>
    </row>
    <row r="36" spans="1:21" ht="27" customHeight="1" thickBot="1">
      <c r="A36" s="249"/>
      <c r="B36" s="17"/>
      <c r="C36" s="247"/>
      <c r="D36" s="312"/>
      <c r="E36" s="245"/>
      <c r="F36" s="226"/>
      <c r="G36" s="28"/>
      <c r="H36" s="201"/>
      <c r="I36" s="201"/>
      <c r="J36" s="201"/>
      <c r="K36" s="201"/>
      <c r="L36" s="201"/>
      <c r="M36" s="201"/>
      <c r="N36" s="201"/>
      <c r="O36" s="201"/>
      <c r="P36" s="201"/>
      <c r="Q36" s="201"/>
      <c r="R36" s="201"/>
      <c r="S36" s="228"/>
      <c r="T36" s="263"/>
    </row>
    <row r="37" spans="1:21" ht="27" customHeight="1">
      <c r="A37" s="248"/>
      <c r="B37" s="17"/>
      <c r="C37" s="247"/>
      <c r="D37" s="333"/>
      <c r="E37" s="334"/>
      <c r="F37" s="337"/>
      <c r="G37" s="334"/>
      <c r="H37" s="242" t="s">
        <v>67</v>
      </c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3"/>
      <c r="T37" s="263"/>
    </row>
    <row r="38" spans="1:21" ht="27" customHeight="1" thickBot="1">
      <c r="A38" s="249"/>
      <c r="B38" s="17"/>
      <c r="C38" s="247"/>
      <c r="D38" s="335"/>
      <c r="E38" s="336"/>
      <c r="F38" s="338"/>
      <c r="G38" s="336"/>
      <c r="H38" s="13">
        <v>1</v>
      </c>
      <c r="I38" s="13">
        <v>2</v>
      </c>
      <c r="J38" s="13">
        <v>3</v>
      </c>
      <c r="K38" s="13">
        <v>4</v>
      </c>
      <c r="L38" s="13">
        <v>5</v>
      </c>
      <c r="M38" s="13">
        <v>6</v>
      </c>
      <c r="N38" s="13">
        <v>7</v>
      </c>
      <c r="O38" s="13">
        <v>8</v>
      </c>
      <c r="P38" s="13">
        <v>9</v>
      </c>
      <c r="Q38" s="13">
        <v>10</v>
      </c>
      <c r="R38" s="13">
        <v>11</v>
      </c>
      <c r="S38" s="16">
        <v>12</v>
      </c>
      <c r="T38" s="263"/>
    </row>
    <row r="39" spans="1:21" ht="27" customHeight="1">
      <c r="A39" s="248"/>
      <c r="B39" s="17"/>
      <c r="C39" s="247"/>
      <c r="D39" s="311" t="s">
        <v>324</v>
      </c>
      <c r="E39" s="257" t="s">
        <v>0</v>
      </c>
      <c r="F39" s="258"/>
      <c r="G39" s="86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77"/>
      <c r="T39" s="263"/>
    </row>
    <row r="40" spans="1:21" ht="27" customHeight="1">
      <c r="A40" s="249"/>
      <c r="B40" s="17"/>
      <c r="C40" s="247"/>
      <c r="D40" s="312"/>
      <c r="E40" s="245"/>
      <c r="F40" s="226"/>
      <c r="G40" s="28"/>
      <c r="H40" s="201"/>
      <c r="I40" s="201"/>
      <c r="J40" s="201"/>
      <c r="K40" s="201"/>
      <c r="L40" s="201"/>
      <c r="M40" s="201"/>
      <c r="N40" s="201"/>
      <c r="O40" s="201"/>
      <c r="P40" s="201"/>
      <c r="Q40" s="201"/>
      <c r="R40" s="201"/>
      <c r="S40" s="228"/>
      <c r="T40" s="263"/>
    </row>
    <row r="41" spans="1:21" ht="27" customHeight="1">
      <c r="A41" s="321"/>
      <c r="B41" s="17"/>
      <c r="C41" s="247"/>
      <c r="D41" s="311" t="s">
        <v>326</v>
      </c>
      <c r="E41" s="244" t="s">
        <v>1</v>
      </c>
      <c r="F41" s="308"/>
      <c r="G41" s="87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27"/>
      <c r="T41" s="263"/>
    </row>
    <row r="42" spans="1:21" ht="27" customHeight="1" thickBot="1">
      <c r="A42" s="262"/>
      <c r="B42" s="21"/>
      <c r="C42" s="265"/>
      <c r="D42" s="320"/>
      <c r="E42" s="264"/>
      <c r="F42" s="246"/>
      <c r="G42" s="30"/>
      <c r="H42" s="220"/>
      <c r="I42" s="220"/>
      <c r="J42" s="220"/>
      <c r="K42" s="220"/>
      <c r="L42" s="220"/>
      <c r="M42" s="220"/>
      <c r="N42" s="220"/>
      <c r="O42" s="220"/>
      <c r="P42" s="220"/>
      <c r="Q42" s="220"/>
      <c r="R42" s="220"/>
      <c r="S42" s="267"/>
      <c r="T42" s="263"/>
    </row>
    <row r="43" spans="1:21" s="22" customFormat="1" ht="30" customHeight="1">
      <c r="E43" s="23"/>
      <c r="F43" s="24" t="s">
        <v>68</v>
      </c>
      <c r="G43" s="322"/>
      <c r="H43" s="195"/>
      <c r="I43" s="23"/>
      <c r="J43" s="23" t="s">
        <v>69</v>
      </c>
      <c r="K43" s="25" t="s">
        <v>70</v>
      </c>
      <c r="L43" s="323" t="s">
        <v>148</v>
      </c>
      <c r="M43" s="324"/>
      <c r="N43" s="23"/>
      <c r="O43" s="325" t="s">
        <v>147</v>
      </c>
      <c r="P43" s="326"/>
      <c r="Q43" s="223"/>
      <c r="R43" s="223"/>
      <c r="S43" s="224"/>
      <c r="U43" s="25"/>
    </row>
    <row r="44" spans="1:21">
      <c r="Q44" s="266"/>
      <c r="R44" s="266"/>
      <c r="S44" s="266"/>
    </row>
  </sheetData>
  <mergeCells count="269">
    <mergeCell ref="F9:G10"/>
    <mergeCell ref="D9:E10"/>
    <mergeCell ref="D17:E18"/>
    <mergeCell ref="F17:G18"/>
    <mergeCell ref="D37:E38"/>
    <mergeCell ref="D39:D40"/>
    <mergeCell ref="F25:G26"/>
    <mergeCell ref="D25:D26"/>
    <mergeCell ref="D33:D34"/>
    <mergeCell ref="F31:G32"/>
    <mergeCell ref="F37:G38"/>
    <mergeCell ref="D23:D24"/>
    <mergeCell ref="D13:D14"/>
    <mergeCell ref="D15:D16"/>
    <mergeCell ref="J19:J20"/>
    <mergeCell ref="K19:K20"/>
    <mergeCell ref="L19:L20"/>
    <mergeCell ref="M19:M20"/>
    <mergeCell ref="N19:N20"/>
    <mergeCell ref="O19:O20"/>
    <mergeCell ref="I13:I14"/>
    <mergeCell ref="J13:J14"/>
    <mergeCell ref="K13:K14"/>
    <mergeCell ref="L13:L14"/>
    <mergeCell ref="M13:M14"/>
    <mergeCell ref="G43:H43"/>
    <mergeCell ref="L43:M43"/>
    <mergeCell ref="O43:P43"/>
    <mergeCell ref="Q43:S43"/>
    <mergeCell ref="Q44:S44"/>
    <mergeCell ref="O4:S4"/>
    <mergeCell ref="H37:S37"/>
    <mergeCell ref="O41:O42"/>
    <mergeCell ref="P41:P42"/>
    <mergeCell ref="Q41:Q42"/>
    <mergeCell ref="R41:R42"/>
    <mergeCell ref="S41:S42"/>
    <mergeCell ref="O33:O34"/>
    <mergeCell ref="P33:P34"/>
    <mergeCell ref="Q33:Q34"/>
    <mergeCell ref="R33:R34"/>
    <mergeCell ref="S33:S34"/>
    <mergeCell ref="O29:O30"/>
    <mergeCell ref="P29:P30"/>
    <mergeCell ref="Q29:Q30"/>
    <mergeCell ref="R29:R30"/>
    <mergeCell ref="S29:S30"/>
    <mergeCell ref="S21:S22"/>
    <mergeCell ref="H15:H16"/>
    <mergeCell ref="T41:T42"/>
    <mergeCell ref="I41:I42"/>
    <mergeCell ref="J41:J42"/>
    <mergeCell ref="K41:K42"/>
    <mergeCell ref="L41:L42"/>
    <mergeCell ref="M41:M42"/>
    <mergeCell ref="N41:N42"/>
    <mergeCell ref="P39:P40"/>
    <mergeCell ref="Q39:Q40"/>
    <mergeCell ref="R39:R40"/>
    <mergeCell ref="S39:S40"/>
    <mergeCell ref="T39:T40"/>
    <mergeCell ref="N39:N40"/>
    <mergeCell ref="O39:O40"/>
    <mergeCell ref="A41:A42"/>
    <mergeCell ref="C41:C42"/>
    <mergeCell ref="E41:E42"/>
    <mergeCell ref="F41:F42"/>
    <mergeCell ref="H41:H42"/>
    <mergeCell ref="J39:J40"/>
    <mergeCell ref="K39:K40"/>
    <mergeCell ref="L39:L40"/>
    <mergeCell ref="M39:M40"/>
    <mergeCell ref="A39:A40"/>
    <mergeCell ref="C39:C40"/>
    <mergeCell ref="E39:E40"/>
    <mergeCell ref="F39:F40"/>
    <mergeCell ref="H39:H40"/>
    <mergeCell ref="I39:I40"/>
    <mergeCell ref="D41:D42"/>
    <mergeCell ref="T37:T38"/>
    <mergeCell ref="P35:P36"/>
    <mergeCell ref="Q35:Q36"/>
    <mergeCell ref="R35:R36"/>
    <mergeCell ref="S35:S36"/>
    <mergeCell ref="T35:T36"/>
    <mergeCell ref="A37:A38"/>
    <mergeCell ref="C37:C38"/>
    <mergeCell ref="J35:J36"/>
    <mergeCell ref="K35:K36"/>
    <mergeCell ref="L35:L36"/>
    <mergeCell ref="M35:M36"/>
    <mergeCell ref="N35:N36"/>
    <mergeCell ref="O35:O36"/>
    <mergeCell ref="A35:A36"/>
    <mergeCell ref="C35:C36"/>
    <mergeCell ref="E35:E36"/>
    <mergeCell ref="F35:F36"/>
    <mergeCell ref="H35:H36"/>
    <mergeCell ref="I35:I36"/>
    <mergeCell ref="D35:D36"/>
    <mergeCell ref="T33:T34"/>
    <mergeCell ref="I33:I34"/>
    <mergeCell ref="J33:J34"/>
    <mergeCell ref="K33:K34"/>
    <mergeCell ref="L33:L34"/>
    <mergeCell ref="M33:M34"/>
    <mergeCell ref="N33:N34"/>
    <mergeCell ref="T31:T32"/>
    <mergeCell ref="A33:A34"/>
    <mergeCell ref="C33:C34"/>
    <mergeCell ref="E33:E34"/>
    <mergeCell ref="F33:F34"/>
    <mergeCell ref="H33:H34"/>
    <mergeCell ref="A31:A32"/>
    <mergeCell ref="C31:C32"/>
    <mergeCell ref="E31:E32"/>
    <mergeCell ref="D31:D32"/>
    <mergeCell ref="H31:S31"/>
    <mergeCell ref="T29:T30"/>
    <mergeCell ref="I29:I30"/>
    <mergeCell ref="J29:J30"/>
    <mergeCell ref="K29:K30"/>
    <mergeCell ref="L29:L30"/>
    <mergeCell ref="M29:M30"/>
    <mergeCell ref="N29:N30"/>
    <mergeCell ref="P27:P28"/>
    <mergeCell ref="Q27:Q28"/>
    <mergeCell ref="R27:R28"/>
    <mergeCell ref="S27:S28"/>
    <mergeCell ref="T27:T28"/>
    <mergeCell ref="N27:N28"/>
    <mergeCell ref="O27:O28"/>
    <mergeCell ref="A29:A30"/>
    <mergeCell ref="C29:C30"/>
    <mergeCell ref="E29:E30"/>
    <mergeCell ref="F29:F30"/>
    <mergeCell ref="H29:H30"/>
    <mergeCell ref="J27:J28"/>
    <mergeCell ref="K27:K28"/>
    <mergeCell ref="L27:L28"/>
    <mergeCell ref="M27:M28"/>
    <mergeCell ref="D27:D28"/>
    <mergeCell ref="D29:D30"/>
    <mergeCell ref="T25:T26"/>
    <mergeCell ref="A27:A28"/>
    <mergeCell ref="C27:C28"/>
    <mergeCell ref="E27:E28"/>
    <mergeCell ref="F27:F28"/>
    <mergeCell ref="H27:H28"/>
    <mergeCell ref="I27:I28"/>
    <mergeCell ref="R23:R24"/>
    <mergeCell ref="S23:S24"/>
    <mergeCell ref="T23:T24"/>
    <mergeCell ref="A25:A26"/>
    <mergeCell ref="C25:C26"/>
    <mergeCell ref="E25:E26"/>
    <mergeCell ref="L23:L24"/>
    <mergeCell ref="M23:M24"/>
    <mergeCell ref="N23:N24"/>
    <mergeCell ref="O23:O24"/>
    <mergeCell ref="P23:P24"/>
    <mergeCell ref="Q23:Q24"/>
    <mergeCell ref="H25:S25"/>
    <mergeCell ref="T21:T22"/>
    <mergeCell ref="A23:A24"/>
    <mergeCell ref="C23:C24"/>
    <mergeCell ref="E23:E24"/>
    <mergeCell ref="F23:F24"/>
    <mergeCell ref="H23:H24"/>
    <mergeCell ref="I23:I24"/>
    <mergeCell ref="J23:J24"/>
    <mergeCell ref="K23:K24"/>
    <mergeCell ref="M21:M22"/>
    <mergeCell ref="N21:N22"/>
    <mergeCell ref="O21:O22"/>
    <mergeCell ref="P21:P22"/>
    <mergeCell ref="Q21:Q22"/>
    <mergeCell ref="R21:R22"/>
    <mergeCell ref="J21:J22"/>
    <mergeCell ref="K21:K22"/>
    <mergeCell ref="L21:L22"/>
    <mergeCell ref="D21:D22"/>
    <mergeCell ref="A19:A20"/>
    <mergeCell ref="C19:C20"/>
    <mergeCell ref="E19:E20"/>
    <mergeCell ref="F19:F20"/>
    <mergeCell ref="H19:H20"/>
    <mergeCell ref="I19:I20"/>
    <mergeCell ref="A21:A22"/>
    <mergeCell ref="C21:C22"/>
    <mergeCell ref="E21:E22"/>
    <mergeCell ref="F21:F22"/>
    <mergeCell ref="H21:H22"/>
    <mergeCell ref="I21:I22"/>
    <mergeCell ref="D19:D20"/>
    <mergeCell ref="A17:A18"/>
    <mergeCell ref="C17:C18"/>
    <mergeCell ref="P15:P16"/>
    <mergeCell ref="Q15:Q16"/>
    <mergeCell ref="R15:R16"/>
    <mergeCell ref="S15:S16"/>
    <mergeCell ref="T15:T16"/>
    <mergeCell ref="U15:Y16"/>
    <mergeCell ref="J15:J16"/>
    <mergeCell ref="K15:K16"/>
    <mergeCell ref="L15:L16"/>
    <mergeCell ref="M15:M16"/>
    <mergeCell ref="N15:N16"/>
    <mergeCell ref="O15:O16"/>
    <mergeCell ref="A15:A16"/>
    <mergeCell ref="C15:C16"/>
    <mergeCell ref="E15:E16"/>
    <mergeCell ref="F15:F16"/>
    <mergeCell ref="H17:S17"/>
    <mergeCell ref="I15:I16"/>
    <mergeCell ref="S11:S12"/>
    <mergeCell ref="T11:T12"/>
    <mergeCell ref="N11:N12"/>
    <mergeCell ref="O11:O12"/>
    <mergeCell ref="T17:T18"/>
    <mergeCell ref="U17:Y19"/>
    <mergeCell ref="P19:P20"/>
    <mergeCell ref="Q19:Q20"/>
    <mergeCell ref="R19:R20"/>
    <mergeCell ref="S19:S20"/>
    <mergeCell ref="T19:T20"/>
    <mergeCell ref="N13:N14"/>
    <mergeCell ref="P11:P12"/>
    <mergeCell ref="Q11:Q12"/>
    <mergeCell ref="R11:R12"/>
    <mergeCell ref="O13:O14"/>
    <mergeCell ref="P13:P14"/>
    <mergeCell ref="Q13:Q14"/>
    <mergeCell ref="R13:R14"/>
    <mergeCell ref="S13:S14"/>
    <mergeCell ref="C9:C10"/>
    <mergeCell ref="H9:S9"/>
    <mergeCell ref="U9:U10"/>
    <mergeCell ref="E4:F4"/>
    <mergeCell ref="G4:M4"/>
    <mergeCell ref="E5:O5"/>
    <mergeCell ref="P5:S5"/>
    <mergeCell ref="A13:A14"/>
    <mergeCell ref="C13:C14"/>
    <mergeCell ref="E13:E14"/>
    <mergeCell ref="F13:F14"/>
    <mergeCell ref="H13:H14"/>
    <mergeCell ref="J11:J12"/>
    <mergeCell ref="K11:K12"/>
    <mergeCell ref="L11:L12"/>
    <mergeCell ref="M11:M12"/>
    <mergeCell ref="A11:A12"/>
    <mergeCell ref="C11:C12"/>
    <mergeCell ref="E11:E12"/>
    <mergeCell ref="F11:F12"/>
    <mergeCell ref="H11:H12"/>
    <mergeCell ref="I11:I12"/>
    <mergeCell ref="D11:D12"/>
    <mergeCell ref="T13:T14"/>
    <mergeCell ref="V1:X1"/>
    <mergeCell ref="C1:S1"/>
    <mergeCell ref="E2:F2"/>
    <mergeCell ref="G2:J2"/>
    <mergeCell ref="R2:S2"/>
    <mergeCell ref="E3:F3"/>
    <mergeCell ref="G3:M3"/>
    <mergeCell ref="O3:S3"/>
    <mergeCell ref="E6:O8"/>
    <mergeCell ref="P6:S8"/>
  </mergeCells>
  <phoneticPr fontId="2" type="noConversion"/>
  <conditionalFormatting sqref="G11">
    <cfRule type="expression" dxfId="453" priority="392">
      <formula>$A11="X"</formula>
    </cfRule>
  </conditionalFormatting>
  <conditionalFormatting sqref="G12">
    <cfRule type="expression" dxfId="452" priority="391">
      <formula>$A11="x"</formula>
    </cfRule>
  </conditionalFormatting>
  <conditionalFormatting sqref="G13 G15 G21 G23 G29">
    <cfRule type="expression" dxfId="451" priority="390">
      <formula>$A13="X"</formula>
    </cfRule>
  </conditionalFormatting>
  <conditionalFormatting sqref="G14 G16 G22 G24 G30">
    <cfRule type="expression" dxfId="450" priority="389">
      <formula>$A13="x"</formula>
    </cfRule>
  </conditionalFormatting>
  <conditionalFormatting sqref="H15:K15 H13:K13 H23:K23 H21:K21 H29:K29">
    <cfRule type="expression" dxfId="449" priority="363">
      <formula>AND(H13&lt;&gt;"",H13&lt;#REF!)</formula>
    </cfRule>
    <cfRule type="expression" dxfId="448" priority="364">
      <formula>AND(H13&lt;&gt;"",H13&gt;#REF!)</formula>
    </cfRule>
    <cfRule type="expression" dxfId="447" priority="365">
      <formula>AND(H13&lt;&gt;"",H13&lt;#REF!)</formula>
    </cfRule>
    <cfRule type="expression" dxfId="446" priority="366">
      <formula>AND(H13&lt;&gt;"",H13&gt;#REF!)</formula>
    </cfRule>
  </conditionalFormatting>
  <conditionalFormatting sqref="H15:S15 H13:S13 H11:S11 H23:S23 H21:S21 H19:S19 H29:S29 H27:S27 H35:S35 H33:S33 H41:S41 H39:S39">
    <cfRule type="expression" dxfId="445" priority="375">
      <formula>AND(H11&lt;&gt;"",H11&lt;#REF!)</formula>
    </cfRule>
    <cfRule type="expression" dxfId="444" priority="376">
      <formula>AND(H11&lt;&gt;"",H11&gt;#REF!)</formula>
    </cfRule>
    <cfRule type="expression" dxfId="443" priority="377">
      <formula>AND(H11&lt;&gt;"",H11&lt;#REF!)</formula>
    </cfRule>
    <cfRule type="expression" dxfId="442" priority="378">
      <formula>AND(H11&lt;&gt;"",H11&gt;#REF!)</formula>
    </cfRule>
    <cfRule type="expression" dxfId="441" priority="379">
      <formula>AND(H11&lt;&gt;"",H11&lt;#REF!)</formula>
    </cfRule>
    <cfRule type="expression" dxfId="440" priority="380">
      <formula>AND(H11&lt;&gt;"",H11&gt;#REF!)</formula>
    </cfRule>
    <cfRule type="expression" dxfId="439" priority="381">
      <formula>AND(H11&lt;&gt;"",H11&lt;#REF!)</formula>
    </cfRule>
    <cfRule type="expression" dxfId="438" priority="382">
      <formula>AND(H11&lt;&gt;"",H11&gt;#REF!)</formula>
    </cfRule>
    <cfRule type="expression" dxfId="437" priority="383">
      <formula>AND(H11&lt;&gt;"",H11&lt;#REF!)</formula>
    </cfRule>
    <cfRule type="expression" dxfId="436" priority="384">
      <formula>AND(H11&lt;&gt;"",H11&gt;#REF!)</formula>
    </cfRule>
    <cfRule type="expression" dxfId="435" priority="385">
      <formula>AND(H11&lt;&gt;"",H11&lt;#REF!)</formula>
    </cfRule>
    <cfRule type="expression" dxfId="434" priority="386">
      <formula>AND(H11&lt;&gt;"",H11&gt;#REF!)</formula>
    </cfRule>
    <cfRule type="expression" dxfId="433" priority="387">
      <formula>AND(H11&lt;&gt;"",H11&lt;#REF!)</formula>
    </cfRule>
    <cfRule type="expression" dxfId="432" priority="388">
      <formula>AND(H11&lt;&gt;"",H11&gt;#REF!)</formula>
    </cfRule>
  </conditionalFormatting>
  <conditionalFormatting sqref="L15:S15 L13:S13 L11:S11 L23:S23 L21:S21 L19:S19 L29:S29 L27:S27 L35:S35 L33:S33 L41:S41 L39:S39">
    <cfRule type="expression" dxfId="431" priority="373">
      <formula>AND(L11&lt;&gt;"",L11&lt;#REF!)</formula>
    </cfRule>
    <cfRule type="expression" dxfId="430" priority="374">
      <formula>AND(L11&lt;&gt;"",L11&gt;#REF!)</formula>
    </cfRule>
  </conditionalFormatting>
  <conditionalFormatting sqref="K11:S16 K19:S24 K27:S30 K33:S36 K39:S42">
    <cfRule type="expression" dxfId="429" priority="393">
      <formula>AND(K11&lt;&gt;"",K11&lt;#REF!)</formula>
    </cfRule>
    <cfRule type="expression" dxfId="428" priority="394">
      <formula>AND(K11&lt;&gt;"",K11&gt;#REF!)</formula>
    </cfRule>
  </conditionalFormatting>
  <conditionalFormatting sqref="H15:S15 H13:S13 H23:S23 H21:S21 H29:S29">
    <cfRule type="expression" dxfId="427" priority="367">
      <formula>AND(H13&lt;&gt;"",H13&lt;#REF!)</formula>
    </cfRule>
    <cfRule type="expression" dxfId="426" priority="368">
      <formula>AND(H13&lt;&gt;"",H13&gt;#REF!)</formula>
    </cfRule>
  </conditionalFormatting>
  <conditionalFormatting sqref="L15:S15 L13:S13 L11:S11 L23:S23 L21:S21 L19:S19 L29:S29 L27:S27 L35:S35 L33:S33 L41:S41 L39:S39">
    <cfRule type="expression" dxfId="425" priority="371">
      <formula>AND(L11&lt;&gt;"",L11&lt;#REF!)</formula>
    </cfRule>
    <cfRule type="expression" dxfId="424" priority="372">
      <formula>AND(L11&lt;&gt;"",L11&gt;#REF!)</formula>
    </cfRule>
  </conditionalFormatting>
  <conditionalFormatting sqref="S11">
    <cfRule type="expression" dxfId="423" priority="369">
      <formula>AND(S11&lt;&gt;"",S11&lt;#REF!)</formula>
    </cfRule>
    <cfRule type="expression" dxfId="422" priority="370">
      <formula>AND(S11&lt;&gt;"",S11&gt;#REF!)</formula>
    </cfRule>
  </conditionalFormatting>
  <conditionalFormatting sqref="H15:J16">
    <cfRule type="expression" dxfId="421" priority="231">
      <formula>AND(H15&lt;&gt;"",H15&lt;#REF!)</formula>
    </cfRule>
    <cfRule type="expression" dxfId="420" priority="232">
      <formula>AND(H15&lt;&gt;"",H15&gt;#REF!)</formula>
    </cfRule>
  </conditionalFormatting>
  <conditionalFormatting sqref="O15">
    <cfRule type="expression" dxfId="419" priority="227">
      <formula>AND(O15&lt;&gt;"",O15&lt;#REF!)</formula>
    </cfRule>
    <cfRule type="expression" dxfId="418" priority="228">
      <formula>AND(O15&lt;&gt;"",O15&gt;#REF!)</formula>
    </cfRule>
    <cfRule type="expression" dxfId="417" priority="229">
      <formula>AND(O15&lt;&gt;"",O15&lt;#REF!)</formula>
    </cfRule>
    <cfRule type="expression" dxfId="416" priority="230">
      <formula>AND(O15&lt;&gt;"",O15&gt;#REF!)</formula>
    </cfRule>
  </conditionalFormatting>
  <conditionalFormatting sqref="R15">
    <cfRule type="expression" dxfId="415" priority="223">
      <formula>AND(R15&lt;&gt;"",R15&lt;#REF!)</formula>
    </cfRule>
    <cfRule type="expression" dxfId="414" priority="224">
      <formula>AND(R15&lt;&gt;"",R15&gt;#REF!)</formula>
    </cfRule>
    <cfRule type="expression" dxfId="413" priority="225">
      <formula>AND(R15&lt;&gt;"",R15&lt;#REF!)</formula>
    </cfRule>
    <cfRule type="expression" dxfId="412" priority="226">
      <formula>AND(R15&lt;&gt;"",R15&gt;#REF!)</formula>
    </cfRule>
  </conditionalFormatting>
  <conditionalFormatting sqref="H13:J14">
    <cfRule type="expression" dxfId="411" priority="221">
      <formula>AND(H13&lt;&gt;"",H13&lt;#REF!)</formula>
    </cfRule>
    <cfRule type="expression" dxfId="410" priority="222">
      <formula>AND(H13&lt;&gt;"",H13&gt;#REF!)</formula>
    </cfRule>
  </conditionalFormatting>
  <conditionalFormatting sqref="O13">
    <cfRule type="expression" dxfId="409" priority="217">
      <formula>AND(O13&lt;&gt;"",O13&lt;#REF!)</formula>
    </cfRule>
    <cfRule type="expression" dxfId="408" priority="218">
      <formula>AND(O13&lt;&gt;"",O13&gt;#REF!)</formula>
    </cfRule>
    <cfRule type="expression" dxfId="407" priority="219">
      <formula>AND(O13&lt;&gt;"",O13&lt;#REF!)</formula>
    </cfRule>
    <cfRule type="expression" dxfId="406" priority="220">
      <formula>AND(O13&lt;&gt;"",O13&gt;#REF!)</formula>
    </cfRule>
  </conditionalFormatting>
  <conditionalFormatting sqref="R13">
    <cfRule type="expression" dxfId="405" priority="213">
      <formula>AND(R13&lt;&gt;"",R13&lt;#REF!)</formula>
    </cfRule>
    <cfRule type="expression" dxfId="404" priority="214">
      <formula>AND(R13&lt;&gt;"",R13&gt;#REF!)</formula>
    </cfRule>
    <cfRule type="expression" dxfId="403" priority="215">
      <formula>AND(R13&lt;&gt;"",R13&lt;#REF!)</formula>
    </cfRule>
    <cfRule type="expression" dxfId="402" priority="216">
      <formula>AND(R13&lt;&gt;"",R13&gt;#REF!)</formula>
    </cfRule>
  </conditionalFormatting>
  <conditionalFormatting sqref="H11:K11">
    <cfRule type="expression" dxfId="401" priority="207">
      <formula>AND(H11&lt;&gt;"",H11&lt;#REF!)</formula>
    </cfRule>
    <cfRule type="expression" dxfId="400" priority="208">
      <formula>AND(H11&lt;&gt;"",H11&gt;#REF!)</formula>
    </cfRule>
    <cfRule type="expression" dxfId="399" priority="209">
      <formula>AND(H11&lt;&gt;"",H11&lt;#REF!)</formula>
    </cfRule>
    <cfRule type="expression" dxfId="398" priority="210">
      <formula>AND(H11&lt;&gt;"",H11&gt;#REF!)</formula>
    </cfRule>
  </conditionalFormatting>
  <conditionalFormatting sqref="H11:R11">
    <cfRule type="expression" dxfId="397" priority="211">
      <formula>AND(H11&lt;&gt;"",H11&lt;#REF!)</formula>
    </cfRule>
    <cfRule type="expression" dxfId="396" priority="212">
      <formula>AND(H11&lt;&gt;"",H11&gt;#REF!)</formula>
    </cfRule>
  </conditionalFormatting>
  <conditionalFormatting sqref="H11:J12">
    <cfRule type="expression" dxfId="395" priority="205">
      <formula>AND(H11&lt;&gt;"",H11&lt;#REF!)</formula>
    </cfRule>
    <cfRule type="expression" dxfId="394" priority="206">
      <formula>AND(H11&lt;&gt;"",H11&gt;#REF!)</formula>
    </cfRule>
  </conditionalFormatting>
  <conditionalFormatting sqref="O11">
    <cfRule type="expression" dxfId="393" priority="201">
      <formula>AND(O11&lt;&gt;"",O11&lt;#REF!)</formula>
    </cfRule>
    <cfRule type="expression" dxfId="392" priority="202">
      <formula>AND(O11&lt;&gt;"",O11&gt;#REF!)</formula>
    </cfRule>
    <cfRule type="expression" dxfId="391" priority="203">
      <formula>AND(O11&lt;&gt;"",O11&lt;#REF!)</formula>
    </cfRule>
    <cfRule type="expression" dxfId="390" priority="204">
      <formula>AND(O11&lt;&gt;"",O11&gt;#REF!)</formula>
    </cfRule>
  </conditionalFormatting>
  <conditionalFormatting sqref="R11">
    <cfRule type="expression" dxfId="389" priority="197">
      <formula>AND(R11&lt;&gt;"",R11&lt;#REF!)</formula>
    </cfRule>
    <cfRule type="expression" dxfId="388" priority="198">
      <formula>AND(R11&lt;&gt;"",R11&gt;#REF!)</formula>
    </cfRule>
    <cfRule type="expression" dxfId="387" priority="199">
      <formula>AND(R11&lt;&gt;"",R11&lt;#REF!)</formula>
    </cfRule>
    <cfRule type="expression" dxfId="386" priority="200">
      <formula>AND(R11&lt;&gt;"",R11&gt;#REF!)</formula>
    </cfRule>
  </conditionalFormatting>
  <conditionalFormatting sqref="G19">
    <cfRule type="expression" dxfId="385" priority="196">
      <formula>$A19="X"</formula>
    </cfRule>
  </conditionalFormatting>
  <conditionalFormatting sqref="G20">
    <cfRule type="expression" dxfId="384" priority="195">
      <formula>$A19="x"</formula>
    </cfRule>
  </conditionalFormatting>
  <conditionalFormatting sqref="S19">
    <cfRule type="expression" dxfId="383" priority="193">
      <formula>AND(S19&lt;&gt;"",S19&lt;#REF!)</formula>
    </cfRule>
    <cfRule type="expression" dxfId="382" priority="194">
      <formula>AND(S19&lt;&gt;"",S19&gt;#REF!)</formula>
    </cfRule>
  </conditionalFormatting>
  <conditionalFormatting sqref="H23:J24">
    <cfRule type="expression" dxfId="381" priority="191">
      <formula>AND(H23&lt;&gt;"",H23&lt;#REF!)</formula>
    </cfRule>
    <cfRule type="expression" dxfId="380" priority="192">
      <formula>AND(H23&lt;&gt;"",H23&gt;#REF!)</formula>
    </cfRule>
  </conditionalFormatting>
  <conditionalFormatting sqref="O23">
    <cfRule type="expression" dxfId="379" priority="187">
      <formula>AND(O23&lt;&gt;"",O23&lt;#REF!)</formula>
    </cfRule>
    <cfRule type="expression" dxfId="378" priority="188">
      <formula>AND(O23&lt;&gt;"",O23&gt;#REF!)</formula>
    </cfRule>
    <cfRule type="expression" dxfId="377" priority="189">
      <formula>AND(O23&lt;&gt;"",O23&lt;#REF!)</formula>
    </cfRule>
    <cfRule type="expression" dxfId="376" priority="190">
      <formula>AND(O23&lt;&gt;"",O23&gt;#REF!)</formula>
    </cfRule>
  </conditionalFormatting>
  <conditionalFormatting sqref="R23">
    <cfRule type="expression" dxfId="375" priority="183">
      <formula>AND(R23&lt;&gt;"",R23&lt;#REF!)</formula>
    </cfRule>
    <cfRule type="expression" dxfId="374" priority="184">
      <formula>AND(R23&lt;&gt;"",R23&gt;#REF!)</formula>
    </cfRule>
    <cfRule type="expression" dxfId="373" priority="185">
      <formula>AND(R23&lt;&gt;"",R23&lt;#REF!)</formula>
    </cfRule>
    <cfRule type="expression" dxfId="372" priority="186">
      <formula>AND(R23&lt;&gt;"",R23&gt;#REF!)</formula>
    </cfRule>
  </conditionalFormatting>
  <conditionalFormatting sqref="H21:J22">
    <cfRule type="expression" dxfId="371" priority="181">
      <formula>AND(H21&lt;&gt;"",H21&lt;#REF!)</formula>
    </cfRule>
    <cfRule type="expression" dxfId="370" priority="182">
      <formula>AND(H21&lt;&gt;"",H21&gt;#REF!)</formula>
    </cfRule>
  </conditionalFormatting>
  <conditionalFormatting sqref="O21">
    <cfRule type="expression" dxfId="369" priority="177">
      <formula>AND(O21&lt;&gt;"",O21&lt;#REF!)</formula>
    </cfRule>
    <cfRule type="expression" dxfId="368" priority="178">
      <formula>AND(O21&lt;&gt;"",O21&gt;#REF!)</formula>
    </cfRule>
    <cfRule type="expression" dxfId="367" priority="179">
      <formula>AND(O21&lt;&gt;"",O21&lt;#REF!)</formula>
    </cfRule>
    <cfRule type="expression" dxfId="366" priority="180">
      <formula>AND(O21&lt;&gt;"",O21&gt;#REF!)</formula>
    </cfRule>
  </conditionalFormatting>
  <conditionalFormatting sqref="R21">
    <cfRule type="expression" dxfId="365" priority="173">
      <formula>AND(R21&lt;&gt;"",R21&lt;#REF!)</formula>
    </cfRule>
    <cfRule type="expression" dxfId="364" priority="174">
      <formula>AND(R21&lt;&gt;"",R21&gt;#REF!)</formula>
    </cfRule>
    <cfRule type="expression" dxfId="363" priority="175">
      <formula>AND(R21&lt;&gt;"",R21&lt;#REF!)</formula>
    </cfRule>
    <cfRule type="expression" dxfId="362" priority="176">
      <formula>AND(R21&lt;&gt;"",R21&gt;#REF!)</formula>
    </cfRule>
  </conditionalFormatting>
  <conditionalFormatting sqref="H19:K19">
    <cfRule type="expression" dxfId="361" priority="167">
      <formula>AND(H19&lt;&gt;"",H19&lt;#REF!)</formula>
    </cfRule>
    <cfRule type="expression" dxfId="360" priority="168">
      <formula>AND(H19&lt;&gt;"",H19&gt;#REF!)</formula>
    </cfRule>
    <cfRule type="expression" dxfId="359" priority="169">
      <formula>AND(H19&lt;&gt;"",H19&lt;#REF!)</formula>
    </cfRule>
    <cfRule type="expression" dxfId="358" priority="170">
      <formula>AND(H19&lt;&gt;"",H19&gt;#REF!)</formula>
    </cfRule>
  </conditionalFormatting>
  <conditionalFormatting sqref="H19:R19">
    <cfRule type="expression" dxfId="357" priority="171">
      <formula>AND(H19&lt;&gt;"",H19&lt;#REF!)</formula>
    </cfRule>
    <cfRule type="expression" dxfId="356" priority="172">
      <formula>AND(H19&lt;&gt;"",H19&gt;#REF!)</formula>
    </cfRule>
  </conditionalFormatting>
  <conditionalFormatting sqref="H19:J20">
    <cfRule type="expression" dxfId="355" priority="165">
      <formula>AND(H19&lt;&gt;"",H19&lt;#REF!)</formula>
    </cfRule>
    <cfRule type="expression" dxfId="354" priority="166">
      <formula>AND(H19&lt;&gt;"",H19&gt;#REF!)</formula>
    </cfRule>
  </conditionalFormatting>
  <conditionalFormatting sqref="O19">
    <cfRule type="expression" dxfId="353" priority="161">
      <formula>AND(O19&lt;&gt;"",O19&lt;#REF!)</formula>
    </cfRule>
    <cfRule type="expression" dxfId="352" priority="162">
      <formula>AND(O19&lt;&gt;"",O19&gt;#REF!)</formula>
    </cfRule>
    <cfRule type="expression" dxfId="351" priority="163">
      <formula>AND(O19&lt;&gt;"",O19&lt;#REF!)</formula>
    </cfRule>
    <cfRule type="expression" dxfId="350" priority="164">
      <formula>AND(O19&lt;&gt;"",O19&gt;#REF!)</formula>
    </cfRule>
  </conditionalFormatting>
  <conditionalFormatting sqref="R19">
    <cfRule type="expression" dxfId="349" priority="157">
      <formula>AND(R19&lt;&gt;"",R19&lt;#REF!)</formula>
    </cfRule>
    <cfRule type="expression" dxfId="348" priority="158">
      <formula>AND(R19&lt;&gt;"",R19&gt;#REF!)</formula>
    </cfRule>
    <cfRule type="expression" dxfId="347" priority="159">
      <formula>AND(R19&lt;&gt;"",R19&lt;#REF!)</formula>
    </cfRule>
    <cfRule type="expression" dxfId="346" priority="160">
      <formula>AND(R19&lt;&gt;"",R19&gt;#REF!)</formula>
    </cfRule>
  </conditionalFormatting>
  <conditionalFormatting sqref="G27">
    <cfRule type="expression" dxfId="345" priority="156">
      <formula>$A27="X"</formula>
    </cfRule>
  </conditionalFormatting>
  <conditionalFormatting sqref="G28">
    <cfRule type="expression" dxfId="344" priority="155">
      <formula>$A27="x"</formula>
    </cfRule>
  </conditionalFormatting>
  <conditionalFormatting sqref="S27">
    <cfRule type="expression" dxfId="343" priority="153">
      <formula>AND(S27&lt;&gt;"",S27&lt;#REF!)</formula>
    </cfRule>
    <cfRule type="expression" dxfId="342" priority="154">
      <formula>AND(S27&lt;&gt;"",S27&gt;#REF!)</formula>
    </cfRule>
  </conditionalFormatting>
  <conditionalFormatting sqref="H29:J30">
    <cfRule type="expression" dxfId="341" priority="141">
      <formula>AND(H29&lt;&gt;"",H29&lt;#REF!)</formula>
    </cfRule>
    <cfRule type="expression" dxfId="340" priority="142">
      <formula>AND(H29&lt;&gt;"",H29&gt;#REF!)</formula>
    </cfRule>
  </conditionalFormatting>
  <conditionalFormatting sqref="O29">
    <cfRule type="expression" dxfId="339" priority="137">
      <formula>AND(O29&lt;&gt;"",O29&lt;#REF!)</formula>
    </cfRule>
    <cfRule type="expression" dxfId="338" priority="138">
      <formula>AND(O29&lt;&gt;"",O29&gt;#REF!)</formula>
    </cfRule>
    <cfRule type="expression" dxfId="337" priority="139">
      <formula>AND(O29&lt;&gt;"",O29&lt;#REF!)</formula>
    </cfRule>
    <cfRule type="expression" dxfId="336" priority="140">
      <formula>AND(O29&lt;&gt;"",O29&gt;#REF!)</formula>
    </cfRule>
  </conditionalFormatting>
  <conditionalFormatting sqref="R29">
    <cfRule type="expression" dxfId="335" priority="133">
      <formula>AND(R29&lt;&gt;"",R29&lt;#REF!)</formula>
    </cfRule>
    <cfRule type="expression" dxfId="334" priority="134">
      <formula>AND(R29&lt;&gt;"",R29&gt;#REF!)</formula>
    </cfRule>
    <cfRule type="expression" dxfId="333" priority="135">
      <formula>AND(R29&lt;&gt;"",R29&lt;#REF!)</formula>
    </cfRule>
    <cfRule type="expression" dxfId="332" priority="136">
      <formula>AND(R29&lt;&gt;"",R29&gt;#REF!)</formula>
    </cfRule>
  </conditionalFormatting>
  <conditionalFormatting sqref="H27:K27">
    <cfRule type="expression" dxfId="331" priority="127">
      <formula>AND(H27&lt;&gt;"",H27&lt;#REF!)</formula>
    </cfRule>
    <cfRule type="expression" dxfId="330" priority="128">
      <formula>AND(H27&lt;&gt;"",H27&gt;#REF!)</formula>
    </cfRule>
    <cfRule type="expression" dxfId="329" priority="129">
      <formula>AND(H27&lt;&gt;"",H27&lt;#REF!)</formula>
    </cfRule>
    <cfRule type="expression" dxfId="328" priority="130">
      <formula>AND(H27&lt;&gt;"",H27&gt;#REF!)</formula>
    </cfRule>
  </conditionalFormatting>
  <conditionalFormatting sqref="H27:R27">
    <cfRule type="expression" dxfId="327" priority="131">
      <formula>AND(H27&lt;&gt;"",H27&lt;#REF!)</formula>
    </cfRule>
    <cfRule type="expression" dxfId="326" priority="132">
      <formula>AND(H27&lt;&gt;"",H27&gt;#REF!)</formula>
    </cfRule>
  </conditionalFormatting>
  <conditionalFormatting sqref="H27:J28">
    <cfRule type="expression" dxfId="325" priority="125">
      <formula>AND(H27&lt;&gt;"",H27&lt;#REF!)</formula>
    </cfRule>
    <cfRule type="expression" dxfId="324" priority="126">
      <formula>AND(H27&lt;&gt;"",H27&gt;#REF!)</formula>
    </cfRule>
  </conditionalFormatting>
  <conditionalFormatting sqref="O27">
    <cfRule type="expression" dxfId="323" priority="121">
      <formula>AND(O27&lt;&gt;"",O27&lt;#REF!)</formula>
    </cfRule>
    <cfRule type="expression" dxfId="322" priority="122">
      <formula>AND(O27&lt;&gt;"",O27&gt;#REF!)</formula>
    </cfRule>
    <cfRule type="expression" dxfId="321" priority="123">
      <formula>AND(O27&lt;&gt;"",O27&lt;#REF!)</formula>
    </cfRule>
    <cfRule type="expression" dxfId="320" priority="124">
      <formula>AND(O27&lt;&gt;"",O27&gt;#REF!)</formula>
    </cfRule>
  </conditionalFormatting>
  <conditionalFormatting sqref="R27">
    <cfRule type="expression" dxfId="319" priority="117">
      <formula>AND(R27&lt;&gt;"",R27&lt;#REF!)</formula>
    </cfRule>
    <cfRule type="expression" dxfId="318" priority="118">
      <formula>AND(R27&lt;&gt;"",R27&gt;#REF!)</formula>
    </cfRule>
    <cfRule type="expression" dxfId="317" priority="119">
      <formula>AND(R27&lt;&gt;"",R27&lt;#REF!)</formula>
    </cfRule>
    <cfRule type="expression" dxfId="316" priority="120">
      <formula>AND(R27&lt;&gt;"",R27&gt;#REF!)</formula>
    </cfRule>
  </conditionalFormatting>
  <conditionalFormatting sqref="G35">
    <cfRule type="expression" dxfId="315" priority="76">
      <formula>$A35="X"</formula>
    </cfRule>
  </conditionalFormatting>
  <conditionalFormatting sqref="G36">
    <cfRule type="expression" dxfId="314" priority="75">
      <formula>$A35="x"</formula>
    </cfRule>
  </conditionalFormatting>
  <conditionalFormatting sqref="H35:K35">
    <cfRule type="expression" dxfId="313" priority="69">
      <formula>AND(H35&lt;&gt;"",H35&lt;#REF!)</formula>
    </cfRule>
    <cfRule type="expression" dxfId="312" priority="70">
      <formula>AND(H35&lt;&gt;"",H35&gt;#REF!)</formula>
    </cfRule>
    <cfRule type="expression" dxfId="311" priority="71">
      <formula>AND(H35&lt;&gt;"",H35&lt;#REF!)</formula>
    </cfRule>
    <cfRule type="expression" dxfId="310" priority="72">
      <formula>AND(H35&lt;&gt;"",H35&gt;#REF!)</formula>
    </cfRule>
  </conditionalFormatting>
  <conditionalFormatting sqref="H35:S35">
    <cfRule type="expression" dxfId="309" priority="73">
      <formula>AND(H35&lt;&gt;"",H35&lt;#REF!)</formula>
    </cfRule>
    <cfRule type="expression" dxfId="308" priority="74">
      <formula>AND(H35&lt;&gt;"",H35&gt;#REF!)</formula>
    </cfRule>
  </conditionalFormatting>
  <conditionalFormatting sqref="G33">
    <cfRule type="expression" dxfId="307" priority="68">
      <formula>$A33="X"</formula>
    </cfRule>
  </conditionalFormatting>
  <conditionalFormatting sqref="G34">
    <cfRule type="expression" dxfId="306" priority="67">
      <formula>$A33="x"</formula>
    </cfRule>
  </conditionalFormatting>
  <conditionalFormatting sqref="S33">
    <cfRule type="expression" dxfId="305" priority="65">
      <formula>AND(S33&lt;&gt;"",S33&lt;#REF!)</formula>
    </cfRule>
    <cfRule type="expression" dxfId="304" priority="66">
      <formula>AND(S33&lt;&gt;"",S33&gt;#REF!)</formula>
    </cfRule>
  </conditionalFormatting>
  <conditionalFormatting sqref="H35:J36">
    <cfRule type="expression" dxfId="303" priority="63">
      <formula>AND(H35&lt;&gt;"",H35&lt;#REF!)</formula>
    </cfRule>
    <cfRule type="expression" dxfId="302" priority="64">
      <formula>AND(H35&lt;&gt;"",H35&gt;#REF!)</formula>
    </cfRule>
  </conditionalFormatting>
  <conditionalFormatting sqref="O35">
    <cfRule type="expression" dxfId="301" priority="59">
      <formula>AND(O35&lt;&gt;"",O35&lt;#REF!)</formula>
    </cfRule>
    <cfRule type="expression" dxfId="300" priority="60">
      <formula>AND(O35&lt;&gt;"",O35&gt;#REF!)</formula>
    </cfRule>
    <cfRule type="expression" dxfId="299" priority="61">
      <formula>AND(O35&lt;&gt;"",O35&lt;#REF!)</formula>
    </cfRule>
    <cfRule type="expression" dxfId="298" priority="62">
      <formula>AND(O35&lt;&gt;"",O35&gt;#REF!)</formula>
    </cfRule>
  </conditionalFormatting>
  <conditionalFormatting sqref="R35">
    <cfRule type="expression" dxfId="297" priority="55">
      <formula>AND(R35&lt;&gt;"",R35&lt;#REF!)</formula>
    </cfRule>
    <cfRule type="expression" dxfId="296" priority="56">
      <formula>AND(R35&lt;&gt;"",R35&gt;#REF!)</formula>
    </cfRule>
    <cfRule type="expression" dxfId="295" priority="57">
      <formula>AND(R35&lt;&gt;"",R35&lt;#REF!)</formula>
    </cfRule>
    <cfRule type="expression" dxfId="294" priority="58">
      <formula>AND(R35&lt;&gt;"",R35&gt;#REF!)</formula>
    </cfRule>
  </conditionalFormatting>
  <conditionalFormatting sqref="H33:K33">
    <cfRule type="expression" dxfId="293" priority="49">
      <formula>AND(H33&lt;&gt;"",H33&lt;#REF!)</formula>
    </cfRule>
    <cfRule type="expression" dxfId="292" priority="50">
      <formula>AND(H33&lt;&gt;"",H33&gt;#REF!)</formula>
    </cfRule>
    <cfRule type="expression" dxfId="291" priority="51">
      <formula>AND(H33&lt;&gt;"",H33&lt;#REF!)</formula>
    </cfRule>
    <cfRule type="expression" dxfId="290" priority="52">
      <formula>AND(H33&lt;&gt;"",H33&gt;#REF!)</formula>
    </cfRule>
  </conditionalFormatting>
  <conditionalFormatting sqref="H33:R33">
    <cfRule type="expression" dxfId="289" priority="53">
      <formula>AND(H33&lt;&gt;"",H33&lt;#REF!)</formula>
    </cfRule>
    <cfRule type="expression" dxfId="288" priority="54">
      <formula>AND(H33&lt;&gt;"",H33&gt;#REF!)</formula>
    </cfRule>
  </conditionalFormatting>
  <conditionalFormatting sqref="H33:J34">
    <cfRule type="expression" dxfId="287" priority="47">
      <formula>AND(H33&lt;&gt;"",H33&lt;#REF!)</formula>
    </cfRule>
    <cfRule type="expression" dxfId="286" priority="48">
      <formula>AND(H33&lt;&gt;"",H33&gt;#REF!)</formula>
    </cfRule>
  </conditionalFormatting>
  <conditionalFormatting sqref="O33">
    <cfRule type="expression" dxfId="285" priority="43">
      <formula>AND(O33&lt;&gt;"",O33&lt;#REF!)</formula>
    </cfRule>
    <cfRule type="expression" dxfId="284" priority="44">
      <formula>AND(O33&lt;&gt;"",O33&gt;#REF!)</formula>
    </cfRule>
    <cfRule type="expression" dxfId="283" priority="45">
      <formula>AND(O33&lt;&gt;"",O33&lt;#REF!)</formula>
    </cfRule>
    <cfRule type="expression" dxfId="282" priority="46">
      <formula>AND(O33&lt;&gt;"",O33&gt;#REF!)</formula>
    </cfRule>
  </conditionalFormatting>
  <conditionalFormatting sqref="R33">
    <cfRule type="expression" dxfId="281" priority="39">
      <formula>AND(R33&lt;&gt;"",R33&lt;#REF!)</formula>
    </cfRule>
    <cfRule type="expression" dxfId="280" priority="40">
      <formula>AND(R33&lt;&gt;"",R33&gt;#REF!)</formula>
    </cfRule>
    <cfRule type="expression" dxfId="279" priority="41">
      <formula>AND(R33&lt;&gt;"",R33&lt;#REF!)</formula>
    </cfRule>
    <cfRule type="expression" dxfId="278" priority="42">
      <formula>AND(R33&lt;&gt;"",R33&gt;#REF!)</formula>
    </cfRule>
  </conditionalFormatting>
  <conditionalFormatting sqref="G41">
    <cfRule type="expression" dxfId="277" priority="38">
      <formula>$A41="X"</formula>
    </cfRule>
  </conditionalFormatting>
  <conditionalFormatting sqref="G42">
    <cfRule type="expression" dxfId="276" priority="37">
      <formula>$A41="x"</formula>
    </cfRule>
  </conditionalFormatting>
  <conditionalFormatting sqref="H41:K41">
    <cfRule type="expression" dxfId="275" priority="31">
      <formula>AND(H41&lt;&gt;"",H41&lt;#REF!)</formula>
    </cfRule>
    <cfRule type="expression" dxfId="274" priority="32">
      <formula>AND(H41&lt;&gt;"",H41&gt;#REF!)</formula>
    </cfRule>
    <cfRule type="expression" dxfId="273" priority="33">
      <formula>AND(H41&lt;&gt;"",H41&lt;#REF!)</formula>
    </cfRule>
    <cfRule type="expression" dxfId="272" priority="34">
      <formula>AND(H41&lt;&gt;"",H41&gt;#REF!)</formula>
    </cfRule>
  </conditionalFormatting>
  <conditionalFormatting sqref="H41:S41">
    <cfRule type="expression" dxfId="271" priority="35">
      <formula>AND(H41&lt;&gt;"",H41&lt;#REF!)</formula>
    </cfRule>
    <cfRule type="expression" dxfId="270" priority="36">
      <formula>AND(H41&lt;&gt;"",H41&gt;#REF!)</formula>
    </cfRule>
  </conditionalFormatting>
  <conditionalFormatting sqref="G39">
    <cfRule type="expression" dxfId="269" priority="30">
      <formula>$A39="X"</formula>
    </cfRule>
  </conditionalFormatting>
  <conditionalFormatting sqref="G40">
    <cfRule type="expression" dxfId="268" priority="29">
      <formula>$A39="x"</formula>
    </cfRule>
  </conditionalFormatting>
  <conditionalFormatting sqref="S39">
    <cfRule type="expression" dxfId="267" priority="27">
      <formula>AND(S39&lt;&gt;"",S39&lt;#REF!)</formula>
    </cfRule>
    <cfRule type="expression" dxfId="266" priority="28">
      <formula>AND(S39&lt;&gt;"",S39&gt;#REF!)</formula>
    </cfRule>
  </conditionalFormatting>
  <conditionalFormatting sqref="H41:J42">
    <cfRule type="expression" dxfId="265" priority="25">
      <formula>AND(H41&lt;&gt;"",H41&lt;#REF!)</formula>
    </cfRule>
    <cfRule type="expression" dxfId="264" priority="26">
      <formula>AND(H41&lt;&gt;"",H41&gt;#REF!)</formula>
    </cfRule>
  </conditionalFormatting>
  <conditionalFormatting sqref="O41">
    <cfRule type="expression" dxfId="263" priority="21">
      <formula>AND(O41&lt;&gt;"",O41&lt;#REF!)</formula>
    </cfRule>
    <cfRule type="expression" dxfId="262" priority="22">
      <formula>AND(O41&lt;&gt;"",O41&gt;#REF!)</formula>
    </cfRule>
    <cfRule type="expression" dxfId="261" priority="23">
      <formula>AND(O41&lt;&gt;"",O41&lt;#REF!)</formula>
    </cfRule>
    <cfRule type="expression" dxfId="260" priority="24">
      <formula>AND(O41&lt;&gt;"",O41&gt;#REF!)</formula>
    </cfRule>
  </conditionalFormatting>
  <conditionalFormatting sqref="R41">
    <cfRule type="expression" dxfId="259" priority="17">
      <formula>AND(R41&lt;&gt;"",R41&lt;#REF!)</formula>
    </cfRule>
    <cfRule type="expression" dxfId="258" priority="18">
      <formula>AND(R41&lt;&gt;"",R41&gt;#REF!)</formula>
    </cfRule>
    <cfRule type="expression" dxfId="257" priority="19">
      <formula>AND(R41&lt;&gt;"",R41&lt;#REF!)</formula>
    </cfRule>
    <cfRule type="expression" dxfId="256" priority="20">
      <formula>AND(R41&lt;&gt;"",R41&gt;#REF!)</formula>
    </cfRule>
  </conditionalFormatting>
  <conditionalFormatting sqref="H39:K39">
    <cfRule type="expression" dxfId="255" priority="11">
      <formula>AND(H39&lt;&gt;"",H39&lt;#REF!)</formula>
    </cfRule>
    <cfRule type="expression" dxfId="254" priority="12">
      <formula>AND(H39&lt;&gt;"",H39&gt;#REF!)</formula>
    </cfRule>
    <cfRule type="expression" dxfId="253" priority="13">
      <formula>AND(H39&lt;&gt;"",H39&lt;#REF!)</formula>
    </cfRule>
    <cfRule type="expression" dxfId="252" priority="14">
      <formula>AND(H39&lt;&gt;"",H39&gt;#REF!)</formula>
    </cfRule>
  </conditionalFormatting>
  <conditionalFormatting sqref="H39:R39">
    <cfRule type="expression" dxfId="251" priority="15">
      <formula>AND(H39&lt;&gt;"",H39&lt;#REF!)</formula>
    </cfRule>
    <cfRule type="expression" dxfId="250" priority="16">
      <formula>AND(H39&lt;&gt;"",H39&gt;#REF!)</formula>
    </cfRule>
  </conditionalFormatting>
  <conditionalFormatting sqref="H39:J40">
    <cfRule type="expression" dxfId="249" priority="9">
      <formula>AND(H39&lt;&gt;"",H39&lt;#REF!)</formula>
    </cfRule>
    <cfRule type="expression" dxfId="248" priority="10">
      <formula>AND(H39&lt;&gt;"",H39&gt;#REF!)</formula>
    </cfRule>
  </conditionalFormatting>
  <conditionalFormatting sqref="O39">
    <cfRule type="expression" dxfId="247" priority="5">
      <formula>AND(O39&lt;&gt;"",O39&lt;#REF!)</formula>
    </cfRule>
    <cfRule type="expression" dxfId="246" priority="6">
      <formula>AND(O39&lt;&gt;"",O39&gt;#REF!)</formula>
    </cfRule>
    <cfRule type="expression" dxfId="245" priority="7">
      <formula>AND(O39&lt;&gt;"",O39&lt;#REF!)</formula>
    </cfRule>
    <cfRule type="expression" dxfId="244" priority="8">
      <formula>AND(O39&lt;&gt;"",O39&gt;#REF!)</formula>
    </cfRule>
  </conditionalFormatting>
  <conditionalFormatting sqref="R39">
    <cfRule type="expression" dxfId="243" priority="1">
      <formula>AND(R39&lt;&gt;"",R39&lt;#REF!)</formula>
    </cfRule>
    <cfRule type="expression" dxfId="242" priority="2">
      <formula>AND(R39&lt;&gt;"",R39&gt;#REF!)</formula>
    </cfRule>
    <cfRule type="expression" dxfId="241" priority="3">
      <formula>AND(R39&lt;&gt;"",R39&lt;#REF!)</formula>
    </cfRule>
    <cfRule type="expression" dxfId="240" priority="4">
      <formula>AND(R39&lt;&gt;"",R39&gt;#REF!)</formula>
    </cfRule>
  </conditionalFormatting>
  <printOptions horizontalCentered="1"/>
  <pageMargins left="0.25" right="0.25" top="0.75" bottom="0.75" header="0.3" footer="0.3"/>
  <pageSetup paperSize="9" scale="63" orientation="portrait" horizontalDpi="4294967293" r:id="rId1"/>
  <headerFooter alignWithMargins="0">
    <oddFooter>&amp;R&amp;"微軟正黑體,標準"2-QA-01-06 V04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Check Box 1">
              <controlPr defaultSize="0" autoFill="0" autoLine="0" autoPict="0">
                <anchor moveWithCells="1">
                  <from>
                    <xdr:col>10</xdr:col>
                    <xdr:colOff>693420</xdr:colOff>
                    <xdr:row>42</xdr:row>
                    <xdr:rowOff>106680</xdr:rowOff>
                  </from>
                  <to>
                    <xdr:col>11</xdr:col>
                    <xdr:colOff>655320</xdr:colOff>
                    <xdr:row>42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Check Box 2">
              <controlPr defaultSize="0" autoFill="0" autoLine="0" autoPict="0">
                <anchor moveWithCells="1">
                  <from>
                    <xdr:col>9</xdr:col>
                    <xdr:colOff>693420</xdr:colOff>
                    <xdr:row>42</xdr:row>
                    <xdr:rowOff>99060</xdr:rowOff>
                  </from>
                  <to>
                    <xdr:col>10</xdr:col>
                    <xdr:colOff>502920</xdr:colOff>
                    <xdr:row>42</xdr:row>
                    <xdr:rowOff>312420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E7DD54-32A1-46DF-870A-7F49D756F445}">
          <x14:formula1>
            <xm:f>進料檢!$T$2:$T$6</xm:f>
          </x14:formula1>
          <xm:sqref>G43:H43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theme="3" tint="0.79998168889431442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M13" sqref="M13:M14"/>
      <selection pane="bottomLeft" activeCell="T6" sqref="T6"/>
    </sheetView>
  </sheetViews>
  <sheetFormatPr defaultColWidth="9" defaultRowHeight="16.2"/>
  <cols>
    <col min="1" max="2" width="5.6640625" style="1" hidden="1" customWidth="1"/>
    <col min="3" max="3" width="9" style="1" hidden="1" customWidth="1"/>
    <col min="4" max="4" width="4.109375" style="1" customWidth="1"/>
    <col min="5" max="5" width="10.33203125" style="1" customWidth="1"/>
    <col min="6" max="6" width="7.88671875" style="1" customWidth="1"/>
    <col min="7" max="18" width="10.33203125" style="1" customWidth="1"/>
    <col min="19" max="19" width="4.33203125" style="1" customWidth="1"/>
    <col min="20" max="20" width="23.44140625" style="15" customWidth="1"/>
    <col min="21" max="24" width="9" style="1"/>
    <col min="25" max="25" width="17.88671875" style="1" customWidth="1"/>
    <col min="26" max="16384" width="9" style="1"/>
  </cols>
  <sheetData>
    <row r="1" spans="1:25" ht="47.4" customHeight="1">
      <c r="C1" s="250" t="s">
        <v>16</v>
      </c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T1" s="91"/>
      <c r="V1" s="268" t="str">
        <f>進料檢!V1</f>
        <v>抽樣表</v>
      </c>
      <c r="W1" s="269"/>
      <c r="X1" s="270"/>
      <c r="Y1" s="2" t="s">
        <v>179</v>
      </c>
    </row>
    <row r="2" spans="1:25" ht="21.75" customHeight="1" thickBot="1"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4" t="s">
        <v>62</v>
      </c>
      <c r="Q2" s="273"/>
      <c r="R2" s="274"/>
      <c r="V2" s="5" t="str">
        <f>進料檢!V2</f>
        <v>下限</v>
      </c>
      <c r="W2" s="6" t="str">
        <f>進料檢!W2</f>
        <v>上限</v>
      </c>
      <c r="X2" s="7" t="str">
        <f>進料檢!X2</f>
        <v>抽樣數</v>
      </c>
      <c r="Y2" s="143" t="s">
        <v>173</v>
      </c>
    </row>
    <row r="3" spans="1:25" ht="30.9" customHeight="1">
      <c r="A3" s="8"/>
      <c r="B3" s="9"/>
      <c r="C3" s="9"/>
      <c r="D3" s="290" t="s">
        <v>18</v>
      </c>
      <c r="E3" s="291"/>
      <c r="F3" s="292" t="str">
        <f>IF(進料檢!F3="","",進料檢!F3)</f>
        <v/>
      </c>
      <c r="G3" s="293"/>
      <c r="H3" s="293"/>
      <c r="I3" s="293"/>
      <c r="J3" s="294"/>
      <c r="K3" s="294"/>
      <c r="L3" s="294"/>
      <c r="M3" s="88" t="s">
        <v>78</v>
      </c>
      <c r="N3" s="341"/>
      <c r="O3" s="342"/>
      <c r="P3" s="342"/>
      <c r="Q3" s="342"/>
      <c r="R3" s="343"/>
      <c r="V3" s="5">
        <f>進料檢!V3</f>
        <v>1</v>
      </c>
      <c r="W3" s="6">
        <f>進料檢!W3</f>
        <v>15</v>
      </c>
      <c r="X3" s="7">
        <f>進料檢!X3</f>
        <v>2</v>
      </c>
    </row>
    <row r="4" spans="1:25" ht="30.9" customHeight="1" thickBot="1">
      <c r="A4" s="11"/>
      <c r="D4" s="295" t="s">
        <v>80</v>
      </c>
      <c r="E4" s="296"/>
      <c r="F4" s="297" t="str">
        <f>IF(進料檢!F4="","",進料檢!F4)</f>
        <v/>
      </c>
      <c r="G4" s="298"/>
      <c r="H4" s="298"/>
      <c r="I4" s="298"/>
      <c r="J4" s="299"/>
      <c r="K4" s="299"/>
      <c r="L4" s="299"/>
      <c r="M4" s="89" t="s">
        <v>79</v>
      </c>
      <c r="N4" s="339" t="str">
        <f>IF(進料檢!N4="","",進料檢!N4)</f>
        <v/>
      </c>
      <c r="O4" s="340"/>
      <c r="P4" s="90" t="s">
        <v>64</v>
      </c>
      <c r="Q4" s="300" t="str">
        <f>IF($N$4="","",IF($N$4=1,1,IF($N$4&gt;=進料檢!$V$12,進料檢!$X$12,IF($N$4&gt;=進料檢!$V$11,進料檢!$X$11,IF($N$4&gt;=進料檢!$V$10,進料檢!$X$10,IF($N$4&gt;=進料檢!$V$9,進料檢!$X$9,IF($N$4&gt;=進料檢!$V$8,進料檢!$X$8,IF($N$4&gt;=進料檢!$V$7,進料檢!$X$7,IF($N$4&gt;=進料檢!$V$6,進料檢!$X$6,IF($N$4&gt;=進料檢!$V$5,進料檢!$X$5,IF($N$4&gt;=進料檢!$V$4,進料檢!$X$4,IF($N$4&gt;=進料檢!$V$3,進料檢!$X$3,進料檢!$X$12))))))))))))</f>
        <v/>
      </c>
      <c r="R4" s="238"/>
      <c r="V4" s="5">
        <f>進料檢!V4</f>
        <v>16</v>
      </c>
      <c r="W4" s="6">
        <f>進料檢!W4</f>
        <v>25</v>
      </c>
      <c r="X4" s="7">
        <f>進料檢!X4</f>
        <v>3</v>
      </c>
    </row>
    <row r="5" spans="1:25" ht="19.5" customHeight="1">
      <c r="A5" s="11"/>
      <c r="D5" s="212" t="s">
        <v>65</v>
      </c>
      <c r="E5" s="203"/>
      <c r="F5" s="203"/>
      <c r="G5" s="203"/>
      <c r="H5" s="203"/>
      <c r="I5" s="203"/>
      <c r="J5" s="203"/>
      <c r="K5" s="203"/>
      <c r="L5" s="203"/>
      <c r="M5" s="203"/>
      <c r="N5" s="213"/>
      <c r="O5" s="202" t="s">
        <v>177</v>
      </c>
      <c r="P5" s="203"/>
      <c r="Q5" s="203"/>
      <c r="R5" s="204"/>
      <c r="S5" s="14"/>
      <c r="V5" s="5">
        <f>進料檢!V5</f>
        <v>26</v>
      </c>
      <c r="W5" s="6">
        <f>進料檢!W5</f>
        <v>50</v>
      </c>
      <c r="X5" s="7">
        <f>進料檢!X5</f>
        <v>5</v>
      </c>
    </row>
    <row r="6" spans="1:25" ht="22.5" customHeight="1">
      <c r="A6" s="11"/>
      <c r="C6" s="15"/>
      <c r="D6" s="214"/>
      <c r="E6" s="279"/>
      <c r="F6" s="279"/>
      <c r="G6" s="279"/>
      <c r="H6" s="279"/>
      <c r="I6" s="279"/>
      <c r="J6" s="279"/>
      <c r="K6" s="279"/>
      <c r="L6" s="279"/>
      <c r="M6" s="279"/>
      <c r="N6" s="280"/>
      <c r="O6" s="205"/>
      <c r="P6" s="279"/>
      <c r="Q6" s="279"/>
      <c r="R6" s="287"/>
      <c r="V6" s="5">
        <f>進料檢!V6</f>
        <v>51</v>
      </c>
      <c r="W6" s="6">
        <f>進料檢!W6</f>
        <v>90</v>
      </c>
      <c r="X6" s="7">
        <f>進料檢!X6</f>
        <v>8</v>
      </c>
    </row>
    <row r="7" spans="1:25" ht="32.25" customHeight="1">
      <c r="A7" s="11"/>
      <c r="C7" s="15"/>
      <c r="D7" s="281"/>
      <c r="E7" s="282"/>
      <c r="F7" s="282"/>
      <c r="G7" s="282"/>
      <c r="H7" s="282"/>
      <c r="I7" s="282"/>
      <c r="J7" s="282"/>
      <c r="K7" s="282"/>
      <c r="L7" s="282"/>
      <c r="M7" s="282"/>
      <c r="N7" s="283"/>
      <c r="O7" s="282"/>
      <c r="P7" s="282"/>
      <c r="Q7" s="282"/>
      <c r="R7" s="288"/>
      <c r="V7" s="5">
        <f>進料檢!V7</f>
        <v>91</v>
      </c>
      <c r="W7" s="6">
        <f>進料檢!W7</f>
        <v>150</v>
      </c>
      <c r="X7" s="7">
        <f>進料檢!X7</f>
        <v>8</v>
      </c>
    </row>
    <row r="8" spans="1:25" ht="18.75" customHeight="1" thickBot="1">
      <c r="A8" s="11"/>
      <c r="C8" s="15"/>
      <c r="D8" s="284"/>
      <c r="E8" s="285"/>
      <c r="F8" s="285"/>
      <c r="G8" s="285"/>
      <c r="H8" s="285"/>
      <c r="I8" s="285"/>
      <c r="J8" s="285"/>
      <c r="K8" s="285"/>
      <c r="L8" s="285"/>
      <c r="M8" s="285"/>
      <c r="N8" s="286"/>
      <c r="O8" s="285"/>
      <c r="P8" s="285"/>
      <c r="Q8" s="285"/>
      <c r="R8" s="289"/>
      <c r="V8" s="5">
        <f>進料檢!V8</f>
        <v>151</v>
      </c>
      <c r="W8" s="6">
        <f>進料檢!W8</f>
        <v>280</v>
      </c>
      <c r="X8" s="7">
        <f>進料檢!X8</f>
        <v>12</v>
      </c>
    </row>
    <row r="9" spans="1:25" ht="15.6" customHeight="1">
      <c r="A9" s="11"/>
      <c r="C9" s="247"/>
      <c r="D9" s="251" t="s">
        <v>66</v>
      </c>
      <c r="E9" s="252"/>
      <c r="F9" s="253"/>
      <c r="G9" s="242" t="s">
        <v>67</v>
      </c>
      <c r="H9" s="242"/>
      <c r="I9" s="242"/>
      <c r="J9" s="242"/>
      <c r="K9" s="242"/>
      <c r="L9" s="242"/>
      <c r="M9" s="242"/>
      <c r="N9" s="242"/>
      <c r="O9" s="242"/>
      <c r="P9" s="242"/>
      <c r="Q9" s="242"/>
      <c r="R9" s="243"/>
      <c r="T9" s="271" t="s">
        <v>322</v>
      </c>
      <c r="V9" s="5">
        <f>進料檢!V9</f>
        <v>281</v>
      </c>
      <c r="W9" s="6">
        <f>進料檢!W9</f>
        <v>500</v>
      </c>
      <c r="X9" s="7">
        <f>進料檢!X9</f>
        <v>12</v>
      </c>
    </row>
    <row r="10" spans="1:25" ht="15.6" customHeight="1" thickBot="1">
      <c r="A10" s="11"/>
      <c r="C10" s="247"/>
      <c r="D10" s="254"/>
      <c r="E10" s="255"/>
      <c r="F10" s="25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272"/>
      <c r="V10" s="5">
        <f>進料檢!V10</f>
        <v>501</v>
      </c>
      <c r="W10" s="6">
        <f>進料檢!W10</f>
        <v>1200</v>
      </c>
      <c r="X10" s="7">
        <f>進料檢!X10</f>
        <v>12</v>
      </c>
    </row>
    <row r="11" spans="1:25" ht="27" customHeight="1" thickBot="1">
      <c r="A11" s="248"/>
      <c r="B11" s="17"/>
      <c r="C11" s="247"/>
      <c r="D11" s="257" t="s">
        <v>0</v>
      </c>
      <c r="E11" s="258"/>
      <c r="F11" s="86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77"/>
      <c r="S11" s="263"/>
      <c r="T11" s="180" t="str">
        <f>IF(進料檢!$T$11="","",進料檢!$T$11)</f>
        <v/>
      </c>
      <c r="V11" s="5">
        <f>進料檢!V11</f>
        <v>1201</v>
      </c>
      <c r="W11" s="6">
        <f>進料檢!W11</f>
        <v>3200</v>
      </c>
      <c r="X11" s="7">
        <f>進料檢!X11</f>
        <v>12</v>
      </c>
    </row>
    <row r="12" spans="1:25" ht="27" customHeight="1" thickBot="1">
      <c r="A12" s="249"/>
      <c r="B12" s="17"/>
      <c r="C12" s="247"/>
      <c r="D12" s="245"/>
      <c r="E12" s="226"/>
      <c r="F12" s="28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28"/>
      <c r="S12" s="263"/>
      <c r="T12" s="177" t="s">
        <v>321</v>
      </c>
      <c r="V12" s="18">
        <f>進料檢!V12</f>
        <v>3201</v>
      </c>
      <c r="W12" s="19">
        <f>進料檢!W12</f>
        <v>10000</v>
      </c>
      <c r="X12" s="20">
        <f>進料檢!X12</f>
        <v>12</v>
      </c>
    </row>
    <row r="13" spans="1:25" ht="27" customHeight="1" thickBot="1">
      <c r="A13" s="248"/>
      <c r="B13" s="17"/>
      <c r="C13" s="247"/>
      <c r="D13" s="244" t="s">
        <v>1</v>
      </c>
      <c r="E13" s="225"/>
      <c r="F13" s="29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27"/>
      <c r="S13" s="263"/>
      <c r="T13" s="181" t="str">
        <f>IF(進料檢!$T$13="","",進料檢!$T$13)</f>
        <v/>
      </c>
    </row>
    <row r="14" spans="1:25" ht="27" customHeight="1">
      <c r="A14" s="249"/>
      <c r="B14" s="17"/>
      <c r="C14" s="247"/>
      <c r="D14" s="245"/>
      <c r="E14" s="226"/>
      <c r="F14" s="28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28"/>
      <c r="S14" s="263"/>
    </row>
    <row r="15" spans="1:25" ht="27" customHeight="1">
      <c r="A15" s="248"/>
      <c r="B15" s="17"/>
      <c r="C15" s="247"/>
      <c r="D15" s="244" t="s">
        <v>2</v>
      </c>
      <c r="E15" s="225"/>
      <c r="F15" s="29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27"/>
      <c r="S15" s="263"/>
      <c r="T15" s="221" t="s">
        <v>103</v>
      </c>
      <c r="U15" s="222"/>
      <c r="V15" s="222"/>
      <c r="W15" s="222"/>
      <c r="X15" s="222"/>
    </row>
    <row r="16" spans="1:25" ht="27" customHeight="1">
      <c r="A16" s="249"/>
      <c r="B16" s="17"/>
      <c r="C16" s="247"/>
      <c r="D16" s="245"/>
      <c r="E16" s="226"/>
      <c r="F16" s="28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201"/>
      <c r="R16" s="228"/>
      <c r="S16" s="263"/>
      <c r="T16" s="222"/>
      <c r="U16" s="222"/>
      <c r="V16" s="222"/>
      <c r="W16" s="222"/>
      <c r="X16" s="222"/>
    </row>
    <row r="17" spans="1:24" ht="27" customHeight="1">
      <c r="A17" s="248"/>
      <c r="B17" s="17"/>
      <c r="C17" s="247"/>
      <c r="D17" s="244" t="s">
        <v>3</v>
      </c>
      <c r="E17" s="225"/>
      <c r="F17" s="29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27"/>
      <c r="S17" s="263"/>
      <c r="T17" s="344" t="s">
        <v>169</v>
      </c>
      <c r="U17" s="345"/>
      <c r="V17" s="345"/>
      <c r="W17" s="345"/>
      <c r="X17" s="345"/>
    </row>
    <row r="18" spans="1:24" ht="27" customHeight="1">
      <c r="A18" s="249"/>
      <c r="B18" s="17"/>
      <c r="C18" s="247"/>
      <c r="D18" s="245"/>
      <c r="E18" s="226"/>
      <c r="F18" s="28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28"/>
      <c r="S18" s="263"/>
      <c r="T18" s="345"/>
      <c r="U18" s="345"/>
      <c r="V18" s="345"/>
      <c r="W18" s="345"/>
      <c r="X18" s="345"/>
    </row>
    <row r="19" spans="1:24" ht="27" customHeight="1">
      <c r="A19" s="248"/>
      <c r="B19" s="17"/>
      <c r="C19" s="247"/>
      <c r="D19" s="244" t="s">
        <v>4</v>
      </c>
      <c r="E19" s="225"/>
      <c r="F19" s="29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27"/>
      <c r="S19" s="263"/>
      <c r="T19" s="345"/>
      <c r="U19" s="345"/>
      <c r="V19" s="345"/>
      <c r="W19" s="345"/>
      <c r="X19" s="345"/>
    </row>
    <row r="20" spans="1:24" ht="27" customHeight="1">
      <c r="A20" s="249"/>
      <c r="B20" s="17"/>
      <c r="C20" s="247"/>
      <c r="D20" s="245"/>
      <c r="E20" s="226"/>
      <c r="F20" s="28"/>
      <c r="G20" s="201"/>
      <c r="H20" s="201"/>
      <c r="I20" s="201"/>
      <c r="J20" s="201"/>
      <c r="K20" s="201"/>
      <c r="L20" s="201"/>
      <c r="M20" s="201"/>
      <c r="N20" s="201"/>
      <c r="O20" s="201"/>
      <c r="P20" s="201"/>
      <c r="Q20" s="201"/>
      <c r="R20" s="228"/>
      <c r="S20" s="263"/>
    </row>
    <row r="21" spans="1:24" ht="27" customHeight="1">
      <c r="A21" s="248"/>
      <c r="B21" s="17"/>
      <c r="C21" s="247"/>
      <c r="D21" s="244" t="s">
        <v>5</v>
      </c>
      <c r="E21" s="225"/>
      <c r="F21" s="29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27"/>
      <c r="S21" s="263"/>
    </row>
    <row r="22" spans="1:24" ht="27" customHeight="1">
      <c r="A22" s="249"/>
      <c r="B22" s="17"/>
      <c r="C22" s="247"/>
      <c r="D22" s="245"/>
      <c r="E22" s="226"/>
      <c r="F22" s="28"/>
      <c r="G22" s="201"/>
      <c r="H22" s="201"/>
      <c r="I22" s="201"/>
      <c r="J22" s="201"/>
      <c r="K22" s="201"/>
      <c r="L22" s="201"/>
      <c r="M22" s="201"/>
      <c r="N22" s="201"/>
      <c r="O22" s="201"/>
      <c r="P22" s="201"/>
      <c r="Q22" s="201"/>
      <c r="R22" s="228"/>
      <c r="S22" s="263"/>
    </row>
    <row r="23" spans="1:24" ht="27" customHeight="1">
      <c r="A23" s="248"/>
      <c r="B23" s="17"/>
      <c r="C23" s="247"/>
      <c r="D23" s="244" t="s">
        <v>6</v>
      </c>
      <c r="E23" s="225"/>
      <c r="F23" s="29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27"/>
      <c r="S23" s="263"/>
    </row>
    <row r="24" spans="1:24" ht="27" customHeight="1">
      <c r="A24" s="249"/>
      <c r="B24" s="17"/>
      <c r="C24" s="247"/>
      <c r="D24" s="245"/>
      <c r="E24" s="226"/>
      <c r="F24" s="28"/>
      <c r="G24" s="201"/>
      <c r="H24" s="201"/>
      <c r="I24" s="201"/>
      <c r="J24" s="201"/>
      <c r="K24" s="201"/>
      <c r="L24" s="201"/>
      <c r="M24" s="201"/>
      <c r="N24" s="201"/>
      <c r="O24" s="201"/>
      <c r="P24" s="201"/>
      <c r="Q24" s="201"/>
      <c r="R24" s="228"/>
      <c r="S24" s="263"/>
    </row>
    <row r="25" spans="1:24" ht="27" customHeight="1">
      <c r="A25" s="248"/>
      <c r="B25" s="17"/>
      <c r="C25" s="247"/>
      <c r="D25" s="244" t="s">
        <v>7</v>
      </c>
      <c r="E25" s="225"/>
      <c r="F25" s="29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27"/>
      <c r="S25" s="263"/>
    </row>
    <row r="26" spans="1:24" ht="27" customHeight="1">
      <c r="A26" s="249"/>
      <c r="B26" s="17"/>
      <c r="C26" s="247"/>
      <c r="D26" s="245"/>
      <c r="E26" s="226"/>
      <c r="F26" s="28"/>
      <c r="G26" s="201"/>
      <c r="H26" s="201"/>
      <c r="I26" s="201"/>
      <c r="J26" s="201"/>
      <c r="K26" s="201"/>
      <c r="L26" s="201"/>
      <c r="M26" s="201"/>
      <c r="N26" s="201"/>
      <c r="O26" s="201"/>
      <c r="P26" s="201"/>
      <c r="Q26" s="201"/>
      <c r="R26" s="228"/>
      <c r="S26" s="263"/>
    </row>
    <row r="27" spans="1:24" ht="27" customHeight="1">
      <c r="A27" s="248"/>
      <c r="B27" s="17"/>
      <c r="C27" s="247"/>
      <c r="D27" s="244" t="s">
        <v>8</v>
      </c>
      <c r="E27" s="225"/>
      <c r="F27" s="29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27"/>
      <c r="S27" s="263"/>
    </row>
    <row r="28" spans="1:24" ht="27" customHeight="1">
      <c r="A28" s="249"/>
      <c r="B28" s="17"/>
      <c r="C28" s="247"/>
      <c r="D28" s="245"/>
      <c r="E28" s="226"/>
      <c r="F28" s="28"/>
      <c r="G28" s="201"/>
      <c r="H28" s="201"/>
      <c r="I28" s="201"/>
      <c r="J28" s="201"/>
      <c r="K28" s="201"/>
      <c r="L28" s="201"/>
      <c r="M28" s="201"/>
      <c r="N28" s="201"/>
      <c r="O28" s="201"/>
      <c r="P28" s="201"/>
      <c r="Q28" s="201"/>
      <c r="R28" s="228"/>
      <c r="S28" s="263"/>
    </row>
    <row r="29" spans="1:24" ht="27" customHeight="1">
      <c r="A29" s="248"/>
      <c r="B29" s="17"/>
      <c r="C29" s="247"/>
      <c r="D29" s="244" t="s">
        <v>9</v>
      </c>
      <c r="E29" s="225"/>
      <c r="F29" s="29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27"/>
      <c r="S29" s="263"/>
    </row>
    <row r="30" spans="1:24" ht="27" customHeight="1">
      <c r="A30" s="249"/>
      <c r="B30" s="17"/>
      <c r="C30" s="247"/>
      <c r="D30" s="245"/>
      <c r="E30" s="226"/>
      <c r="F30" s="28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28"/>
      <c r="S30" s="263"/>
    </row>
    <row r="31" spans="1:24" ht="27" customHeight="1">
      <c r="A31" s="248"/>
      <c r="B31" s="17"/>
      <c r="C31" s="247"/>
      <c r="D31" s="244" t="s">
        <v>10</v>
      </c>
      <c r="E31" s="225"/>
      <c r="F31" s="29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27"/>
      <c r="S31" s="263"/>
    </row>
    <row r="32" spans="1:24" ht="27" customHeight="1">
      <c r="A32" s="249"/>
      <c r="B32" s="17"/>
      <c r="C32" s="247"/>
      <c r="D32" s="245"/>
      <c r="E32" s="226"/>
      <c r="F32" s="28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28"/>
      <c r="S32" s="263"/>
    </row>
    <row r="33" spans="1:20" ht="27" customHeight="1">
      <c r="A33" s="248"/>
      <c r="B33" s="17"/>
      <c r="C33" s="247"/>
      <c r="D33" s="244" t="s">
        <v>11</v>
      </c>
      <c r="E33" s="225"/>
      <c r="F33" s="29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27"/>
      <c r="S33" s="263"/>
    </row>
    <row r="34" spans="1:20" ht="27" customHeight="1">
      <c r="A34" s="249"/>
      <c r="B34" s="17"/>
      <c r="C34" s="247"/>
      <c r="D34" s="245"/>
      <c r="E34" s="226"/>
      <c r="F34" s="28"/>
      <c r="G34" s="201"/>
      <c r="H34" s="201"/>
      <c r="I34" s="201"/>
      <c r="J34" s="201"/>
      <c r="K34" s="201"/>
      <c r="L34" s="201"/>
      <c r="M34" s="201"/>
      <c r="N34" s="201"/>
      <c r="O34" s="201"/>
      <c r="P34" s="201"/>
      <c r="Q34" s="201"/>
      <c r="R34" s="228"/>
      <c r="S34" s="263"/>
    </row>
    <row r="35" spans="1:20" ht="27" customHeight="1">
      <c r="A35" s="248"/>
      <c r="B35" s="17"/>
      <c r="C35" s="247"/>
      <c r="D35" s="244" t="s">
        <v>12</v>
      </c>
      <c r="E35" s="225"/>
      <c r="F35" s="29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27"/>
      <c r="S35" s="263"/>
    </row>
    <row r="36" spans="1:20" ht="27" customHeight="1">
      <c r="A36" s="249"/>
      <c r="B36" s="17"/>
      <c r="C36" s="247"/>
      <c r="D36" s="245"/>
      <c r="E36" s="226"/>
      <c r="F36" s="28"/>
      <c r="G36" s="201"/>
      <c r="H36" s="201"/>
      <c r="I36" s="201"/>
      <c r="J36" s="201"/>
      <c r="K36" s="201"/>
      <c r="L36" s="201"/>
      <c r="M36" s="201"/>
      <c r="N36" s="201"/>
      <c r="O36" s="201"/>
      <c r="P36" s="201"/>
      <c r="Q36" s="201"/>
      <c r="R36" s="228"/>
      <c r="S36" s="263"/>
    </row>
    <row r="37" spans="1:20" ht="27" customHeight="1">
      <c r="A37" s="248"/>
      <c r="B37" s="17"/>
      <c r="C37" s="247"/>
      <c r="D37" s="244" t="s">
        <v>13</v>
      </c>
      <c r="E37" s="225"/>
      <c r="F37" s="29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27"/>
      <c r="S37" s="263"/>
    </row>
    <row r="38" spans="1:20" ht="27" customHeight="1">
      <c r="A38" s="249"/>
      <c r="B38" s="17"/>
      <c r="C38" s="247"/>
      <c r="D38" s="245"/>
      <c r="E38" s="226"/>
      <c r="F38" s="28"/>
      <c r="G38" s="201"/>
      <c r="H38" s="201"/>
      <c r="I38" s="201"/>
      <c r="J38" s="201"/>
      <c r="K38" s="201"/>
      <c r="L38" s="201"/>
      <c r="M38" s="201"/>
      <c r="N38" s="201"/>
      <c r="O38" s="201"/>
      <c r="P38" s="201"/>
      <c r="Q38" s="201"/>
      <c r="R38" s="228"/>
      <c r="S38" s="263"/>
    </row>
    <row r="39" spans="1:20" ht="27" customHeight="1">
      <c r="A39" s="248"/>
      <c r="B39" s="17"/>
      <c r="C39" s="247"/>
      <c r="D39" s="244" t="s">
        <v>14</v>
      </c>
      <c r="E39" s="225"/>
      <c r="F39" s="29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27"/>
      <c r="S39" s="263"/>
    </row>
    <row r="40" spans="1:20" ht="27" customHeight="1">
      <c r="A40" s="249"/>
      <c r="B40" s="17"/>
      <c r="C40" s="247"/>
      <c r="D40" s="245"/>
      <c r="E40" s="226"/>
      <c r="F40" s="28"/>
      <c r="G40" s="201"/>
      <c r="H40" s="201"/>
      <c r="I40" s="201"/>
      <c r="J40" s="201"/>
      <c r="K40" s="201"/>
      <c r="L40" s="201"/>
      <c r="M40" s="201"/>
      <c r="N40" s="201"/>
      <c r="O40" s="201"/>
      <c r="P40" s="201"/>
      <c r="Q40" s="201"/>
      <c r="R40" s="228"/>
      <c r="S40" s="263"/>
    </row>
    <row r="41" spans="1:20" ht="27" customHeight="1">
      <c r="A41" s="248"/>
      <c r="B41" s="17"/>
      <c r="C41" s="247"/>
      <c r="D41" s="244" t="s">
        <v>15</v>
      </c>
      <c r="E41" s="225"/>
      <c r="F41" s="29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27"/>
      <c r="S41" s="263"/>
    </row>
    <row r="42" spans="1:20" ht="27" customHeight="1" thickBot="1">
      <c r="A42" s="262"/>
      <c r="B42" s="21"/>
      <c r="C42" s="265"/>
      <c r="D42" s="264"/>
      <c r="E42" s="246"/>
      <c r="F42" s="30"/>
      <c r="G42" s="220"/>
      <c r="H42" s="220"/>
      <c r="I42" s="220"/>
      <c r="J42" s="220"/>
      <c r="K42" s="220"/>
      <c r="L42" s="220"/>
      <c r="M42" s="220"/>
      <c r="N42" s="220"/>
      <c r="O42" s="220"/>
      <c r="P42" s="220"/>
      <c r="Q42" s="220"/>
      <c r="R42" s="267"/>
      <c r="S42" s="263"/>
    </row>
    <row r="43" spans="1:20" s="22" customFormat="1" ht="30" customHeight="1">
      <c r="D43" s="23"/>
      <c r="E43" s="24" t="s">
        <v>68</v>
      </c>
      <c r="F43" s="194"/>
      <c r="G43" s="195"/>
      <c r="H43" s="23"/>
      <c r="I43" s="23" t="s">
        <v>69</v>
      </c>
      <c r="J43" s="25" t="s">
        <v>70</v>
      </c>
      <c r="K43" s="196" t="s">
        <v>148</v>
      </c>
      <c r="L43" s="197"/>
      <c r="M43" s="23"/>
      <c r="N43" s="198" t="s">
        <v>147</v>
      </c>
      <c r="O43" s="199"/>
      <c r="P43" s="223"/>
      <c r="Q43" s="223"/>
      <c r="R43" s="224"/>
      <c r="T43" s="25"/>
    </row>
    <row r="44" spans="1:20">
      <c r="P44" s="266"/>
      <c r="Q44" s="266"/>
      <c r="R44" s="266"/>
    </row>
  </sheetData>
  <mergeCells count="297">
    <mergeCell ref="T9:T10"/>
    <mergeCell ref="F43:G43"/>
    <mergeCell ref="K43:L43"/>
    <mergeCell ref="N43:O43"/>
    <mergeCell ref="P43:R43"/>
    <mergeCell ref="P44:R44"/>
    <mergeCell ref="T17:X19"/>
    <mergeCell ref="N41:N42"/>
    <mergeCell ref="O41:O42"/>
    <mergeCell ref="P41:P42"/>
    <mergeCell ref="Q41:Q42"/>
    <mergeCell ref="R41:R42"/>
    <mergeCell ref="S41:S42"/>
    <mergeCell ref="H41:H42"/>
    <mergeCell ref="I41:I42"/>
    <mergeCell ref="J41:J42"/>
    <mergeCell ref="K41:K42"/>
    <mergeCell ref="L41:L42"/>
    <mergeCell ref="M41:M42"/>
    <mergeCell ref="O39:O40"/>
    <mergeCell ref="P39:P40"/>
    <mergeCell ref="Q39:Q40"/>
    <mergeCell ref="R39:R40"/>
    <mergeCell ref="S39:S40"/>
    <mergeCell ref="A41:A42"/>
    <mergeCell ref="C41:C42"/>
    <mergeCell ref="D41:D42"/>
    <mergeCell ref="E41:E42"/>
    <mergeCell ref="G41:G42"/>
    <mergeCell ref="I39:I40"/>
    <mergeCell ref="J39:J40"/>
    <mergeCell ref="K39:K40"/>
    <mergeCell ref="L39:L40"/>
    <mergeCell ref="A39:A40"/>
    <mergeCell ref="C39:C40"/>
    <mergeCell ref="D39:D40"/>
    <mergeCell ref="E39:E40"/>
    <mergeCell ref="G39:G40"/>
    <mergeCell ref="H39:H40"/>
    <mergeCell ref="R37:R38"/>
    <mergeCell ref="S37:S38"/>
    <mergeCell ref="H37:H38"/>
    <mergeCell ref="I37:I38"/>
    <mergeCell ref="J37:J38"/>
    <mergeCell ref="K37:K38"/>
    <mergeCell ref="L37:L38"/>
    <mergeCell ref="M37:M38"/>
    <mergeCell ref="N39:N40"/>
    <mergeCell ref="M39:M40"/>
    <mergeCell ref="N37:N38"/>
    <mergeCell ref="O37:O38"/>
    <mergeCell ref="O35:O36"/>
    <mergeCell ref="P35:P36"/>
    <mergeCell ref="Q35:Q36"/>
    <mergeCell ref="R35:R36"/>
    <mergeCell ref="S35:S36"/>
    <mergeCell ref="A37:A38"/>
    <mergeCell ref="C37:C38"/>
    <mergeCell ref="D37:D38"/>
    <mergeCell ref="E37:E38"/>
    <mergeCell ref="G37:G38"/>
    <mergeCell ref="I35:I36"/>
    <mergeCell ref="J35:J36"/>
    <mergeCell ref="K35:K36"/>
    <mergeCell ref="L35:L36"/>
    <mergeCell ref="M35:M36"/>
    <mergeCell ref="N35:N36"/>
    <mergeCell ref="A35:A36"/>
    <mergeCell ref="C35:C36"/>
    <mergeCell ref="D35:D36"/>
    <mergeCell ref="E35:E36"/>
    <mergeCell ref="G35:G36"/>
    <mergeCell ref="H35:H36"/>
    <mergeCell ref="P37:P38"/>
    <mergeCell ref="Q37:Q38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O31:O32"/>
    <mergeCell ref="P31:P32"/>
    <mergeCell ref="Q31:Q32"/>
    <mergeCell ref="R31:R32"/>
    <mergeCell ref="S31:S32"/>
    <mergeCell ref="A33:A34"/>
    <mergeCell ref="C33:C34"/>
    <mergeCell ref="D33:D34"/>
    <mergeCell ref="E33:E34"/>
    <mergeCell ref="G33:G34"/>
    <mergeCell ref="I31:I32"/>
    <mergeCell ref="J31:J32"/>
    <mergeCell ref="K31:K32"/>
    <mergeCell ref="L31:L32"/>
    <mergeCell ref="M31:M32"/>
    <mergeCell ref="N31:N32"/>
    <mergeCell ref="A31:A32"/>
    <mergeCell ref="C31:C32"/>
    <mergeCell ref="D31:D32"/>
    <mergeCell ref="E31:E32"/>
    <mergeCell ref="G31:G32"/>
    <mergeCell ref="H31:H32"/>
    <mergeCell ref="N33:N34"/>
    <mergeCell ref="O33:O34"/>
    <mergeCell ref="P29:P30"/>
    <mergeCell ref="Q29:Q30"/>
    <mergeCell ref="R29:R30"/>
    <mergeCell ref="S29:S30"/>
    <mergeCell ref="H29:H30"/>
    <mergeCell ref="I29:I30"/>
    <mergeCell ref="J29:J30"/>
    <mergeCell ref="K29:K30"/>
    <mergeCell ref="L29:L30"/>
    <mergeCell ref="M29:M30"/>
    <mergeCell ref="O27:O28"/>
    <mergeCell ref="P27:P28"/>
    <mergeCell ref="Q27:Q28"/>
    <mergeCell ref="R27:R28"/>
    <mergeCell ref="S27:S28"/>
    <mergeCell ref="A29:A30"/>
    <mergeCell ref="C29:C30"/>
    <mergeCell ref="D29:D30"/>
    <mergeCell ref="E29:E30"/>
    <mergeCell ref="G29:G30"/>
    <mergeCell ref="I27:I28"/>
    <mergeCell ref="J27:J28"/>
    <mergeCell ref="K27:K28"/>
    <mergeCell ref="L27:L28"/>
    <mergeCell ref="M27:M28"/>
    <mergeCell ref="N27:N28"/>
    <mergeCell ref="A27:A28"/>
    <mergeCell ref="C27:C28"/>
    <mergeCell ref="D27:D28"/>
    <mergeCell ref="E27:E28"/>
    <mergeCell ref="G27:G28"/>
    <mergeCell ref="H27:H28"/>
    <mergeCell ref="N29:N30"/>
    <mergeCell ref="O29:O30"/>
    <mergeCell ref="N25:N26"/>
    <mergeCell ref="O25:O26"/>
    <mergeCell ref="P25:P26"/>
    <mergeCell ref="Q25:Q26"/>
    <mergeCell ref="R25:R26"/>
    <mergeCell ref="S25:S26"/>
    <mergeCell ref="H25:H26"/>
    <mergeCell ref="I25:I26"/>
    <mergeCell ref="J25:J26"/>
    <mergeCell ref="K25:K26"/>
    <mergeCell ref="L25:L26"/>
    <mergeCell ref="M25:M26"/>
    <mergeCell ref="A25:A26"/>
    <mergeCell ref="C25:C26"/>
    <mergeCell ref="D25:D26"/>
    <mergeCell ref="E25:E26"/>
    <mergeCell ref="G25:G26"/>
    <mergeCell ref="I23:I24"/>
    <mergeCell ref="J23:J24"/>
    <mergeCell ref="K23:K24"/>
    <mergeCell ref="L23:L24"/>
    <mergeCell ref="S21:S22"/>
    <mergeCell ref="A23:A24"/>
    <mergeCell ref="C23:C24"/>
    <mergeCell ref="D23:D24"/>
    <mergeCell ref="E23:E24"/>
    <mergeCell ref="G23:G24"/>
    <mergeCell ref="H23:H24"/>
    <mergeCell ref="J21:J22"/>
    <mergeCell ref="K21:K22"/>
    <mergeCell ref="L21:L22"/>
    <mergeCell ref="M21:M22"/>
    <mergeCell ref="N21:N22"/>
    <mergeCell ref="O21:O22"/>
    <mergeCell ref="O23:O24"/>
    <mergeCell ref="P23:P24"/>
    <mergeCell ref="Q23:Q24"/>
    <mergeCell ref="R23:R24"/>
    <mergeCell ref="S23:S24"/>
    <mergeCell ref="M23:M24"/>
    <mergeCell ref="N23:N24"/>
    <mergeCell ref="M17:M18"/>
    <mergeCell ref="N17:N18"/>
    <mergeCell ref="O17:O18"/>
    <mergeCell ref="P17:P18"/>
    <mergeCell ref="Q17:Q18"/>
    <mergeCell ref="Q19:Q20"/>
    <mergeCell ref="R19:R20"/>
    <mergeCell ref="S19:S20"/>
    <mergeCell ref="A21:A22"/>
    <mergeCell ref="C21:C22"/>
    <mergeCell ref="D21:D22"/>
    <mergeCell ref="E21:E22"/>
    <mergeCell ref="G21:G22"/>
    <mergeCell ref="H21:H22"/>
    <mergeCell ref="I21:I22"/>
    <mergeCell ref="K19:K20"/>
    <mergeCell ref="L19:L20"/>
    <mergeCell ref="M19:M20"/>
    <mergeCell ref="N19:N20"/>
    <mergeCell ref="O19:O20"/>
    <mergeCell ref="P19:P20"/>
    <mergeCell ref="P21:P22"/>
    <mergeCell ref="Q21:Q22"/>
    <mergeCell ref="R21:R22"/>
    <mergeCell ref="A19:A20"/>
    <mergeCell ref="C19:C20"/>
    <mergeCell ref="D19:D20"/>
    <mergeCell ref="E19:E20"/>
    <mergeCell ref="G19:G20"/>
    <mergeCell ref="H19:H20"/>
    <mergeCell ref="I19:I20"/>
    <mergeCell ref="J19:J20"/>
    <mergeCell ref="L17:L18"/>
    <mergeCell ref="T15:X16"/>
    <mergeCell ref="A17:A18"/>
    <mergeCell ref="C17:C18"/>
    <mergeCell ref="D17:D18"/>
    <mergeCell ref="E17:E18"/>
    <mergeCell ref="G17:G18"/>
    <mergeCell ref="H17:H18"/>
    <mergeCell ref="I17:I18"/>
    <mergeCell ref="J17:J18"/>
    <mergeCell ref="K17:K18"/>
    <mergeCell ref="N15:N16"/>
    <mergeCell ref="O15:O16"/>
    <mergeCell ref="P15:P16"/>
    <mergeCell ref="Q15:Q16"/>
    <mergeCell ref="R15:R16"/>
    <mergeCell ref="S15:S16"/>
    <mergeCell ref="H15:H16"/>
    <mergeCell ref="I15:I16"/>
    <mergeCell ref="J15:J16"/>
    <mergeCell ref="K15:K16"/>
    <mergeCell ref="L15:L16"/>
    <mergeCell ref="M15:M16"/>
    <mergeCell ref="R17:R18"/>
    <mergeCell ref="S17:S18"/>
    <mergeCell ref="A15:A16"/>
    <mergeCell ref="C15:C16"/>
    <mergeCell ref="D15:D16"/>
    <mergeCell ref="E15:E16"/>
    <mergeCell ref="G15:G16"/>
    <mergeCell ref="I13:I14"/>
    <mergeCell ref="J13:J14"/>
    <mergeCell ref="K13:K14"/>
    <mergeCell ref="L13:L14"/>
    <mergeCell ref="S11:S12"/>
    <mergeCell ref="A13:A14"/>
    <mergeCell ref="C13:C14"/>
    <mergeCell ref="D13:D14"/>
    <mergeCell ref="E13:E14"/>
    <mergeCell ref="G13:G14"/>
    <mergeCell ref="H13:H14"/>
    <mergeCell ref="J11:J12"/>
    <mergeCell ref="K11:K12"/>
    <mergeCell ref="L11:L12"/>
    <mergeCell ref="M11:M12"/>
    <mergeCell ref="N11:N12"/>
    <mergeCell ref="O11:O12"/>
    <mergeCell ref="O13:O14"/>
    <mergeCell ref="P13:P14"/>
    <mergeCell ref="Q13:Q14"/>
    <mergeCell ref="R13:R14"/>
    <mergeCell ref="S13:S14"/>
    <mergeCell ref="M13:M14"/>
    <mergeCell ref="N13:N14"/>
    <mergeCell ref="D5:N5"/>
    <mergeCell ref="O5:R5"/>
    <mergeCell ref="D6:N8"/>
    <mergeCell ref="O6:R8"/>
    <mergeCell ref="C9:C10"/>
    <mergeCell ref="D9:F10"/>
    <mergeCell ref="G9:R9"/>
    <mergeCell ref="A11:A12"/>
    <mergeCell ref="C11:C12"/>
    <mergeCell ref="D11:D12"/>
    <mergeCell ref="E11:E12"/>
    <mergeCell ref="G11:G12"/>
    <mergeCell ref="H11:H12"/>
    <mergeCell ref="I11:I12"/>
    <mergeCell ref="P11:P12"/>
    <mergeCell ref="Q11:Q12"/>
    <mergeCell ref="R11:R12"/>
    <mergeCell ref="D4:E4"/>
    <mergeCell ref="F4:L4"/>
    <mergeCell ref="N4:O4"/>
    <mergeCell ref="Q4:R4"/>
    <mergeCell ref="C1:R1"/>
    <mergeCell ref="V1:X1"/>
    <mergeCell ref="Q2:R2"/>
    <mergeCell ref="D3:E3"/>
    <mergeCell ref="F3:L3"/>
    <mergeCell ref="N3:R3"/>
  </mergeCells>
  <phoneticPr fontId="2" type="noConversion"/>
  <conditionalFormatting sqref="F11">
    <cfRule type="expression" dxfId="239" priority="196">
      <formula>$A11="X"</formula>
    </cfRule>
  </conditionalFormatting>
  <conditionalFormatting sqref="F12">
    <cfRule type="expression" dxfId="238" priority="195">
      <formula>$A11="x"</formula>
    </cfRule>
  </conditionalFormatting>
  <conditionalFormatting sqref="F13 F15 F17 F19 F21 F23 F25 F27 F29 F31 F33 F35 F37 F39 F41">
    <cfRule type="expression" dxfId="237" priority="194">
      <formula>$A13="X"</formula>
    </cfRule>
  </conditionalFormatting>
  <conditionalFormatting sqref="F14 F16 F18 F20 F22 F24 F26 F28 F30 F32 F34 F36 F38 F40 F42">
    <cfRule type="expression" dxfId="236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235" priority="167">
      <formula>AND(G13&lt;&gt;"",G13&lt;#REF!)</formula>
    </cfRule>
    <cfRule type="expression" dxfId="234" priority="168">
      <formula>AND(G13&lt;&gt;"",G13&gt;#REF!)</formula>
    </cfRule>
    <cfRule type="expression" dxfId="233" priority="169">
      <formula>AND(G13&lt;&gt;"",G13&lt;#REF!)</formula>
    </cfRule>
    <cfRule type="expression" dxfId="232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231" priority="179">
      <formula>AND(G11&lt;&gt;"",G11&lt;#REF!)</formula>
    </cfRule>
    <cfRule type="expression" dxfId="230" priority="180">
      <formula>AND(G11&lt;&gt;"",G11&gt;#REF!)</formula>
    </cfRule>
    <cfRule type="expression" dxfId="229" priority="181">
      <formula>AND(G11&lt;&gt;"",G11&lt;#REF!)</formula>
    </cfRule>
    <cfRule type="expression" dxfId="228" priority="182">
      <formula>AND(G11&lt;&gt;"",G11&gt;#REF!)</formula>
    </cfRule>
    <cfRule type="expression" dxfId="227" priority="183">
      <formula>AND(G11&lt;&gt;"",G11&lt;#REF!)</formula>
    </cfRule>
    <cfRule type="expression" dxfId="226" priority="184">
      <formula>AND(G11&lt;&gt;"",G11&gt;#REF!)</formula>
    </cfRule>
    <cfRule type="expression" dxfId="225" priority="185">
      <formula>AND(G11&lt;&gt;"",G11&lt;#REF!)</formula>
    </cfRule>
    <cfRule type="expression" dxfId="224" priority="186">
      <formula>AND(G11&lt;&gt;"",G11&gt;#REF!)</formula>
    </cfRule>
    <cfRule type="expression" dxfId="223" priority="187">
      <formula>AND(G11&lt;&gt;"",G11&lt;#REF!)</formula>
    </cfRule>
    <cfRule type="expression" dxfId="222" priority="188">
      <formula>AND(G11&lt;&gt;"",G11&gt;#REF!)</formula>
    </cfRule>
    <cfRule type="expression" dxfId="221" priority="189">
      <formula>AND(G11&lt;&gt;"",G11&lt;#REF!)</formula>
    </cfRule>
    <cfRule type="expression" dxfId="220" priority="190">
      <formula>AND(G11&lt;&gt;"",G11&gt;#REF!)</formula>
    </cfRule>
    <cfRule type="expression" dxfId="219" priority="191">
      <formula>AND(G11&lt;&gt;"",G11&lt;#REF!)</formula>
    </cfRule>
    <cfRule type="expression" dxfId="218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217" priority="177">
      <formula>AND(K11&lt;&gt;"",K11&lt;#REF!)</formula>
    </cfRule>
    <cfRule type="expression" dxfId="216" priority="178">
      <formula>AND(K11&lt;&gt;"",K11&gt;#REF!)</formula>
    </cfRule>
  </conditionalFormatting>
  <conditionalFormatting sqref="J11:R42">
    <cfRule type="expression" dxfId="215" priority="197">
      <formula>AND(J11&lt;&gt;"",J11&lt;#REF!)</formula>
    </cfRule>
    <cfRule type="expression" dxfId="214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213" priority="171">
      <formula>AND(G13&lt;&gt;"",G13&lt;#REF!)</formula>
    </cfRule>
    <cfRule type="expression" dxfId="212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211" priority="175">
      <formula>AND(K11&lt;&gt;"",K11&lt;#REF!)</formula>
    </cfRule>
    <cfRule type="expression" dxfId="210" priority="176">
      <formula>AND(K11&lt;&gt;"",K11&gt;#REF!)</formula>
    </cfRule>
  </conditionalFormatting>
  <conditionalFormatting sqref="R11">
    <cfRule type="expression" dxfId="209" priority="173">
      <formula>AND(R11&lt;&gt;"",R11&lt;#REF!)</formula>
    </cfRule>
    <cfRule type="expression" dxfId="208" priority="174">
      <formula>AND(R11&lt;&gt;"",R11&gt;#REF!)</formula>
    </cfRule>
  </conditionalFormatting>
  <conditionalFormatting sqref="G35:I36">
    <cfRule type="expression" dxfId="207" priority="165">
      <formula>AND(G35&lt;&gt;"",G35&lt;#REF!)</formula>
    </cfRule>
    <cfRule type="expression" dxfId="206" priority="166">
      <formula>AND(G35&lt;&gt;"",G35&gt;#REF!)</formula>
    </cfRule>
  </conditionalFormatting>
  <conditionalFormatting sqref="N35">
    <cfRule type="expression" dxfId="205" priority="161">
      <formula>AND(N35&lt;&gt;"",N35&lt;#REF!)</formula>
    </cfRule>
    <cfRule type="expression" dxfId="204" priority="162">
      <formula>AND(N35&lt;&gt;"",N35&gt;#REF!)</formula>
    </cfRule>
    <cfRule type="expression" dxfId="203" priority="163">
      <formula>AND(N35&lt;&gt;"",N35&lt;#REF!)</formula>
    </cfRule>
    <cfRule type="expression" dxfId="202" priority="164">
      <formula>AND(N35&lt;&gt;"",N35&gt;#REF!)</formula>
    </cfRule>
  </conditionalFormatting>
  <conditionalFormatting sqref="Q35">
    <cfRule type="expression" dxfId="201" priority="157">
      <formula>AND(Q35&lt;&gt;"",Q35&lt;#REF!)</formula>
    </cfRule>
    <cfRule type="expression" dxfId="200" priority="158">
      <formula>AND(Q35&lt;&gt;"",Q35&gt;#REF!)</formula>
    </cfRule>
    <cfRule type="expression" dxfId="199" priority="159">
      <formula>AND(Q35&lt;&gt;"",Q35&lt;#REF!)</formula>
    </cfRule>
    <cfRule type="expression" dxfId="198" priority="160">
      <formula>AND(Q35&lt;&gt;"",Q35&gt;#REF!)</formula>
    </cfRule>
  </conditionalFormatting>
  <conditionalFormatting sqref="G37:I38">
    <cfRule type="expression" dxfId="197" priority="155">
      <formula>AND(G37&lt;&gt;"",G37&lt;#REF!)</formula>
    </cfRule>
    <cfRule type="expression" dxfId="196" priority="156">
      <formula>AND(G37&lt;&gt;"",G37&gt;#REF!)</formula>
    </cfRule>
  </conditionalFormatting>
  <conditionalFormatting sqref="N37">
    <cfRule type="expression" dxfId="195" priority="151">
      <formula>AND(N37&lt;&gt;"",N37&lt;#REF!)</formula>
    </cfRule>
    <cfRule type="expression" dxfId="194" priority="152">
      <formula>AND(N37&lt;&gt;"",N37&gt;#REF!)</formula>
    </cfRule>
    <cfRule type="expression" dxfId="193" priority="153">
      <formula>AND(N37&lt;&gt;"",N37&lt;#REF!)</formula>
    </cfRule>
    <cfRule type="expression" dxfId="192" priority="154">
      <formula>AND(N37&lt;&gt;"",N37&gt;#REF!)</formula>
    </cfRule>
  </conditionalFormatting>
  <conditionalFormatting sqref="Q37">
    <cfRule type="expression" dxfId="191" priority="147">
      <formula>AND(Q37&lt;&gt;"",Q37&lt;#REF!)</formula>
    </cfRule>
    <cfRule type="expression" dxfId="190" priority="148">
      <formula>AND(Q37&lt;&gt;"",Q37&gt;#REF!)</formula>
    </cfRule>
    <cfRule type="expression" dxfId="189" priority="149">
      <formula>AND(Q37&lt;&gt;"",Q37&lt;#REF!)</formula>
    </cfRule>
    <cfRule type="expression" dxfId="188" priority="150">
      <formula>AND(Q37&lt;&gt;"",Q37&gt;#REF!)</formula>
    </cfRule>
  </conditionalFormatting>
  <conditionalFormatting sqref="G39:I40">
    <cfRule type="expression" dxfId="187" priority="145">
      <formula>AND(G39&lt;&gt;"",G39&lt;#REF!)</formula>
    </cfRule>
    <cfRule type="expression" dxfId="186" priority="146">
      <formula>AND(G39&lt;&gt;"",G39&gt;#REF!)</formula>
    </cfRule>
  </conditionalFormatting>
  <conditionalFormatting sqref="N39">
    <cfRule type="expression" dxfId="185" priority="141">
      <formula>AND(N39&lt;&gt;"",N39&lt;#REF!)</formula>
    </cfRule>
    <cfRule type="expression" dxfId="184" priority="142">
      <formula>AND(N39&lt;&gt;"",N39&gt;#REF!)</formula>
    </cfRule>
    <cfRule type="expression" dxfId="183" priority="143">
      <formula>AND(N39&lt;&gt;"",N39&lt;#REF!)</formula>
    </cfRule>
    <cfRule type="expression" dxfId="182" priority="144">
      <formula>AND(N39&lt;&gt;"",N39&gt;#REF!)</formula>
    </cfRule>
  </conditionalFormatting>
  <conditionalFormatting sqref="Q39">
    <cfRule type="expression" dxfId="181" priority="137">
      <formula>AND(Q39&lt;&gt;"",Q39&lt;#REF!)</formula>
    </cfRule>
    <cfRule type="expression" dxfId="180" priority="138">
      <formula>AND(Q39&lt;&gt;"",Q39&gt;#REF!)</formula>
    </cfRule>
    <cfRule type="expression" dxfId="179" priority="139">
      <formula>AND(Q39&lt;&gt;"",Q39&lt;#REF!)</formula>
    </cfRule>
    <cfRule type="expression" dxfId="178" priority="140">
      <formula>AND(Q39&lt;&gt;"",Q39&gt;#REF!)</formula>
    </cfRule>
  </conditionalFormatting>
  <conditionalFormatting sqref="G41:I42">
    <cfRule type="expression" dxfId="177" priority="135">
      <formula>AND(G41&lt;&gt;"",G41&lt;#REF!)</formula>
    </cfRule>
    <cfRule type="expression" dxfId="176" priority="136">
      <formula>AND(G41&lt;&gt;"",G41&gt;#REF!)</formula>
    </cfRule>
  </conditionalFormatting>
  <conditionalFormatting sqref="N41">
    <cfRule type="expression" dxfId="175" priority="131">
      <formula>AND(N41&lt;&gt;"",N41&lt;#REF!)</formula>
    </cfRule>
    <cfRule type="expression" dxfId="174" priority="132">
      <formula>AND(N41&lt;&gt;"",N41&gt;#REF!)</formula>
    </cfRule>
    <cfRule type="expression" dxfId="173" priority="133">
      <formula>AND(N41&lt;&gt;"",N41&lt;#REF!)</formula>
    </cfRule>
    <cfRule type="expression" dxfId="172" priority="134">
      <formula>AND(N41&lt;&gt;"",N41&gt;#REF!)</formula>
    </cfRule>
  </conditionalFormatting>
  <conditionalFormatting sqref="Q41">
    <cfRule type="expression" dxfId="171" priority="127">
      <formula>AND(Q41&lt;&gt;"",Q41&lt;#REF!)</formula>
    </cfRule>
    <cfRule type="expression" dxfId="170" priority="128">
      <formula>AND(Q41&lt;&gt;"",Q41&gt;#REF!)</formula>
    </cfRule>
    <cfRule type="expression" dxfId="169" priority="129">
      <formula>AND(Q41&lt;&gt;"",Q41&lt;#REF!)</formula>
    </cfRule>
    <cfRule type="expression" dxfId="168" priority="130">
      <formula>AND(Q41&lt;&gt;"",Q41&gt;#REF!)</formula>
    </cfRule>
  </conditionalFormatting>
  <conditionalFormatting sqref="G33:I34">
    <cfRule type="expression" dxfId="167" priority="125">
      <formula>AND(G33&lt;&gt;"",G33&lt;#REF!)</formula>
    </cfRule>
    <cfRule type="expression" dxfId="166" priority="126">
      <formula>AND(G33&lt;&gt;"",G33&gt;#REF!)</formula>
    </cfRule>
  </conditionalFormatting>
  <conditionalFormatting sqref="N33">
    <cfRule type="expression" dxfId="165" priority="121">
      <formula>AND(N33&lt;&gt;"",N33&lt;#REF!)</formula>
    </cfRule>
    <cfRule type="expression" dxfId="164" priority="122">
      <formula>AND(N33&lt;&gt;"",N33&gt;#REF!)</formula>
    </cfRule>
    <cfRule type="expression" dxfId="163" priority="123">
      <formula>AND(N33&lt;&gt;"",N33&lt;#REF!)</formula>
    </cfRule>
    <cfRule type="expression" dxfId="162" priority="124">
      <formula>AND(N33&lt;&gt;"",N33&gt;#REF!)</formula>
    </cfRule>
  </conditionalFormatting>
  <conditionalFormatting sqref="Q33">
    <cfRule type="expression" dxfId="161" priority="117">
      <formula>AND(Q33&lt;&gt;"",Q33&lt;#REF!)</formula>
    </cfRule>
    <cfRule type="expression" dxfId="160" priority="118">
      <formula>AND(Q33&lt;&gt;"",Q33&gt;#REF!)</formula>
    </cfRule>
    <cfRule type="expression" dxfId="159" priority="119">
      <formula>AND(Q33&lt;&gt;"",Q33&lt;#REF!)</formula>
    </cfRule>
    <cfRule type="expression" dxfId="158" priority="120">
      <formula>AND(Q33&lt;&gt;"",Q33&gt;#REF!)</formula>
    </cfRule>
  </conditionalFormatting>
  <conditionalFormatting sqref="G31:I32">
    <cfRule type="expression" dxfId="157" priority="115">
      <formula>AND(G31&lt;&gt;"",G31&lt;#REF!)</formula>
    </cfRule>
    <cfRule type="expression" dxfId="156" priority="116">
      <formula>AND(G31&lt;&gt;"",G31&gt;#REF!)</formula>
    </cfRule>
  </conditionalFormatting>
  <conditionalFormatting sqref="N31">
    <cfRule type="expression" dxfId="155" priority="111">
      <formula>AND(N31&lt;&gt;"",N31&lt;#REF!)</formula>
    </cfRule>
    <cfRule type="expression" dxfId="154" priority="112">
      <formula>AND(N31&lt;&gt;"",N31&gt;#REF!)</formula>
    </cfRule>
    <cfRule type="expression" dxfId="153" priority="113">
      <formula>AND(N31&lt;&gt;"",N31&lt;#REF!)</formula>
    </cfRule>
    <cfRule type="expression" dxfId="152" priority="114">
      <formula>AND(N31&lt;&gt;"",N31&gt;#REF!)</formula>
    </cfRule>
  </conditionalFormatting>
  <conditionalFormatting sqref="Q31">
    <cfRule type="expression" dxfId="151" priority="107">
      <formula>AND(Q31&lt;&gt;"",Q31&lt;#REF!)</formula>
    </cfRule>
    <cfRule type="expression" dxfId="150" priority="108">
      <formula>AND(Q31&lt;&gt;"",Q31&gt;#REF!)</formula>
    </cfRule>
    <cfRule type="expression" dxfId="149" priority="109">
      <formula>AND(Q31&lt;&gt;"",Q31&lt;#REF!)</formula>
    </cfRule>
    <cfRule type="expression" dxfId="148" priority="110">
      <formula>AND(Q31&lt;&gt;"",Q31&gt;#REF!)</formula>
    </cfRule>
  </conditionalFormatting>
  <conditionalFormatting sqref="G29:I30">
    <cfRule type="expression" dxfId="147" priority="105">
      <formula>AND(G29&lt;&gt;"",G29&lt;#REF!)</formula>
    </cfRule>
    <cfRule type="expression" dxfId="146" priority="106">
      <formula>AND(G29&lt;&gt;"",G29&gt;#REF!)</formula>
    </cfRule>
  </conditionalFormatting>
  <conditionalFormatting sqref="N29">
    <cfRule type="expression" dxfId="145" priority="101">
      <formula>AND(N29&lt;&gt;"",N29&lt;#REF!)</formula>
    </cfRule>
    <cfRule type="expression" dxfId="144" priority="102">
      <formula>AND(N29&lt;&gt;"",N29&gt;#REF!)</formula>
    </cfRule>
    <cfRule type="expression" dxfId="143" priority="103">
      <formula>AND(N29&lt;&gt;"",N29&lt;#REF!)</formula>
    </cfRule>
    <cfRule type="expression" dxfId="142" priority="104">
      <formula>AND(N29&lt;&gt;"",N29&gt;#REF!)</formula>
    </cfRule>
  </conditionalFormatting>
  <conditionalFormatting sqref="Q29">
    <cfRule type="expression" dxfId="141" priority="97">
      <formula>AND(Q29&lt;&gt;"",Q29&lt;#REF!)</formula>
    </cfRule>
    <cfRule type="expression" dxfId="140" priority="98">
      <formula>AND(Q29&lt;&gt;"",Q29&gt;#REF!)</formula>
    </cfRule>
    <cfRule type="expression" dxfId="139" priority="99">
      <formula>AND(Q29&lt;&gt;"",Q29&lt;#REF!)</formula>
    </cfRule>
    <cfRule type="expression" dxfId="138" priority="100">
      <formula>AND(Q29&lt;&gt;"",Q29&gt;#REF!)</formula>
    </cfRule>
  </conditionalFormatting>
  <conditionalFormatting sqref="G27:I28">
    <cfRule type="expression" dxfId="137" priority="95">
      <formula>AND(G27&lt;&gt;"",G27&lt;#REF!)</formula>
    </cfRule>
    <cfRule type="expression" dxfId="136" priority="96">
      <formula>AND(G27&lt;&gt;"",G27&gt;#REF!)</formula>
    </cfRule>
  </conditionalFormatting>
  <conditionalFormatting sqref="N27">
    <cfRule type="expression" dxfId="135" priority="91">
      <formula>AND(N27&lt;&gt;"",N27&lt;#REF!)</formula>
    </cfRule>
    <cfRule type="expression" dxfId="134" priority="92">
      <formula>AND(N27&lt;&gt;"",N27&gt;#REF!)</formula>
    </cfRule>
    <cfRule type="expression" dxfId="133" priority="93">
      <formula>AND(N27&lt;&gt;"",N27&lt;#REF!)</formula>
    </cfRule>
    <cfRule type="expression" dxfId="132" priority="94">
      <formula>AND(N27&lt;&gt;"",N27&gt;#REF!)</formula>
    </cfRule>
  </conditionalFormatting>
  <conditionalFormatting sqref="Q27">
    <cfRule type="expression" dxfId="131" priority="87">
      <formula>AND(Q27&lt;&gt;"",Q27&lt;#REF!)</formula>
    </cfRule>
    <cfRule type="expression" dxfId="130" priority="88">
      <formula>AND(Q27&lt;&gt;"",Q27&gt;#REF!)</formula>
    </cfRule>
    <cfRule type="expression" dxfId="129" priority="89">
      <formula>AND(Q27&lt;&gt;"",Q27&lt;#REF!)</formula>
    </cfRule>
    <cfRule type="expression" dxfId="128" priority="90">
      <formula>AND(Q27&lt;&gt;"",Q27&gt;#REF!)</formula>
    </cfRule>
  </conditionalFormatting>
  <conditionalFormatting sqref="G25:I26">
    <cfRule type="expression" dxfId="127" priority="85">
      <formula>AND(G25&lt;&gt;"",G25&lt;#REF!)</formula>
    </cfRule>
    <cfRule type="expression" dxfId="126" priority="86">
      <formula>AND(G25&lt;&gt;"",G25&gt;#REF!)</formula>
    </cfRule>
  </conditionalFormatting>
  <conditionalFormatting sqref="N25">
    <cfRule type="expression" dxfId="125" priority="81">
      <formula>AND(N25&lt;&gt;"",N25&lt;#REF!)</formula>
    </cfRule>
    <cfRule type="expression" dxfId="124" priority="82">
      <formula>AND(N25&lt;&gt;"",N25&gt;#REF!)</formula>
    </cfRule>
    <cfRule type="expression" dxfId="123" priority="83">
      <formula>AND(N25&lt;&gt;"",N25&lt;#REF!)</formula>
    </cfRule>
    <cfRule type="expression" dxfId="122" priority="84">
      <formula>AND(N25&lt;&gt;"",N25&gt;#REF!)</formula>
    </cfRule>
  </conditionalFormatting>
  <conditionalFormatting sqref="Q25">
    <cfRule type="expression" dxfId="121" priority="77">
      <formula>AND(Q25&lt;&gt;"",Q25&lt;#REF!)</formula>
    </cfRule>
    <cfRule type="expression" dxfId="120" priority="78">
      <formula>AND(Q25&lt;&gt;"",Q25&gt;#REF!)</formula>
    </cfRule>
    <cfRule type="expression" dxfId="119" priority="79">
      <formula>AND(Q25&lt;&gt;"",Q25&lt;#REF!)</formula>
    </cfRule>
    <cfRule type="expression" dxfId="118" priority="80">
      <formula>AND(Q25&lt;&gt;"",Q25&gt;#REF!)</formula>
    </cfRule>
  </conditionalFormatting>
  <conditionalFormatting sqref="G23:I24">
    <cfRule type="expression" dxfId="117" priority="75">
      <formula>AND(G23&lt;&gt;"",G23&lt;#REF!)</formula>
    </cfRule>
    <cfRule type="expression" dxfId="116" priority="76">
      <formula>AND(G23&lt;&gt;"",G23&gt;#REF!)</formula>
    </cfRule>
  </conditionalFormatting>
  <conditionalFormatting sqref="N23">
    <cfRule type="expression" dxfId="115" priority="71">
      <formula>AND(N23&lt;&gt;"",N23&lt;#REF!)</formula>
    </cfRule>
    <cfRule type="expression" dxfId="114" priority="72">
      <formula>AND(N23&lt;&gt;"",N23&gt;#REF!)</formula>
    </cfRule>
    <cfRule type="expression" dxfId="113" priority="73">
      <formula>AND(N23&lt;&gt;"",N23&lt;#REF!)</formula>
    </cfRule>
    <cfRule type="expression" dxfId="112" priority="74">
      <formula>AND(N23&lt;&gt;"",N23&gt;#REF!)</formula>
    </cfRule>
  </conditionalFormatting>
  <conditionalFormatting sqref="Q23">
    <cfRule type="expression" dxfId="111" priority="67">
      <formula>AND(Q23&lt;&gt;"",Q23&lt;#REF!)</formula>
    </cfRule>
    <cfRule type="expression" dxfId="110" priority="68">
      <formula>AND(Q23&lt;&gt;"",Q23&gt;#REF!)</formula>
    </cfRule>
    <cfRule type="expression" dxfId="109" priority="69">
      <formula>AND(Q23&lt;&gt;"",Q23&lt;#REF!)</formula>
    </cfRule>
    <cfRule type="expression" dxfId="108" priority="70">
      <formula>AND(Q23&lt;&gt;"",Q23&gt;#REF!)</formula>
    </cfRule>
  </conditionalFormatting>
  <conditionalFormatting sqref="G21:I22">
    <cfRule type="expression" dxfId="107" priority="65">
      <formula>AND(G21&lt;&gt;"",G21&lt;#REF!)</formula>
    </cfRule>
    <cfRule type="expression" dxfId="106" priority="66">
      <formula>AND(G21&lt;&gt;"",G21&gt;#REF!)</formula>
    </cfRule>
  </conditionalFormatting>
  <conditionalFormatting sqref="N21">
    <cfRule type="expression" dxfId="105" priority="61">
      <formula>AND(N21&lt;&gt;"",N21&lt;#REF!)</formula>
    </cfRule>
    <cfRule type="expression" dxfId="104" priority="62">
      <formula>AND(N21&lt;&gt;"",N21&gt;#REF!)</formula>
    </cfRule>
    <cfRule type="expression" dxfId="103" priority="63">
      <formula>AND(N21&lt;&gt;"",N21&lt;#REF!)</formula>
    </cfRule>
    <cfRule type="expression" dxfId="102" priority="64">
      <formula>AND(N21&lt;&gt;"",N21&gt;#REF!)</formula>
    </cfRule>
  </conditionalFormatting>
  <conditionalFormatting sqref="Q21">
    <cfRule type="expression" dxfId="101" priority="57">
      <formula>AND(Q21&lt;&gt;"",Q21&lt;#REF!)</formula>
    </cfRule>
    <cfRule type="expression" dxfId="100" priority="58">
      <formula>AND(Q21&lt;&gt;"",Q21&gt;#REF!)</formula>
    </cfRule>
    <cfRule type="expression" dxfId="99" priority="59">
      <formula>AND(Q21&lt;&gt;"",Q21&lt;#REF!)</formula>
    </cfRule>
    <cfRule type="expression" dxfId="98" priority="60">
      <formula>AND(Q21&lt;&gt;"",Q21&gt;#REF!)</formula>
    </cfRule>
  </conditionalFormatting>
  <conditionalFormatting sqref="G19:I20">
    <cfRule type="expression" dxfId="97" priority="55">
      <formula>AND(G19&lt;&gt;"",G19&lt;#REF!)</formula>
    </cfRule>
    <cfRule type="expression" dxfId="96" priority="56">
      <formula>AND(G19&lt;&gt;"",G19&gt;#REF!)</formula>
    </cfRule>
  </conditionalFormatting>
  <conditionalFormatting sqref="N19">
    <cfRule type="expression" dxfId="95" priority="51">
      <formula>AND(N19&lt;&gt;"",N19&lt;#REF!)</formula>
    </cfRule>
    <cfRule type="expression" dxfId="94" priority="52">
      <formula>AND(N19&lt;&gt;"",N19&gt;#REF!)</formula>
    </cfRule>
    <cfRule type="expression" dxfId="93" priority="53">
      <formula>AND(N19&lt;&gt;"",N19&lt;#REF!)</formula>
    </cfRule>
    <cfRule type="expression" dxfId="92" priority="54">
      <formula>AND(N19&lt;&gt;"",N19&gt;#REF!)</formula>
    </cfRule>
  </conditionalFormatting>
  <conditionalFormatting sqref="Q19">
    <cfRule type="expression" dxfId="91" priority="47">
      <formula>AND(Q19&lt;&gt;"",Q19&lt;#REF!)</formula>
    </cfRule>
    <cfRule type="expression" dxfId="90" priority="48">
      <formula>AND(Q19&lt;&gt;"",Q19&gt;#REF!)</formula>
    </cfRule>
    <cfRule type="expression" dxfId="89" priority="49">
      <formula>AND(Q19&lt;&gt;"",Q19&lt;#REF!)</formula>
    </cfRule>
    <cfRule type="expression" dxfId="88" priority="50">
      <formula>AND(Q19&lt;&gt;"",Q19&gt;#REF!)</formula>
    </cfRule>
  </conditionalFormatting>
  <conditionalFormatting sqref="G17:I18">
    <cfRule type="expression" dxfId="87" priority="45">
      <formula>AND(G17&lt;&gt;"",G17&lt;#REF!)</formula>
    </cfRule>
    <cfRule type="expression" dxfId="86" priority="46">
      <formula>AND(G17&lt;&gt;"",G17&gt;#REF!)</formula>
    </cfRule>
  </conditionalFormatting>
  <conditionalFormatting sqref="N17">
    <cfRule type="expression" dxfId="85" priority="41">
      <formula>AND(N17&lt;&gt;"",N17&lt;#REF!)</formula>
    </cfRule>
    <cfRule type="expression" dxfId="84" priority="42">
      <formula>AND(N17&lt;&gt;"",N17&gt;#REF!)</formula>
    </cfRule>
    <cfRule type="expression" dxfId="83" priority="43">
      <formula>AND(N17&lt;&gt;"",N17&lt;#REF!)</formula>
    </cfRule>
    <cfRule type="expression" dxfId="82" priority="44">
      <formula>AND(N17&lt;&gt;"",N17&gt;#REF!)</formula>
    </cfRule>
  </conditionalFormatting>
  <conditionalFormatting sqref="Q17">
    <cfRule type="expression" dxfId="81" priority="37">
      <formula>AND(Q17&lt;&gt;"",Q17&lt;#REF!)</formula>
    </cfRule>
    <cfRule type="expression" dxfId="80" priority="38">
      <formula>AND(Q17&lt;&gt;"",Q17&gt;#REF!)</formula>
    </cfRule>
    <cfRule type="expression" dxfId="79" priority="39">
      <formula>AND(Q17&lt;&gt;"",Q17&lt;#REF!)</formula>
    </cfRule>
    <cfRule type="expression" dxfId="78" priority="40">
      <formula>AND(Q17&lt;&gt;"",Q17&gt;#REF!)</formula>
    </cfRule>
  </conditionalFormatting>
  <conditionalFormatting sqref="G15:I16">
    <cfRule type="expression" dxfId="77" priority="35">
      <formula>AND(G15&lt;&gt;"",G15&lt;#REF!)</formula>
    </cfRule>
    <cfRule type="expression" dxfId="76" priority="36">
      <formula>AND(G15&lt;&gt;"",G15&gt;#REF!)</formula>
    </cfRule>
  </conditionalFormatting>
  <conditionalFormatting sqref="N15">
    <cfRule type="expression" dxfId="75" priority="31">
      <formula>AND(N15&lt;&gt;"",N15&lt;#REF!)</formula>
    </cfRule>
    <cfRule type="expression" dxfId="74" priority="32">
      <formula>AND(N15&lt;&gt;"",N15&gt;#REF!)</formula>
    </cfRule>
    <cfRule type="expression" dxfId="73" priority="33">
      <formula>AND(N15&lt;&gt;"",N15&lt;#REF!)</formula>
    </cfRule>
    <cfRule type="expression" dxfId="72" priority="34">
      <formula>AND(N15&lt;&gt;"",N15&gt;#REF!)</formula>
    </cfRule>
  </conditionalFormatting>
  <conditionalFormatting sqref="Q15">
    <cfRule type="expression" dxfId="71" priority="27">
      <formula>AND(Q15&lt;&gt;"",Q15&lt;#REF!)</formula>
    </cfRule>
    <cfRule type="expression" dxfId="70" priority="28">
      <formula>AND(Q15&lt;&gt;"",Q15&gt;#REF!)</formula>
    </cfRule>
    <cfRule type="expression" dxfId="69" priority="29">
      <formula>AND(Q15&lt;&gt;"",Q15&lt;#REF!)</formula>
    </cfRule>
    <cfRule type="expression" dxfId="68" priority="30">
      <formula>AND(Q15&lt;&gt;"",Q15&gt;#REF!)</formula>
    </cfRule>
  </conditionalFormatting>
  <conditionalFormatting sqref="G13:I14">
    <cfRule type="expression" dxfId="67" priority="25">
      <formula>AND(G13&lt;&gt;"",G13&lt;#REF!)</formula>
    </cfRule>
    <cfRule type="expression" dxfId="66" priority="26">
      <formula>AND(G13&lt;&gt;"",G13&gt;#REF!)</formula>
    </cfRule>
  </conditionalFormatting>
  <conditionalFormatting sqref="N13">
    <cfRule type="expression" dxfId="65" priority="21">
      <formula>AND(N13&lt;&gt;"",N13&lt;#REF!)</formula>
    </cfRule>
    <cfRule type="expression" dxfId="64" priority="22">
      <formula>AND(N13&lt;&gt;"",N13&gt;#REF!)</formula>
    </cfRule>
    <cfRule type="expression" dxfId="63" priority="23">
      <formula>AND(N13&lt;&gt;"",N13&lt;#REF!)</formula>
    </cfRule>
    <cfRule type="expression" dxfId="62" priority="24">
      <formula>AND(N13&lt;&gt;"",N13&gt;#REF!)</formula>
    </cfRule>
  </conditionalFormatting>
  <conditionalFormatting sqref="Q13">
    <cfRule type="expression" dxfId="61" priority="17">
      <formula>AND(Q13&lt;&gt;"",Q13&lt;#REF!)</formula>
    </cfRule>
    <cfRule type="expression" dxfId="60" priority="18">
      <formula>AND(Q13&lt;&gt;"",Q13&gt;#REF!)</formula>
    </cfRule>
    <cfRule type="expression" dxfId="59" priority="19">
      <formula>AND(Q13&lt;&gt;"",Q13&lt;#REF!)</formula>
    </cfRule>
    <cfRule type="expression" dxfId="58" priority="20">
      <formula>AND(Q13&lt;&gt;"",Q13&gt;#REF!)</formula>
    </cfRule>
  </conditionalFormatting>
  <conditionalFormatting sqref="G11:J11">
    <cfRule type="expression" dxfId="57" priority="11">
      <formula>AND(G11&lt;&gt;"",G11&lt;#REF!)</formula>
    </cfRule>
    <cfRule type="expression" dxfId="56" priority="12">
      <formula>AND(G11&lt;&gt;"",G11&gt;#REF!)</formula>
    </cfRule>
    <cfRule type="expression" dxfId="55" priority="13">
      <formula>AND(G11&lt;&gt;"",G11&lt;#REF!)</formula>
    </cfRule>
    <cfRule type="expression" dxfId="54" priority="14">
      <formula>AND(G11&lt;&gt;"",G11&gt;#REF!)</formula>
    </cfRule>
  </conditionalFormatting>
  <conditionalFormatting sqref="G11:Q11">
    <cfRule type="expression" dxfId="53" priority="15">
      <formula>AND(G11&lt;&gt;"",G11&lt;#REF!)</formula>
    </cfRule>
    <cfRule type="expression" dxfId="52" priority="16">
      <formula>AND(G11&lt;&gt;"",G11&gt;#REF!)</formula>
    </cfRule>
  </conditionalFormatting>
  <conditionalFormatting sqref="G11:I12">
    <cfRule type="expression" dxfId="51" priority="9">
      <formula>AND(G11&lt;&gt;"",G11&lt;#REF!)</formula>
    </cfRule>
    <cfRule type="expression" dxfId="50" priority="10">
      <formula>AND(G11&lt;&gt;"",G11&gt;#REF!)</formula>
    </cfRule>
  </conditionalFormatting>
  <conditionalFormatting sqref="N11">
    <cfRule type="expression" dxfId="49" priority="5">
      <formula>AND(N11&lt;&gt;"",N11&lt;#REF!)</formula>
    </cfRule>
    <cfRule type="expression" dxfId="48" priority="6">
      <formula>AND(N11&lt;&gt;"",N11&gt;#REF!)</formula>
    </cfRule>
    <cfRule type="expression" dxfId="47" priority="7">
      <formula>AND(N11&lt;&gt;"",N11&lt;#REF!)</formula>
    </cfRule>
    <cfRule type="expression" dxfId="46" priority="8">
      <formula>AND(N11&lt;&gt;"",N11&gt;#REF!)</formula>
    </cfRule>
  </conditionalFormatting>
  <conditionalFormatting sqref="Q11">
    <cfRule type="expression" dxfId="45" priority="1">
      <formula>AND(Q11&lt;&gt;"",Q11&lt;#REF!)</formula>
    </cfRule>
    <cfRule type="expression" dxfId="44" priority="2">
      <formula>AND(Q11&lt;&gt;"",Q11&gt;#REF!)</formula>
    </cfRule>
    <cfRule type="expression" dxfId="43" priority="3">
      <formula>AND(Q11&lt;&gt;"",Q11&lt;#REF!)</formula>
    </cfRule>
    <cfRule type="expression" dxfId="42" priority="4">
      <formula>AND(Q11&lt;&gt;"",Q11&gt;#REF!)</formula>
    </cfRule>
  </conditionalFormatting>
  <printOptions horizontalCentered="1"/>
  <pageMargins left="0.25" right="0.25" top="0.75" bottom="0.75" header="0.3" footer="0.3"/>
  <pageSetup paperSize="9" scale="66" orientation="portrait" horizontalDpi="4294967293" r:id="rId1"/>
  <headerFooter alignWithMargins="0">
    <oddFooter>&amp;R&amp;"微軟正黑體,標準"2-QA-01-06 V04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Check Box 1">
              <controlPr defaultSize="0" autoFill="0" autoLine="0" autoPict="0">
                <anchor moveWithCells="1">
                  <from>
                    <xdr:col>9</xdr:col>
                    <xdr:colOff>693420</xdr:colOff>
                    <xdr:row>42</xdr:row>
                    <xdr:rowOff>106680</xdr:rowOff>
                  </from>
                  <to>
                    <xdr:col>10</xdr:col>
                    <xdr:colOff>655320</xdr:colOff>
                    <xdr:row>42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Check Box 2">
              <controlPr defaultSize="0" autoFill="0" autoLine="0" autoPict="0">
                <anchor moveWithCells="1">
                  <from>
                    <xdr:col>8</xdr:col>
                    <xdr:colOff>693420</xdr:colOff>
                    <xdr:row>42</xdr:row>
                    <xdr:rowOff>99060</xdr:rowOff>
                  </from>
                  <to>
                    <xdr:col>9</xdr:col>
                    <xdr:colOff>502920</xdr:colOff>
                    <xdr:row>42</xdr:row>
                    <xdr:rowOff>312420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進料檢!$T$2:$T$6</xm:f>
          </x14:formula1>
          <xm:sqref>F43:G43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tabColor theme="3" tint="0.39997558519241921"/>
  </sheetPr>
  <dimension ref="A1:Y23"/>
  <sheetViews>
    <sheetView zoomScale="85" zoomScaleNormal="85" workbookViewId="0">
      <pane ySplit="4" topLeftCell="A5" activePane="bottomLeft" state="frozen"/>
      <selection pane="bottomLeft" activeCell="N16" sqref="N16"/>
    </sheetView>
  </sheetViews>
  <sheetFormatPr defaultColWidth="8.88671875" defaultRowHeight="15.6"/>
  <cols>
    <col min="1" max="1" width="12.33203125" style="43" customWidth="1"/>
    <col min="2" max="2" width="12.88671875" style="43" customWidth="1"/>
    <col min="3" max="3" width="11.88671875" style="43" customWidth="1"/>
    <col min="4" max="4" width="13.44140625" style="43" customWidth="1"/>
    <col min="5" max="5" width="11.21875" style="43" customWidth="1"/>
    <col min="6" max="6" width="20.21875" style="43" customWidth="1"/>
    <col min="7" max="7" width="9.88671875" style="43" customWidth="1"/>
    <col min="8" max="9" width="10.88671875" style="43" customWidth="1"/>
    <col min="10" max="10" width="12" style="43" customWidth="1"/>
    <col min="11" max="11" width="17.109375" style="31" customWidth="1"/>
    <col min="12" max="12" width="2.21875" style="31" customWidth="1"/>
    <col min="13" max="13" width="8.88671875" style="31"/>
    <col min="14" max="14" width="23" style="43" customWidth="1"/>
    <col min="15" max="16" width="8.88671875" style="31"/>
    <col min="17" max="24" width="0.77734375" style="31" customWidth="1"/>
    <col min="25" max="25" width="18.109375" style="31" customWidth="1"/>
    <col min="26" max="16384" width="8.88671875" style="31"/>
  </cols>
  <sheetData>
    <row r="1" spans="1:25" ht="24.6" customHeight="1">
      <c r="A1" s="389" t="s">
        <v>46</v>
      </c>
      <c r="B1" s="390"/>
      <c r="C1" s="390"/>
      <c r="D1" s="390"/>
      <c r="E1" s="390"/>
      <c r="F1" s="390"/>
      <c r="G1" s="390"/>
      <c r="H1" s="390"/>
      <c r="I1" s="390"/>
      <c r="J1" s="390"/>
      <c r="K1" s="391"/>
      <c r="N1" s="386" t="s">
        <v>59</v>
      </c>
      <c r="Y1" s="146" t="s">
        <v>179</v>
      </c>
    </row>
    <row r="2" spans="1:25" ht="21" customHeight="1" thickBot="1">
      <c r="A2" s="402" t="s">
        <v>189</v>
      </c>
      <c r="B2" s="403"/>
      <c r="C2" s="403"/>
      <c r="D2" s="403"/>
      <c r="E2" s="403"/>
      <c r="F2" s="403"/>
      <c r="G2" s="403"/>
      <c r="H2" s="403"/>
      <c r="I2" s="403"/>
      <c r="J2" s="165" t="s">
        <v>188</v>
      </c>
      <c r="K2" s="166"/>
      <c r="N2" s="387"/>
      <c r="Y2" s="143" t="s">
        <v>174</v>
      </c>
    </row>
    <row r="3" spans="1:25" ht="29.4" customHeight="1">
      <c r="A3" s="144" t="s">
        <v>176</v>
      </c>
      <c r="B3" s="392"/>
      <c r="C3" s="393"/>
      <c r="D3" s="32" t="s">
        <v>44</v>
      </c>
      <c r="E3" s="54" t="str">
        <f>IF(進料檢!N4="","",進料檢!N4)</f>
        <v/>
      </c>
      <c r="F3" s="32" t="s">
        <v>43</v>
      </c>
      <c r="G3" s="151" t="str">
        <f>IF($E$3="","",IF($E$3=1,1,IF($E$3&gt;=進料檢!$V$12,進料檢!$X$12,IF($E$3&gt;=進料檢!$V$11,進料檢!$X$11,IF($E$3&gt;=進料檢!$V$10,進料檢!$X$10,IF($E$3&gt;=進料檢!$V$9,進料檢!$X$9,IF($E$3&gt;=進料檢!$V$8,進料檢!$X$8,IF($E$3&gt;=進料檢!$V$7,進料檢!$X$7,IF($E$3&gt;=進料檢!$V$6,進料檢!$X$6,IF($E$3&gt;=進料檢!$V$5,進料檢!$X$5,IF($E$3&gt;=進料檢!$V$4,進料檢!$X$4,IF($E$3&gt;=進料檢!$V$3,進料檢!$X$3,進料檢!$X$12))))))))))))</f>
        <v/>
      </c>
      <c r="H3" s="32" t="s">
        <v>42</v>
      </c>
      <c r="I3" s="151" t="str">
        <f>IF(OR($E$3="",$K$3=""),"",$E$3-$K$3)</f>
        <v/>
      </c>
      <c r="J3" s="32" t="s">
        <v>41</v>
      </c>
      <c r="K3" s="52">
        <f>F12</f>
        <v>0</v>
      </c>
      <c r="N3" s="50" t="s">
        <v>60</v>
      </c>
    </row>
    <row r="4" spans="1:25" ht="29.4" customHeight="1" thickBot="1">
      <c r="A4" s="145" t="s">
        <v>45</v>
      </c>
      <c r="B4" s="394" t="str">
        <f>IF(進料檢!F3="","",進料檢!F3)</f>
        <v/>
      </c>
      <c r="C4" s="395"/>
      <c r="D4" s="34" t="s">
        <v>81</v>
      </c>
      <c r="E4" s="396" t="str">
        <f>IF(進料檢!F4="","",進料檢!F4)</f>
        <v/>
      </c>
      <c r="F4" s="397"/>
      <c r="G4" s="398"/>
      <c r="H4" s="34" t="s">
        <v>24</v>
      </c>
      <c r="I4" s="399"/>
      <c r="J4" s="400"/>
      <c r="K4" s="401"/>
      <c r="N4" s="50" t="s">
        <v>61</v>
      </c>
    </row>
    <row r="5" spans="1:25" ht="25.95" customHeight="1" thickBot="1">
      <c r="A5" s="35" t="s">
        <v>40</v>
      </c>
      <c r="B5" s="36" t="s">
        <v>39</v>
      </c>
      <c r="C5" s="36" t="s">
        <v>54</v>
      </c>
      <c r="D5" s="36" t="s">
        <v>55</v>
      </c>
      <c r="E5" s="36" t="s">
        <v>56</v>
      </c>
      <c r="F5" s="36" t="s">
        <v>38</v>
      </c>
      <c r="G5" s="388" t="s">
        <v>37</v>
      </c>
      <c r="H5" s="388"/>
      <c r="I5" s="388"/>
      <c r="J5" s="388"/>
      <c r="K5" s="37" t="s">
        <v>36</v>
      </c>
      <c r="N5" s="50" t="s">
        <v>82</v>
      </c>
    </row>
    <row r="6" spans="1:25" ht="25.95" customHeight="1">
      <c r="A6" s="349">
        <v>1</v>
      </c>
      <c r="B6" s="379" t="s">
        <v>35</v>
      </c>
      <c r="C6" s="33" t="s">
        <v>34</v>
      </c>
      <c r="D6" s="33" t="s">
        <v>28</v>
      </c>
      <c r="E6" s="33" t="s">
        <v>27</v>
      </c>
      <c r="F6" s="54"/>
      <c r="G6" s="38"/>
      <c r="H6" s="39"/>
      <c r="I6" s="39"/>
      <c r="J6" s="92" t="s">
        <v>53</v>
      </c>
      <c r="K6" s="59"/>
      <c r="N6" s="50"/>
    </row>
    <row r="7" spans="1:25" ht="25.95" customHeight="1" thickBot="1">
      <c r="A7" s="376"/>
      <c r="B7" s="380"/>
      <c r="C7" s="40" t="s">
        <v>33</v>
      </c>
      <c r="D7" s="40" t="s">
        <v>28</v>
      </c>
      <c r="E7" s="40" t="s">
        <v>27</v>
      </c>
      <c r="F7" s="55"/>
      <c r="G7" s="41"/>
      <c r="H7" s="42"/>
      <c r="I7" s="42"/>
      <c r="J7" s="93" t="s">
        <v>53</v>
      </c>
      <c r="K7" s="60"/>
      <c r="N7" s="51"/>
    </row>
    <row r="8" spans="1:25" ht="25.95" customHeight="1">
      <c r="A8" s="376"/>
      <c r="B8" s="380"/>
      <c r="C8" s="40" t="s">
        <v>32</v>
      </c>
      <c r="D8" s="40" t="s">
        <v>28</v>
      </c>
      <c r="E8" s="40" t="s">
        <v>27</v>
      </c>
      <c r="F8" s="55"/>
      <c r="G8" s="41"/>
      <c r="H8" s="42"/>
      <c r="I8" s="42"/>
      <c r="J8" s="93" t="s">
        <v>53</v>
      </c>
      <c r="K8" s="60"/>
    </row>
    <row r="9" spans="1:25" ht="25.95" customHeight="1">
      <c r="A9" s="377"/>
      <c r="B9" s="381"/>
      <c r="C9" s="44" t="s">
        <v>31</v>
      </c>
      <c r="D9" s="40" t="s">
        <v>28</v>
      </c>
      <c r="E9" s="45" t="s">
        <v>30</v>
      </c>
      <c r="F9" s="56"/>
      <c r="G9" s="41"/>
      <c r="H9" s="42"/>
      <c r="I9" s="42"/>
      <c r="J9" s="93" t="s">
        <v>104</v>
      </c>
      <c r="K9" s="60"/>
      <c r="N9" s="221" t="s">
        <v>103</v>
      </c>
      <c r="O9" s="375"/>
      <c r="P9" s="375"/>
      <c r="Q9" s="112"/>
      <c r="R9" s="112"/>
    </row>
    <row r="10" spans="1:25" ht="25.95" customHeight="1">
      <c r="A10" s="377"/>
      <c r="B10" s="381"/>
      <c r="C10" s="44" t="s">
        <v>29</v>
      </c>
      <c r="D10" s="40" t="s">
        <v>28</v>
      </c>
      <c r="E10" s="40" t="s">
        <v>27</v>
      </c>
      <c r="F10" s="56"/>
      <c r="G10" s="41"/>
      <c r="H10" s="42"/>
      <c r="I10" s="42"/>
      <c r="J10" s="93"/>
      <c r="K10" s="60"/>
      <c r="N10" s="375"/>
      <c r="O10" s="375"/>
      <c r="P10" s="375"/>
      <c r="Q10" s="112"/>
      <c r="R10" s="112"/>
    </row>
    <row r="11" spans="1:25" ht="25.95" customHeight="1" thickBot="1">
      <c r="A11" s="378"/>
      <c r="B11" s="382"/>
      <c r="C11" s="57"/>
      <c r="D11" s="57"/>
      <c r="E11" s="57"/>
      <c r="F11" s="57"/>
      <c r="G11" s="383"/>
      <c r="H11" s="384"/>
      <c r="I11" s="384"/>
      <c r="J11" s="385"/>
      <c r="K11" s="58"/>
      <c r="N11" s="404" t="s">
        <v>320</v>
      </c>
      <c r="O11" s="405"/>
      <c r="P11" s="405"/>
    </row>
    <row r="12" spans="1:25" ht="24.6" customHeight="1" thickTop="1" thickBot="1">
      <c r="A12" s="347" t="s">
        <v>26</v>
      </c>
      <c r="B12" s="348"/>
      <c r="C12" s="348"/>
      <c r="D12" s="348"/>
      <c r="E12" s="348"/>
      <c r="F12" s="53">
        <f>IF(SUM(F6:F11)=0,0,SUM(F6:F11))</f>
        <v>0</v>
      </c>
      <c r="G12" s="46" t="s">
        <v>25</v>
      </c>
      <c r="K12" s="47"/>
      <c r="N12" s="405"/>
      <c r="O12" s="405"/>
      <c r="P12" s="405"/>
    </row>
    <row r="13" spans="1:25" ht="28.95" customHeight="1">
      <c r="A13" s="349" t="s">
        <v>24</v>
      </c>
      <c r="B13" s="61"/>
      <c r="C13" s="361" t="s">
        <v>47</v>
      </c>
      <c r="D13" s="362"/>
      <c r="E13" s="362"/>
      <c r="F13" s="63" t="s">
        <v>50</v>
      </c>
      <c r="G13" s="363" t="s">
        <v>49</v>
      </c>
      <c r="H13" s="364"/>
      <c r="I13" s="364"/>
      <c r="J13" s="62"/>
      <c r="K13" s="64" t="s">
        <v>49</v>
      </c>
      <c r="N13" s="405"/>
      <c r="O13" s="405"/>
      <c r="P13" s="405"/>
    </row>
    <row r="14" spans="1:25" ht="28.95" customHeight="1" thickBot="1">
      <c r="A14" s="350"/>
      <c r="B14" s="65"/>
      <c r="C14" s="66" t="s">
        <v>47</v>
      </c>
      <c r="D14" s="67" t="s">
        <v>50</v>
      </c>
      <c r="E14" s="68" t="s">
        <v>51</v>
      </c>
      <c r="F14" s="69"/>
      <c r="G14" s="70" t="s">
        <v>48</v>
      </c>
      <c r="H14" s="71"/>
      <c r="I14" s="71"/>
      <c r="J14" s="66"/>
      <c r="K14" s="72" t="s">
        <v>52</v>
      </c>
    </row>
    <row r="15" spans="1:25" ht="28.95" customHeight="1">
      <c r="A15" s="351" t="s">
        <v>23</v>
      </c>
      <c r="B15" s="73"/>
      <c r="C15" s="74" t="s">
        <v>47</v>
      </c>
      <c r="D15" s="75"/>
      <c r="E15" s="75" t="s">
        <v>48</v>
      </c>
      <c r="F15" s="76"/>
      <c r="G15" s="353" t="s">
        <v>22</v>
      </c>
      <c r="H15" s="77" t="s">
        <v>21</v>
      </c>
      <c r="I15" s="81"/>
      <c r="J15" s="373"/>
      <c r="K15" s="374"/>
    </row>
    <row r="16" spans="1:25" ht="28.95" customHeight="1">
      <c r="A16" s="351"/>
      <c r="B16" s="77"/>
      <c r="C16" s="74"/>
      <c r="D16" s="74" t="s">
        <v>47</v>
      </c>
      <c r="E16" s="75" t="s">
        <v>48</v>
      </c>
      <c r="F16" s="78"/>
      <c r="G16" s="353"/>
      <c r="H16" s="366"/>
      <c r="I16" s="367"/>
      <c r="J16" s="367"/>
      <c r="K16" s="368"/>
    </row>
    <row r="17" spans="1:11" ht="28.95" customHeight="1">
      <c r="A17" s="351"/>
      <c r="B17" s="77"/>
      <c r="C17" s="74"/>
      <c r="D17" s="74" t="s">
        <v>47</v>
      </c>
      <c r="E17" s="75" t="s">
        <v>48</v>
      </c>
      <c r="F17" s="78"/>
      <c r="G17" s="353"/>
      <c r="H17" s="357"/>
      <c r="I17" s="358"/>
      <c r="J17" s="369"/>
      <c r="K17" s="370"/>
    </row>
    <row r="18" spans="1:11" ht="28.95" customHeight="1" thickBot="1">
      <c r="A18" s="352"/>
      <c r="B18" s="79"/>
      <c r="C18" s="80"/>
      <c r="D18" s="80"/>
      <c r="E18" s="80"/>
      <c r="F18" s="80"/>
      <c r="G18" s="354"/>
      <c r="H18" s="359"/>
      <c r="I18" s="360"/>
      <c r="J18" s="371"/>
      <c r="K18" s="372"/>
    </row>
    <row r="19" spans="1:11" ht="28.95" customHeight="1" thickBot="1">
      <c r="A19" s="355" t="s">
        <v>20</v>
      </c>
      <c r="B19" s="356"/>
      <c r="C19" s="83"/>
      <c r="D19" s="84"/>
      <c r="E19" s="84"/>
      <c r="F19" s="84"/>
      <c r="G19" s="84"/>
      <c r="H19" s="84"/>
      <c r="I19" s="84"/>
      <c r="J19" s="84"/>
      <c r="K19" s="85"/>
    </row>
    <row r="20" spans="1:11" ht="24" customHeight="1">
      <c r="A20" s="365" t="s">
        <v>58</v>
      </c>
      <c r="B20" s="365"/>
      <c r="C20" s="82"/>
      <c r="D20" s="48"/>
      <c r="E20" s="48"/>
      <c r="F20" s="48"/>
      <c r="G20" s="48"/>
      <c r="H20" s="49" t="s">
        <v>57</v>
      </c>
      <c r="I20" s="82"/>
      <c r="J20" s="48"/>
    </row>
    <row r="21" spans="1:11" ht="24" customHeight="1">
      <c r="J21" s="346" t="s">
        <v>19</v>
      </c>
      <c r="K21" s="346"/>
    </row>
    <row r="22" spans="1:11" ht="25.95" customHeight="1"/>
    <row r="23" spans="1:11" ht="25.95" customHeight="1"/>
  </sheetData>
  <mergeCells count="28">
    <mergeCell ref="N9:P10"/>
    <mergeCell ref="A6:A11"/>
    <mergeCell ref="B6:B11"/>
    <mergeCell ref="G11:J11"/>
    <mergeCell ref="N1:N2"/>
    <mergeCell ref="G5:J5"/>
    <mergeCell ref="A1:K1"/>
    <mergeCell ref="B3:C3"/>
    <mergeCell ref="B4:C4"/>
    <mergeCell ref="E4:G4"/>
    <mergeCell ref="I4:K4"/>
    <mergeCell ref="A2:I2"/>
    <mergeCell ref="N11:P13"/>
    <mergeCell ref="J21:K21"/>
    <mergeCell ref="A12:E12"/>
    <mergeCell ref="A13:A14"/>
    <mergeCell ref="A15:A18"/>
    <mergeCell ref="G15:G18"/>
    <mergeCell ref="A19:B19"/>
    <mergeCell ref="H17:I17"/>
    <mergeCell ref="H18:I18"/>
    <mergeCell ref="C13:E13"/>
    <mergeCell ref="G13:I13"/>
    <mergeCell ref="A20:B20"/>
    <mergeCell ref="H16:K16"/>
    <mergeCell ref="J17:K17"/>
    <mergeCell ref="J18:K18"/>
    <mergeCell ref="J15:K15"/>
  </mergeCells>
  <phoneticPr fontId="2" type="noConversion"/>
  <dataValidations count="2">
    <dataValidation type="list" allowBlank="1" showInputMessage="1" showErrorMessage="1" sqref="K6:K11" xr:uid="{00000000-0002-0000-0300-000000000000}">
      <formula1>"OK,NG,待判"</formula1>
    </dataValidation>
    <dataValidation type="list" allowBlank="1" showInputMessage="1" showErrorMessage="1" sqref="C20 I20" xr:uid="{00000000-0002-0000-0300-000001000000}">
      <formula1>$N$3:$N$7</formula1>
    </dataValidation>
  </dataValidations>
  <pageMargins left="0" right="0" top="0.31496062992125984" bottom="0.31496062992125984" header="0.31496062992125984" footer="0.1181102362204724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1</xdr:col>
                    <xdr:colOff>7620</xdr:colOff>
                    <xdr:row>14</xdr:row>
                    <xdr:rowOff>45720</xdr:rowOff>
                  </from>
                  <to>
                    <xdr:col>1</xdr:col>
                    <xdr:colOff>670560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Check Box 5">
              <controlPr defaultSize="0" autoFill="0" autoLine="0" autoPict="0">
                <anchor moveWithCells="1">
                  <from>
                    <xdr:col>1</xdr:col>
                    <xdr:colOff>7620</xdr:colOff>
                    <xdr:row>15</xdr:row>
                    <xdr:rowOff>45720</xdr:rowOff>
                  </from>
                  <to>
                    <xdr:col>1</xdr:col>
                    <xdr:colOff>845820</xdr:colOff>
                    <xdr:row>15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Check Box 6">
              <controlPr defaultSize="0" autoFill="0" autoLine="0" autoPict="0">
                <anchor moveWithCells="1">
                  <from>
                    <xdr:col>1</xdr:col>
                    <xdr:colOff>7620</xdr:colOff>
                    <xdr:row>16</xdr:row>
                    <xdr:rowOff>60960</xdr:rowOff>
                  </from>
                  <to>
                    <xdr:col>1</xdr:col>
                    <xdr:colOff>845820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Check Box 7">
              <controlPr defaultSize="0" autoFill="0" autoLine="0" autoPict="0">
                <anchor moveWithCells="1">
                  <from>
                    <xdr:col>1</xdr:col>
                    <xdr:colOff>7620</xdr:colOff>
                    <xdr:row>17</xdr:row>
                    <xdr:rowOff>60960</xdr:rowOff>
                  </from>
                  <to>
                    <xdr:col>1</xdr:col>
                    <xdr:colOff>845820</xdr:colOff>
                    <xdr:row>17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Check Box 8">
              <controlPr defaultSize="0" autoFill="0" autoLine="0" autoPict="0">
                <anchor moveWithCells="1">
                  <from>
                    <xdr:col>2</xdr:col>
                    <xdr:colOff>7620</xdr:colOff>
                    <xdr:row>16</xdr:row>
                    <xdr:rowOff>45720</xdr:rowOff>
                  </from>
                  <to>
                    <xdr:col>3</xdr:col>
                    <xdr:colOff>30480</xdr:colOff>
                    <xdr:row>16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Check Box 9">
              <controlPr defaultSize="0" autoFill="0" autoLine="0" autoPict="0">
                <anchor moveWithCells="1">
                  <from>
                    <xdr:col>3</xdr:col>
                    <xdr:colOff>152400</xdr:colOff>
                    <xdr:row>16</xdr:row>
                    <xdr:rowOff>38100</xdr:rowOff>
                  </from>
                  <to>
                    <xdr:col>3</xdr:col>
                    <xdr:colOff>800100</xdr:colOff>
                    <xdr:row>16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Check Box 10">
              <controlPr defaultSize="0" autoFill="0" autoLine="0" autoPict="0">
                <anchor moveWithCells="1">
                  <from>
                    <xdr:col>3</xdr:col>
                    <xdr:colOff>868680</xdr:colOff>
                    <xdr:row>16</xdr:row>
                    <xdr:rowOff>45720</xdr:rowOff>
                  </from>
                  <to>
                    <xdr:col>4</xdr:col>
                    <xdr:colOff>533400</xdr:colOff>
                    <xdr:row>16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Check Box 11">
              <controlPr defaultSize="0" autoFill="0" autoLine="0" autoPict="0">
                <anchor moveWithCells="1">
                  <from>
                    <xdr:col>2</xdr:col>
                    <xdr:colOff>7620</xdr:colOff>
                    <xdr:row>15</xdr:row>
                    <xdr:rowOff>45720</xdr:rowOff>
                  </from>
                  <to>
                    <xdr:col>3</xdr:col>
                    <xdr:colOff>30480</xdr:colOff>
                    <xdr:row>15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2" name="Check Box 12">
              <controlPr defaultSize="0" autoFill="0" autoLine="0" autoPict="0">
                <anchor moveWithCells="1">
                  <from>
                    <xdr:col>3</xdr:col>
                    <xdr:colOff>152400</xdr:colOff>
                    <xdr:row>15</xdr:row>
                    <xdr:rowOff>38100</xdr:rowOff>
                  </from>
                  <to>
                    <xdr:col>3</xdr:col>
                    <xdr:colOff>800100</xdr:colOff>
                    <xdr:row>15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3" name="Check Box 13">
              <controlPr defaultSize="0" autoFill="0" autoLine="0" autoPict="0">
                <anchor moveWithCells="1">
                  <from>
                    <xdr:col>3</xdr:col>
                    <xdr:colOff>868680</xdr:colOff>
                    <xdr:row>15</xdr:row>
                    <xdr:rowOff>45720</xdr:rowOff>
                  </from>
                  <to>
                    <xdr:col>4</xdr:col>
                    <xdr:colOff>533400</xdr:colOff>
                    <xdr:row>15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4" name="Check Box 15">
              <controlPr defaultSize="0" autoFill="0" autoLine="0" autoPict="0">
                <anchor moveWithCells="1">
                  <from>
                    <xdr:col>2</xdr:col>
                    <xdr:colOff>152400</xdr:colOff>
                    <xdr:row>14</xdr:row>
                    <xdr:rowOff>38100</xdr:rowOff>
                  </from>
                  <to>
                    <xdr:col>2</xdr:col>
                    <xdr:colOff>800100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5" name="Check Box 16">
              <controlPr defaultSize="0" autoFill="0" autoLine="0" autoPict="0">
                <anchor moveWithCells="1">
                  <from>
                    <xdr:col>3</xdr:col>
                    <xdr:colOff>60960</xdr:colOff>
                    <xdr:row>14</xdr:row>
                    <xdr:rowOff>45720</xdr:rowOff>
                  </from>
                  <to>
                    <xdr:col>3</xdr:col>
                    <xdr:colOff>647700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6" name="Check Box 17">
              <controlPr defaultSize="0" autoFill="0" autoLine="0" autoPict="0">
                <anchor moveWithCells="1">
                  <from>
                    <xdr:col>3</xdr:col>
                    <xdr:colOff>876300</xdr:colOff>
                    <xdr:row>14</xdr:row>
                    <xdr:rowOff>45720</xdr:rowOff>
                  </from>
                  <to>
                    <xdr:col>4</xdr:col>
                    <xdr:colOff>541020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7" name="Check Box 18">
              <controlPr defaultSize="0" autoFill="0" autoLine="0" autoPict="0">
                <anchor moveWithCells="1">
                  <from>
                    <xdr:col>2</xdr:col>
                    <xdr:colOff>22860</xdr:colOff>
                    <xdr:row>18</xdr:row>
                    <xdr:rowOff>45720</xdr:rowOff>
                  </from>
                  <to>
                    <xdr:col>2</xdr:col>
                    <xdr:colOff>784860</xdr:colOff>
                    <xdr:row>18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8" name="Check Box 19">
              <controlPr defaultSize="0" autoFill="0" autoLine="0" autoPict="0">
                <anchor moveWithCells="1">
                  <from>
                    <xdr:col>3</xdr:col>
                    <xdr:colOff>922020</xdr:colOff>
                    <xdr:row>18</xdr:row>
                    <xdr:rowOff>45720</xdr:rowOff>
                  </from>
                  <to>
                    <xdr:col>4</xdr:col>
                    <xdr:colOff>762000</xdr:colOff>
                    <xdr:row>18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9" name="Check Box 20">
              <controlPr defaultSize="0" autoFill="0" autoLine="0" autoPict="0">
                <anchor moveWithCells="1">
                  <from>
                    <xdr:col>5</xdr:col>
                    <xdr:colOff>1394460</xdr:colOff>
                    <xdr:row>18</xdr:row>
                    <xdr:rowOff>45720</xdr:rowOff>
                  </from>
                  <to>
                    <xdr:col>7</xdr:col>
                    <xdr:colOff>76200</xdr:colOff>
                    <xdr:row>18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0" name="Check Box 21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60960</xdr:rowOff>
                  </from>
                  <to>
                    <xdr:col>8</xdr:col>
                    <xdr:colOff>22860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1" name="Check Box 22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60960</xdr:rowOff>
                  </from>
                  <to>
                    <xdr:col>8</xdr:col>
                    <xdr:colOff>152400</xdr:colOff>
                    <xdr:row>17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2" name="Check Box 23">
              <controlPr defaultSize="0" autoFill="0" autoLine="0" autoPict="0">
                <anchor moveWithCells="1">
                  <from>
                    <xdr:col>1</xdr:col>
                    <xdr:colOff>7620</xdr:colOff>
                    <xdr:row>12</xdr:row>
                    <xdr:rowOff>38100</xdr:rowOff>
                  </from>
                  <to>
                    <xdr:col>1</xdr:col>
                    <xdr:colOff>670560</xdr:colOff>
                    <xdr:row>12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3" name="Check Box 24">
              <controlPr defaultSize="0" autoFill="0" autoLine="0" autoPict="0">
                <anchor moveWithCells="1">
                  <from>
                    <xdr:col>2</xdr:col>
                    <xdr:colOff>152400</xdr:colOff>
                    <xdr:row>12</xdr:row>
                    <xdr:rowOff>38100</xdr:rowOff>
                  </from>
                  <to>
                    <xdr:col>2</xdr:col>
                    <xdr:colOff>800100</xdr:colOff>
                    <xdr:row>12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4" name="Check Box 25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45720</xdr:rowOff>
                  </from>
                  <to>
                    <xdr:col>3</xdr:col>
                    <xdr:colOff>861060</xdr:colOff>
                    <xdr:row>12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5" name="Check Box 26">
              <controlPr defaultSize="0" autoFill="0" autoLine="0" autoPict="0">
                <anchor moveWithCells="1">
                  <from>
                    <xdr:col>3</xdr:col>
                    <xdr:colOff>876300</xdr:colOff>
                    <xdr:row>12</xdr:row>
                    <xdr:rowOff>45720</xdr:rowOff>
                  </from>
                  <to>
                    <xdr:col>4</xdr:col>
                    <xdr:colOff>541020</xdr:colOff>
                    <xdr:row>12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6" name="Check Box 27">
              <controlPr defaultSize="0" autoFill="0" autoLine="0" autoPict="0">
                <anchor moveWithCells="1">
                  <from>
                    <xdr:col>5</xdr:col>
                    <xdr:colOff>1264920</xdr:colOff>
                    <xdr:row>12</xdr:row>
                    <xdr:rowOff>38100</xdr:rowOff>
                  </from>
                  <to>
                    <xdr:col>7</xdr:col>
                    <xdr:colOff>731520</xdr:colOff>
                    <xdr:row>12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7" name="Check Box 28">
              <controlPr defaultSize="0" autoFill="0" autoLine="0" autoPict="0">
                <anchor moveWithCells="1">
                  <from>
                    <xdr:col>9</xdr:col>
                    <xdr:colOff>144780</xdr:colOff>
                    <xdr:row>12</xdr:row>
                    <xdr:rowOff>38100</xdr:rowOff>
                  </from>
                  <to>
                    <xdr:col>9</xdr:col>
                    <xdr:colOff>800100</xdr:colOff>
                    <xdr:row>12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28" name="Check Box 29">
              <controlPr defaultSize="0" autoFill="0" autoLine="0" autoPict="0">
                <anchor moveWithCells="1">
                  <from>
                    <xdr:col>1</xdr:col>
                    <xdr:colOff>7620</xdr:colOff>
                    <xdr:row>13</xdr:row>
                    <xdr:rowOff>38100</xdr:rowOff>
                  </from>
                  <to>
                    <xdr:col>1</xdr:col>
                    <xdr:colOff>670560</xdr:colOff>
                    <xdr:row>13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9" name="Check Box 30">
              <controlPr defaultSize="0" autoFill="0" autoLine="0" autoPict="0">
                <anchor moveWithCells="1">
                  <from>
                    <xdr:col>2</xdr:col>
                    <xdr:colOff>152400</xdr:colOff>
                    <xdr:row>13</xdr:row>
                    <xdr:rowOff>38100</xdr:rowOff>
                  </from>
                  <to>
                    <xdr:col>2</xdr:col>
                    <xdr:colOff>800100</xdr:colOff>
                    <xdr:row>13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0" name="Check Box 31">
              <controlPr defaultSize="0" autoFill="0" autoLine="0" autoPict="0">
                <anchor moveWithCells="1">
                  <from>
                    <xdr:col>5</xdr:col>
                    <xdr:colOff>22860</xdr:colOff>
                    <xdr:row>13</xdr:row>
                    <xdr:rowOff>45720</xdr:rowOff>
                  </from>
                  <to>
                    <xdr:col>5</xdr:col>
                    <xdr:colOff>807720</xdr:colOff>
                    <xdr:row>13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1" name="Check Box 32">
              <controlPr defaultSize="0" autoFill="0" autoLine="0" autoPict="0">
                <anchor moveWithCells="1">
                  <from>
                    <xdr:col>5</xdr:col>
                    <xdr:colOff>609600</xdr:colOff>
                    <xdr:row>13</xdr:row>
                    <xdr:rowOff>45720</xdr:rowOff>
                  </from>
                  <to>
                    <xdr:col>5</xdr:col>
                    <xdr:colOff>1303020</xdr:colOff>
                    <xdr:row>13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2" name="Check Box 35">
              <controlPr defaultSize="0" autoFill="0" autoLine="0" autoPict="0">
                <anchor moveWithCells="1">
                  <from>
                    <xdr:col>5</xdr:col>
                    <xdr:colOff>1363980</xdr:colOff>
                    <xdr:row>13</xdr:row>
                    <xdr:rowOff>38100</xdr:rowOff>
                  </from>
                  <to>
                    <xdr:col>6</xdr:col>
                    <xdr:colOff>670560</xdr:colOff>
                    <xdr:row>13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3" name="Check Box 37">
              <controlPr defaultSize="0" autoFill="0" autoLine="0" autoPict="0">
                <anchor moveWithCells="1">
                  <from>
                    <xdr:col>9</xdr:col>
                    <xdr:colOff>22860</xdr:colOff>
                    <xdr:row>13</xdr:row>
                    <xdr:rowOff>45720</xdr:rowOff>
                  </from>
                  <to>
                    <xdr:col>9</xdr:col>
                    <xdr:colOff>609600</xdr:colOff>
                    <xdr:row>13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4" name="Check Box 38">
              <controlPr defaultSize="0" autoFill="0" autoLine="0" autoPict="0">
                <anchor moveWithCells="1">
                  <from>
                    <xdr:col>6</xdr:col>
                    <xdr:colOff>7620</xdr:colOff>
                    <xdr:row>5</xdr:row>
                    <xdr:rowOff>22860</xdr:rowOff>
                  </from>
                  <to>
                    <xdr:col>7</xdr:col>
                    <xdr:colOff>76200</xdr:colOff>
                    <xdr:row>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5" name="Check Box 39">
              <controlPr defaultSize="0" autoFill="0" autoLine="0" autoPict="0">
                <anchor moveWithCells="1">
                  <from>
                    <xdr:col>7</xdr:col>
                    <xdr:colOff>137160</xdr:colOff>
                    <xdr:row>5</xdr:row>
                    <xdr:rowOff>30480</xdr:rowOff>
                  </from>
                  <to>
                    <xdr:col>8</xdr:col>
                    <xdr:colOff>266700</xdr:colOff>
                    <xdr:row>5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6" name="Check Box 40">
              <controlPr defaultSize="0" autoFill="0" autoLine="0" autoPict="0">
                <anchor moveWithCells="1">
                  <from>
                    <xdr:col>8</xdr:col>
                    <xdr:colOff>518160</xdr:colOff>
                    <xdr:row>5</xdr:row>
                    <xdr:rowOff>30480</xdr:rowOff>
                  </from>
                  <to>
                    <xdr:col>9</xdr:col>
                    <xdr:colOff>365760</xdr:colOff>
                    <xdr:row>5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7" name="Check Box 41">
              <controlPr defaultSize="0" autoFill="0" autoLine="0" autoPict="0">
                <anchor moveWithCells="1">
                  <from>
                    <xdr:col>6</xdr:col>
                    <xdr:colOff>7620</xdr:colOff>
                    <xdr:row>6</xdr:row>
                    <xdr:rowOff>22860</xdr:rowOff>
                  </from>
                  <to>
                    <xdr:col>7</xdr:col>
                    <xdr:colOff>76200</xdr:colOff>
                    <xdr:row>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8" name="Check Box 42">
              <controlPr defaultSize="0" autoFill="0" autoLine="0" autoPict="0">
                <anchor moveWithCells="1">
                  <from>
                    <xdr:col>7</xdr:col>
                    <xdr:colOff>137160</xdr:colOff>
                    <xdr:row>6</xdr:row>
                    <xdr:rowOff>30480</xdr:rowOff>
                  </from>
                  <to>
                    <xdr:col>8</xdr:col>
                    <xdr:colOff>480060</xdr:colOff>
                    <xdr:row>6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" name="Check Box 43">
              <controlPr defaultSize="0" autoFill="0" autoLine="0" autoPict="0">
                <anchor moveWithCells="1">
                  <from>
                    <xdr:col>8</xdr:col>
                    <xdr:colOff>518160</xdr:colOff>
                    <xdr:row>6</xdr:row>
                    <xdr:rowOff>30480</xdr:rowOff>
                  </from>
                  <to>
                    <xdr:col>9</xdr:col>
                    <xdr:colOff>365760</xdr:colOff>
                    <xdr:row>6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0" name="Check Box 44">
              <controlPr defaultSize="0" autoFill="0" autoLine="0" autoPict="0">
                <anchor moveWithCells="1">
                  <from>
                    <xdr:col>6</xdr:col>
                    <xdr:colOff>7620</xdr:colOff>
                    <xdr:row>7</xdr:row>
                    <xdr:rowOff>22860</xdr:rowOff>
                  </from>
                  <to>
                    <xdr:col>7</xdr:col>
                    <xdr:colOff>76200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1" name="Check Box 45">
              <controlPr defaultSize="0" autoFill="0" autoLine="0" autoPict="0">
                <anchor moveWithCells="1">
                  <from>
                    <xdr:col>7</xdr:col>
                    <xdr:colOff>137160</xdr:colOff>
                    <xdr:row>7</xdr:row>
                    <xdr:rowOff>30480</xdr:rowOff>
                  </from>
                  <to>
                    <xdr:col>8</xdr:col>
                    <xdr:colOff>274320</xdr:colOff>
                    <xdr:row>7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2" name="Check Box 46">
              <controlPr defaultSize="0" autoFill="0" autoLine="0" autoPict="0">
                <anchor moveWithCells="1">
                  <from>
                    <xdr:col>8</xdr:col>
                    <xdr:colOff>518160</xdr:colOff>
                    <xdr:row>7</xdr:row>
                    <xdr:rowOff>30480</xdr:rowOff>
                  </from>
                  <to>
                    <xdr:col>9</xdr:col>
                    <xdr:colOff>365760</xdr:colOff>
                    <xdr:row>7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3" name="Check Box 47">
              <controlPr defaultSize="0" autoFill="0" autoLine="0" autoPict="0">
                <anchor moveWithCells="1">
                  <from>
                    <xdr:col>6</xdr:col>
                    <xdr:colOff>7620</xdr:colOff>
                    <xdr:row>8</xdr:row>
                    <xdr:rowOff>22860</xdr:rowOff>
                  </from>
                  <to>
                    <xdr:col>7</xdr:col>
                    <xdr:colOff>76200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4" name="Check Box 48">
              <controlPr defaultSize="0" autoFill="0" autoLine="0" autoPict="0">
                <anchor moveWithCells="1">
                  <from>
                    <xdr:col>7</xdr:col>
                    <xdr:colOff>137160</xdr:colOff>
                    <xdr:row>8</xdr:row>
                    <xdr:rowOff>22860</xdr:rowOff>
                  </from>
                  <to>
                    <xdr:col>8</xdr:col>
                    <xdr:colOff>274320</xdr:colOff>
                    <xdr:row>8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5" name="Check Box 49">
              <controlPr defaultSize="0" autoFill="0" autoLine="0" autoPict="0">
                <anchor moveWithCells="1">
                  <from>
                    <xdr:col>8</xdr:col>
                    <xdr:colOff>518160</xdr:colOff>
                    <xdr:row>8</xdr:row>
                    <xdr:rowOff>22860</xdr:rowOff>
                  </from>
                  <to>
                    <xdr:col>9</xdr:col>
                    <xdr:colOff>365760</xdr:colOff>
                    <xdr:row>8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6" name="Check Box 50">
              <controlPr defaultSize="0" autoFill="0" autoLine="0" autoPict="0">
                <anchor moveWithCells="1">
                  <from>
                    <xdr:col>6</xdr:col>
                    <xdr:colOff>7620</xdr:colOff>
                    <xdr:row>9</xdr:row>
                    <xdr:rowOff>22860</xdr:rowOff>
                  </from>
                  <to>
                    <xdr:col>7</xdr:col>
                    <xdr:colOff>76200</xdr:colOff>
                    <xdr:row>9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7" name="Check Box 51">
              <controlPr defaultSize="0" autoFill="0" autoLine="0" autoPict="0">
                <anchor moveWithCells="1">
                  <from>
                    <xdr:col>7</xdr:col>
                    <xdr:colOff>137160</xdr:colOff>
                    <xdr:row>9</xdr:row>
                    <xdr:rowOff>22860</xdr:rowOff>
                  </from>
                  <to>
                    <xdr:col>8</xdr:col>
                    <xdr:colOff>274320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8" name="Check Box 52">
              <controlPr defaultSize="0" autoFill="0" autoLine="0" autoPict="0">
                <anchor moveWithCells="1">
                  <from>
                    <xdr:col>8</xdr:col>
                    <xdr:colOff>518160</xdr:colOff>
                    <xdr:row>9</xdr:row>
                    <xdr:rowOff>22860</xdr:rowOff>
                  </from>
                  <to>
                    <xdr:col>9</xdr:col>
                    <xdr:colOff>365760</xdr:colOff>
                    <xdr:row>9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tabColor rgb="FFFF0000"/>
    <pageSetUpPr fitToPage="1"/>
  </sheetPr>
  <dimension ref="A1:Y57"/>
  <sheetViews>
    <sheetView zoomScale="115" zoomScaleNormal="115" workbookViewId="0">
      <pane ySplit="6" topLeftCell="A7" activePane="bottomLeft" state="frozen"/>
      <selection pane="bottomLeft" activeCell="L13" sqref="L13:L14"/>
    </sheetView>
  </sheetViews>
  <sheetFormatPr defaultColWidth="8.88671875" defaultRowHeight="13.8"/>
  <cols>
    <col min="1" max="15" width="7.21875" style="117" customWidth="1"/>
    <col min="16" max="24" width="0.88671875" style="117" customWidth="1"/>
    <col min="25" max="25" width="16.6640625" style="117" customWidth="1"/>
    <col min="26" max="16384" width="8.88671875" style="117"/>
  </cols>
  <sheetData>
    <row r="1" spans="1:25" ht="32.4">
      <c r="A1" s="414" t="s">
        <v>106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  <c r="M1" s="415"/>
      <c r="N1" s="415"/>
      <c r="O1" s="415"/>
      <c r="Y1" s="2" t="s">
        <v>179</v>
      </c>
    </row>
    <row r="2" spans="1:25" ht="16.8" thickBot="1">
      <c r="A2" s="416" t="s">
        <v>149</v>
      </c>
      <c r="B2" s="417"/>
      <c r="C2" s="417"/>
      <c r="D2" s="417"/>
      <c r="E2" s="417"/>
      <c r="F2" s="417"/>
      <c r="G2" s="417"/>
      <c r="H2" s="417"/>
      <c r="I2" s="417"/>
      <c r="J2" s="417"/>
      <c r="K2" s="417"/>
      <c r="L2" s="417"/>
      <c r="M2" s="417"/>
      <c r="N2" s="417"/>
      <c r="O2" s="417"/>
      <c r="Y2" s="143" t="s">
        <v>107</v>
      </c>
    </row>
    <row r="3" spans="1:25" ht="19.8">
      <c r="A3" s="414" t="s">
        <v>107</v>
      </c>
      <c r="B3" s="415"/>
      <c r="C3" s="415"/>
      <c r="D3" s="415"/>
      <c r="E3" s="415"/>
      <c r="F3" s="415"/>
      <c r="G3" s="415"/>
      <c r="H3" s="415"/>
      <c r="I3" s="415"/>
      <c r="J3" s="415"/>
      <c r="K3" s="415"/>
      <c r="L3" s="415"/>
      <c r="M3" s="415"/>
      <c r="N3" s="415"/>
      <c r="O3" s="415"/>
    </row>
    <row r="4" spans="1:25" ht="16.8" thickBot="1">
      <c r="A4" s="448" t="s">
        <v>115</v>
      </c>
      <c r="B4" s="448"/>
      <c r="C4" s="423"/>
      <c r="D4" s="423"/>
      <c r="E4" s="423"/>
      <c r="G4" s="120" t="s">
        <v>184</v>
      </c>
      <c r="H4" s="406"/>
      <c r="I4" s="407"/>
      <c r="J4" s="407"/>
      <c r="K4" s="407"/>
      <c r="L4" s="448" t="s">
        <v>108</v>
      </c>
      <c r="M4" s="448"/>
      <c r="N4" s="422"/>
      <c r="O4" s="422"/>
    </row>
    <row r="5" spans="1:25" ht="16.95" customHeight="1" thickTop="1">
      <c r="A5" s="418" t="s">
        <v>120</v>
      </c>
      <c r="B5" s="419"/>
      <c r="C5" s="419" t="str">
        <f>IF(進料檢!F3="","",進料檢!F3)</f>
        <v/>
      </c>
      <c r="D5" s="441"/>
      <c r="E5" s="441"/>
      <c r="F5" s="441"/>
      <c r="G5" s="440" t="s">
        <v>121</v>
      </c>
      <c r="H5" s="441"/>
      <c r="I5" s="464"/>
      <c r="J5" s="465"/>
      <c r="K5" s="465"/>
      <c r="L5" s="419" t="s">
        <v>112</v>
      </c>
      <c r="M5" s="419"/>
      <c r="N5" s="420"/>
      <c r="O5" s="421"/>
    </row>
    <row r="6" spans="1:25" ht="16.95" customHeight="1" thickBot="1">
      <c r="A6" s="442" t="s">
        <v>109</v>
      </c>
      <c r="B6" s="443"/>
      <c r="C6" s="469" t="str">
        <f>IF(進料檢!F4="","",進料檢!F4)</f>
        <v/>
      </c>
      <c r="D6" s="470"/>
      <c r="E6" s="470"/>
      <c r="F6" s="470"/>
      <c r="G6" s="471"/>
      <c r="H6" s="118" t="s">
        <v>110</v>
      </c>
      <c r="I6" s="171" t="str">
        <f>IF(進料檢!N4="","",進料檢!N4)</f>
        <v/>
      </c>
      <c r="J6" s="118" t="s">
        <v>124</v>
      </c>
      <c r="K6" s="131" t="str">
        <f>IF(進料檢!Q4="","",進料檢!Q4)</f>
        <v/>
      </c>
      <c r="L6" s="118" t="s">
        <v>114</v>
      </c>
      <c r="M6" s="171"/>
      <c r="N6" s="118" t="s">
        <v>111</v>
      </c>
      <c r="O6" s="119" t="str">
        <f>IF(OR(I6="",M6=""),"",M6/I6)</f>
        <v/>
      </c>
    </row>
    <row r="7" spans="1:25" s="120" customFormat="1" ht="10.95" customHeight="1">
      <c r="A7" s="434" t="s">
        <v>66</v>
      </c>
      <c r="B7" s="435"/>
      <c r="C7" s="436"/>
      <c r="D7" s="430" t="s">
        <v>67</v>
      </c>
      <c r="E7" s="431"/>
      <c r="F7" s="431"/>
      <c r="G7" s="431"/>
      <c r="H7" s="431"/>
      <c r="I7" s="431"/>
      <c r="J7" s="431"/>
      <c r="K7" s="432"/>
      <c r="L7" s="432"/>
      <c r="M7" s="432"/>
      <c r="N7" s="432"/>
      <c r="O7" s="433"/>
    </row>
    <row r="8" spans="1:25" s="120" customFormat="1" ht="10.95" customHeight="1" thickBot="1">
      <c r="A8" s="437"/>
      <c r="B8" s="438"/>
      <c r="C8" s="439"/>
      <c r="D8" s="114">
        <v>1</v>
      </c>
      <c r="E8" s="114">
        <v>2</v>
      </c>
      <c r="F8" s="114">
        <v>3</v>
      </c>
      <c r="G8" s="114">
        <v>4</v>
      </c>
      <c r="H8" s="114">
        <v>5</v>
      </c>
      <c r="I8" s="114">
        <v>6</v>
      </c>
      <c r="J8" s="114">
        <v>7</v>
      </c>
      <c r="K8" s="115">
        <v>8</v>
      </c>
      <c r="L8" s="115">
        <v>9</v>
      </c>
      <c r="M8" s="115">
        <v>10</v>
      </c>
      <c r="N8" s="115">
        <v>11</v>
      </c>
      <c r="O8" s="116">
        <v>12</v>
      </c>
    </row>
    <row r="9" spans="1:25" s="120" customFormat="1" ht="15" customHeight="1">
      <c r="A9" s="497"/>
      <c r="B9" s="498"/>
      <c r="C9" s="86"/>
      <c r="D9" s="426"/>
      <c r="E9" s="426"/>
      <c r="F9" s="426"/>
      <c r="G9" s="426"/>
      <c r="H9" s="426"/>
      <c r="I9" s="426"/>
      <c r="J9" s="426"/>
      <c r="K9" s="426"/>
      <c r="L9" s="426"/>
      <c r="M9" s="426"/>
      <c r="N9" s="426"/>
      <c r="O9" s="447"/>
    </row>
    <row r="10" spans="1:25" s="120" customFormat="1" ht="15" customHeight="1">
      <c r="A10" s="499"/>
      <c r="B10" s="500"/>
      <c r="C10" s="28"/>
      <c r="D10" s="427"/>
      <c r="E10" s="427"/>
      <c r="F10" s="427"/>
      <c r="G10" s="427"/>
      <c r="H10" s="427"/>
      <c r="I10" s="427"/>
      <c r="J10" s="427"/>
      <c r="K10" s="427"/>
      <c r="L10" s="427"/>
      <c r="M10" s="427"/>
      <c r="N10" s="427"/>
      <c r="O10" s="446"/>
    </row>
    <row r="11" spans="1:25" ht="15" customHeight="1">
      <c r="A11" s="501"/>
      <c r="B11" s="502"/>
      <c r="C11" s="87"/>
      <c r="D11" s="424"/>
      <c r="E11" s="424"/>
      <c r="F11" s="424"/>
      <c r="G11" s="424"/>
      <c r="H11" s="424"/>
      <c r="I11" s="424"/>
      <c r="J11" s="424"/>
      <c r="K11" s="424"/>
      <c r="L11" s="424"/>
      <c r="M11" s="424"/>
      <c r="N11" s="424"/>
      <c r="O11" s="428"/>
    </row>
    <row r="12" spans="1:25" ht="15" customHeight="1">
      <c r="A12" s="499"/>
      <c r="B12" s="500"/>
      <c r="C12" s="28"/>
      <c r="D12" s="427"/>
      <c r="E12" s="427"/>
      <c r="F12" s="427"/>
      <c r="G12" s="427"/>
      <c r="H12" s="427"/>
      <c r="I12" s="427"/>
      <c r="J12" s="427"/>
      <c r="K12" s="427"/>
      <c r="L12" s="427"/>
      <c r="M12" s="427"/>
      <c r="N12" s="427"/>
      <c r="O12" s="446"/>
    </row>
    <row r="13" spans="1:25" ht="15" customHeight="1">
      <c r="A13" s="501"/>
      <c r="B13" s="502"/>
      <c r="C13" s="87"/>
      <c r="D13" s="424"/>
      <c r="E13" s="424"/>
      <c r="F13" s="424"/>
      <c r="G13" s="424"/>
      <c r="H13" s="424"/>
      <c r="I13" s="424"/>
      <c r="J13" s="424"/>
      <c r="K13" s="424"/>
      <c r="L13" s="424"/>
      <c r="M13" s="424"/>
      <c r="N13" s="424"/>
      <c r="O13" s="428"/>
    </row>
    <row r="14" spans="1:25" ht="15" customHeight="1" thickBot="1">
      <c r="A14" s="503"/>
      <c r="B14" s="504"/>
      <c r="C14" s="113"/>
      <c r="D14" s="425"/>
      <c r="E14" s="425"/>
      <c r="F14" s="425"/>
      <c r="G14" s="425"/>
      <c r="H14" s="425"/>
      <c r="I14" s="425"/>
      <c r="J14" s="425"/>
      <c r="K14" s="425"/>
      <c r="L14" s="425"/>
      <c r="M14" s="425"/>
      <c r="N14" s="425"/>
      <c r="O14" s="429"/>
    </row>
    <row r="15" spans="1:25" ht="10.199999999999999" customHeight="1" thickTop="1" thickBot="1">
      <c r="A15" s="444"/>
      <c r="B15" s="445"/>
      <c r="C15" s="445"/>
      <c r="D15" s="445"/>
      <c r="E15" s="445"/>
      <c r="F15" s="445"/>
      <c r="G15" s="445"/>
      <c r="H15" s="445"/>
      <c r="I15" s="445"/>
      <c r="J15" s="445"/>
      <c r="K15" s="445"/>
      <c r="L15" s="445"/>
      <c r="M15" s="445"/>
      <c r="N15" s="445"/>
      <c r="O15" s="445"/>
    </row>
    <row r="16" spans="1:25" ht="17.399999999999999" thickTop="1" thickBot="1">
      <c r="A16" s="493" t="s">
        <v>122</v>
      </c>
      <c r="B16" s="494"/>
      <c r="C16" s="129"/>
      <c r="D16" s="130"/>
      <c r="E16" s="130"/>
      <c r="F16" s="130"/>
      <c r="G16" s="130"/>
      <c r="H16" s="130"/>
      <c r="I16" s="130"/>
      <c r="J16" s="466"/>
      <c r="K16" s="467"/>
      <c r="L16" s="467"/>
      <c r="M16" s="467"/>
      <c r="N16" s="467"/>
      <c r="O16" s="468"/>
    </row>
    <row r="17" spans="1:17">
      <c r="A17" s="505" t="s">
        <v>116</v>
      </c>
      <c r="B17" s="488"/>
      <c r="C17" s="489"/>
      <c r="D17" s="489"/>
      <c r="E17" s="489"/>
      <c r="F17" s="489"/>
      <c r="G17" s="489"/>
      <c r="H17" s="489"/>
      <c r="I17" s="489"/>
      <c r="J17" s="489"/>
      <c r="K17" s="489"/>
      <c r="L17" s="489"/>
      <c r="M17" s="489"/>
      <c r="N17" s="489"/>
      <c r="O17" s="490"/>
    </row>
    <row r="18" spans="1:17">
      <c r="A18" s="505"/>
      <c r="B18" s="488"/>
      <c r="C18" s="489"/>
      <c r="D18" s="489"/>
      <c r="E18" s="489"/>
      <c r="F18" s="489"/>
      <c r="G18" s="489"/>
      <c r="H18" s="489"/>
      <c r="I18" s="489"/>
      <c r="J18" s="489"/>
      <c r="K18" s="489"/>
      <c r="L18" s="489"/>
      <c r="M18" s="489"/>
      <c r="N18" s="489"/>
      <c r="O18" s="490"/>
    </row>
    <row r="19" spans="1:17">
      <c r="A19" s="505"/>
      <c r="B19" s="488"/>
      <c r="C19" s="489"/>
      <c r="D19" s="489"/>
      <c r="E19" s="489"/>
      <c r="F19" s="489"/>
      <c r="G19" s="489"/>
      <c r="H19" s="489"/>
      <c r="I19" s="489"/>
      <c r="J19" s="489"/>
      <c r="K19" s="489"/>
      <c r="L19" s="489"/>
      <c r="M19" s="489"/>
      <c r="N19" s="489"/>
      <c r="O19" s="490"/>
    </row>
    <row r="20" spans="1:17">
      <c r="A20" s="505"/>
      <c r="B20" s="488"/>
      <c r="C20" s="489"/>
      <c r="D20" s="489"/>
      <c r="E20" s="489"/>
      <c r="F20" s="489"/>
      <c r="G20" s="489"/>
      <c r="H20" s="489"/>
      <c r="I20" s="489"/>
      <c r="J20" s="489"/>
      <c r="K20" s="489"/>
      <c r="L20" s="489"/>
      <c r="M20" s="489"/>
      <c r="N20" s="489"/>
      <c r="O20" s="490"/>
    </row>
    <row r="21" spans="1:17" ht="14.4" thickBot="1">
      <c r="A21" s="505"/>
      <c r="B21" s="508"/>
      <c r="C21" s="489"/>
      <c r="D21" s="489"/>
      <c r="E21" s="489"/>
      <c r="F21" s="489"/>
      <c r="G21" s="489"/>
      <c r="H21" s="489"/>
      <c r="I21" s="489"/>
      <c r="J21" s="489"/>
      <c r="K21" s="489"/>
      <c r="L21" s="423"/>
      <c r="M21" s="122" t="s">
        <v>123</v>
      </c>
      <c r="N21" s="511"/>
      <c r="O21" s="512"/>
    </row>
    <row r="22" spans="1:17" ht="17.399999999999999" customHeight="1">
      <c r="A22" s="449" t="s">
        <v>113</v>
      </c>
      <c r="B22" s="450"/>
      <c r="C22" s="509"/>
      <c r="D22" s="509"/>
      <c r="E22" s="509"/>
      <c r="F22" s="509"/>
      <c r="G22" s="509"/>
      <c r="H22" s="509"/>
      <c r="I22" s="509"/>
      <c r="J22" s="509"/>
      <c r="K22" s="509"/>
      <c r="L22" s="509"/>
      <c r="M22" s="509"/>
      <c r="N22" s="491" t="s">
        <v>119</v>
      </c>
      <c r="O22" s="492"/>
      <c r="Q22" s="121"/>
    </row>
    <row r="23" spans="1:17">
      <c r="A23" s="462" t="s">
        <v>117</v>
      </c>
      <c r="B23" s="506"/>
      <c r="C23" s="506"/>
      <c r="D23" s="506"/>
      <c r="E23" s="506"/>
      <c r="F23" s="506"/>
      <c r="G23" s="506"/>
      <c r="H23" s="506"/>
      <c r="I23" s="506"/>
      <c r="J23" s="506"/>
      <c r="K23" s="506"/>
      <c r="L23" s="506"/>
      <c r="M23" s="506"/>
      <c r="N23" s="408"/>
      <c r="O23" s="409"/>
    </row>
    <row r="24" spans="1:17">
      <c r="A24" s="462"/>
      <c r="B24" s="506"/>
      <c r="C24" s="506"/>
      <c r="D24" s="506"/>
      <c r="E24" s="506"/>
      <c r="F24" s="506"/>
      <c r="G24" s="506"/>
      <c r="H24" s="506"/>
      <c r="I24" s="506"/>
      <c r="J24" s="506"/>
      <c r="K24" s="506"/>
      <c r="L24" s="506"/>
      <c r="M24" s="506"/>
      <c r="N24" s="410"/>
      <c r="O24" s="411"/>
    </row>
    <row r="25" spans="1:17">
      <c r="A25" s="462"/>
      <c r="B25" s="506"/>
      <c r="C25" s="506"/>
      <c r="D25" s="506"/>
      <c r="E25" s="506"/>
      <c r="F25" s="506"/>
      <c r="G25" s="506"/>
      <c r="H25" s="506"/>
      <c r="I25" s="506"/>
      <c r="J25" s="506"/>
      <c r="K25" s="506"/>
      <c r="L25" s="506"/>
      <c r="M25" s="506"/>
      <c r="N25" s="410"/>
      <c r="O25" s="411"/>
    </row>
    <row r="26" spans="1:17" ht="16.8" thickBot="1">
      <c r="A26" s="463"/>
      <c r="B26" s="507"/>
      <c r="C26" s="507"/>
      <c r="D26" s="507"/>
      <c r="E26" s="507"/>
      <c r="F26" s="507"/>
      <c r="G26" s="507"/>
      <c r="H26" s="507"/>
      <c r="I26" s="507"/>
      <c r="J26" s="507"/>
      <c r="K26" s="507"/>
      <c r="L26" s="507"/>
      <c r="M26" s="507"/>
      <c r="N26" s="412"/>
      <c r="O26" s="413"/>
    </row>
    <row r="27" spans="1:17" ht="10.199999999999999" customHeight="1" thickTop="1" thickBot="1">
      <c r="A27" s="514"/>
      <c r="B27" s="445"/>
      <c r="C27" s="445"/>
      <c r="D27" s="445"/>
      <c r="E27" s="445"/>
      <c r="F27" s="445"/>
      <c r="G27" s="445"/>
      <c r="H27" s="445"/>
      <c r="I27" s="445"/>
      <c r="J27" s="445"/>
      <c r="K27" s="445"/>
      <c r="L27" s="445"/>
      <c r="M27" s="445"/>
      <c r="N27" s="445"/>
      <c r="O27" s="445"/>
    </row>
    <row r="28" spans="1:17" ht="14.4" thickTop="1">
      <c r="A28" s="513" t="s">
        <v>118</v>
      </c>
      <c r="B28" s="460"/>
      <c r="C28" s="461"/>
      <c r="D28" s="461"/>
      <c r="E28" s="495"/>
      <c r="F28" s="495"/>
      <c r="G28" s="495"/>
      <c r="H28" s="495"/>
      <c r="I28" s="495"/>
      <c r="J28" s="495"/>
      <c r="K28" s="495"/>
      <c r="L28" s="495"/>
      <c r="M28" s="495"/>
      <c r="N28" s="495"/>
      <c r="O28" s="496"/>
    </row>
    <row r="29" spans="1:17" ht="14.4" thickBot="1">
      <c r="A29" s="513"/>
      <c r="B29" s="455"/>
      <c r="C29" s="456"/>
      <c r="D29" s="456"/>
      <c r="E29" s="456"/>
      <c r="F29" s="456"/>
      <c r="G29" s="456"/>
      <c r="H29" s="456"/>
      <c r="I29" s="456"/>
      <c r="J29" s="456"/>
      <c r="K29" s="456"/>
      <c r="L29" s="456"/>
      <c r="M29" s="456"/>
      <c r="N29" s="456"/>
      <c r="O29" s="459"/>
    </row>
    <row r="30" spans="1:17">
      <c r="A30" s="513"/>
      <c r="B30" s="453"/>
      <c r="C30" s="454"/>
      <c r="D30" s="454"/>
      <c r="E30" s="457"/>
      <c r="F30" s="457"/>
      <c r="G30" s="457"/>
      <c r="H30" s="457"/>
      <c r="I30" s="457"/>
      <c r="J30" s="457"/>
      <c r="K30" s="457"/>
      <c r="L30" s="457"/>
      <c r="M30" s="457"/>
      <c r="N30" s="457"/>
      <c r="O30" s="458"/>
    </row>
    <row r="31" spans="1:17" ht="14.4" thickBot="1">
      <c r="A31" s="513"/>
      <c r="B31" s="455"/>
      <c r="C31" s="456"/>
      <c r="D31" s="456"/>
      <c r="E31" s="456"/>
      <c r="F31" s="456"/>
      <c r="G31" s="456"/>
      <c r="H31" s="456"/>
      <c r="I31" s="456"/>
      <c r="J31" s="456"/>
      <c r="K31" s="456"/>
      <c r="L31" s="456"/>
      <c r="M31" s="456"/>
      <c r="N31" s="456"/>
      <c r="O31" s="459"/>
    </row>
    <row r="32" spans="1:17">
      <c r="A32" s="513"/>
      <c r="B32" s="453"/>
      <c r="C32" s="454"/>
      <c r="D32" s="454"/>
      <c r="E32" s="457"/>
      <c r="F32" s="457"/>
      <c r="G32" s="457"/>
      <c r="H32" s="457"/>
      <c r="I32" s="457"/>
      <c r="J32" s="457"/>
      <c r="K32" s="457"/>
      <c r="L32" s="457"/>
      <c r="M32" s="457"/>
      <c r="N32" s="457"/>
      <c r="O32" s="458"/>
    </row>
    <row r="33" spans="1:15" ht="14.4" thickBot="1">
      <c r="A33" s="513"/>
      <c r="B33" s="455"/>
      <c r="C33" s="456"/>
      <c r="D33" s="456"/>
      <c r="E33" s="456"/>
      <c r="F33" s="456"/>
      <c r="G33" s="456"/>
      <c r="H33" s="456"/>
      <c r="I33" s="456"/>
      <c r="J33" s="456"/>
      <c r="K33" s="456"/>
      <c r="L33" s="456"/>
      <c r="M33" s="456"/>
      <c r="N33" s="456"/>
      <c r="O33" s="459"/>
    </row>
    <row r="34" spans="1:15">
      <c r="A34" s="513"/>
      <c r="B34" s="453"/>
      <c r="C34" s="454"/>
      <c r="D34" s="454"/>
      <c r="E34" s="457"/>
      <c r="F34" s="457"/>
      <c r="G34" s="457"/>
      <c r="H34" s="457"/>
      <c r="I34" s="457"/>
      <c r="J34" s="457"/>
      <c r="K34" s="457"/>
      <c r="L34" s="457"/>
      <c r="M34" s="457"/>
      <c r="N34" s="457"/>
      <c r="O34" s="458"/>
    </row>
    <row r="35" spans="1:15" ht="14.4" thickBot="1">
      <c r="A35" s="513"/>
      <c r="B35" s="455"/>
      <c r="C35" s="456"/>
      <c r="D35" s="456"/>
      <c r="E35" s="456"/>
      <c r="F35" s="456"/>
      <c r="G35" s="456"/>
      <c r="H35" s="456"/>
      <c r="I35" s="456"/>
      <c r="J35" s="456"/>
      <c r="K35" s="456"/>
      <c r="L35" s="456"/>
      <c r="M35" s="456"/>
      <c r="N35" s="456"/>
      <c r="O35" s="459"/>
    </row>
    <row r="36" spans="1:15">
      <c r="A36" s="513"/>
      <c r="B36" s="453"/>
      <c r="C36" s="454"/>
      <c r="D36" s="454"/>
      <c r="E36" s="457"/>
      <c r="F36" s="457"/>
      <c r="G36" s="457"/>
      <c r="H36" s="457"/>
      <c r="I36" s="457"/>
      <c r="J36" s="457"/>
      <c r="K36" s="457"/>
      <c r="L36" s="457"/>
      <c r="M36" s="457"/>
      <c r="N36" s="457"/>
      <c r="O36" s="458"/>
    </row>
    <row r="37" spans="1:15" ht="14.4" thickBot="1">
      <c r="A37" s="513"/>
      <c r="B37" s="517"/>
      <c r="C37" s="518"/>
      <c r="D37" s="518"/>
      <c r="E37" s="518"/>
      <c r="F37" s="518"/>
      <c r="G37" s="518"/>
      <c r="H37" s="518"/>
      <c r="I37" s="518"/>
      <c r="J37" s="518"/>
      <c r="K37" s="518"/>
      <c r="L37" s="518"/>
      <c r="M37" s="518"/>
      <c r="N37" s="518"/>
      <c r="O37" s="519"/>
    </row>
    <row r="38" spans="1:15" ht="10.199999999999999" customHeight="1" thickTop="1" thickBot="1">
      <c r="A38" s="444"/>
      <c r="B38" s="445"/>
      <c r="C38" s="445"/>
      <c r="D38" s="445"/>
      <c r="E38" s="445"/>
      <c r="F38" s="445"/>
      <c r="G38" s="445"/>
      <c r="H38" s="445"/>
      <c r="I38" s="445"/>
      <c r="J38" s="445"/>
      <c r="K38" s="445"/>
      <c r="L38" s="445"/>
      <c r="M38" s="445"/>
      <c r="N38" s="445"/>
      <c r="O38" s="445"/>
    </row>
    <row r="39" spans="1:15" ht="14.4" thickTop="1">
      <c r="A39" s="472" t="s">
        <v>144</v>
      </c>
      <c r="B39" s="483"/>
      <c r="C39" s="452"/>
      <c r="D39" s="484"/>
      <c r="E39" s="477"/>
      <c r="F39" s="478"/>
      <c r="G39" s="478"/>
      <c r="H39" s="478"/>
      <c r="I39" s="478"/>
      <c r="J39" s="478"/>
      <c r="K39" s="478"/>
      <c r="L39" s="478"/>
      <c r="M39" s="478"/>
      <c r="N39" s="478"/>
      <c r="O39" s="479"/>
    </row>
    <row r="40" spans="1:15">
      <c r="A40" s="473"/>
      <c r="B40" s="485"/>
      <c r="C40" s="486"/>
      <c r="D40" s="487"/>
      <c r="E40" s="480"/>
      <c r="F40" s="481"/>
      <c r="G40" s="481"/>
      <c r="H40" s="481"/>
      <c r="I40" s="481"/>
      <c r="J40" s="481"/>
      <c r="K40" s="481"/>
      <c r="L40" s="481"/>
      <c r="M40" s="481"/>
      <c r="N40" s="481"/>
      <c r="O40" s="482"/>
    </row>
    <row r="41" spans="1:15">
      <c r="A41" s="473"/>
      <c r="B41" s="485"/>
      <c r="C41" s="486"/>
      <c r="D41" s="487"/>
      <c r="E41" s="480"/>
      <c r="F41" s="481"/>
      <c r="G41" s="481"/>
      <c r="H41" s="481"/>
      <c r="I41" s="481"/>
      <c r="J41" s="481"/>
      <c r="K41" s="481"/>
      <c r="L41" s="481"/>
      <c r="M41" s="481"/>
      <c r="N41" s="481"/>
      <c r="O41" s="482"/>
    </row>
    <row r="42" spans="1:15">
      <c r="A42" s="473"/>
      <c r="B42" s="485"/>
      <c r="C42" s="486"/>
      <c r="D42" s="487"/>
      <c r="E42" s="480"/>
      <c r="F42" s="481"/>
      <c r="G42" s="481"/>
      <c r="H42" s="481"/>
      <c r="I42" s="481"/>
      <c r="J42" s="481"/>
      <c r="K42" s="481"/>
      <c r="L42" s="481"/>
      <c r="M42" s="481"/>
      <c r="N42" s="481"/>
      <c r="O42" s="482"/>
    </row>
    <row r="43" spans="1:15" ht="16.2" customHeight="1">
      <c r="A43" s="473"/>
      <c r="B43" s="531" t="s">
        <v>145</v>
      </c>
      <c r="C43" s="532"/>
      <c r="D43" s="532"/>
      <c r="E43" s="480"/>
      <c r="F43" s="481"/>
      <c r="G43" s="481"/>
      <c r="H43" s="481"/>
      <c r="I43" s="481"/>
      <c r="J43" s="481"/>
      <c r="K43" s="481"/>
      <c r="L43" s="481"/>
      <c r="M43" s="481"/>
      <c r="N43" s="481"/>
      <c r="O43" s="482"/>
    </row>
    <row r="44" spans="1:15" ht="14.4" thickBot="1">
      <c r="A44" s="474"/>
      <c r="B44" s="533"/>
      <c r="C44" s="522"/>
      <c r="D44" s="522"/>
      <c r="E44" s="534"/>
      <c r="F44" s="522"/>
      <c r="G44" s="522"/>
      <c r="H44" s="522"/>
      <c r="I44" s="522"/>
      <c r="J44" s="522"/>
      <c r="K44" s="522"/>
      <c r="L44" s="522"/>
      <c r="M44" s="123" t="s">
        <v>125</v>
      </c>
      <c r="N44" s="475"/>
      <c r="O44" s="476"/>
    </row>
    <row r="45" spans="1:15" ht="10.199999999999999" customHeight="1" thickTop="1" thickBot="1">
      <c r="A45" s="514"/>
      <c r="B45" s="530"/>
      <c r="C45" s="530"/>
      <c r="D45" s="530"/>
      <c r="E45" s="530"/>
      <c r="F45" s="530"/>
      <c r="G45" s="530"/>
      <c r="H45" s="530"/>
      <c r="I45" s="530"/>
      <c r="J45" s="530"/>
      <c r="K45" s="530"/>
      <c r="L45" s="530"/>
      <c r="M45" s="530"/>
      <c r="N45" s="530"/>
      <c r="O45" s="530"/>
    </row>
    <row r="46" spans="1:15" ht="15" thickTop="1" thickBot="1">
      <c r="A46" s="546" t="s">
        <v>138</v>
      </c>
      <c r="B46" s="557" t="s">
        <v>126</v>
      </c>
      <c r="C46" s="558"/>
      <c r="D46" s="558"/>
      <c r="E46" s="124" t="s">
        <v>141</v>
      </c>
      <c r="F46" s="549" t="s">
        <v>137</v>
      </c>
      <c r="G46" s="550"/>
      <c r="H46" s="472" t="s">
        <v>139</v>
      </c>
      <c r="I46" s="451" t="s">
        <v>143</v>
      </c>
      <c r="J46" s="452"/>
      <c r="K46" s="526" t="s">
        <v>305</v>
      </c>
      <c r="L46" s="452"/>
      <c r="M46" s="452"/>
      <c r="N46" s="452"/>
      <c r="O46" s="527"/>
    </row>
    <row r="47" spans="1:15">
      <c r="A47" s="547"/>
      <c r="B47" s="125" t="s">
        <v>129</v>
      </c>
      <c r="C47" s="555" t="s">
        <v>128</v>
      </c>
      <c r="D47" s="556"/>
      <c r="E47" s="172"/>
      <c r="F47" s="551"/>
      <c r="G47" s="552"/>
      <c r="H47" s="473"/>
      <c r="I47" s="423"/>
      <c r="J47" s="481"/>
      <c r="K47" s="481"/>
      <c r="L47" s="481"/>
      <c r="M47" s="481"/>
      <c r="N47" s="481"/>
      <c r="O47" s="482"/>
    </row>
    <row r="48" spans="1:15">
      <c r="A48" s="547"/>
      <c r="B48" s="126" t="s">
        <v>130</v>
      </c>
      <c r="C48" s="515" t="s">
        <v>135</v>
      </c>
      <c r="D48" s="516"/>
      <c r="E48" s="170"/>
      <c r="F48" s="553"/>
      <c r="G48" s="554"/>
      <c r="H48" s="528"/>
      <c r="I48" s="481"/>
      <c r="J48" s="481"/>
      <c r="K48" s="481"/>
      <c r="L48" s="481"/>
      <c r="M48" s="481"/>
      <c r="N48" s="481"/>
      <c r="O48" s="482"/>
    </row>
    <row r="49" spans="1:15">
      <c r="A49" s="547"/>
      <c r="B49" s="126" t="s">
        <v>131</v>
      </c>
      <c r="C49" s="515" t="s">
        <v>135</v>
      </c>
      <c r="D49" s="516"/>
      <c r="E49" s="170"/>
      <c r="F49" s="553"/>
      <c r="G49" s="554"/>
      <c r="H49" s="528"/>
      <c r="I49" s="481"/>
      <c r="J49" s="481"/>
      <c r="K49" s="481"/>
      <c r="L49" s="481"/>
      <c r="M49" s="481"/>
      <c r="N49" s="481"/>
      <c r="O49" s="482"/>
    </row>
    <row r="50" spans="1:15" ht="14.4" thickBot="1">
      <c r="A50" s="547"/>
      <c r="B50" s="126" t="s">
        <v>132</v>
      </c>
      <c r="C50" s="515" t="s">
        <v>135</v>
      </c>
      <c r="D50" s="516"/>
      <c r="E50" s="170"/>
      <c r="F50" s="553"/>
      <c r="G50" s="554"/>
      <c r="H50" s="528"/>
      <c r="I50" s="481"/>
      <c r="J50" s="481"/>
      <c r="K50" s="481"/>
      <c r="L50" s="481"/>
      <c r="M50" s="481"/>
      <c r="N50" s="481"/>
      <c r="O50" s="482"/>
    </row>
    <row r="51" spans="1:15">
      <c r="A51" s="547"/>
      <c r="B51" s="126" t="s">
        <v>133</v>
      </c>
      <c r="C51" s="515" t="s">
        <v>135</v>
      </c>
      <c r="D51" s="516"/>
      <c r="E51" s="170"/>
      <c r="F51" s="553"/>
      <c r="G51" s="554"/>
      <c r="H51" s="528"/>
      <c r="I51" s="544" t="s">
        <v>306</v>
      </c>
      <c r="J51" s="545"/>
      <c r="K51" s="559" t="s">
        <v>307</v>
      </c>
      <c r="L51" s="545"/>
      <c r="M51" s="545"/>
      <c r="N51" s="545"/>
      <c r="O51" s="560"/>
    </row>
    <row r="52" spans="1:15">
      <c r="A52" s="547"/>
      <c r="B52" s="126" t="s">
        <v>134</v>
      </c>
      <c r="C52" s="561" t="s">
        <v>136</v>
      </c>
      <c r="D52" s="562"/>
      <c r="E52" s="170"/>
      <c r="F52" s="553"/>
      <c r="G52" s="554"/>
      <c r="H52" s="528"/>
      <c r="I52" s="489"/>
      <c r="J52" s="481"/>
      <c r="K52" s="481"/>
      <c r="L52" s="481"/>
      <c r="M52" s="481"/>
      <c r="N52" s="481"/>
      <c r="O52" s="482"/>
    </row>
    <row r="53" spans="1:15" ht="14.4" thickBot="1">
      <c r="A53" s="548"/>
      <c r="B53" s="127" t="s">
        <v>127</v>
      </c>
      <c r="C53" s="524" t="str">
        <f>IF(SUM(E47:E52)=0,"",SUM(E47:E52))</f>
        <v/>
      </c>
      <c r="D53" s="525"/>
      <c r="E53" s="525"/>
      <c r="F53" s="520"/>
      <c r="G53" s="521"/>
      <c r="H53" s="528"/>
      <c r="I53" s="481"/>
      <c r="J53" s="481"/>
      <c r="K53" s="481"/>
      <c r="L53" s="481"/>
      <c r="M53" s="481"/>
      <c r="N53" s="481"/>
      <c r="O53" s="482"/>
    </row>
    <row r="54" spans="1:15">
      <c r="A54" s="535" t="s">
        <v>142</v>
      </c>
      <c r="B54" s="537"/>
      <c r="C54" s="538"/>
      <c r="D54" s="540" t="s">
        <v>140</v>
      </c>
      <c r="E54" s="537"/>
      <c r="F54" s="538"/>
      <c r="G54" s="542"/>
      <c r="H54" s="528"/>
      <c r="I54" s="481"/>
      <c r="J54" s="481"/>
      <c r="K54" s="481"/>
      <c r="L54" s="481"/>
      <c r="M54" s="481"/>
      <c r="N54" s="481"/>
      <c r="O54" s="482"/>
    </row>
    <row r="55" spans="1:15" ht="14.4" thickBot="1">
      <c r="A55" s="536"/>
      <c r="B55" s="539"/>
      <c r="C55" s="539"/>
      <c r="D55" s="541"/>
      <c r="E55" s="539"/>
      <c r="F55" s="539"/>
      <c r="G55" s="543"/>
      <c r="H55" s="529"/>
      <c r="I55" s="522"/>
      <c r="J55" s="522"/>
      <c r="K55" s="522"/>
      <c r="L55" s="522"/>
      <c r="M55" s="522"/>
      <c r="N55" s="522"/>
      <c r="O55" s="523"/>
    </row>
    <row r="56" spans="1:15" ht="14.4" thickTop="1">
      <c r="A56" s="121"/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510" t="s">
        <v>146</v>
      </c>
      <c r="N56" s="510"/>
      <c r="O56" s="510"/>
    </row>
    <row r="57" spans="1:15">
      <c r="A57" s="128"/>
    </row>
  </sheetData>
  <mergeCells count="126">
    <mergeCell ref="B54:C55"/>
    <mergeCell ref="D54:D55"/>
    <mergeCell ref="E54:G55"/>
    <mergeCell ref="I51:J51"/>
    <mergeCell ref="A46:A53"/>
    <mergeCell ref="F46:G46"/>
    <mergeCell ref="F47:G47"/>
    <mergeCell ref="F48:G48"/>
    <mergeCell ref="C48:D48"/>
    <mergeCell ref="C47:D47"/>
    <mergeCell ref="B46:D46"/>
    <mergeCell ref="I47:O50"/>
    <mergeCell ref="C51:D51"/>
    <mergeCell ref="C49:D49"/>
    <mergeCell ref="F50:G50"/>
    <mergeCell ref="K51:O51"/>
    <mergeCell ref="F51:G51"/>
    <mergeCell ref="F52:G52"/>
    <mergeCell ref="C52:D52"/>
    <mergeCell ref="F49:G49"/>
    <mergeCell ref="M56:O56"/>
    <mergeCell ref="N21:O21"/>
    <mergeCell ref="A28:A37"/>
    <mergeCell ref="A27:O27"/>
    <mergeCell ref="C50:D50"/>
    <mergeCell ref="B37:D37"/>
    <mergeCell ref="E36:O37"/>
    <mergeCell ref="B33:D33"/>
    <mergeCell ref="E32:O33"/>
    <mergeCell ref="B34:D34"/>
    <mergeCell ref="B35:D35"/>
    <mergeCell ref="E34:O35"/>
    <mergeCell ref="B36:D36"/>
    <mergeCell ref="B32:D32"/>
    <mergeCell ref="F53:G53"/>
    <mergeCell ref="I52:O55"/>
    <mergeCell ref="C53:E53"/>
    <mergeCell ref="K46:O46"/>
    <mergeCell ref="H46:H55"/>
    <mergeCell ref="A45:O45"/>
    <mergeCell ref="B43:D43"/>
    <mergeCell ref="B44:D44"/>
    <mergeCell ref="E44:L44"/>
    <mergeCell ref="A54:A55"/>
    <mergeCell ref="N22:O22"/>
    <mergeCell ref="N9:N10"/>
    <mergeCell ref="L13:L14"/>
    <mergeCell ref="M13:M14"/>
    <mergeCell ref="A16:B16"/>
    <mergeCell ref="B29:D29"/>
    <mergeCell ref="E28:O29"/>
    <mergeCell ref="A9:B10"/>
    <mergeCell ref="A11:B12"/>
    <mergeCell ref="A13:B14"/>
    <mergeCell ref="A17:A21"/>
    <mergeCell ref="B23:M26"/>
    <mergeCell ref="B21:L21"/>
    <mergeCell ref="K9:K10"/>
    <mergeCell ref="D11:D12"/>
    <mergeCell ref="E11:E12"/>
    <mergeCell ref="F11:F12"/>
    <mergeCell ref="G11:G12"/>
    <mergeCell ref="H11:H12"/>
    <mergeCell ref="I11:I12"/>
    <mergeCell ref="J11:J12"/>
    <mergeCell ref="K11:K12"/>
    <mergeCell ref="M11:M12"/>
    <mergeCell ref="C22:M22"/>
    <mergeCell ref="L4:M4"/>
    <mergeCell ref="A22:B22"/>
    <mergeCell ref="I46:J46"/>
    <mergeCell ref="B30:D30"/>
    <mergeCell ref="B31:D31"/>
    <mergeCell ref="E30:O31"/>
    <mergeCell ref="B28:D28"/>
    <mergeCell ref="E9:E10"/>
    <mergeCell ref="F9:F10"/>
    <mergeCell ref="A23:A26"/>
    <mergeCell ref="I5:K5"/>
    <mergeCell ref="C5:F5"/>
    <mergeCell ref="J9:J10"/>
    <mergeCell ref="J16:O16"/>
    <mergeCell ref="A4:B4"/>
    <mergeCell ref="C6:G6"/>
    <mergeCell ref="A39:A44"/>
    <mergeCell ref="N44:O44"/>
    <mergeCell ref="E39:O43"/>
    <mergeCell ref="A38:O38"/>
    <mergeCell ref="B39:D42"/>
    <mergeCell ref="B17:O20"/>
    <mergeCell ref="N13:N14"/>
    <mergeCell ref="E13:E14"/>
    <mergeCell ref="F13:F14"/>
    <mergeCell ref="A15:O15"/>
    <mergeCell ref="N11:N12"/>
    <mergeCell ref="O11:O12"/>
    <mergeCell ref="J13:J14"/>
    <mergeCell ref="K13:K14"/>
    <mergeCell ref="L9:L10"/>
    <mergeCell ref="M9:M10"/>
    <mergeCell ref="O9:O10"/>
    <mergeCell ref="L11:L12"/>
    <mergeCell ref="H4:K4"/>
    <mergeCell ref="N23:O25"/>
    <mergeCell ref="N26:O26"/>
    <mergeCell ref="A1:O1"/>
    <mergeCell ref="A2:O2"/>
    <mergeCell ref="A3:O3"/>
    <mergeCell ref="A5:B5"/>
    <mergeCell ref="N5:O5"/>
    <mergeCell ref="L5:M5"/>
    <mergeCell ref="N4:O4"/>
    <mergeCell ref="C4:E4"/>
    <mergeCell ref="D13:D14"/>
    <mergeCell ref="G9:G10"/>
    <mergeCell ref="G13:G14"/>
    <mergeCell ref="H13:H14"/>
    <mergeCell ref="I13:I14"/>
    <mergeCell ref="H9:H10"/>
    <mergeCell ref="I9:I10"/>
    <mergeCell ref="D9:D10"/>
    <mergeCell ref="O13:O14"/>
    <mergeCell ref="D7:O7"/>
    <mergeCell ref="A7:C8"/>
    <mergeCell ref="G5:H5"/>
    <mergeCell ref="A6:B6"/>
  </mergeCells>
  <phoneticPr fontId="2" type="noConversion"/>
  <conditionalFormatting sqref="C7 C11 C13">
    <cfRule type="expression" dxfId="41" priority="40">
      <formula>#REF!="X"</formula>
    </cfRule>
  </conditionalFormatting>
  <conditionalFormatting sqref="C8 C12 C14">
    <cfRule type="expression" dxfId="40" priority="39">
      <formula>#REF!="x"</formula>
    </cfRule>
  </conditionalFormatting>
  <conditionalFormatting sqref="C9">
    <cfRule type="expression" dxfId="39" priority="14">
      <formula>#REF!="X"</formula>
    </cfRule>
  </conditionalFormatting>
  <conditionalFormatting sqref="C10">
    <cfRule type="expression" dxfId="38" priority="13">
      <formula>#REF!="x"</formula>
    </cfRule>
  </conditionalFormatting>
  <conditionalFormatting sqref="D7 D9 D11 D13">
    <cfRule type="expression" dxfId="37" priority="16">
      <formula>AND(D7&lt;&gt;"",D7&gt;#REF!)</formula>
    </cfRule>
    <cfRule type="expression" dxfId="36" priority="17">
      <formula>AND(D7&lt;&gt;"",D7&lt;#REF!)</formula>
    </cfRule>
    <cfRule type="expression" dxfId="35" priority="18">
      <formula>AND(D7&lt;&gt;"",D7&gt;#REF!)</formula>
    </cfRule>
  </conditionalFormatting>
  <conditionalFormatting sqref="D9 D7 D11 D13">
    <cfRule type="expression" dxfId="34" priority="15">
      <formula>AND(D7&lt;&gt;"",D7&lt;#REF!)</formula>
    </cfRule>
  </conditionalFormatting>
  <conditionalFormatting sqref="D9">
    <cfRule type="expression" dxfId="33" priority="11">
      <formula>AND(D9&lt;&gt;"",D9&lt;#REF!)</formula>
    </cfRule>
    <cfRule type="expression" dxfId="32" priority="12">
      <formula>AND(D9&lt;&gt;"",D9&gt;#REF!)</formula>
    </cfRule>
  </conditionalFormatting>
  <conditionalFormatting sqref="D7:J7 D9:O9 D11:O11 D13:O13">
    <cfRule type="expression" dxfId="31" priority="19">
      <formula>AND(D7&lt;&gt;"",D7&lt;#REF!)</formula>
    </cfRule>
    <cfRule type="expression" dxfId="30" priority="20">
      <formula>AND(D7&lt;&gt;"",D7&gt;#REF!)</formula>
    </cfRule>
    <cfRule type="expression" dxfId="29" priority="25">
      <formula>AND(D7&lt;&gt;"",D7&lt;#REF!)</formula>
    </cfRule>
    <cfRule type="expression" dxfId="28" priority="26">
      <formula>AND(D7&lt;&gt;"",D7&gt;#REF!)</formula>
    </cfRule>
    <cfRule type="expression" dxfId="27" priority="27">
      <formula>AND(D7&lt;&gt;"",D7&lt;#REF!)</formula>
    </cfRule>
    <cfRule type="expression" dxfId="26" priority="28">
      <formula>AND(D7&lt;&gt;"",D7&gt;#REF!)</formula>
    </cfRule>
    <cfRule type="expression" dxfId="25" priority="29">
      <formula>AND(D7&lt;&gt;"",D7&lt;#REF!)</formula>
    </cfRule>
    <cfRule type="expression" dxfId="24" priority="30">
      <formula>AND(D7&lt;&gt;"",D7&gt;#REF!)</formula>
    </cfRule>
    <cfRule type="expression" dxfId="23" priority="31">
      <formula>AND(D7&lt;&gt;"",D7&lt;#REF!)</formula>
    </cfRule>
    <cfRule type="expression" dxfId="22" priority="32">
      <formula>AND(D7&lt;&gt;"",D7&gt;#REF!)</formula>
    </cfRule>
    <cfRule type="expression" dxfId="21" priority="33">
      <formula>AND(D7&lt;&gt;"",D7&lt;#REF!)</formula>
    </cfRule>
    <cfRule type="expression" dxfId="20" priority="34">
      <formula>AND(D7&lt;&gt;"",D7&gt;#REF!)</formula>
    </cfRule>
    <cfRule type="expression" dxfId="19" priority="35">
      <formula>AND(D7&lt;&gt;"",D7&lt;#REF!)</formula>
    </cfRule>
    <cfRule type="expression" dxfId="18" priority="36">
      <formula>AND(D7&lt;&gt;"",D7&gt;#REF!)</formula>
    </cfRule>
    <cfRule type="expression" dxfId="17" priority="37">
      <formula>AND(D7&lt;&gt;"",D7&lt;#REF!)</formula>
    </cfRule>
    <cfRule type="expression" dxfId="16" priority="38">
      <formula>AND(D7&lt;&gt;"",D7&gt;#REF!)</formula>
    </cfRule>
  </conditionalFormatting>
  <conditionalFormatting sqref="D7:J14">
    <cfRule type="expression" dxfId="15" priority="41">
      <formula>AND(D7&lt;&gt;"",D7&lt;#REF!)</formula>
    </cfRule>
    <cfRule type="expression" dxfId="14" priority="42">
      <formula>AND(D7&lt;&gt;"",D7&gt;#REF!)</formula>
    </cfRule>
  </conditionalFormatting>
  <conditionalFormatting sqref="D9:O9">
    <cfRule type="expression" dxfId="13" priority="9">
      <formula>AND(D9&lt;&gt;"",D9&lt;#REF!)</formula>
    </cfRule>
    <cfRule type="expression" dxfId="12" priority="10">
      <formula>AND(D9&lt;&gt;"",D9&gt;#REF!)</formula>
    </cfRule>
  </conditionalFormatting>
  <conditionalFormatting sqref="E9:H9">
    <cfRule type="expression" dxfId="11" priority="3">
      <formula>AND(E9&lt;&gt;"",E9&lt;#REF!)</formula>
    </cfRule>
    <cfRule type="expression" dxfId="10" priority="4">
      <formula>AND(E9&lt;&gt;"",E9&gt;#REF!)</formula>
    </cfRule>
    <cfRule type="expression" dxfId="9" priority="5">
      <formula>AND(E9&lt;&gt;"",E9&lt;#REF!)</formula>
    </cfRule>
    <cfRule type="expression" dxfId="8" priority="6">
      <formula>AND(E9&lt;&gt;"",E9&gt;#REF!)</formula>
    </cfRule>
    <cfRule type="expression" dxfId="7" priority="7">
      <formula>AND(E9&lt;&gt;"",E9&lt;#REF!)</formula>
    </cfRule>
    <cfRule type="expression" dxfId="6" priority="8">
      <formula>AND(E9&lt;&gt;"",E9&gt;#REF!)</formula>
    </cfRule>
  </conditionalFormatting>
  <conditionalFormatting sqref="E7:J7 D9:O9 E11:O11 E13:O13">
    <cfRule type="expression" dxfId="5" priority="23">
      <formula>AND(D7&lt;&gt;"",D7&lt;#REF!)</formula>
    </cfRule>
    <cfRule type="expression" dxfId="4" priority="24">
      <formula>AND(D7&lt;&gt;"",D7&gt;#REF!)</formula>
    </cfRule>
  </conditionalFormatting>
  <conditionalFormatting sqref="E7:J7 E9:O9 E11:O11 E13:O13">
    <cfRule type="expression" dxfId="3" priority="21">
      <formula>AND(E7&lt;&gt;"",E7&lt;#REF!)</formula>
    </cfRule>
    <cfRule type="expression" dxfId="2" priority="22">
      <formula>AND(E7&lt;&gt;"",E7&gt;#REF!)</formula>
    </cfRule>
  </conditionalFormatting>
  <conditionalFormatting sqref="K8:O14">
    <cfRule type="expression" dxfId="1" priority="1">
      <formula>AND(K8&lt;&gt;"",K8&lt;#REF!)</formula>
    </cfRule>
    <cfRule type="expression" dxfId="0" priority="2">
      <formula>AND(K8&lt;&gt;"",K8&gt;#REF!)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6" r:id="rId4" name="Check Box 8">
              <controlPr defaultSize="0" autoFill="0" autoLine="0" autoPict="0">
                <anchor moveWithCells="1">
                  <from>
                    <xdr:col>2</xdr:col>
                    <xdr:colOff>91440</xdr:colOff>
                    <xdr:row>21</xdr:row>
                    <xdr:rowOff>7620</xdr:rowOff>
                  </from>
                  <to>
                    <xdr:col>3</xdr:col>
                    <xdr:colOff>45720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Check Box 9">
              <controlPr defaultSize="0" autoFill="0" autoLine="0" autoPict="0">
                <anchor moveWithCells="1">
                  <from>
                    <xdr:col>3</xdr:col>
                    <xdr:colOff>144780</xdr:colOff>
                    <xdr:row>21</xdr:row>
                    <xdr:rowOff>7620</xdr:rowOff>
                  </from>
                  <to>
                    <xdr:col>4</xdr:col>
                    <xdr:colOff>220980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Check Box 10">
              <controlPr defaultSize="0" autoFill="0" autoLine="0" autoPict="0">
                <anchor moveWithCells="1">
                  <from>
                    <xdr:col>4</xdr:col>
                    <xdr:colOff>220980</xdr:colOff>
                    <xdr:row>21</xdr:row>
                    <xdr:rowOff>7620</xdr:rowOff>
                  </from>
                  <to>
                    <xdr:col>5</xdr:col>
                    <xdr:colOff>289560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Check Box 11">
              <controlPr defaultSize="0" autoFill="0" autoLine="0" autoPict="0">
                <anchor moveWithCells="1">
                  <from>
                    <xdr:col>5</xdr:col>
                    <xdr:colOff>297180</xdr:colOff>
                    <xdr:row>21</xdr:row>
                    <xdr:rowOff>7620</xdr:rowOff>
                  </from>
                  <to>
                    <xdr:col>6</xdr:col>
                    <xdr:colOff>365760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Check Box 12">
              <controlPr defaultSize="0" autoFill="0" autoLine="0" autoPict="0">
                <anchor moveWithCells="1">
                  <from>
                    <xdr:col>6</xdr:col>
                    <xdr:colOff>419100</xdr:colOff>
                    <xdr:row>21</xdr:row>
                    <xdr:rowOff>7620</xdr:rowOff>
                  </from>
                  <to>
                    <xdr:col>8</xdr:col>
                    <xdr:colOff>419100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9" name="Check Box 20">
              <controlPr defaultSize="0" autoFill="0" autoLine="0" autoPict="0">
                <anchor moveWithCells="1">
                  <from>
                    <xdr:col>1</xdr:col>
                    <xdr:colOff>121920</xdr:colOff>
                    <xdr:row>38</xdr:row>
                    <xdr:rowOff>144780</xdr:rowOff>
                  </from>
                  <to>
                    <xdr:col>2</xdr:col>
                    <xdr:colOff>220980</xdr:colOff>
                    <xdr:row>39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0" name="Check Box 21">
              <controlPr defaultSize="0" autoFill="0" autoLine="0" autoPict="0">
                <anchor moveWithCells="1">
                  <from>
                    <xdr:col>1</xdr:col>
                    <xdr:colOff>121920</xdr:colOff>
                    <xdr:row>40</xdr:row>
                    <xdr:rowOff>30480</xdr:rowOff>
                  </from>
                  <to>
                    <xdr:col>2</xdr:col>
                    <xdr:colOff>213360</xdr:colOff>
                    <xdr:row>41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1" name="Check Box 22">
              <controlPr defaultSize="0" autoFill="0" autoLine="0" autoPict="0">
                <anchor moveWithCells="1">
                  <from>
                    <xdr:col>2</xdr:col>
                    <xdr:colOff>228600</xdr:colOff>
                    <xdr:row>38</xdr:row>
                    <xdr:rowOff>144780</xdr:rowOff>
                  </from>
                  <to>
                    <xdr:col>3</xdr:col>
                    <xdr:colOff>327660</xdr:colOff>
                    <xdr:row>39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2" name="Check Box 23">
              <controlPr defaultSize="0" autoFill="0" autoLine="0" autoPict="0">
                <anchor moveWithCells="1">
                  <from>
                    <xdr:col>2</xdr:col>
                    <xdr:colOff>236220</xdr:colOff>
                    <xdr:row>40</xdr:row>
                    <xdr:rowOff>30480</xdr:rowOff>
                  </from>
                  <to>
                    <xdr:col>3</xdr:col>
                    <xdr:colOff>434340</xdr:colOff>
                    <xdr:row>41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3" name="Check Box 26">
              <controlPr defaultSize="0" autoFill="0" autoLine="0" autoPict="0">
                <anchor moveWithCells="1" sizeWithCells="1">
                  <from>
                    <xdr:col>2</xdr:col>
                    <xdr:colOff>91440</xdr:colOff>
                    <xdr:row>15</xdr:row>
                    <xdr:rowOff>22860</xdr:rowOff>
                  </from>
                  <to>
                    <xdr:col>3</xdr:col>
                    <xdr:colOff>22860</xdr:colOff>
                    <xdr:row>15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4" name="Check Box 27">
              <controlPr defaultSize="0" autoFill="0" autoLine="0" autoPict="0">
                <anchor moveWithCells="1" sizeWithCells="1">
                  <from>
                    <xdr:col>3</xdr:col>
                    <xdr:colOff>68580</xdr:colOff>
                    <xdr:row>15</xdr:row>
                    <xdr:rowOff>22860</xdr:rowOff>
                  </from>
                  <to>
                    <xdr:col>4</xdr:col>
                    <xdr:colOff>121920</xdr:colOff>
                    <xdr:row>15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5" name="Check Box 28">
              <controlPr defaultSize="0" autoFill="0" autoLine="0" autoPict="0">
                <anchor moveWithCells="1" sizeWithCells="1">
                  <from>
                    <xdr:col>4</xdr:col>
                    <xdr:colOff>121920</xdr:colOff>
                    <xdr:row>15</xdr:row>
                    <xdr:rowOff>22860</xdr:rowOff>
                  </from>
                  <to>
                    <xdr:col>5</xdr:col>
                    <xdr:colOff>160020</xdr:colOff>
                    <xdr:row>15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6" name="Check Box 29">
              <controlPr defaultSize="0" autoFill="0" autoLine="0" autoPict="0">
                <anchor moveWithCells="1" sizeWithCells="1">
                  <from>
                    <xdr:col>5</xdr:col>
                    <xdr:colOff>175260</xdr:colOff>
                    <xdr:row>15</xdr:row>
                    <xdr:rowOff>22860</xdr:rowOff>
                  </from>
                  <to>
                    <xdr:col>6</xdr:col>
                    <xdr:colOff>220980</xdr:colOff>
                    <xdr:row>15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7" name="Check Box 30">
              <controlPr defaultSize="0" autoFill="0" autoLine="0" autoPict="0">
                <anchor moveWithCells="1" sizeWithCells="1">
                  <from>
                    <xdr:col>6</xdr:col>
                    <xdr:colOff>266700</xdr:colOff>
                    <xdr:row>15</xdr:row>
                    <xdr:rowOff>22860</xdr:rowOff>
                  </from>
                  <to>
                    <xdr:col>7</xdr:col>
                    <xdr:colOff>312420</xdr:colOff>
                    <xdr:row>15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Check Box 31">
              <controlPr defaultSize="0" autoFill="0" autoLine="0" autoPict="0">
                <anchor moveWithCells="1" sizeWithCells="1">
                  <from>
                    <xdr:col>7</xdr:col>
                    <xdr:colOff>365760</xdr:colOff>
                    <xdr:row>15</xdr:row>
                    <xdr:rowOff>22860</xdr:rowOff>
                  </from>
                  <to>
                    <xdr:col>9</xdr:col>
                    <xdr:colOff>22860</xdr:colOff>
                    <xdr:row>15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19" name="Check Box 33">
              <controlPr defaultSize="0" autoFill="0" autoLine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4</xdr:col>
                    <xdr:colOff>7620</xdr:colOff>
                    <xdr:row>27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0" name="Check Box 34">
              <controlPr defaultSize="0" autoFill="0" autoLine="0" autoPict="0">
                <anchor moveWithCells="1">
                  <from>
                    <xdr:col>0</xdr:col>
                    <xdr:colOff>487680</xdr:colOff>
                    <xdr:row>28</xdr:row>
                    <xdr:rowOff>175260</xdr:rowOff>
                  </from>
                  <to>
                    <xdr:col>4</xdr:col>
                    <xdr:colOff>0</xdr:colOff>
                    <xdr:row>29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1" name="Check Box 35">
              <controlPr defaultSize="0" autoFill="0" autoLine="0" autoPict="0">
                <anchor moveWithCells="1">
                  <from>
                    <xdr:col>0</xdr:col>
                    <xdr:colOff>487680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2" name="Check Box 36">
              <controlPr defaultSize="0" autoFill="0" autoLine="0" autoPict="0">
                <anchor moveWithCells="1">
                  <from>
                    <xdr:col>0</xdr:col>
                    <xdr:colOff>487680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3" name="Check Box 37">
              <controlPr defaultSize="0" autoFill="0" autoLine="0" autoPict="0">
                <anchor moveWithCells="1">
                  <from>
                    <xdr:col>0</xdr:col>
                    <xdr:colOff>487680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進料檢!$T$2:$T$6</xm:f>
          </x14:formula1>
          <xm:sqref>N21:O21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theme="7" tint="0.79998168889431442"/>
    <pageSetUpPr fitToPage="1"/>
  </sheetPr>
  <dimension ref="A1:Y31"/>
  <sheetViews>
    <sheetView zoomScaleNormal="100" workbookViewId="0">
      <selection activeCell="E6" sqref="E6"/>
    </sheetView>
  </sheetViews>
  <sheetFormatPr defaultColWidth="9" defaultRowHeight="15.6"/>
  <cols>
    <col min="1" max="1" width="17.88671875" style="95" customWidth="1"/>
    <col min="2" max="2" width="17.109375" style="95" customWidth="1"/>
    <col min="3" max="3" width="6.6640625" style="95" customWidth="1"/>
    <col min="4" max="4" width="11.6640625" style="95" bestFit="1" customWidth="1"/>
    <col min="5" max="5" width="13.33203125" style="95" bestFit="1" customWidth="1"/>
    <col min="6" max="6" width="17.44140625" style="95" bestFit="1" customWidth="1"/>
    <col min="7" max="7" width="9.44140625" style="95" customWidth="1"/>
    <col min="8" max="8" width="11.6640625" style="95" bestFit="1" customWidth="1"/>
    <col min="9" max="9" width="14.77734375" style="95" customWidth="1"/>
    <col min="10" max="10" width="15.88671875" style="95" customWidth="1"/>
    <col min="11" max="11" width="14.109375" style="95" bestFit="1" customWidth="1"/>
    <col min="12" max="12" width="11.33203125" style="95" customWidth="1"/>
    <col min="13" max="13" width="7" style="95" customWidth="1"/>
    <col min="14" max="14" width="12" style="95" customWidth="1"/>
    <col min="15" max="16" width="12.109375" style="95" customWidth="1"/>
    <col min="17" max="17" width="10.6640625" style="95" bestFit="1" customWidth="1"/>
    <col min="18" max="24" width="3.21875" style="95" hidden="1" customWidth="1"/>
    <col min="25" max="25" width="17.109375" style="95" customWidth="1"/>
    <col min="26" max="16384" width="9" style="95"/>
  </cols>
  <sheetData>
    <row r="1" spans="1:25" ht="19.8">
      <c r="A1" s="565" t="s">
        <v>308</v>
      </c>
      <c r="B1" s="566"/>
      <c r="D1" s="152" t="s">
        <v>92</v>
      </c>
      <c r="E1" s="104" t="s">
        <v>91</v>
      </c>
      <c r="G1" s="581" t="s">
        <v>165</v>
      </c>
      <c r="H1" s="152" t="str" cm="1">
        <f t="array" aca="1" ref="H1" ca="1">IF($O$1="","",IF(INDIRECT("H"&amp;MATCH($O$1,$F$21:$F$31,0)+20,TRUE)="","",INDIRECT("H"&amp;MATCH($O$1,$F$21:$F$31,0)+20,TRUE)))</f>
        <v>料號：</v>
      </c>
      <c r="I1" s="152" t="str" cm="1">
        <f t="array" aca="1" ref="I1" ca="1">IF($O$1="","",IF(INDIRECT("I"&amp;MATCH($O$1,$F$21:$F$31,0)+20,TRUE)="","",INDIRECT("I"&amp;MATCH($O$1,$F$21:$F$31,0)+20,TRUE)))</f>
        <v>製令：</v>
      </c>
      <c r="J1" s="152" t="str" cm="1">
        <f t="array" aca="1" ref="J1" ca="1">IF($O$1="","",IF(INDIRECT("J"&amp;MATCH($O$1,$F$21:$F$31,0)+20,TRUE)="","",INDIRECT("J"&amp;MATCH($O$1,$F$21:$F$31,0)+20,TRUE)))</f>
        <v>客戶：</v>
      </c>
      <c r="K1" s="152" t="str" cm="1">
        <f t="array" aca="1" ref="K1" ca="1">IF($O$1="","",IF(INDIRECT("K"&amp;MATCH($O$1,$F$21:$F$31,0)+20,TRUE)="","",INDIRECT("K"&amp;MATCH($O$1,$F$21:$F$31,0)+20,TRUE)))</f>
        <v>本箱數量：</v>
      </c>
      <c r="L1" s="152" t="str" cm="1">
        <f t="array" aca="1" ref="L1" ca="1">IF($O$1="","",IF(INDIRECT("L"&amp;MATCH($O$1,$F$21:$F$31,0)+20,TRUE)="","",INDIRECT("L"&amp;MATCH($O$1,$F$21:$F$31,0)+20,TRUE)))</f>
        <v>日期：</v>
      </c>
      <c r="M1" s="153" t="s">
        <v>167</v>
      </c>
      <c r="N1" s="569" t="s">
        <v>93</v>
      </c>
      <c r="O1" s="571" t="s">
        <v>166</v>
      </c>
      <c r="P1" s="572"/>
      <c r="Q1" s="140" t="s">
        <v>168</v>
      </c>
      <c r="Y1" s="146" t="s">
        <v>178</v>
      </c>
    </row>
    <row r="2" spans="1:25" ht="21" customHeight="1" thickBot="1">
      <c r="A2" s="139" t="s">
        <v>309</v>
      </c>
      <c r="B2" s="149"/>
      <c r="D2" s="152" t="s">
        <v>90</v>
      </c>
      <c r="E2" s="104" t="s">
        <v>89</v>
      </c>
      <c r="G2" s="582"/>
      <c r="H2" s="102" t="s">
        <v>314</v>
      </c>
      <c r="I2" s="102"/>
      <c r="J2" s="101" t="s">
        <v>315</v>
      </c>
      <c r="K2" s="101">
        <v>2</v>
      </c>
      <c r="L2" s="148">
        <v>45483</v>
      </c>
      <c r="M2" s="96"/>
      <c r="N2" s="570"/>
      <c r="O2" s="572"/>
      <c r="P2" s="572"/>
      <c r="Q2" s="140" t="str">
        <f>IF(AND($M2&lt;&gt;"",$O$1=$F$21),$K2,"")</f>
        <v/>
      </c>
      <c r="Y2" s="143" t="s">
        <v>175</v>
      </c>
    </row>
    <row r="3" spans="1:25" ht="21" customHeight="1">
      <c r="A3" s="139" t="s">
        <v>310</v>
      </c>
      <c r="B3" s="149"/>
      <c r="D3" s="154" t="s">
        <v>88</v>
      </c>
      <c r="E3" s="104">
        <v>1</v>
      </c>
      <c r="F3" s="154" t="s">
        <v>87</v>
      </c>
      <c r="G3" s="582"/>
      <c r="H3" s="102"/>
      <c r="I3" s="102"/>
      <c r="J3" s="101"/>
      <c r="K3" s="101"/>
      <c r="L3" s="101"/>
      <c r="M3" s="96"/>
      <c r="N3" s="570"/>
      <c r="O3" s="572"/>
      <c r="P3" s="572"/>
      <c r="Q3" s="140" t="str">
        <f t="shared" ref="Q3:Q12" si="0">IF(AND($M3&lt;&gt;"",$O$1=$F$21),$K3,"")</f>
        <v/>
      </c>
    </row>
    <row r="4" spans="1:25" ht="21" customHeight="1">
      <c r="A4" s="139" t="s">
        <v>311</v>
      </c>
      <c r="B4" s="149"/>
      <c r="D4" s="152" t="s">
        <v>86</v>
      </c>
      <c r="E4" s="104" t="s">
        <v>85</v>
      </c>
      <c r="G4" s="582"/>
      <c r="H4" s="102"/>
      <c r="I4" s="102"/>
      <c r="J4" s="101"/>
      <c r="K4" s="101"/>
      <c r="L4" s="101"/>
      <c r="M4" s="96"/>
      <c r="O4" s="573" t="s">
        <v>101</v>
      </c>
      <c r="P4" s="574"/>
      <c r="Q4" s="140" t="str">
        <f t="shared" si="0"/>
        <v/>
      </c>
    </row>
    <row r="5" spans="1:25" ht="21" customHeight="1">
      <c r="A5" s="139" t="s">
        <v>312</v>
      </c>
      <c r="B5" s="150"/>
      <c r="D5" s="94"/>
      <c r="E5" s="97"/>
      <c r="G5" s="582"/>
      <c r="H5" s="102"/>
      <c r="I5" s="102"/>
      <c r="J5" s="101"/>
      <c r="K5" s="101"/>
      <c r="L5" s="101"/>
      <c r="M5" s="96"/>
      <c r="O5" s="575" t="s">
        <v>102</v>
      </c>
      <c r="P5" s="576"/>
      <c r="Q5" s="140" t="str">
        <f t="shared" si="0"/>
        <v/>
      </c>
    </row>
    <row r="6" spans="1:25" ht="21" customHeight="1" thickBot="1">
      <c r="A6" s="139" t="s">
        <v>313</v>
      </c>
      <c r="B6" s="149"/>
      <c r="G6" s="582"/>
      <c r="H6" s="103"/>
      <c r="I6" s="103"/>
      <c r="J6" s="101"/>
      <c r="K6" s="101"/>
      <c r="L6" s="101"/>
      <c r="M6" s="96"/>
      <c r="Q6" s="140" t="str">
        <f t="shared" si="0"/>
        <v/>
      </c>
    </row>
    <row r="7" spans="1:25" ht="20.399999999999999" thickTop="1">
      <c r="A7" s="579" t="s">
        <v>331</v>
      </c>
      <c r="B7" s="580"/>
      <c r="G7" s="582"/>
      <c r="H7" s="103"/>
      <c r="I7" s="103"/>
      <c r="J7" s="101"/>
      <c r="K7" s="101"/>
      <c r="L7" s="101"/>
      <c r="M7" s="96"/>
      <c r="Q7" s="140" t="str">
        <f t="shared" si="0"/>
        <v/>
      </c>
    </row>
    <row r="8" spans="1:25" ht="19.8" customHeight="1">
      <c r="A8" s="585" t="s">
        <v>316</v>
      </c>
      <c r="B8" s="566"/>
      <c r="G8" s="582"/>
      <c r="H8" s="103"/>
      <c r="I8" s="103"/>
      <c r="J8" s="101"/>
      <c r="K8" s="101"/>
      <c r="L8" s="101"/>
      <c r="M8" s="96"/>
      <c r="Q8" s="140" t="str">
        <f t="shared" si="0"/>
        <v/>
      </c>
    </row>
    <row r="9" spans="1:25" ht="21" customHeight="1">
      <c r="A9" s="175" t="s">
        <v>164</v>
      </c>
      <c r="B9" s="176"/>
      <c r="G9" s="582"/>
      <c r="H9" s="103"/>
      <c r="I9" s="103"/>
      <c r="J9" s="101"/>
      <c r="K9" s="101"/>
      <c r="L9" s="101"/>
      <c r="M9" s="96"/>
      <c r="Q9" s="140" t="str">
        <f t="shared" si="0"/>
        <v/>
      </c>
    </row>
    <row r="10" spans="1:25" ht="21" customHeight="1">
      <c r="A10" s="175" t="s">
        <v>317</v>
      </c>
      <c r="B10" s="176"/>
      <c r="G10" s="582"/>
      <c r="H10" s="103"/>
      <c r="I10" s="103"/>
      <c r="J10" s="101"/>
      <c r="K10" s="101"/>
      <c r="L10" s="101"/>
      <c r="M10" s="96"/>
      <c r="Q10" s="140" t="str">
        <f t="shared" si="0"/>
        <v/>
      </c>
    </row>
    <row r="11" spans="1:25" ht="21" customHeight="1">
      <c r="A11" s="175" t="s">
        <v>318</v>
      </c>
      <c r="B11" s="176"/>
      <c r="G11" s="582"/>
      <c r="H11" s="103"/>
      <c r="I11" s="103"/>
      <c r="J11" s="101"/>
      <c r="K11" s="101"/>
      <c r="L11" s="101"/>
      <c r="M11" s="96"/>
      <c r="Q11" s="140" t="str">
        <f t="shared" si="0"/>
        <v/>
      </c>
    </row>
    <row r="12" spans="1:25" ht="21" customHeight="1">
      <c r="A12" s="175" t="s">
        <v>319</v>
      </c>
      <c r="B12" s="176"/>
      <c r="G12" s="582"/>
      <c r="H12" s="102"/>
      <c r="I12" s="102"/>
      <c r="J12" s="101"/>
      <c r="K12" s="101"/>
      <c r="L12" s="101"/>
      <c r="M12" s="96"/>
      <c r="Q12" s="140" t="str">
        <f t="shared" si="0"/>
        <v/>
      </c>
    </row>
    <row r="13" spans="1:25" ht="21" customHeight="1" thickBot="1">
      <c r="A13" s="173"/>
      <c r="B13" s="174"/>
      <c r="G13" s="134" t="str">
        <f>"https://docs.google.com/forms/d/e/1FAIpQLSdFzEJXdhW9O7BOrZAfxRTt5FCevV4yeEIMVLa1yVv0QCqs3w/viewform?entry.1003826152="&amp;$H$15&amp;"&amp;entry.66770231="&amp;$I$15&amp;"&amp;entry.1203302492="&amp;$J$15&amp;"&amp;entry.616710964="&amp;$J$15&amp;"&amp;entry.1485361043=0"</f>
        <v>https://docs.google.com/forms/d/e/1FAIpQLSdFzEJXdhW9O7BOrZAfxRTt5FCevV4yeEIMVLa1yVv0QCqs3w/viewform?entry.1003826152=&amp;entry.66770231=&amp;entry.1203302492=&amp;entry.616710964=&amp;entry.1485361043=0</v>
      </c>
      <c r="H13" s="135" t="s">
        <v>159</v>
      </c>
      <c r="I13" s="135" t="s">
        <v>160</v>
      </c>
      <c r="J13" s="136" t="s">
        <v>161</v>
      </c>
      <c r="K13" s="137"/>
      <c r="L13" s="137"/>
    </row>
    <row r="14" spans="1:25" ht="21" customHeight="1" thickTop="1">
      <c r="A14" s="579" t="s">
        <v>330</v>
      </c>
      <c r="B14" s="580"/>
      <c r="G14" s="138" t="s">
        <v>154</v>
      </c>
      <c r="H14" s="138" t="s">
        <v>164</v>
      </c>
      <c r="I14" s="138" t="s">
        <v>97</v>
      </c>
      <c r="J14" s="138" t="s">
        <v>151</v>
      </c>
      <c r="K14" s="138" t="s">
        <v>155</v>
      </c>
      <c r="L14" s="138" t="s">
        <v>156</v>
      </c>
      <c r="N14" s="577" t="s">
        <v>153</v>
      </c>
      <c r="O14" s="578"/>
    </row>
    <row r="15" spans="1:25" ht="18.600000000000001" customHeight="1">
      <c r="A15" s="139"/>
      <c r="B15" s="149"/>
      <c r="G15" s="141">
        <f ca="1">TODAY()</f>
        <v>45513</v>
      </c>
      <c r="H15" s="142" t="str">
        <f>IF(進料檢!F3="","",進料檢!F3)</f>
        <v/>
      </c>
      <c r="I15" s="142" t="str">
        <f>IF(進料檢!F4="","",進料檢!F4)</f>
        <v/>
      </c>
      <c r="J15" s="101" t="str">
        <f>IF(進料檢!N4="","",進料檢!N4)</f>
        <v/>
      </c>
      <c r="K15" s="101" t="s">
        <v>181</v>
      </c>
      <c r="L15" s="101">
        <v>1</v>
      </c>
      <c r="N15" s="578"/>
      <c r="O15" s="578"/>
    </row>
    <row r="16" spans="1:25" ht="18.600000000000001" customHeight="1">
      <c r="A16" s="139"/>
      <c r="B16" s="149"/>
      <c r="L16" s="95" t="s">
        <v>152</v>
      </c>
    </row>
    <row r="17" spans="1:18" ht="18.600000000000001" customHeight="1">
      <c r="A17" s="139"/>
      <c r="B17" s="150"/>
      <c r="I17" s="147">
        <f>COUNTA(I2:I12)</f>
        <v>0</v>
      </c>
      <c r="J17" s="567" t="s">
        <v>84</v>
      </c>
      <c r="K17" s="568"/>
      <c r="L17" s="568"/>
    </row>
    <row r="18" spans="1:18" ht="18.600000000000001" customHeight="1">
      <c r="A18" s="139"/>
      <c r="B18" s="149"/>
      <c r="J18" s="568"/>
      <c r="K18" s="568"/>
      <c r="L18" s="568"/>
    </row>
    <row r="19" spans="1:18" ht="19.8">
      <c r="A19" s="583"/>
      <c r="B19" s="584"/>
      <c r="D19" s="98" t="s">
        <v>83</v>
      </c>
      <c r="J19" s="568"/>
      <c r="K19" s="568"/>
      <c r="L19" s="568"/>
    </row>
    <row r="20" spans="1:18" ht="16.2" thickBot="1">
      <c r="A20" s="94"/>
      <c r="F20" s="154" t="s">
        <v>95</v>
      </c>
      <c r="G20" s="155"/>
      <c r="H20" s="164">
        <v>3</v>
      </c>
      <c r="I20" s="164">
        <v>4</v>
      </c>
      <c r="J20" s="164">
        <v>5</v>
      </c>
      <c r="K20" s="164">
        <v>6</v>
      </c>
      <c r="L20" s="164">
        <v>7</v>
      </c>
      <c r="N20" s="132" t="s">
        <v>157</v>
      </c>
      <c r="O20" s="133" t="s">
        <v>162</v>
      </c>
    </row>
    <row r="21" spans="1:18">
      <c r="A21" s="563"/>
      <c r="B21" s="564"/>
      <c r="F21" s="156" t="s">
        <v>150</v>
      </c>
      <c r="G21" s="99"/>
      <c r="H21" s="158" t="s">
        <v>183</v>
      </c>
      <c r="I21" s="159" t="s">
        <v>164</v>
      </c>
      <c r="J21" s="159" t="s">
        <v>184</v>
      </c>
      <c r="K21" s="159" t="s">
        <v>105</v>
      </c>
      <c r="L21" s="160" t="s">
        <v>186</v>
      </c>
      <c r="N21" s="132" t="s">
        <v>158</v>
      </c>
      <c r="O21" s="133" t="s">
        <v>163</v>
      </c>
    </row>
    <row r="22" spans="1:18">
      <c r="A22" s="564"/>
      <c r="B22" s="564"/>
      <c r="F22" s="157" t="s">
        <v>94</v>
      </c>
      <c r="H22" s="161" t="s">
        <v>96</v>
      </c>
      <c r="I22" s="162" t="s">
        <v>97</v>
      </c>
      <c r="J22" s="162" t="s">
        <v>98</v>
      </c>
      <c r="K22" s="162" t="s">
        <v>99</v>
      </c>
      <c r="L22" s="163" t="s">
        <v>100</v>
      </c>
    </row>
    <row r="23" spans="1:18">
      <c r="F23" s="105" t="s">
        <v>187</v>
      </c>
      <c r="H23" s="107" t="s">
        <v>97</v>
      </c>
      <c r="I23" s="96" t="s">
        <v>180</v>
      </c>
      <c r="J23" s="96" t="s">
        <v>182</v>
      </c>
      <c r="K23" s="96" t="s">
        <v>185</v>
      </c>
      <c r="L23" s="108"/>
    </row>
    <row r="24" spans="1:18">
      <c r="F24" s="105"/>
      <c r="H24" s="107"/>
      <c r="I24" s="96"/>
      <c r="J24" s="96"/>
      <c r="K24" s="96"/>
      <c r="L24" s="108"/>
    </row>
    <row r="25" spans="1:18">
      <c r="F25" s="105"/>
      <c r="H25" s="107"/>
      <c r="I25" s="96"/>
      <c r="J25" s="96"/>
      <c r="K25" s="96"/>
      <c r="L25" s="108"/>
    </row>
    <row r="26" spans="1:18">
      <c r="F26" s="105"/>
      <c r="H26" s="107"/>
      <c r="I26" s="96"/>
      <c r="J26" s="96"/>
      <c r="K26" s="96"/>
      <c r="L26" s="108"/>
    </row>
    <row r="27" spans="1:18">
      <c r="F27" s="105"/>
      <c r="H27" s="107"/>
      <c r="I27" s="96"/>
      <c r="J27" s="96"/>
      <c r="K27" s="96"/>
      <c r="L27" s="108"/>
    </row>
    <row r="28" spans="1:18">
      <c r="F28" s="105"/>
      <c r="H28" s="107"/>
      <c r="I28" s="96"/>
      <c r="J28" s="96"/>
      <c r="K28" s="96"/>
      <c r="L28" s="108"/>
      <c r="R28" s="101">
        <v>1</v>
      </c>
    </row>
    <row r="29" spans="1:18">
      <c r="F29" s="105"/>
      <c r="H29" s="107"/>
      <c r="I29" s="96"/>
      <c r="J29" s="96"/>
      <c r="K29" s="96"/>
      <c r="L29" s="108"/>
    </row>
    <row r="30" spans="1:18">
      <c r="F30" s="105"/>
      <c r="H30" s="107"/>
      <c r="I30" s="96"/>
      <c r="J30" s="96"/>
      <c r="K30" s="96"/>
      <c r="L30" s="108"/>
    </row>
    <row r="31" spans="1:18" ht="16.2" thickBot="1">
      <c r="F31" s="106"/>
      <c r="G31" s="100"/>
      <c r="H31" s="109"/>
      <c r="I31" s="110"/>
      <c r="J31" s="110"/>
      <c r="K31" s="110"/>
      <c r="L31" s="111"/>
    </row>
  </sheetData>
  <mergeCells count="13">
    <mergeCell ref="A21:B22"/>
    <mergeCell ref="A1:B1"/>
    <mergeCell ref="J17:L19"/>
    <mergeCell ref="N1:N3"/>
    <mergeCell ref="O1:P3"/>
    <mergeCell ref="O4:P4"/>
    <mergeCell ref="O5:P5"/>
    <mergeCell ref="N14:O15"/>
    <mergeCell ref="A7:B7"/>
    <mergeCell ref="G1:G12"/>
    <mergeCell ref="A19:B19"/>
    <mergeCell ref="A14:B14"/>
    <mergeCell ref="A8:B8"/>
  </mergeCells>
  <phoneticPr fontId="2" type="noConversion"/>
  <dataValidations count="2">
    <dataValidation type="list" allowBlank="1" showInputMessage="1" showErrorMessage="1" sqref="O1:P3" xr:uid="{00000000-0002-0000-0500-000000000000}">
      <formula1>$F$21:$F$31</formula1>
    </dataValidation>
    <dataValidation type="list" allowBlank="1" showInputMessage="1" showErrorMessage="1" sqref="K15" xr:uid="{00000000-0002-0000-0500-000001000000}">
      <formula1>"PP桶,蝴蝶籠,鐵桶,棧板"</formula1>
    </dataValidation>
  </dataValidations>
  <printOptions horizontalCentered="1" verticalCentered="1"/>
  <pageMargins left="0" right="0" top="0" bottom="0" header="0" footer="0"/>
  <pageSetup paperSize="257" orientation="portrait" r:id="rId1"/>
  <rowBreaks count="1" manualBreakCount="1">
    <brk id="4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locked="0" defaultSize="0" print="0" autoFill="0" autoPict="0" macro="[0]!外箱列印標籤">
                <anchor moveWithCells="1" sizeWithCells="1">
                  <from>
                    <xdr:col>3</xdr:col>
                    <xdr:colOff>0</xdr:colOff>
                    <xdr:row>4</xdr:row>
                    <xdr:rowOff>68580</xdr:rowOff>
                  </from>
                  <to>
                    <xdr:col>4</xdr:col>
                    <xdr:colOff>7620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locked="0" defaultSize="0" print="0" autoFill="0" autoPict="0" macro="[0]!外包裝列印標籤">
                <anchor moveWithCells="1" sizeWithCells="1">
                  <from>
                    <xdr:col>13</xdr:col>
                    <xdr:colOff>22860</xdr:colOff>
                    <xdr:row>3</xdr:row>
                    <xdr:rowOff>22860</xdr:rowOff>
                  </from>
                  <to>
                    <xdr:col>14</xdr:col>
                    <xdr:colOff>68580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6" name="Button 6">
              <controlPr locked="0" defaultSize="0" print="0" autoFill="0" autoPict="0" macro="[0]!QC列印吊卡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388620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7" name="Button 7">
              <controlPr locked="0" defaultSize="0" print="0" autoFill="0" autoPict="0" macro="[0]!顯示QC">
                <anchor moveWithCells="1" sizeWithCells="1">
                  <from>
                    <xdr:col>1</xdr:col>
                    <xdr:colOff>403860</xdr:colOff>
                    <xdr:row>18</xdr:row>
                    <xdr:rowOff>243840</xdr:rowOff>
                  </from>
                  <to>
                    <xdr:col>1</xdr:col>
                    <xdr:colOff>1150620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A114"/>
  <sheetViews>
    <sheetView topLeftCell="A97" workbookViewId="0">
      <selection activeCell="A114" sqref="A114"/>
    </sheetView>
  </sheetViews>
  <sheetFormatPr defaultRowHeight="16.2"/>
  <cols>
    <col min="1" max="1" width="11.77734375" style="168" customWidth="1"/>
  </cols>
  <sheetData>
    <row r="1" spans="1:1">
      <c r="A1" s="167" t="s">
        <v>203</v>
      </c>
    </row>
    <row r="2" spans="1:1">
      <c r="A2" s="167" t="s">
        <v>213</v>
      </c>
    </row>
    <row r="3" spans="1:1">
      <c r="A3" s="168" t="s">
        <v>286</v>
      </c>
    </row>
    <row r="4" spans="1:1">
      <c r="A4" s="168" t="s">
        <v>249</v>
      </c>
    </row>
    <row r="5" spans="1:1">
      <c r="A5" s="168" t="s">
        <v>253</v>
      </c>
    </row>
    <row r="6" spans="1:1">
      <c r="A6" s="167" t="s">
        <v>190</v>
      </c>
    </row>
    <row r="7" spans="1:1">
      <c r="A7" s="168" t="s">
        <v>293</v>
      </c>
    </row>
    <row r="8" spans="1:1">
      <c r="A8" s="168" t="s">
        <v>255</v>
      </c>
    </row>
    <row r="9" spans="1:1">
      <c r="A9" s="168" t="s">
        <v>232</v>
      </c>
    </row>
    <row r="10" spans="1:1">
      <c r="A10" s="168" t="s">
        <v>298</v>
      </c>
    </row>
    <row r="11" spans="1:1">
      <c r="A11" s="167" t="s">
        <v>220</v>
      </c>
    </row>
    <row r="12" spans="1:1">
      <c r="A12" s="168" t="s">
        <v>295</v>
      </c>
    </row>
    <row r="13" spans="1:1">
      <c r="A13" s="167" t="s">
        <v>196</v>
      </c>
    </row>
    <row r="14" spans="1:1">
      <c r="A14" s="168" t="s">
        <v>283</v>
      </c>
    </row>
    <row r="15" spans="1:1">
      <c r="A15" s="168" t="s">
        <v>292</v>
      </c>
    </row>
    <row r="16" spans="1:1">
      <c r="A16" s="168" t="s">
        <v>252</v>
      </c>
    </row>
    <row r="17" spans="1:1">
      <c r="A17" s="168" t="s">
        <v>268</v>
      </c>
    </row>
    <row r="18" spans="1:1">
      <c r="A18" s="167" t="s">
        <v>205</v>
      </c>
    </row>
    <row r="19" spans="1:1">
      <c r="A19" s="168" t="s">
        <v>270</v>
      </c>
    </row>
    <row r="20" spans="1:1">
      <c r="A20" s="167" t="s">
        <v>219</v>
      </c>
    </row>
    <row r="21" spans="1:1">
      <c r="A21" s="168" t="s">
        <v>251</v>
      </c>
    </row>
    <row r="22" spans="1:1">
      <c r="A22" s="168" t="s">
        <v>257</v>
      </c>
    </row>
    <row r="23" spans="1:1">
      <c r="A23" s="167" t="s">
        <v>194</v>
      </c>
    </row>
    <row r="24" spans="1:1">
      <c r="A24" s="168" t="s">
        <v>277</v>
      </c>
    </row>
    <row r="25" spans="1:1">
      <c r="A25" s="168" t="s">
        <v>256</v>
      </c>
    </row>
    <row r="26" spans="1:1">
      <c r="A26" s="168" t="s">
        <v>262</v>
      </c>
    </row>
    <row r="27" spans="1:1">
      <c r="A27" s="168" t="s">
        <v>269</v>
      </c>
    </row>
    <row r="28" spans="1:1">
      <c r="A28" s="168" t="s">
        <v>242</v>
      </c>
    </row>
    <row r="29" spans="1:1">
      <c r="A29" s="167" t="s">
        <v>216</v>
      </c>
    </row>
    <row r="30" spans="1:1">
      <c r="A30" s="168" t="s">
        <v>247</v>
      </c>
    </row>
    <row r="31" spans="1:1">
      <c r="A31" s="168" t="s">
        <v>240</v>
      </c>
    </row>
    <row r="32" spans="1:1">
      <c r="A32" s="167" t="s">
        <v>208</v>
      </c>
    </row>
    <row r="33" spans="1:1">
      <c r="A33" s="168" t="s">
        <v>275</v>
      </c>
    </row>
    <row r="34" spans="1:1">
      <c r="A34" s="169" t="s">
        <v>215</v>
      </c>
    </row>
    <row r="35" spans="1:1">
      <c r="A35" s="168" t="s">
        <v>254</v>
      </c>
    </row>
    <row r="36" spans="1:1">
      <c r="A36" s="168" t="s">
        <v>302</v>
      </c>
    </row>
    <row r="37" spans="1:1">
      <c r="A37" s="167" t="s">
        <v>212</v>
      </c>
    </row>
    <row r="38" spans="1:1">
      <c r="A38" s="168" t="s">
        <v>267</v>
      </c>
    </row>
    <row r="39" spans="1:1">
      <c r="A39" s="168" t="s">
        <v>290</v>
      </c>
    </row>
    <row r="40" spans="1:1">
      <c r="A40" s="168" t="s">
        <v>234</v>
      </c>
    </row>
    <row r="41" spans="1:1">
      <c r="A41" s="168" t="s">
        <v>282</v>
      </c>
    </row>
    <row r="42" spans="1:1">
      <c r="A42" s="168" t="s">
        <v>281</v>
      </c>
    </row>
    <row r="43" spans="1:1">
      <c r="A43" s="168" t="s">
        <v>250</v>
      </c>
    </row>
    <row r="44" spans="1:1">
      <c r="A44" s="168" t="s">
        <v>246</v>
      </c>
    </row>
    <row r="45" spans="1:1">
      <c r="A45" s="168" t="s">
        <v>230</v>
      </c>
    </row>
    <row r="46" spans="1:1">
      <c r="A46" s="168" t="s">
        <v>233</v>
      </c>
    </row>
    <row r="47" spans="1:1">
      <c r="A47" s="168" t="s">
        <v>271</v>
      </c>
    </row>
    <row r="48" spans="1:1">
      <c r="A48" s="167" t="s">
        <v>199</v>
      </c>
    </row>
    <row r="49" spans="1:1">
      <c r="A49" s="168" t="s">
        <v>263</v>
      </c>
    </row>
    <row r="50" spans="1:1">
      <c r="A50" s="167" t="s">
        <v>191</v>
      </c>
    </row>
    <row r="51" spans="1:1">
      <c r="A51" s="168" t="s">
        <v>287</v>
      </c>
    </row>
    <row r="52" spans="1:1">
      <c r="A52" s="168" t="s">
        <v>236</v>
      </c>
    </row>
    <row r="53" spans="1:1">
      <c r="A53" s="167" t="s">
        <v>221</v>
      </c>
    </row>
    <row r="54" spans="1:1">
      <c r="A54" s="168" t="s">
        <v>258</v>
      </c>
    </row>
    <row r="55" spans="1:1">
      <c r="A55" s="167" t="s">
        <v>210</v>
      </c>
    </row>
    <row r="56" spans="1:1">
      <c r="A56" s="167" t="s">
        <v>198</v>
      </c>
    </row>
    <row r="57" spans="1:1">
      <c r="A57" s="168" t="s">
        <v>291</v>
      </c>
    </row>
    <row r="58" spans="1:1">
      <c r="A58" s="168" t="s">
        <v>243</v>
      </c>
    </row>
    <row r="59" spans="1:1">
      <c r="A59" s="168" t="s">
        <v>238</v>
      </c>
    </row>
    <row r="60" spans="1:1">
      <c r="A60" s="167" t="s">
        <v>200</v>
      </c>
    </row>
    <row r="61" spans="1:1">
      <c r="A61" s="168" t="s">
        <v>288</v>
      </c>
    </row>
    <row r="62" spans="1:1">
      <c r="A62" s="168" t="s">
        <v>265</v>
      </c>
    </row>
    <row r="63" spans="1:1">
      <c r="A63" s="168" t="s">
        <v>300</v>
      </c>
    </row>
    <row r="64" spans="1:1">
      <c r="A64" s="168" t="s">
        <v>279</v>
      </c>
    </row>
    <row r="65" spans="1:1">
      <c r="A65" s="167" t="s">
        <v>218</v>
      </c>
    </row>
    <row r="66" spans="1:1">
      <c r="A66" s="168" t="s">
        <v>289</v>
      </c>
    </row>
    <row r="67" spans="1:1">
      <c r="A67" s="168" t="s">
        <v>245</v>
      </c>
    </row>
    <row r="68" spans="1:1">
      <c r="A68" s="168" t="s">
        <v>261</v>
      </c>
    </row>
    <row r="69" spans="1:1">
      <c r="A69" s="167" t="s">
        <v>209</v>
      </c>
    </row>
    <row r="70" spans="1:1">
      <c r="A70" s="168" t="s">
        <v>303</v>
      </c>
    </row>
    <row r="71" spans="1:1">
      <c r="A71" s="167" t="s">
        <v>204</v>
      </c>
    </row>
    <row r="72" spans="1:1">
      <c r="A72" s="168" t="s">
        <v>278</v>
      </c>
    </row>
    <row r="73" spans="1:1">
      <c r="A73" s="168" t="s">
        <v>273</v>
      </c>
    </row>
    <row r="74" spans="1:1">
      <c r="A74" s="168" t="s">
        <v>274</v>
      </c>
    </row>
    <row r="75" spans="1:1">
      <c r="A75" s="167" t="s">
        <v>214</v>
      </c>
    </row>
    <row r="76" spans="1:1">
      <c r="A76" s="169" t="s">
        <v>206</v>
      </c>
    </row>
    <row r="77" spans="1:1">
      <c r="A77" s="168" t="s">
        <v>239</v>
      </c>
    </row>
    <row r="78" spans="1:1">
      <c r="A78" s="168" t="s">
        <v>296</v>
      </c>
    </row>
    <row r="79" spans="1:1">
      <c r="A79" s="167" t="s">
        <v>207</v>
      </c>
    </row>
    <row r="80" spans="1:1">
      <c r="A80" s="167" t="s">
        <v>227</v>
      </c>
    </row>
    <row r="81" spans="1:1">
      <c r="A81" s="168" t="s">
        <v>260</v>
      </c>
    </row>
    <row r="82" spans="1:1">
      <c r="A82" s="168" t="s">
        <v>294</v>
      </c>
    </row>
    <row r="83" spans="1:1">
      <c r="A83" s="167" t="s">
        <v>195</v>
      </c>
    </row>
    <row r="84" spans="1:1">
      <c r="A84" s="168" t="s">
        <v>272</v>
      </c>
    </row>
    <row r="85" spans="1:1">
      <c r="A85" s="167" t="s">
        <v>224</v>
      </c>
    </row>
    <row r="86" spans="1:1">
      <c r="A86" s="167" t="s">
        <v>202</v>
      </c>
    </row>
    <row r="87" spans="1:1">
      <c r="A87" s="168" t="s">
        <v>231</v>
      </c>
    </row>
    <row r="88" spans="1:1">
      <c r="A88" s="168" t="s">
        <v>264</v>
      </c>
    </row>
    <row r="89" spans="1:1">
      <c r="A89" s="168" t="s">
        <v>244</v>
      </c>
    </row>
    <row r="90" spans="1:1">
      <c r="A90" s="167" t="s">
        <v>225</v>
      </c>
    </row>
    <row r="91" spans="1:1">
      <c r="A91" s="168" t="s">
        <v>237</v>
      </c>
    </row>
    <row r="92" spans="1:1">
      <c r="A92" s="167" t="s">
        <v>217</v>
      </c>
    </row>
    <row r="93" spans="1:1">
      <c r="A93" s="168" t="s">
        <v>266</v>
      </c>
    </row>
    <row r="94" spans="1:1">
      <c r="A94" s="167" t="s">
        <v>211</v>
      </c>
    </row>
    <row r="95" spans="1:1">
      <c r="A95" s="168" t="s">
        <v>284</v>
      </c>
    </row>
    <row r="96" spans="1:1">
      <c r="A96" s="167" t="s">
        <v>201</v>
      </c>
    </row>
    <row r="97" spans="1:1">
      <c r="A97" s="167" t="s">
        <v>226</v>
      </c>
    </row>
    <row r="98" spans="1:1">
      <c r="A98" s="168" t="s">
        <v>280</v>
      </c>
    </row>
    <row r="99" spans="1:1">
      <c r="A99" s="168" t="s">
        <v>235</v>
      </c>
    </row>
    <row r="100" spans="1:1">
      <c r="A100" s="168" t="s">
        <v>229</v>
      </c>
    </row>
    <row r="101" spans="1:1">
      <c r="A101" s="168" t="s">
        <v>241</v>
      </c>
    </row>
    <row r="102" spans="1:1">
      <c r="A102" s="168" t="s">
        <v>276</v>
      </c>
    </row>
    <row r="103" spans="1:1">
      <c r="A103" s="168" t="s">
        <v>285</v>
      </c>
    </row>
    <row r="104" spans="1:1">
      <c r="A104" s="168" t="s">
        <v>259</v>
      </c>
    </row>
    <row r="105" spans="1:1">
      <c r="A105" s="168" t="s">
        <v>248</v>
      </c>
    </row>
    <row r="106" spans="1:1">
      <c r="A106" s="167" t="s">
        <v>192</v>
      </c>
    </row>
    <row r="107" spans="1:1">
      <c r="A107" s="168" t="s">
        <v>228</v>
      </c>
    </row>
    <row r="108" spans="1:1">
      <c r="A108" s="168" t="s">
        <v>299</v>
      </c>
    </row>
    <row r="109" spans="1:1">
      <c r="A109" s="168" t="s">
        <v>297</v>
      </c>
    </row>
    <row r="110" spans="1:1">
      <c r="A110" s="168" t="s">
        <v>301</v>
      </c>
    </row>
    <row r="111" spans="1:1">
      <c r="A111" s="167" t="s">
        <v>193</v>
      </c>
    </row>
    <row r="112" spans="1:1">
      <c r="A112" s="167" t="s">
        <v>197</v>
      </c>
    </row>
    <row r="113" spans="1:1">
      <c r="A113" s="167" t="s">
        <v>223</v>
      </c>
    </row>
    <row r="114" spans="1:1">
      <c r="A114" s="167" t="s">
        <v>222</v>
      </c>
    </row>
  </sheetData>
  <sortState xmlns:xlrd2="http://schemas.microsoft.com/office/spreadsheetml/2017/richdata2" ref="A1:A114">
    <sortCondition ref="A1:A114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7</vt:i4>
      </vt:variant>
    </vt:vector>
  </HeadingPairs>
  <TitlesOfParts>
    <vt:vector size="15" baseType="lpstr">
      <vt:lpstr>進料檢</vt:lpstr>
      <vt:lpstr>空白表單(請自行更改名稱)</vt:lpstr>
      <vt:lpstr>熱處理數據</vt:lpstr>
      <vt:lpstr>超正出貨檢驗</vt:lpstr>
      <vt:lpstr>包裝</vt:lpstr>
      <vt:lpstr>品質異常處理單</vt:lpstr>
      <vt:lpstr>包裝標籤列印</vt:lpstr>
      <vt:lpstr>待更新名單</vt:lpstr>
      <vt:lpstr>包裝!Print_Area</vt:lpstr>
      <vt:lpstr>包裝標籤列印!Print_Area</vt:lpstr>
      <vt:lpstr>'空白表單(請自行更改名稱)'!Print_Area</vt:lpstr>
      <vt:lpstr>品質異常處理單!Print_Area</vt:lpstr>
      <vt:lpstr>超正出貨檢驗!Print_Area</vt:lpstr>
      <vt:lpstr>進料檢!Print_Area</vt:lpstr>
      <vt:lpstr>熱處理數據!Print_Area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P0036</dc:creator>
  <cp:lastModifiedBy>lak o</cp:lastModifiedBy>
  <cp:lastPrinted>2024-08-08T05:21:29Z</cp:lastPrinted>
  <dcterms:created xsi:type="dcterms:W3CDTF">2012-12-03T08:47:37Z</dcterms:created>
  <dcterms:modified xsi:type="dcterms:W3CDTF">2024-08-09T06:39:14Z</dcterms:modified>
</cp:coreProperties>
</file>