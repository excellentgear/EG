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F:\[EXCEL][備份]\[AS表單]\"/>
    </mc:Choice>
  </mc:AlternateContent>
  <xr:revisionPtr revIDLastSave="0" documentId="13_ncr:1_{61EF7826-8178-4134-B930-5B26EAF7D5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會議紀錄" sheetId="1" r:id="rId1"/>
    <sheet name="簽到表" sheetId="2" r:id="rId2"/>
  </sheets>
  <definedNames>
    <definedName name="_xlnm.Print_Area" localSheetId="0">會議紀錄!$A$1:$L$16</definedName>
    <definedName name="_xlnm.Print_Area" localSheetId="1">簽到表!$A$1:$G$27</definedName>
    <definedName name="_xlnm.Print_Titles" localSheetId="0">會議紀錄!$1:$4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" i="2" l="1"/>
  <c r="H29" i="2"/>
  <c r="H28" i="2"/>
  <c r="H27" i="2"/>
  <c r="H26" i="2"/>
  <c r="H25" i="2"/>
  <c r="H24" i="2"/>
  <c r="H23" i="2"/>
  <c r="H22" i="2"/>
  <c r="H21" i="2"/>
  <c r="H20" i="2"/>
  <c r="H16" i="2"/>
  <c r="H15" i="2"/>
  <c r="H14" i="2"/>
  <c r="H13" i="2"/>
  <c r="D2" i="1"/>
  <c r="D3" i="1"/>
  <c r="H8" i="2"/>
  <c r="H11" i="2"/>
  <c r="F6" i="2" l="1"/>
  <c r="F2" i="1" s="1"/>
  <c r="H4" i="2"/>
  <c r="H3" i="2"/>
  <c r="N2" i="2"/>
  <c r="H2" i="2"/>
  <c r="B3" i="1"/>
  <c r="B2" i="1"/>
  <c r="N3" i="2" l="1"/>
  <c r="N4" i="2" s="1"/>
  <c r="H5" i="2"/>
  <c r="H6" i="2" l="1"/>
  <c r="H7" i="2" s="1"/>
  <c r="N5" i="2"/>
  <c r="H9" i="2" l="1"/>
  <c r="D8" i="2"/>
  <c r="N6" i="2"/>
  <c r="N7" i="2" s="1"/>
  <c r="N8" i="2" s="1"/>
  <c r="N9" i="2" s="1"/>
  <c r="C8" i="2"/>
  <c r="B8" i="2"/>
  <c r="H10" i="2" l="1"/>
  <c r="H12" i="2"/>
  <c r="D9" i="2"/>
  <c r="N10" i="2" l="1"/>
  <c r="N11" i="2" s="1"/>
  <c r="N12" i="2" s="1"/>
  <c r="N13" i="2" s="1"/>
  <c r="N14" i="2" s="1"/>
  <c r="N15" i="2" s="1"/>
  <c r="N16" i="2" s="1"/>
  <c r="H17" i="2"/>
  <c r="H18" i="2" s="1"/>
  <c r="H19" i="2" s="1"/>
  <c r="C10" i="2"/>
  <c r="B9" i="2"/>
  <c r="D10" i="2"/>
  <c r="B10" i="2"/>
  <c r="C9" i="2"/>
  <c r="N18" i="2" l="1"/>
  <c r="N17" i="2" s="1"/>
  <c r="N19" i="2" s="1"/>
  <c r="B11" i="2"/>
  <c r="D11" i="2"/>
  <c r="C11" i="2" l="1"/>
  <c r="D12" i="2"/>
  <c r="B17" i="2" l="1"/>
  <c r="B12" i="2"/>
  <c r="B13" i="2"/>
  <c r="C12" i="2"/>
  <c r="D13" i="2"/>
  <c r="C13" i="2"/>
  <c r="C21" i="2"/>
  <c r="C23" i="2"/>
  <c r="D19" i="2"/>
  <c r="B26" i="2"/>
  <c r="B15" i="2"/>
  <c r="D17" i="2"/>
  <c r="D22" i="2"/>
  <c r="D24" i="2"/>
  <c r="C22" i="2"/>
  <c r="B14" i="2"/>
  <c r="B19" i="2"/>
  <c r="D23" i="2"/>
  <c r="D16" i="2"/>
  <c r="D20" i="2"/>
  <c r="O1" i="2"/>
  <c r="H2" i="1" s="1"/>
  <c r="C25" i="2"/>
  <c r="C19" i="2"/>
  <c r="B16" i="2"/>
  <c r="B21" i="2"/>
  <c r="C20" i="2"/>
  <c r="C18" i="2"/>
  <c r="C15" i="2"/>
  <c r="B24" i="2"/>
  <c r="B22" i="2"/>
  <c r="D15" i="2"/>
  <c r="B20" i="2"/>
  <c r="D21" i="2"/>
  <c r="C14" i="2"/>
  <c r="D26" i="2"/>
  <c r="C16" i="2"/>
  <c r="C17" i="2"/>
  <c r="B18" i="2"/>
  <c r="D18" i="2"/>
  <c r="B25" i="2"/>
  <c r="D14" i="2"/>
  <c r="B23" i="2"/>
  <c r="D25" i="2"/>
  <c r="C24" i="2"/>
  <c r="C26" i="2"/>
</calcChain>
</file>

<file path=xl/sharedStrings.xml><?xml version="1.0" encoding="utf-8"?>
<sst xmlns="http://schemas.openxmlformats.org/spreadsheetml/2006/main" count="95" uniqueCount="73">
  <si>
    <r>
      <rPr>
        <sz val="12"/>
        <color theme="1"/>
        <rFont val="Times New Roman"/>
        <family val="1"/>
      </rPr>
      <t xml:space="preserve">  </t>
    </r>
    <r>
      <rPr>
        <sz val="22"/>
        <color theme="1"/>
        <rFont val="標楷體"/>
        <family val="4"/>
        <charset val="136"/>
      </rPr>
      <t>超正齒輪科技有限公司</t>
    </r>
    <r>
      <rPr>
        <sz val="22"/>
        <color rgb="FF000000"/>
        <rFont val="Times New Roman"/>
        <family val="1"/>
      </rPr>
      <t>-</t>
    </r>
    <r>
      <rPr>
        <sz val="22"/>
        <color rgb="FF000000"/>
        <rFont val="標楷體"/>
        <family val="4"/>
        <charset val="136"/>
      </rPr>
      <t>會議記錄</t>
    </r>
  </si>
  <si>
    <t>主題</t>
  </si>
  <si>
    <t>日期</t>
  </si>
  <si>
    <t>主席</t>
  </si>
  <si>
    <t>出席人員</t>
  </si>
  <si>
    <t>地點</t>
  </si>
  <si>
    <t>時間</t>
  </si>
  <si>
    <t>記錄</t>
  </si>
  <si>
    <t>何沐桐</t>
  </si>
  <si>
    <t>ＮＯ</t>
  </si>
  <si>
    <r>
      <rPr>
        <sz val="14"/>
        <color rgb="FF000000"/>
        <rFont val="標楷體"/>
        <family val="4"/>
        <charset val="136"/>
      </rPr>
      <t>報</t>
    </r>
    <r>
      <rPr>
        <sz val="14"/>
        <color rgb="FF000000"/>
        <rFont val="Times New Roman"/>
        <family val="1"/>
      </rPr>
      <t xml:space="preserve">     </t>
    </r>
    <r>
      <rPr>
        <sz val="14"/>
        <color rgb="FF000000"/>
        <rFont val="標楷體"/>
        <family val="4"/>
        <charset val="136"/>
      </rPr>
      <t>告</t>
    </r>
    <r>
      <rPr>
        <sz val="14"/>
        <color rgb="FF000000"/>
        <rFont val="Times New Roman"/>
        <family val="1"/>
      </rPr>
      <t xml:space="preserve">     </t>
    </r>
    <r>
      <rPr>
        <sz val="14"/>
        <color rgb="FF000000"/>
        <rFont val="標楷體"/>
        <family val="4"/>
        <charset val="136"/>
      </rPr>
      <t>要</t>
    </r>
    <r>
      <rPr>
        <sz val="14"/>
        <color rgb="FF000000"/>
        <rFont val="Times New Roman"/>
        <family val="1"/>
      </rPr>
      <t xml:space="preserve">     </t>
    </r>
    <r>
      <rPr>
        <sz val="14"/>
        <color rgb="FF000000"/>
        <rFont val="標楷體"/>
        <family val="4"/>
        <charset val="136"/>
      </rPr>
      <t>點</t>
    </r>
    <r>
      <rPr>
        <sz val="14"/>
        <color rgb="FF000000"/>
        <rFont val="Times New Roman"/>
        <family val="1"/>
      </rPr>
      <t xml:space="preserve">     </t>
    </r>
    <r>
      <rPr>
        <sz val="14"/>
        <color rgb="FF000000"/>
        <rFont val="標楷體"/>
        <family val="4"/>
        <charset val="136"/>
      </rPr>
      <t>及</t>
    </r>
    <r>
      <rPr>
        <sz val="14"/>
        <color rgb="FF000000"/>
        <rFont val="Times New Roman"/>
        <family val="1"/>
      </rPr>
      <t xml:space="preserve">     </t>
    </r>
    <r>
      <rPr>
        <sz val="14"/>
        <color rgb="FF000000"/>
        <rFont val="標楷體"/>
        <family val="4"/>
        <charset val="136"/>
      </rPr>
      <t>決</t>
    </r>
    <r>
      <rPr>
        <sz val="14"/>
        <color rgb="FF000000"/>
        <rFont val="Times New Roman"/>
        <family val="1"/>
      </rPr>
      <t xml:space="preserve">     </t>
    </r>
    <r>
      <rPr>
        <sz val="14"/>
        <color rgb="FF000000"/>
        <rFont val="標楷體"/>
        <family val="4"/>
        <charset val="136"/>
      </rPr>
      <t>議</t>
    </r>
    <r>
      <rPr>
        <sz val="14"/>
        <color rgb="FF000000"/>
        <rFont val="Times New Roman"/>
        <family val="1"/>
      </rPr>
      <t xml:space="preserve">    </t>
    </r>
    <r>
      <rPr>
        <sz val="14"/>
        <color rgb="FF000000"/>
        <rFont val="標楷體"/>
        <family val="4"/>
        <charset val="136"/>
      </rPr>
      <t>事</t>
    </r>
    <r>
      <rPr>
        <sz val="14"/>
        <color rgb="FF000000"/>
        <rFont val="Times New Roman"/>
        <family val="1"/>
      </rPr>
      <t xml:space="preserve">     </t>
    </r>
    <r>
      <rPr>
        <sz val="14"/>
        <color rgb="FF000000"/>
        <rFont val="標楷體"/>
        <family val="4"/>
        <charset val="136"/>
      </rPr>
      <t>項</t>
    </r>
  </si>
  <si>
    <t>應完成日期</t>
  </si>
  <si>
    <t>負責人</t>
  </si>
  <si>
    <t>確認簽名</t>
  </si>
  <si>
    <t>備註</t>
  </si>
  <si>
    <t>上級
指示
要項</t>
  </si>
  <si>
    <t>會議
要項</t>
  </si>
  <si>
    <r>
      <rPr>
        <sz val="10"/>
        <color theme="1"/>
        <rFont val="Times New Roman"/>
        <family val="1"/>
      </rPr>
      <t>(</t>
    </r>
    <r>
      <rPr>
        <sz val="10"/>
        <color theme="1"/>
        <rFont val="標楷體"/>
        <family val="4"/>
        <charset val="136"/>
      </rPr>
      <t>本記錄不得擅自塗改</t>
    </r>
    <r>
      <rPr>
        <sz val="10"/>
        <color theme="1"/>
        <rFont val="Times New Roman"/>
        <family val="1"/>
      </rPr>
      <t>)</t>
    </r>
  </si>
  <si>
    <t>2-GM-05-01</t>
  </si>
  <si>
    <t>總 經 理 確 認：</t>
  </si>
  <si>
    <t>主 席 確 認：</t>
  </si>
  <si>
    <t>製 表：</t>
  </si>
  <si>
    <t>超正齒輪科技有限公司</t>
  </si>
  <si>
    <t>單位</t>
  </si>
  <si>
    <t>職稱</t>
  </si>
  <si>
    <r>
      <rPr>
        <sz val="12"/>
        <color theme="1"/>
        <rFont val="標楷體"/>
        <family val="4"/>
        <charset val="136"/>
      </rPr>
      <t>姓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標楷體"/>
        <family val="4"/>
        <charset val="136"/>
      </rPr>
      <t>名</t>
    </r>
  </si>
  <si>
    <t>參加
打0</t>
  </si>
  <si>
    <t>主席
打1</t>
  </si>
  <si>
    <t>出席名單</t>
  </si>
  <si>
    <t>簽到表</t>
  </si>
  <si>
    <t>總經理室</t>
  </si>
  <si>
    <t>總經理</t>
  </si>
  <si>
    <t>陳俊宏</t>
  </si>
  <si>
    <t>主題：</t>
  </si>
  <si>
    <t>產銷會議</t>
  </si>
  <si>
    <t>管理課</t>
  </si>
  <si>
    <t>課長</t>
  </si>
  <si>
    <t>林雅婷</t>
  </si>
  <si>
    <t>時間：</t>
  </si>
  <si>
    <t>業務課</t>
  </si>
  <si>
    <t>經理</t>
  </si>
  <si>
    <t>吳仁隆</t>
  </si>
  <si>
    <t>地點：</t>
  </si>
  <si>
    <t>二場會議室</t>
  </si>
  <si>
    <t>組員</t>
  </si>
  <si>
    <t>NO</t>
  </si>
  <si>
    <t>簽名</t>
  </si>
  <si>
    <t>生產課</t>
  </si>
  <si>
    <t>生管組</t>
  </si>
  <si>
    <t>品管組</t>
  </si>
  <si>
    <t>陳靜萍</t>
  </si>
  <si>
    <t>技術課</t>
  </si>
  <si>
    <t>工程師</t>
  </si>
  <si>
    <t>文管中心</t>
  </si>
  <si>
    <t>葉卿雅</t>
  </si>
  <si>
    <t>2-MM-01-02</t>
  </si>
  <si>
    <t>林鴻銘</t>
    <phoneticPr fontId="15" type="noConversion"/>
  </si>
  <si>
    <t>吳佳靜</t>
    <phoneticPr fontId="15" type="noConversion"/>
  </si>
  <si>
    <t>單昱誠</t>
    <phoneticPr fontId="15" type="noConversion"/>
  </si>
  <si>
    <t>林佩宜</t>
    <phoneticPr fontId="15" type="noConversion"/>
  </si>
  <si>
    <t>林秋燕</t>
  </si>
  <si>
    <t>陳彦驊</t>
    <phoneticPr fontId="15" type="noConversion"/>
  </si>
  <si>
    <t>張文俐</t>
    <phoneticPr fontId="15" type="noConversion"/>
  </si>
  <si>
    <t>陳喬惠</t>
    <phoneticPr fontId="15" type="noConversion"/>
  </si>
  <si>
    <t>高志宏</t>
    <phoneticPr fontId="15" type="noConversion"/>
  </si>
  <si>
    <t>課長</t>
    <phoneticPr fontId="15" type="noConversion"/>
  </si>
  <si>
    <t>組長</t>
    <phoneticPr fontId="15" type="noConversion"/>
  </si>
  <si>
    <t>生管</t>
    <phoneticPr fontId="15" type="noConversion"/>
  </si>
  <si>
    <t>業務</t>
    <phoneticPr fontId="15" type="noConversion"/>
  </si>
  <si>
    <t>現場</t>
    <phoneticPr fontId="15" type="noConversion"/>
  </si>
  <si>
    <t>全體</t>
    <phoneticPr fontId="15" type="noConversion"/>
  </si>
  <si>
    <t>生管
業務</t>
    <phoneticPr fontId="15" type="noConversion"/>
  </si>
  <si>
    <t xml:space="preserve"> 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</si>
</sst>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"/>
    <numFmt numFmtId="177" formatCode="&quot;主題：&quot;0"/>
  </numFmts>
  <fonts count="19" x14ac:knownFonts="1">
    <font>
      <sz val="12"/>
      <color theme="1"/>
      <name val="新細明體"/>
      <charset val="134"/>
      <scheme val="minor"/>
    </font>
    <font>
      <sz val="12"/>
      <color theme="1"/>
      <name val="標楷體"/>
      <family val="4"/>
      <charset val="136"/>
    </font>
    <font>
      <sz val="22"/>
      <color theme="1"/>
      <name val="標楷體"/>
      <family val="4"/>
      <charset val="136"/>
    </font>
    <font>
      <sz val="17"/>
      <color theme="1"/>
      <name val="標楷體"/>
      <family val="4"/>
      <charset val="136"/>
    </font>
    <font>
      <sz val="18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標楷體"/>
      <family val="4"/>
      <charset val="136"/>
    </font>
    <font>
      <sz val="14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22"/>
      <color rgb="FF000000"/>
      <name val="Times New Roman"/>
      <family val="1"/>
    </font>
    <font>
      <sz val="22"/>
      <color rgb="FF000000"/>
      <name val="標楷體"/>
      <family val="4"/>
      <charset val="136"/>
    </font>
    <font>
      <sz val="10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9"/>
      <color rgb="FF000000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77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2" xfId="0" applyNumberFormat="1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4" fontId="10" fillId="0" borderId="6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shrinkToFit="1"/>
    </xf>
    <xf numFmtId="0" fontId="8" fillId="0" borderId="0" xfId="0" applyFont="1" applyAlignment="1">
      <alignment horizontal="left" vertical="center" indent="1"/>
    </xf>
    <xf numFmtId="176" fontId="1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 shrinkToFit="1"/>
    </xf>
    <xf numFmtId="0" fontId="1" fillId="0" borderId="0" xfId="0" applyFont="1"/>
    <xf numFmtId="0" fontId="1" fillId="0" borderId="0" xfId="0" applyFont="1" applyAlignment="1">
      <alignment wrapText="1"/>
    </xf>
    <xf numFmtId="176" fontId="1" fillId="0" borderId="10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8" fillId="0" borderId="0" xfId="0" applyFont="1"/>
    <xf numFmtId="0" fontId="0" fillId="0" borderId="10" xfId="0" applyBorder="1"/>
    <xf numFmtId="0" fontId="18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8" fillId="0" borderId="6" xfId="0" applyFont="1" applyBorder="1" applyAlignment="1">
      <alignment horizontal="center" vertical="center" shrinkToFit="1"/>
    </xf>
    <xf numFmtId="0" fontId="8" fillId="0" borderId="12" xfId="0" applyFont="1" applyBorder="1" applyAlignment="1">
      <alignment vertical="top" wrapText="1"/>
    </xf>
    <xf numFmtId="0" fontId="8" fillId="0" borderId="13" xfId="0" applyFont="1" applyBorder="1" applyAlignment="1">
      <alignment vertical="top" wrapText="1"/>
    </xf>
    <xf numFmtId="0" fontId="8" fillId="0" borderId="14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8" fillId="0" borderId="7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1" fillId="0" borderId="2" xfId="0" applyNumberFormat="1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2" xfId="0" applyBorder="1" applyAlignment="1">
      <alignment horizontal="justify" vertical="center" wrapText="1"/>
    </xf>
    <xf numFmtId="0" fontId="0" fillId="0" borderId="3" xfId="0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</cellXfs>
  <cellStyles count="1">
    <cellStyle name="一般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4506668294322"/>
  </sheetPr>
  <dimension ref="A1:P16"/>
  <sheetViews>
    <sheetView tabSelected="1" zoomScale="85" zoomScaleNormal="85" workbookViewId="0">
      <selection activeCell="B6" sqref="B6:H6"/>
    </sheetView>
  </sheetViews>
  <sheetFormatPr defaultColWidth="9" defaultRowHeight="16.2" x14ac:dyDescent="0.3"/>
  <cols>
    <col min="1" max="1" width="8.88671875" customWidth="1"/>
    <col min="2" max="2" width="16" customWidth="1"/>
    <col min="4" max="4" width="13.33203125" customWidth="1"/>
    <col min="6" max="6" width="11.33203125" customWidth="1"/>
    <col min="7" max="7" width="12" customWidth="1"/>
    <col min="8" max="8" width="15.6640625" customWidth="1"/>
    <col min="9" max="9" width="11.88671875" customWidth="1"/>
  </cols>
  <sheetData>
    <row r="1" spans="1:16" ht="30.6" x14ac:dyDescent="0.3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6" ht="19.8" x14ac:dyDescent="0.3">
      <c r="A2" s="16" t="s">
        <v>1</v>
      </c>
      <c r="B2" s="17" t="str">
        <f>簽到表!$B$4</f>
        <v>產銷會議</v>
      </c>
      <c r="C2" s="16" t="s">
        <v>2</v>
      </c>
      <c r="D2" s="18" t="str">
        <f>簽到表!$B$5</f>
        <v xml:space="preserve"> </v>
      </c>
      <c r="E2" s="16" t="s">
        <v>3</v>
      </c>
      <c r="F2" s="16" t="str">
        <f>簽到表!$F$6</f>
        <v>吳仁隆</v>
      </c>
      <c r="G2" s="45" t="s">
        <v>4</v>
      </c>
      <c r="H2" s="46" t="str">
        <f>簽到表!$O$1</f>
        <v>吳仁隆,吳佳靜,林佩宜,張文俐,高志宏,何沐桐,葉卿雅</v>
      </c>
      <c r="I2" s="46"/>
      <c r="J2" s="46"/>
      <c r="K2" s="46"/>
      <c r="L2" s="46"/>
    </row>
    <row r="3" spans="1:16" ht="19.8" x14ac:dyDescent="0.3">
      <c r="A3" s="16" t="s">
        <v>5</v>
      </c>
      <c r="B3" s="16" t="str">
        <f>簽到表!$B$6</f>
        <v>二場會議室</v>
      </c>
      <c r="C3" s="16" t="s">
        <v>6</v>
      </c>
      <c r="D3" s="19" t="str">
        <f>簽到表!$C$5</f>
        <v xml:space="preserve"> </v>
      </c>
      <c r="E3" s="16" t="s">
        <v>7</v>
      </c>
      <c r="F3" s="16" t="s">
        <v>8</v>
      </c>
      <c r="G3" s="45"/>
      <c r="H3" s="46"/>
      <c r="I3" s="46"/>
      <c r="J3" s="46"/>
      <c r="K3" s="46"/>
      <c r="L3" s="46"/>
    </row>
    <row r="4" spans="1:16" ht="19.8" x14ac:dyDescent="0.3">
      <c r="A4" s="20" t="s">
        <v>9</v>
      </c>
      <c r="B4" s="40" t="s">
        <v>10</v>
      </c>
      <c r="C4" s="40"/>
      <c r="D4" s="40"/>
      <c r="E4" s="40"/>
      <c r="F4" s="40"/>
      <c r="G4" s="40"/>
      <c r="H4" s="40"/>
      <c r="I4" s="20" t="s">
        <v>11</v>
      </c>
      <c r="J4" s="20" t="s">
        <v>12</v>
      </c>
      <c r="K4" s="20" t="s">
        <v>13</v>
      </c>
      <c r="L4" s="20" t="s">
        <v>14</v>
      </c>
    </row>
    <row r="5" spans="1:16" ht="47.4" customHeight="1" x14ac:dyDescent="0.3">
      <c r="A5" s="34" t="s">
        <v>15</v>
      </c>
      <c r="B5" s="41"/>
      <c r="C5" s="42"/>
      <c r="D5" s="42"/>
      <c r="E5" s="42"/>
      <c r="F5" s="42"/>
      <c r="G5" s="42"/>
      <c r="H5" s="43"/>
      <c r="I5" s="22"/>
      <c r="J5" s="24"/>
      <c r="K5" s="17"/>
      <c r="L5" s="17"/>
      <c r="M5" s="23"/>
      <c r="O5" s="26"/>
      <c r="P5" s="35" t="s">
        <v>67</v>
      </c>
    </row>
    <row r="6" spans="1:16" ht="43.05" customHeight="1" x14ac:dyDescent="0.3">
      <c r="A6" s="36"/>
      <c r="B6" s="44"/>
      <c r="C6" s="44"/>
      <c r="D6" s="44"/>
      <c r="E6" s="44"/>
      <c r="F6" s="44"/>
      <c r="G6" s="44"/>
      <c r="H6" s="44"/>
      <c r="I6" s="22"/>
      <c r="J6" s="24"/>
      <c r="K6" s="17"/>
      <c r="L6" s="17"/>
      <c r="O6" s="26"/>
      <c r="P6" s="35" t="s">
        <v>68</v>
      </c>
    </row>
    <row r="7" spans="1:16" ht="43.05" customHeight="1" x14ac:dyDescent="0.3">
      <c r="A7" s="30"/>
      <c r="B7" s="41"/>
      <c r="C7" s="42"/>
      <c r="D7" s="42"/>
      <c r="E7" s="42"/>
      <c r="F7" s="42"/>
      <c r="G7" s="42"/>
      <c r="H7" s="43"/>
      <c r="I7" s="22"/>
      <c r="J7" s="24"/>
      <c r="K7" s="17"/>
      <c r="L7" s="17"/>
      <c r="O7" s="26"/>
      <c r="P7" s="35" t="s">
        <v>69</v>
      </c>
    </row>
    <row r="8" spans="1:16" ht="43.05" customHeight="1" x14ac:dyDescent="0.3">
      <c r="A8" s="30"/>
      <c r="B8" s="44"/>
      <c r="C8" s="44"/>
      <c r="D8" s="44"/>
      <c r="E8" s="44"/>
      <c r="F8" s="44"/>
      <c r="G8" s="44"/>
      <c r="H8" s="44"/>
      <c r="I8" s="22"/>
      <c r="J8" s="33"/>
      <c r="K8" s="17"/>
      <c r="L8" s="17"/>
      <c r="O8" s="27"/>
      <c r="P8" s="35" t="s">
        <v>70</v>
      </c>
    </row>
    <row r="9" spans="1:16" ht="43.05" customHeight="1" x14ac:dyDescent="0.3">
      <c r="A9" s="30"/>
      <c r="B9" s="41"/>
      <c r="C9" s="49"/>
      <c r="D9" s="49"/>
      <c r="E9" s="49"/>
      <c r="F9" s="49"/>
      <c r="G9" s="49"/>
      <c r="H9" s="50"/>
      <c r="I9" s="22"/>
      <c r="J9" s="33"/>
      <c r="K9" s="17"/>
      <c r="L9" s="17"/>
      <c r="N9" s="23"/>
      <c r="O9" s="26"/>
      <c r="P9" s="37" t="s">
        <v>71</v>
      </c>
    </row>
    <row r="10" spans="1:16" ht="43.05" customHeight="1" x14ac:dyDescent="0.3">
      <c r="A10" s="30"/>
      <c r="B10" s="41"/>
      <c r="C10" s="49"/>
      <c r="D10" s="49"/>
      <c r="E10" s="49"/>
      <c r="F10" s="49"/>
      <c r="G10" s="49"/>
      <c r="H10" s="50"/>
      <c r="I10" s="22"/>
      <c r="J10" s="33"/>
      <c r="K10" s="29"/>
      <c r="L10" s="29"/>
      <c r="O10" s="26"/>
    </row>
    <row r="11" spans="1:16" ht="43.05" customHeight="1" x14ac:dyDescent="0.3">
      <c r="A11" s="30" t="s">
        <v>16</v>
      </c>
      <c r="B11" s="51"/>
      <c r="C11" s="52"/>
      <c r="D11" s="52"/>
      <c r="E11" s="52"/>
      <c r="F11" s="52"/>
      <c r="G11" s="52"/>
      <c r="H11" s="53"/>
      <c r="I11" s="24"/>
      <c r="J11" s="24"/>
      <c r="K11" s="32"/>
      <c r="L11" s="32"/>
      <c r="O11" s="26"/>
    </row>
    <row r="12" spans="1:16" ht="43.05" customHeight="1" x14ac:dyDescent="0.3">
      <c r="A12" s="30"/>
      <c r="B12" s="51"/>
      <c r="C12" s="54"/>
      <c r="D12" s="54"/>
      <c r="E12" s="54"/>
      <c r="F12" s="54"/>
      <c r="G12" s="54"/>
      <c r="H12" s="55"/>
      <c r="I12" s="28"/>
      <c r="J12" s="24"/>
      <c r="K12" s="32"/>
      <c r="L12" s="32"/>
      <c r="M12" s="23"/>
    </row>
    <row r="13" spans="1:16" ht="59.4" customHeight="1" x14ac:dyDescent="0.3">
      <c r="A13" s="30"/>
      <c r="B13" s="51"/>
      <c r="C13" s="54"/>
      <c r="D13" s="54"/>
      <c r="E13" s="54"/>
      <c r="F13" s="54"/>
      <c r="G13" s="54"/>
      <c r="H13" s="55"/>
      <c r="I13" s="28"/>
      <c r="J13" s="24"/>
      <c r="K13" s="32"/>
      <c r="L13" s="32"/>
      <c r="M13" s="23"/>
    </row>
    <row r="14" spans="1:16" ht="42.6" customHeight="1" x14ac:dyDescent="0.3">
      <c r="A14" s="31"/>
      <c r="B14" s="56"/>
      <c r="C14" s="57"/>
      <c r="D14" s="57"/>
      <c r="E14" s="57"/>
      <c r="F14" s="57"/>
      <c r="G14" s="57"/>
      <c r="H14" s="58"/>
      <c r="I14" s="24"/>
      <c r="J14" s="24"/>
      <c r="K14" s="24"/>
      <c r="L14" s="24"/>
    </row>
    <row r="15" spans="1:16" x14ac:dyDescent="0.3">
      <c r="A15" s="11"/>
      <c r="B15" s="11"/>
      <c r="C15" s="11"/>
      <c r="D15" s="11"/>
      <c r="E15" s="11"/>
      <c r="F15" s="11"/>
      <c r="G15" s="11"/>
      <c r="H15" s="11"/>
      <c r="I15" s="47" t="s">
        <v>17</v>
      </c>
      <c r="J15" s="48"/>
      <c r="K15" s="48"/>
      <c r="L15" s="25" t="s">
        <v>18</v>
      </c>
    </row>
    <row r="16" spans="1:16" s="15" customFormat="1" ht="19.8" x14ac:dyDescent="0.4">
      <c r="A16" s="21" t="s">
        <v>19</v>
      </c>
      <c r="F16" s="15" t="s">
        <v>20</v>
      </c>
      <c r="J16" s="15" t="s">
        <v>21</v>
      </c>
    </row>
  </sheetData>
  <mergeCells count="15">
    <mergeCell ref="I15:K15"/>
    <mergeCell ref="B7:H7"/>
    <mergeCell ref="B8:H8"/>
    <mergeCell ref="B9:H9"/>
    <mergeCell ref="B11:H11"/>
    <mergeCell ref="B10:H10"/>
    <mergeCell ref="B12:H12"/>
    <mergeCell ref="B13:H13"/>
    <mergeCell ref="B14:H14"/>
    <mergeCell ref="A1:L1"/>
    <mergeCell ref="B4:H4"/>
    <mergeCell ref="B5:H5"/>
    <mergeCell ref="B6:H6"/>
    <mergeCell ref="G2:G3"/>
    <mergeCell ref="H2:L3"/>
  </mergeCells>
  <phoneticPr fontId="15" type="noConversion"/>
  <dataValidations count="1">
    <dataValidation type="list" allowBlank="1" showInputMessage="1" showErrorMessage="1" sqref="J5:J14" xr:uid="{94D13658-607A-41A9-BEBC-A28B5D7547A9}">
      <formula1>$P$5:$P$9</formula1>
    </dataValidation>
  </dataValidations>
  <pageMargins left="0.39370078740157483" right="0.39370078740157483" top="0.19685039370078741" bottom="0" header="0" footer="0"/>
  <pageSetup paperSize="9" orientation="landscape" r:id="rId1"/>
  <rowBreaks count="1" manualBreakCount="1">
    <brk id="1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4506668294322"/>
    <pageSetUpPr fitToPage="1"/>
  </sheetPr>
  <dimension ref="A1:O30"/>
  <sheetViews>
    <sheetView tabSelected="1" zoomScale="85" zoomScaleNormal="85" workbookViewId="0">
      <selection activeCell="B6" sqref="B6:H6"/>
    </sheetView>
  </sheetViews>
  <sheetFormatPr defaultColWidth="9" defaultRowHeight="16.2" x14ac:dyDescent="0.3"/>
  <cols>
    <col min="1" max="1" width="7.33203125" customWidth="1"/>
    <col min="2" max="4" width="18.44140625" customWidth="1"/>
    <col min="5" max="6" width="11.6640625" customWidth="1"/>
    <col min="7" max="7" width="11.33203125" customWidth="1"/>
    <col min="9" max="10" width="9" style="1"/>
    <col min="12" max="13" width="7.21875" style="2" customWidth="1"/>
    <col min="14" max="14" width="9" style="3"/>
  </cols>
  <sheetData>
    <row r="1" spans="1:15" ht="32.4" x14ac:dyDescent="0.3">
      <c r="A1" s="59" t="s">
        <v>22</v>
      </c>
      <c r="B1" s="39"/>
      <c r="C1" s="39"/>
      <c r="D1" s="39"/>
      <c r="E1" s="39"/>
      <c r="F1" s="39"/>
      <c r="G1" s="39"/>
      <c r="I1" s="13" t="s">
        <v>23</v>
      </c>
      <c r="J1" s="13" t="s">
        <v>24</v>
      </c>
      <c r="K1" s="13" t="s">
        <v>25</v>
      </c>
      <c r="L1" s="13" t="s">
        <v>26</v>
      </c>
      <c r="M1" s="13" t="s">
        <v>27</v>
      </c>
      <c r="N1" s="13" t="s">
        <v>28</v>
      </c>
      <c r="O1" s="3" t="str">
        <f>INDEX($N$2:$N$34,MATCH(MAX($H$2:$H$33),$H$2:$H$33,0))</f>
        <v>吳仁隆,吳佳靜,林佩宜,張文俐,高志宏,何沐桐,葉卿雅</v>
      </c>
    </row>
    <row r="2" spans="1:15" ht="32.4" x14ac:dyDescent="0.3">
      <c r="A2" s="60" t="s">
        <v>29</v>
      </c>
      <c r="B2" s="39"/>
      <c r="C2" s="39"/>
      <c r="D2" s="39"/>
      <c r="E2" s="39"/>
      <c r="F2" s="39"/>
      <c r="G2" s="39"/>
      <c r="H2" s="2" t="str">
        <f>IF($L2="","",MAX($H$1:$H1)+1)</f>
        <v/>
      </c>
      <c r="I2" s="14" t="s">
        <v>30</v>
      </c>
      <c r="J2" s="14" t="s">
        <v>31</v>
      </c>
      <c r="K2" s="14" t="s">
        <v>32</v>
      </c>
      <c r="N2" s="3" t="str">
        <f>IF($L2="","",$K2)</f>
        <v/>
      </c>
    </row>
    <row r="3" spans="1:15" ht="22.8" x14ac:dyDescent="0.3">
      <c r="A3" s="4"/>
      <c r="H3" s="2" t="str">
        <f>IF($L3="","",MAX($H$1:$H2)+1)</f>
        <v/>
      </c>
      <c r="I3" s="14"/>
      <c r="K3" s="1"/>
      <c r="N3" s="3" t="str">
        <f>IF($L3="",$N2,IF($H3=1,$K3,$N2&amp;","&amp;$K3))</f>
        <v/>
      </c>
    </row>
    <row r="4" spans="1:15" ht="29.25" customHeight="1" x14ac:dyDescent="0.3">
      <c r="A4" s="5" t="s">
        <v>33</v>
      </c>
      <c r="B4" s="61" t="s">
        <v>34</v>
      </c>
      <c r="C4" s="62"/>
      <c r="D4" s="62"/>
      <c r="E4" s="62"/>
      <c r="F4" s="62"/>
      <c r="G4" s="63"/>
      <c r="H4" s="2" t="str">
        <f>IF($L4="","",MAX($H$1:$H3)+1)</f>
        <v/>
      </c>
      <c r="I4" s="1" t="s">
        <v>35</v>
      </c>
      <c r="J4" s="1" t="s">
        <v>36</v>
      </c>
      <c r="K4" s="1" t="s">
        <v>37</v>
      </c>
      <c r="N4" s="3" t="str">
        <f t="shared" ref="N4:N16" si="0">IF($L4="",$N3,IF($H4=1,$K4,$N3&amp;","&amp;$K4))</f>
        <v/>
      </c>
    </row>
    <row r="5" spans="1:15" ht="29.25" customHeight="1" x14ac:dyDescent="0.3">
      <c r="A5" s="6" t="s">
        <v>38</v>
      </c>
      <c r="B5" s="7" t="s">
        <v>72</v>
      </c>
      <c r="C5" s="64" t="s">
        <v>72</v>
      </c>
      <c r="D5" s="64"/>
      <c r="E5" s="64"/>
      <c r="F5" s="64"/>
      <c r="G5" s="65"/>
      <c r="H5" s="2">
        <f>IF($L5="","",MAX($H$1:$H4)+1)</f>
        <v>1</v>
      </c>
      <c r="I5" s="1" t="s">
        <v>39</v>
      </c>
      <c r="J5" s="1" t="s">
        <v>40</v>
      </c>
      <c r="K5" s="1" t="s">
        <v>41</v>
      </c>
      <c r="L5" s="2">
        <v>0</v>
      </c>
      <c r="M5" s="2">
        <v>1</v>
      </c>
      <c r="N5" s="3" t="str">
        <f t="shared" si="0"/>
        <v>吳仁隆</v>
      </c>
    </row>
    <row r="6" spans="1:15" ht="29.25" customHeight="1" x14ac:dyDescent="0.3">
      <c r="A6" s="6" t="s">
        <v>42</v>
      </c>
      <c r="B6" s="64" t="s">
        <v>43</v>
      </c>
      <c r="C6" s="66"/>
      <c r="D6" s="67"/>
      <c r="E6" s="8" t="s">
        <v>3</v>
      </c>
      <c r="F6" s="68" t="str">
        <f>IF(ISERROR(MATCH(1,$M$2:$M$34,0)),"",INDEX($K$2:$K$34,MATCH(1,$M$2:$M$34,0)))</f>
        <v>吳仁隆</v>
      </c>
      <c r="G6" s="69"/>
      <c r="H6" s="2">
        <f>IF($L6="","",MAX($H$1:$H5)+1)</f>
        <v>2</v>
      </c>
      <c r="I6" s="1" t="s">
        <v>39</v>
      </c>
      <c r="J6" s="1" t="s">
        <v>65</v>
      </c>
      <c r="K6" s="1" t="s">
        <v>57</v>
      </c>
      <c r="L6" s="2">
        <v>0</v>
      </c>
      <c r="N6" s="3" t="str">
        <f t="shared" si="0"/>
        <v>吳仁隆,吳佳靜</v>
      </c>
    </row>
    <row r="7" spans="1:15" ht="29.25" customHeight="1" x14ac:dyDescent="0.3">
      <c r="A7" s="9" t="s">
        <v>45</v>
      </c>
      <c r="B7" s="8" t="s">
        <v>23</v>
      </c>
      <c r="C7" s="8" t="s">
        <v>24</v>
      </c>
      <c r="D7" s="8" t="s">
        <v>25</v>
      </c>
      <c r="E7" s="68" t="s">
        <v>46</v>
      </c>
      <c r="F7" s="69"/>
      <c r="G7" s="8" t="s">
        <v>14</v>
      </c>
      <c r="H7" s="2" t="str">
        <f>IF($L7="","",MAX($H$1:$H6)+1)</f>
        <v/>
      </c>
      <c r="I7" s="1" t="s">
        <v>39</v>
      </c>
      <c r="J7" s="1" t="s">
        <v>44</v>
      </c>
      <c r="K7" s="1" t="s">
        <v>63</v>
      </c>
      <c r="N7" s="3" t="str">
        <f t="shared" si="0"/>
        <v>吳仁隆,吳佳靜</v>
      </c>
    </row>
    <row r="8" spans="1:15" ht="29.25" customHeight="1" x14ac:dyDescent="0.3">
      <c r="A8" s="9">
        <v>1</v>
      </c>
      <c r="B8" s="8" t="str">
        <f t="shared" ref="B8:B26" si="1">IF(ISERROR(MATCH($A8,$H$2:$H$33,0)),"",INDEX($I$2:$I$34,MATCH($A8,$H$2:$H$33,0)))</f>
        <v>業務課</v>
      </c>
      <c r="C8" s="8" t="str">
        <f t="shared" ref="C8:C26" si="2">IF(ISERROR(MATCH($A8,$H$2:$H$33,0)),"",INDEX($J$2:$J$34,MATCH($A8,$H$2:$H$33,0)))</f>
        <v>經理</v>
      </c>
      <c r="D8" s="8" t="str">
        <f t="shared" ref="D8:D26" si="3">IF(ISERROR(MATCH($A8,$H$2:$H$33,0)),"",INDEX($K$2:$K$34,MATCH($A8,$H$2:$H$33,0)))</f>
        <v>吳仁隆</v>
      </c>
      <c r="E8" s="70"/>
      <c r="F8" s="65"/>
      <c r="G8" s="10"/>
      <c r="H8" s="2">
        <f>IF($L8="","",MAX($H$1:$H7)+1)</f>
        <v>3</v>
      </c>
      <c r="I8" s="1" t="s">
        <v>39</v>
      </c>
      <c r="J8" s="1" t="s">
        <v>44</v>
      </c>
      <c r="K8" s="1" t="s">
        <v>59</v>
      </c>
      <c r="L8" s="2">
        <v>0</v>
      </c>
      <c r="N8" s="3" t="str">
        <f t="shared" si="0"/>
        <v>吳仁隆,吳佳靜,林佩宜</v>
      </c>
    </row>
    <row r="9" spans="1:15" ht="29.25" customHeight="1" x14ac:dyDescent="0.3">
      <c r="A9" s="9">
        <v>2</v>
      </c>
      <c r="B9" s="8" t="str">
        <f t="shared" si="1"/>
        <v>業務課</v>
      </c>
      <c r="C9" s="8" t="str">
        <f t="shared" si="2"/>
        <v>課長</v>
      </c>
      <c r="D9" s="8" t="str">
        <f t="shared" si="3"/>
        <v>吳佳靜</v>
      </c>
      <c r="E9" s="70"/>
      <c r="F9" s="65"/>
      <c r="G9" s="10"/>
      <c r="H9" s="2" t="str">
        <f>IF($L9="","",MAX($H$1:$H8)+1)</f>
        <v/>
      </c>
      <c r="I9" s="1" t="s">
        <v>47</v>
      </c>
      <c r="J9" s="1" t="s">
        <v>65</v>
      </c>
      <c r="K9" s="1" t="s">
        <v>56</v>
      </c>
      <c r="N9" s="3" t="str">
        <f t="shared" si="0"/>
        <v>吳仁隆,吳佳靜,林佩宜</v>
      </c>
    </row>
    <row r="10" spans="1:15" ht="29.25" customHeight="1" x14ac:dyDescent="0.3">
      <c r="A10" s="9">
        <v>3</v>
      </c>
      <c r="B10" s="8" t="str">
        <f t="shared" si="1"/>
        <v>業務課</v>
      </c>
      <c r="C10" s="8" t="str">
        <f t="shared" si="2"/>
        <v>組員</v>
      </c>
      <c r="D10" s="8" t="str">
        <f t="shared" si="3"/>
        <v>林佩宜</v>
      </c>
      <c r="E10" s="70"/>
      <c r="F10" s="65"/>
      <c r="G10" s="10"/>
      <c r="H10" s="2" t="str">
        <f>IF($L10="","",MAX($H$1:$H9)+1)</f>
        <v/>
      </c>
      <c r="I10" s="1" t="s">
        <v>47</v>
      </c>
      <c r="J10" s="1" t="s">
        <v>66</v>
      </c>
      <c r="K10" s="1" t="s">
        <v>58</v>
      </c>
      <c r="N10" s="3" t="str">
        <f t="shared" si="0"/>
        <v>吳仁隆,吳佳靜,林佩宜</v>
      </c>
    </row>
    <row r="11" spans="1:15" ht="29.25" customHeight="1" x14ac:dyDescent="0.3">
      <c r="A11" s="9">
        <v>4</v>
      </c>
      <c r="B11" s="8" t="str">
        <f t="shared" si="1"/>
        <v>生管組</v>
      </c>
      <c r="C11" s="8" t="str">
        <f t="shared" si="2"/>
        <v>組員</v>
      </c>
      <c r="D11" s="8" t="str">
        <f t="shared" si="3"/>
        <v>張文俐</v>
      </c>
      <c r="E11" s="70"/>
      <c r="F11" s="65"/>
      <c r="G11" s="10"/>
      <c r="H11" s="2" t="str">
        <f>IF($L11="","",MAX($H$1:$H10)+1)</f>
        <v/>
      </c>
      <c r="K11" s="1"/>
      <c r="N11" s="3" t="str">
        <f t="shared" si="0"/>
        <v>吳仁隆,吳佳靜,林佩宜</v>
      </c>
    </row>
    <row r="12" spans="1:15" ht="29.25" customHeight="1" x14ac:dyDescent="0.3">
      <c r="A12" s="9">
        <v>5</v>
      </c>
      <c r="B12" s="8" t="str">
        <f t="shared" si="1"/>
        <v>技術課</v>
      </c>
      <c r="C12" s="8" t="str">
        <f t="shared" si="2"/>
        <v>工程師</v>
      </c>
      <c r="D12" s="8" t="str">
        <f t="shared" si="3"/>
        <v>何沐桐</v>
      </c>
      <c r="E12" s="70"/>
      <c r="F12" s="65"/>
      <c r="G12" s="10"/>
      <c r="H12" s="2">
        <f>IF($L12="","",MAX($H$1:$H11)+1)</f>
        <v>4</v>
      </c>
      <c r="I12" s="1" t="s">
        <v>48</v>
      </c>
      <c r="J12" s="1" t="s">
        <v>44</v>
      </c>
      <c r="K12" s="1" t="s">
        <v>62</v>
      </c>
      <c r="L12" s="2">
        <v>0</v>
      </c>
      <c r="N12" s="3" t="str">
        <f t="shared" si="0"/>
        <v>吳仁隆,吳佳靜,林佩宜,張文俐</v>
      </c>
    </row>
    <row r="13" spans="1:15" ht="29.25" customHeight="1" x14ac:dyDescent="0.3">
      <c r="A13" s="9">
        <v>6</v>
      </c>
      <c r="B13" s="8" t="str">
        <f t="shared" si="1"/>
        <v>技術課</v>
      </c>
      <c r="C13" s="8" t="str">
        <f t="shared" si="2"/>
        <v>工程師</v>
      </c>
      <c r="D13" s="8" t="str">
        <f t="shared" si="3"/>
        <v>高志宏</v>
      </c>
      <c r="E13" s="70"/>
      <c r="F13" s="65"/>
      <c r="G13" s="10"/>
      <c r="H13" s="2" t="str">
        <f>IF($L13="","",MAX($H$1:$H12)+1)</f>
        <v/>
      </c>
      <c r="I13" s="1" t="s">
        <v>48</v>
      </c>
      <c r="J13" s="1" t="s">
        <v>44</v>
      </c>
      <c r="K13" s="1" t="s">
        <v>60</v>
      </c>
      <c r="N13" s="3" t="str">
        <f t="shared" si="0"/>
        <v>吳仁隆,吳佳靜,林佩宜,張文俐</v>
      </c>
    </row>
    <row r="14" spans="1:15" ht="29.25" customHeight="1" x14ac:dyDescent="0.3">
      <c r="A14" s="9">
        <v>7</v>
      </c>
      <c r="B14" s="8" t="str">
        <f t="shared" si="1"/>
        <v>文管中心</v>
      </c>
      <c r="C14" s="8" t="str">
        <f t="shared" si="2"/>
        <v>負責人</v>
      </c>
      <c r="D14" s="8" t="str">
        <f t="shared" si="3"/>
        <v>葉卿雅</v>
      </c>
      <c r="E14" s="70"/>
      <c r="F14" s="65"/>
      <c r="G14" s="10"/>
      <c r="H14" s="2" t="str">
        <f>IF($L14="","",MAX($H$1:$H13)+1)</f>
        <v/>
      </c>
      <c r="K14" s="1"/>
      <c r="N14" s="3" t="str">
        <f t="shared" si="0"/>
        <v>吳仁隆,吳佳靜,林佩宜,張文俐</v>
      </c>
    </row>
    <row r="15" spans="1:15" ht="29.25" customHeight="1" x14ac:dyDescent="0.3">
      <c r="A15" s="9">
        <v>8</v>
      </c>
      <c r="B15" s="8" t="str">
        <f t="shared" si="1"/>
        <v/>
      </c>
      <c r="C15" s="8" t="str">
        <f t="shared" si="2"/>
        <v/>
      </c>
      <c r="D15" s="8" t="str">
        <f t="shared" si="3"/>
        <v/>
      </c>
      <c r="E15" s="70"/>
      <c r="F15" s="65"/>
      <c r="G15" s="10"/>
      <c r="H15" s="2" t="str">
        <f>IF($L15="","",MAX($H$1:$H14)+1)</f>
        <v/>
      </c>
      <c r="I15" s="1" t="s">
        <v>49</v>
      </c>
      <c r="J15" s="1" t="s">
        <v>44</v>
      </c>
      <c r="K15" s="1" t="s">
        <v>50</v>
      </c>
      <c r="N15" s="3" t="str">
        <f t="shared" si="0"/>
        <v>吳仁隆,吳佳靜,林佩宜,張文俐</v>
      </c>
    </row>
    <row r="16" spans="1:15" ht="29.25" customHeight="1" x14ac:dyDescent="0.3">
      <c r="A16" s="9">
        <v>9</v>
      </c>
      <c r="B16" s="8" t="str">
        <f t="shared" si="1"/>
        <v/>
      </c>
      <c r="C16" s="8" t="str">
        <f t="shared" si="2"/>
        <v/>
      </c>
      <c r="D16" s="8" t="str">
        <f t="shared" si="3"/>
        <v/>
      </c>
      <c r="E16" s="70"/>
      <c r="F16" s="65"/>
      <c r="G16" s="10"/>
      <c r="H16" s="2" t="str">
        <f>IF($L16="","",MAX($H$1:$H15)+1)</f>
        <v/>
      </c>
      <c r="I16" s="1" t="s">
        <v>49</v>
      </c>
      <c r="J16" s="1" t="s">
        <v>44</v>
      </c>
      <c r="K16" s="1" t="s">
        <v>61</v>
      </c>
      <c r="N16" s="3" t="str">
        <f t="shared" si="0"/>
        <v>吳仁隆,吳佳靜,林佩宜,張文俐</v>
      </c>
    </row>
    <row r="17" spans="1:14" ht="29.25" customHeight="1" x14ac:dyDescent="0.3">
      <c r="A17" s="9">
        <v>10</v>
      </c>
      <c r="B17" s="8" t="str">
        <f t="shared" si="1"/>
        <v/>
      </c>
      <c r="C17" s="8" t="str">
        <f t="shared" si="2"/>
        <v/>
      </c>
      <c r="D17" s="8" t="str">
        <f t="shared" si="3"/>
        <v/>
      </c>
      <c r="E17" s="70"/>
      <c r="F17" s="65"/>
      <c r="G17" s="10"/>
      <c r="H17" s="2">
        <f>IF($L17="","",MAX($H$1:$H16)+1)</f>
        <v>5</v>
      </c>
      <c r="I17" s="1" t="s">
        <v>51</v>
      </c>
      <c r="J17" s="1" t="s">
        <v>52</v>
      </c>
      <c r="K17" s="1" t="s">
        <v>8</v>
      </c>
      <c r="L17" s="2">
        <v>0</v>
      </c>
      <c r="N17" s="3" t="str">
        <f>IF($L17="",$N18,IF($H17=1,$K17,$N18&amp;","&amp;$K17))</f>
        <v>吳仁隆,吳佳靜,林佩宜,張文俐,高志宏,何沐桐</v>
      </c>
    </row>
    <row r="18" spans="1:14" ht="29.25" customHeight="1" x14ac:dyDescent="0.3">
      <c r="A18" s="9">
        <v>11</v>
      </c>
      <c r="B18" s="8" t="str">
        <f t="shared" si="1"/>
        <v/>
      </c>
      <c r="C18" s="8" t="str">
        <f t="shared" si="2"/>
        <v/>
      </c>
      <c r="D18" s="8" t="str">
        <f t="shared" si="3"/>
        <v/>
      </c>
      <c r="E18" s="70"/>
      <c r="F18" s="65"/>
      <c r="G18" s="10"/>
      <c r="H18" s="2">
        <f>IF($L18="","",MAX($H$1:$H17)+1)</f>
        <v>6</v>
      </c>
      <c r="I18" s="1" t="s">
        <v>51</v>
      </c>
      <c r="J18" s="1" t="s">
        <v>52</v>
      </c>
      <c r="K18" s="1" t="s">
        <v>64</v>
      </c>
      <c r="L18" s="2">
        <v>0</v>
      </c>
      <c r="N18" s="3" t="str">
        <f>IF($L18="",$N16,IF($H18=1,$K18,$N16&amp;","&amp;$K18))</f>
        <v>吳仁隆,吳佳靜,林佩宜,張文俐,高志宏</v>
      </c>
    </row>
    <row r="19" spans="1:14" ht="29.25" customHeight="1" x14ac:dyDescent="0.3">
      <c r="A19" s="9">
        <v>12</v>
      </c>
      <c r="B19" s="8" t="str">
        <f t="shared" si="1"/>
        <v/>
      </c>
      <c r="C19" s="8" t="str">
        <f t="shared" si="2"/>
        <v/>
      </c>
      <c r="D19" s="8" t="str">
        <f t="shared" si="3"/>
        <v/>
      </c>
      <c r="E19" s="70"/>
      <c r="F19" s="65"/>
      <c r="G19" s="10"/>
      <c r="H19" s="2">
        <f>IF($L19="","",MAX($H$1:$H18)+1)</f>
        <v>7</v>
      </c>
      <c r="I19" s="1" t="s">
        <v>53</v>
      </c>
      <c r="J19" s="1" t="s">
        <v>12</v>
      </c>
      <c r="K19" s="1" t="s">
        <v>54</v>
      </c>
      <c r="L19" s="2">
        <v>0</v>
      </c>
      <c r="N19" s="3" t="str">
        <f>IF($L19="",$N17,IF($H19=1,$K19,$N17&amp;","&amp;$K19))</f>
        <v>吳仁隆,吳佳靜,林佩宜,張文俐,高志宏,何沐桐,葉卿雅</v>
      </c>
    </row>
    <row r="20" spans="1:14" ht="29.25" customHeight="1" x14ac:dyDescent="0.3">
      <c r="A20" s="9">
        <v>13</v>
      </c>
      <c r="B20" s="8" t="str">
        <f t="shared" si="1"/>
        <v/>
      </c>
      <c r="C20" s="8" t="str">
        <f t="shared" si="2"/>
        <v/>
      </c>
      <c r="D20" s="8" t="str">
        <f t="shared" si="3"/>
        <v/>
      </c>
      <c r="E20" s="70"/>
      <c r="F20" s="65"/>
      <c r="G20" s="10"/>
      <c r="H20" s="2" t="str">
        <f>IF($L20="","",MAX($H$1:$H19)+1)</f>
        <v/>
      </c>
      <c r="K20" s="1"/>
    </row>
    <row r="21" spans="1:14" ht="29.25" customHeight="1" x14ac:dyDescent="0.3">
      <c r="A21" s="9">
        <v>14</v>
      </c>
      <c r="B21" s="8" t="str">
        <f t="shared" si="1"/>
        <v/>
      </c>
      <c r="C21" s="8" t="str">
        <f t="shared" si="2"/>
        <v/>
      </c>
      <c r="D21" s="8" t="str">
        <f t="shared" si="3"/>
        <v/>
      </c>
      <c r="E21" s="70"/>
      <c r="F21" s="65"/>
      <c r="G21" s="10"/>
      <c r="H21" s="2" t="str">
        <f>IF($L21="","",MAX($H$1:$H20)+1)</f>
        <v/>
      </c>
    </row>
    <row r="22" spans="1:14" ht="29.25" customHeight="1" x14ac:dyDescent="0.3">
      <c r="A22" s="9">
        <v>15</v>
      </c>
      <c r="B22" s="8" t="str">
        <f t="shared" si="1"/>
        <v/>
      </c>
      <c r="C22" s="8" t="str">
        <f t="shared" si="2"/>
        <v/>
      </c>
      <c r="D22" s="8" t="str">
        <f t="shared" si="3"/>
        <v/>
      </c>
      <c r="E22" s="70"/>
      <c r="F22" s="65"/>
      <c r="G22" s="10"/>
      <c r="H22" s="2" t="str">
        <f>IF($L22="","",MAX($H$1:$H21)+1)</f>
        <v/>
      </c>
    </row>
    <row r="23" spans="1:14" ht="29.25" customHeight="1" x14ac:dyDescent="0.3">
      <c r="A23" s="9">
        <v>16</v>
      </c>
      <c r="B23" s="8" t="str">
        <f t="shared" si="1"/>
        <v/>
      </c>
      <c r="C23" s="8" t="str">
        <f t="shared" si="2"/>
        <v/>
      </c>
      <c r="D23" s="8" t="str">
        <f t="shared" si="3"/>
        <v/>
      </c>
      <c r="E23" s="70"/>
      <c r="F23" s="65"/>
      <c r="G23" s="10"/>
      <c r="H23" s="2" t="str">
        <f>IF($L23="","",MAX($H$1:$H22)+1)</f>
        <v/>
      </c>
    </row>
    <row r="24" spans="1:14" ht="29.25" customHeight="1" x14ac:dyDescent="0.3">
      <c r="A24" s="9">
        <v>17</v>
      </c>
      <c r="B24" s="8" t="str">
        <f t="shared" si="1"/>
        <v/>
      </c>
      <c r="C24" s="8" t="str">
        <f t="shared" si="2"/>
        <v/>
      </c>
      <c r="D24" s="8" t="str">
        <f t="shared" si="3"/>
        <v/>
      </c>
      <c r="E24" s="70"/>
      <c r="F24" s="65"/>
      <c r="G24" s="10"/>
      <c r="H24" s="2" t="str">
        <f>IF($L24="","",MAX($H$1:$H23)+1)</f>
        <v/>
      </c>
    </row>
    <row r="25" spans="1:14" ht="29.25" customHeight="1" x14ac:dyDescent="0.3">
      <c r="A25" s="9">
        <v>18</v>
      </c>
      <c r="B25" s="8" t="str">
        <f t="shared" si="1"/>
        <v/>
      </c>
      <c r="C25" s="8" t="str">
        <f t="shared" si="2"/>
        <v/>
      </c>
      <c r="D25" s="8" t="str">
        <f t="shared" si="3"/>
        <v/>
      </c>
      <c r="E25" s="70"/>
      <c r="F25" s="65"/>
      <c r="G25" s="10"/>
      <c r="H25" s="2" t="str">
        <f>IF($L25="","",MAX($H$1:$H24)+1)</f>
        <v/>
      </c>
    </row>
    <row r="26" spans="1:14" ht="29.25" customHeight="1" x14ac:dyDescent="0.3">
      <c r="A26" s="9">
        <v>19</v>
      </c>
      <c r="B26" s="8" t="str">
        <f t="shared" si="1"/>
        <v/>
      </c>
      <c r="C26" s="8" t="str">
        <f t="shared" si="2"/>
        <v/>
      </c>
      <c r="D26" s="8" t="str">
        <f t="shared" si="3"/>
        <v/>
      </c>
      <c r="E26" s="70"/>
      <c r="F26" s="65"/>
      <c r="G26" s="10"/>
      <c r="H26" s="2" t="str">
        <f>IF($L26="","",MAX($H$1:$H25)+1)</f>
        <v/>
      </c>
    </row>
    <row r="27" spans="1:14" x14ac:dyDescent="0.3">
      <c r="A27" s="11"/>
      <c r="B27" s="11"/>
      <c r="C27" s="11"/>
      <c r="D27" s="11"/>
      <c r="E27" s="11"/>
      <c r="F27" s="11"/>
      <c r="G27" s="12" t="s">
        <v>55</v>
      </c>
      <c r="H27" s="2" t="str">
        <f>IF($L27="","",MAX($H$1:$H26)+1)</f>
        <v/>
      </c>
    </row>
    <row r="28" spans="1:14" x14ac:dyDescent="0.3">
      <c r="H28" s="2" t="str">
        <f>IF($L28="","",MAX($H$1:$H27)+1)</f>
        <v/>
      </c>
    </row>
    <row r="29" spans="1:14" x14ac:dyDescent="0.3">
      <c r="H29" s="2" t="str">
        <f>IF($L29="","",MAX($H$1:$H28)+1)</f>
        <v/>
      </c>
    </row>
    <row r="30" spans="1:14" x14ac:dyDescent="0.3">
      <c r="H30" s="2" t="str">
        <f>IF($L30="","",MAX($H$1:$H29)+1)</f>
        <v/>
      </c>
    </row>
  </sheetData>
  <mergeCells count="26">
    <mergeCell ref="E22:F22"/>
    <mergeCell ref="E23:F23"/>
    <mergeCell ref="E24:F24"/>
    <mergeCell ref="E25:F25"/>
    <mergeCell ref="E26:F26"/>
    <mergeCell ref="E17:F17"/>
    <mergeCell ref="E18:F18"/>
    <mergeCell ref="E19:F19"/>
    <mergeCell ref="E20:F20"/>
    <mergeCell ref="E21:F21"/>
    <mergeCell ref="E12:F12"/>
    <mergeCell ref="E13:F13"/>
    <mergeCell ref="E14:F14"/>
    <mergeCell ref="E15:F15"/>
    <mergeCell ref="E16:F16"/>
    <mergeCell ref="E7:F7"/>
    <mergeCell ref="E8:F8"/>
    <mergeCell ref="E9:F9"/>
    <mergeCell ref="E10:F10"/>
    <mergeCell ref="E11:F11"/>
    <mergeCell ref="A1:G1"/>
    <mergeCell ref="A2:G2"/>
    <mergeCell ref="B4:G4"/>
    <mergeCell ref="C5:G5"/>
    <mergeCell ref="B6:D6"/>
    <mergeCell ref="F6:G6"/>
  </mergeCells>
  <phoneticPr fontId="15" type="noConversion"/>
  <printOptions horizontalCentered="1"/>
  <pageMargins left="0.23611111111111099" right="0.23611111111111099" top="0.74791666666666701" bottom="0.74791666666666701" header="0.31458333333333299" footer="0.31458333333333299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3</vt:i4>
      </vt:variant>
    </vt:vector>
  </HeadingPairs>
  <TitlesOfParts>
    <vt:vector size="5" baseType="lpstr">
      <vt:lpstr>會議紀錄</vt:lpstr>
      <vt:lpstr>簽到表</vt:lpstr>
      <vt:lpstr>會議紀錄!Print_Area</vt:lpstr>
      <vt:lpstr>簽到表!Print_Area</vt:lpstr>
      <vt:lpstr>會議紀錄!Print_Titles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Ellen H</cp:lastModifiedBy>
  <cp:lastPrinted>2026-04-29T06:34:19Z</cp:lastPrinted>
  <dcterms:created xsi:type="dcterms:W3CDTF">2006-09-16T00:00:00Z</dcterms:created>
  <dcterms:modified xsi:type="dcterms:W3CDTF">2026-04-29T06:34:22Z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  <property fmtid="{D5CDD505-2E9C-101B-9397-08002B2CF9AE}" pid="3" name="WorkbookGuid">
    <vt:lpwstr>93c7aa53-512b-4473-9298-da80150ae958</vt:lpwstr>
  </property>
</Properties>
</file>