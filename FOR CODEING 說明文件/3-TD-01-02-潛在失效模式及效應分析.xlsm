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ThisWorkbook" defaultThemeVersion="124226"/>
  <xr:revisionPtr revIDLastSave="0" documentId="13_ncr:1_{466CF977-6155-478C-B793-E98D1AA42824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PFMEA" sheetId="1" r:id="rId1"/>
    <sheet name="製作表單" sheetId="9" r:id="rId2"/>
    <sheet name="工作表1" sheetId="10" r:id="rId3"/>
    <sheet name="資料庫" sheetId="2" r:id="rId4"/>
    <sheet name="項目異常" sheetId="4" r:id="rId5"/>
    <sheet name="嚴重度 (S)" sheetId="5" r:id="rId6"/>
    <sheet name="發生率 (O)" sheetId="6" r:id="rId7"/>
    <sheet name="偵測度 (D)" sheetId="7" r:id="rId8"/>
    <sheet name="R.P.N值" sheetId="8" r:id="rId9"/>
  </sheets>
  <definedNames>
    <definedName name="_xlnm._FilterDatabase" localSheetId="2" hidden="1">工作表1!$A$1:$H$142</definedName>
    <definedName name="_xlnm._FilterDatabase" localSheetId="4" hidden="1">項目異常!$A$1:$Q$1</definedName>
    <definedName name="_xlnm._FilterDatabase" localSheetId="3" hidden="1">資料庫!$D$1:$J$87</definedName>
    <definedName name="_xlnm.Print_Area" localSheetId="0">PFMEA!$D$1:$X$25</definedName>
    <definedName name="文件日期基準">製作表單!$F$1</definedName>
    <definedName name="要求基準">製作表單!$N$1</definedName>
    <definedName name="控制偵測">資料庫!$B$16:$B$24</definedName>
    <definedName name="控制預防">資料庫!$A$16:$A$17</definedName>
    <definedName name="製程">資料庫!$E$2:INDEX(資料庫!$E:$E,COUNTA(資料庫!$E:$E))</definedName>
    <definedName name="製程基準">資料庫!$E$1</definedName>
    <definedName name="潛在失效模式">INDIRECT("F"&amp;MATCH(資料庫!$D19,製程,0),TRUE):INDIRECT("I"&amp;MATCH(資料庫!$D19,製程,0),TRUE)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" l="1"/>
  <c r="F13" i="1"/>
  <c r="F9" i="1"/>
  <c r="F5" i="1"/>
  <c r="P2" i="1"/>
  <c r="O14" i="9" l="1"/>
  <c r="O15" i="9"/>
  <c r="O17" i="9"/>
  <c r="O18" i="9"/>
  <c r="O19" i="9"/>
  <c r="O22" i="9"/>
  <c r="O32" i="9"/>
  <c r="O25" i="9"/>
  <c r="O26" i="9"/>
  <c r="O27" i="9"/>
  <c r="O34" i="9"/>
  <c r="O38" i="9"/>
  <c r="O40" i="9"/>
  <c r="O41" i="9"/>
  <c r="O44" i="9"/>
  <c r="O24" i="9"/>
  <c r="O45" i="9"/>
  <c r="O46" i="9"/>
  <c r="C22" i="1"/>
  <c r="E22" i="1" s="1"/>
  <c r="G22" i="1" l="1"/>
  <c r="S22" i="1"/>
  <c r="T22" i="1"/>
  <c r="P48" i="9"/>
  <c r="P49" i="9"/>
  <c r="P50" i="9"/>
  <c r="P28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47" i="9"/>
  <c r="O3" i="9"/>
  <c r="O4" i="9"/>
  <c r="O5" i="9"/>
  <c r="O6" i="9"/>
  <c r="O7" i="9"/>
  <c r="O8" i="9"/>
  <c r="O9" i="9"/>
  <c r="O10" i="9"/>
  <c r="O11" i="9"/>
  <c r="O12" i="9"/>
  <c r="O13" i="9"/>
  <c r="O2" i="9"/>
  <c r="W22" i="1" l="1"/>
  <c r="V22" i="1"/>
  <c r="U22" i="1"/>
  <c r="O119" i="4"/>
  <c r="O120" i="4"/>
  <c r="O121" i="4"/>
  <c r="Q122" i="4"/>
  <c r="O124" i="4"/>
  <c r="O126" i="4"/>
  <c r="O127" i="4"/>
  <c r="O128" i="4"/>
  <c r="O130" i="4"/>
  <c r="O131" i="4"/>
  <c r="Q134" i="4"/>
  <c r="O135" i="4"/>
  <c r="Q135" i="4" s="1"/>
  <c r="O136" i="4"/>
  <c r="O137" i="4"/>
  <c r="O138" i="4"/>
  <c r="Q138" i="4" s="1"/>
  <c r="O139" i="4"/>
  <c r="Q139" i="4" s="1"/>
  <c r="O140" i="4"/>
  <c r="O141" i="4"/>
  <c r="O142" i="4"/>
  <c r="O143" i="4"/>
  <c r="Q143" i="4" s="1"/>
  <c r="O144" i="4"/>
  <c r="O145" i="4"/>
  <c r="O146" i="4"/>
  <c r="Q146" i="4" s="1"/>
  <c r="O117" i="4"/>
  <c r="Q18" i="4"/>
  <c r="P19" i="4"/>
  <c r="Q19" i="4" s="1"/>
  <c r="P20" i="4"/>
  <c r="P21" i="4"/>
  <c r="Q21" i="4" s="1"/>
  <c r="P22" i="4"/>
  <c r="Q23" i="4"/>
  <c r="P23" i="4"/>
  <c r="P24" i="4"/>
  <c r="Q24" i="4" s="1"/>
  <c r="P25" i="4"/>
  <c r="Q25" i="4" s="1"/>
  <c r="P26" i="4"/>
  <c r="P27" i="4"/>
  <c r="Q27" i="4" s="1"/>
  <c r="O28" i="4"/>
  <c r="P28" i="4"/>
  <c r="P29" i="4"/>
  <c r="Q29" i="4" s="1"/>
  <c r="P30" i="4"/>
  <c r="Q30" i="4" s="1"/>
  <c r="O35" i="4"/>
  <c r="P35" i="4"/>
  <c r="Q35" i="4" s="1"/>
  <c r="P36" i="4"/>
  <c r="P37" i="4"/>
  <c r="P38" i="4"/>
  <c r="Q39" i="4"/>
  <c r="P39" i="4"/>
  <c r="P40" i="4"/>
  <c r="P41" i="4"/>
  <c r="Q41" i="4" s="1"/>
  <c r="P42" i="4"/>
  <c r="P43" i="4"/>
  <c r="Q43" i="4" s="1"/>
  <c r="P44" i="4"/>
  <c r="P45" i="4"/>
  <c r="P46" i="4"/>
  <c r="P47" i="4"/>
  <c r="P48" i="4"/>
  <c r="P49" i="4"/>
  <c r="P50" i="4"/>
  <c r="P51" i="4"/>
  <c r="Q51" i="4" s="1"/>
  <c r="P52" i="4"/>
  <c r="P53" i="4"/>
  <c r="Q54" i="4"/>
  <c r="P54" i="4"/>
  <c r="P55" i="4"/>
  <c r="P56" i="4"/>
  <c r="Q56" i="4" s="1"/>
  <c r="O57" i="4"/>
  <c r="P57" i="4"/>
  <c r="Q57" i="4" s="1"/>
  <c r="O58" i="4"/>
  <c r="P58" i="4"/>
  <c r="O59" i="4"/>
  <c r="P59" i="4"/>
  <c r="Q59" i="4" s="1"/>
  <c r="O60" i="4"/>
  <c r="P60" i="4"/>
  <c r="O61" i="4"/>
  <c r="P61" i="4"/>
  <c r="P62" i="4"/>
  <c r="Q63" i="4"/>
  <c r="P63" i="4"/>
  <c r="P64" i="4"/>
  <c r="P65" i="4"/>
  <c r="P66" i="4"/>
  <c r="P67" i="4"/>
  <c r="P68" i="4"/>
  <c r="O69" i="4"/>
  <c r="P69" i="4"/>
  <c r="P70" i="4"/>
  <c r="Q71" i="4"/>
  <c r="P71" i="4"/>
  <c r="P72" i="4"/>
  <c r="P73" i="4"/>
  <c r="Q73" i="4" s="1"/>
  <c r="O74" i="4"/>
  <c r="P74" i="4"/>
  <c r="P75" i="4"/>
  <c r="Q75" i="4" s="1"/>
  <c r="P76" i="4"/>
  <c r="P77" i="4"/>
  <c r="Q78" i="4"/>
  <c r="O79" i="4"/>
  <c r="Q79" i="4" s="1"/>
  <c r="P79" i="4"/>
  <c r="P80" i="4"/>
  <c r="P81" i="4"/>
  <c r="P82" i="4"/>
  <c r="P83" i="4"/>
  <c r="Q83" i="4" s="1"/>
  <c r="P84" i="4"/>
  <c r="P85" i="4"/>
  <c r="Q87" i="4"/>
  <c r="P88" i="4"/>
  <c r="P89" i="4"/>
  <c r="Q89" i="4" s="1"/>
  <c r="P90" i="4"/>
  <c r="P91" i="4"/>
  <c r="Q91" i="4" s="1"/>
  <c r="O92" i="4"/>
  <c r="Q92" i="4"/>
  <c r="P93" i="4"/>
  <c r="P94" i="4"/>
  <c r="O95" i="4"/>
  <c r="Q95" i="4" s="1"/>
  <c r="P95" i="4"/>
  <c r="P96" i="4"/>
  <c r="P97" i="4"/>
  <c r="P98" i="4"/>
  <c r="P99" i="4"/>
  <c r="Q99" i="4" s="1"/>
  <c r="O100" i="4"/>
  <c r="Q100" i="4"/>
  <c r="P101" i="4"/>
  <c r="P102" i="4"/>
  <c r="P103" i="4"/>
  <c r="P104" i="4"/>
  <c r="Q104" i="4" s="1"/>
  <c r="P105" i="4"/>
  <c r="Q105" i="4" s="1"/>
  <c r="P106" i="4"/>
  <c r="P107" i="4"/>
  <c r="Q107" i="4" s="1"/>
  <c r="P108" i="4"/>
  <c r="P109" i="4"/>
  <c r="O110" i="4"/>
  <c r="P110" i="4"/>
  <c r="Q111" i="4"/>
  <c r="P111" i="4"/>
  <c r="P112" i="4"/>
  <c r="P113" i="4"/>
  <c r="P114" i="4"/>
  <c r="P115" i="4"/>
  <c r="Q115" i="4" s="1"/>
  <c r="P116" i="4"/>
  <c r="P117" i="4"/>
  <c r="P118" i="4"/>
  <c r="Q119" i="4"/>
  <c r="P119" i="4"/>
  <c r="P120" i="4"/>
  <c r="P121" i="4"/>
  <c r="P122" i="4"/>
  <c r="P123" i="4"/>
  <c r="Q124" i="4"/>
  <c r="P126" i="4"/>
  <c r="Q127" i="4"/>
  <c r="P127" i="4"/>
  <c r="P128" i="4"/>
  <c r="P129" i="4"/>
  <c r="P130" i="4"/>
  <c r="P131" i="4"/>
  <c r="Q131" i="4" s="1"/>
  <c r="Q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Q147" i="4"/>
  <c r="Q148" i="4"/>
  <c r="P149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Q48" i="4" s="1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Q64" i="4" s="1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Q80" i="4" s="1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Q96" i="4" s="1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7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20" i="4"/>
  <c r="Q22" i="4"/>
  <c r="Q26" i="4"/>
  <c r="Q28" i="4"/>
  <c r="Q34" i="4"/>
  <c r="Q36" i="4"/>
  <c r="Q37" i="4"/>
  <c r="Q38" i="4"/>
  <c r="Q40" i="4"/>
  <c r="Q42" i="4"/>
  <c r="Q44" i="4"/>
  <c r="Q45" i="4"/>
  <c r="Q46" i="4"/>
  <c r="Q47" i="4"/>
  <c r="Q50" i="4"/>
  <c r="Q52" i="4"/>
  <c r="Q53" i="4"/>
  <c r="Q58" i="4"/>
  <c r="Q60" i="4"/>
  <c r="Q61" i="4"/>
  <c r="Q62" i="4"/>
  <c r="Q66" i="4"/>
  <c r="Q67" i="4"/>
  <c r="Q68" i="4"/>
  <c r="Q69" i="4"/>
  <c r="Q70" i="4"/>
  <c r="Q72" i="4"/>
  <c r="Q74" i="4"/>
  <c r="Q76" i="4"/>
  <c r="Q77" i="4"/>
  <c r="Q82" i="4"/>
  <c r="Q84" i="4"/>
  <c r="Q85" i="4"/>
  <c r="Q86" i="4"/>
  <c r="Q88" i="4"/>
  <c r="Q90" i="4"/>
  <c r="Q93" i="4"/>
  <c r="Q94" i="4"/>
  <c r="Q98" i="4"/>
  <c r="Q101" i="4"/>
  <c r="Q102" i="4"/>
  <c r="Q103" i="4"/>
  <c r="Q106" i="4"/>
  <c r="Q108" i="4"/>
  <c r="Q109" i="4"/>
  <c r="Q110" i="4"/>
  <c r="Q114" i="4"/>
  <c r="Q116" i="4"/>
  <c r="Q117" i="4"/>
  <c r="Q118" i="4"/>
  <c r="Q125" i="4"/>
  <c r="Q126" i="4"/>
  <c r="Q130" i="4"/>
  <c r="Q132" i="4"/>
  <c r="Q140" i="4"/>
  <c r="Q141" i="4"/>
  <c r="Q142" i="4"/>
  <c r="Q149" i="4"/>
  <c r="Q150" i="4"/>
  <c r="Q2" i="4"/>
  <c r="C20" i="1"/>
  <c r="C21" i="1"/>
  <c r="C23" i="1"/>
  <c r="C24" i="1"/>
  <c r="C25" i="1"/>
  <c r="C19" i="1"/>
  <c r="R22" i="1"/>
  <c r="E25" i="1" l="1"/>
  <c r="G25" i="1"/>
  <c r="E24" i="1"/>
  <c r="G24" i="1"/>
  <c r="E23" i="1"/>
  <c r="G23" i="1"/>
  <c r="E21" i="1"/>
  <c r="G21" i="1"/>
  <c r="E20" i="1"/>
  <c r="G20" i="1"/>
  <c r="E19" i="1"/>
  <c r="G19" i="1"/>
  <c r="Q32" i="4"/>
  <c r="Q123" i="4"/>
  <c r="Q136" i="4"/>
  <c r="Q144" i="4"/>
  <c r="Q121" i="4"/>
  <c r="Q120" i="4"/>
  <c r="Q137" i="4"/>
  <c r="Q128" i="4"/>
  <c r="Q112" i="4"/>
  <c r="Q55" i="4"/>
  <c r="Q145" i="4"/>
  <c r="Q129" i="4"/>
  <c r="Q113" i="4"/>
  <c r="Q97" i="4"/>
  <c r="Q81" i="4"/>
  <c r="Q65" i="4"/>
  <c r="Q49" i="4"/>
  <c r="Q33" i="4"/>
  <c r="Q31" i="4"/>
  <c r="Q17" i="4"/>
  <c r="X22" i="1"/>
  <c r="T25" i="1" l="1"/>
  <c r="S25" i="1"/>
  <c r="S19" i="1"/>
  <c r="T19" i="1"/>
  <c r="S20" i="1"/>
  <c r="T20" i="1"/>
  <c r="S21" i="1"/>
  <c r="T21" i="1"/>
  <c r="T23" i="1"/>
  <c r="S23" i="1"/>
  <c r="T24" i="1"/>
  <c r="S24" i="1"/>
  <c r="W25" i="1"/>
  <c r="V25" i="1"/>
  <c r="U25" i="1"/>
  <c r="R25" i="1"/>
  <c r="W24" i="1"/>
  <c r="V24" i="1"/>
  <c r="U24" i="1"/>
  <c r="R24" i="1"/>
  <c r="V20" i="1"/>
  <c r="R19" i="1"/>
  <c r="R20" i="1"/>
  <c r="U20" i="1"/>
  <c r="W20" i="1"/>
  <c r="R23" i="1"/>
  <c r="W23" i="1"/>
  <c r="V23" i="1"/>
  <c r="U23" i="1"/>
  <c r="U21" i="1"/>
  <c r="R21" i="1"/>
  <c r="V21" i="1"/>
  <c r="W21" i="1"/>
  <c r="L19" i="1"/>
  <c r="J19" i="1"/>
  <c r="W19" i="1"/>
  <c r="U19" i="1"/>
  <c r="V19" i="1"/>
  <c r="F19" i="1"/>
  <c r="I19" i="1"/>
  <c r="O19" i="1"/>
  <c r="P25" i="1"/>
  <c r="O25" i="1"/>
  <c r="N25" i="1"/>
  <c r="M25" i="1"/>
  <c r="L25" i="1"/>
  <c r="J25" i="1"/>
  <c r="H25" i="1"/>
  <c r="I25" i="1"/>
  <c r="F25" i="1"/>
  <c r="X25" i="1" l="1"/>
  <c r="X24" i="1"/>
  <c r="X20" i="1"/>
  <c r="X21" i="1"/>
  <c r="X23" i="1"/>
  <c r="X19" i="1"/>
  <c r="Q25" i="1"/>
  <c r="K25" i="1"/>
  <c r="N19" i="1"/>
  <c r="P19" i="1"/>
  <c r="H19" i="1"/>
  <c r="M19" i="1"/>
  <c r="K19" i="1" l="1"/>
  <c r="O20" i="1"/>
  <c r="P20" i="1"/>
  <c r="N20" i="1"/>
  <c r="L20" i="1"/>
  <c r="M20" i="1"/>
  <c r="J20" i="1"/>
  <c r="H20" i="1"/>
  <c r="I20" i="1"/>
  <c r="F20" i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2" i="4"/>
  <c r="Q20" i="1" l="1"/>
  <c r="K20" i="1"/>
  <c r="O24" i="1" l="1"/>
  <c r="M24" i="1"/>
  <c r="J24" i="1"/>
  <c r="H24" i="1"/>
  <c r="F24" i="1"/>
  <c r="P24" i="1"/>
  <c r="N24" i="1"/>
  <c r="L24" i="1"/>
  <c r="I24" i="1"/>
  <c r="O22" i="1" l="1"/>
  <c r="M22" i="1"/>
  <c r="J22" i="1"/>
  <c r="P22" i="1"/>
  <c r="N22" i="1"/>
  <c r="L22" i="1"/>
  <c r="H22" i="1"/>
  <c r="I22" i="1"/>
  <c r="F22" i="1"/>
  <c r="O23" i="1"/>
  <c r="M23" i="1"/>
  <c r="J23" i="1"/>
  <c r="H23" i="1"/>
  <c r="I23" i="1"/>
  <c r="F23" i="1"/>
  <c r="P23" i="1"/>
  <c r="N23" i="1"/>
  <c r="L23" i="1"/>
  <c r="O21" i="1"/>
  <c r="M21" i="1"/>
  <c r="J21" i="1"/>
  <c r="H21" i="1"/>
  <c r="I21" i="1"/>
  <c r="F21" i="1"/>
  <c r="P21" i="1"/>
  <c r="N21" i="1"/>
  <c r="L21" i="1"/>
  <c r="K24" i="1"/>
  <c r="Q24" i="1"/>
  <c r="Q19" i="1"/>
  <c r="Q23" i="1" l="1"/>
  <c r="K23" i="1"/>
  <c r="K21" i="1"/>
  <c r="Q21" i="1"/>
  <c r="K22" i="1"/>
  <c r="Q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作者: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應以「物理的」或「技術用語」描述，而非
以顧客觀察到的現象描述
</t>
        </r>
      </text>
    </comment>
    <comment ref="F1" authorId="0" shapeId="0" xr:uid="{00000000-0006-0000-0200-000002000000}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
1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細明體"/>
            <family val="3"/>
            <charset val="136"/>
          </rPr>
          <t>符合安全和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細明體"/>
            <family val="3"/>
            <charset val="136"/>
          </rPr>
          <t>或法規要求之失效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 xml:space="preserve">可能危害操作者
</t>
        </r>
        <r>
          <rPr>
            <sz val="9"/>
            <color indexed="81"/>
            <rFont val="Tahoma"/>
            <family val="2"/>
          </rPr>
          <t xml:space="preserve">    (</t>
        </r>
        <r>
          <rPr>
            <sz val="9"/>
            <color indexed="81"/>
            <rFont val="細明體"/>
            <family val="3"/>
            <charset val="136"/>
          </rPr>
          <t>機構或組裝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而無預警
</t>
        </r>
        <r>
          <rPr>
            <sz val="9"/>
            <color indexed="81"/>
            <rFont val="Tahoma"/>
            <family val="2"/>
          </rPr>
          <t xml:space="preserve">9  </t>
        </r>
        <r>
          <rPr>
            <sz val="9"/>
            <color indexed="81"/>
            <rFont val="細明體"/>
            <family val="3"/>
            <charset val="136"/>
          </rPr>
          <t xml:space="preserve">可能危害操作者
</t>
        </r>
        <r>
          <rPr>
            <sz val="9"/>
            <color indexed="81"/>
            <rFont val="Tahoma"/>
            <family val="2"/>
          </rPr>
          <t xml:space="preserve">    (</t>
        </r>
        <r>
          <rPr>
            <sz val="9"/>
            <color indexed="81"/>
            <rFont val="細明體"/>
            <family val="3"/>
            <charset val="136"/>
          </rPr>
          <t>機構或組裝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而有預警
</t>
        </r>
        <r>
          <rPr>
            <sz val="9"/>
            <color indexed="81"/>
            <rFont val="Tahoma"/>
            <family val="2"/>
          </rPr>
          <t xml:space="preserve">8 </t>
        </r>
        <r>
          <rPr>
            <sz val="9"/>
            <color indexed="81"/>
            <rFont val="細明體"/>
            <family val="3"/>
            <charset val="136"/>
          </rPr>
          <t>嚴重阻礙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產品可能必須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廢棄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生產線停止或出貨中止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 xml:space="preserve">失去主要功能產品無法正常運轉作動
</t>
        </r>
        <r>
          <rPr>
            <sz val="9"/>
            <color indexed="81"/>
            <rFont val="Tahoma"/>
            <family val="2"/>
          </rPr>
          <t xml:space="preserve">7 </t>
        </r>
        <r>
          <rPr>
            <sz val="9"/>
            <color indexed="81"/>
            <rFont val="細明體"/>
            <family val="3"/>
            <charset val="136"/>
          </rPr>
          <t>顯著阻礙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部分產品必須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 xml:space="preserve">廢棄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降低主要功能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產品可運轉作動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但精度有所降低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6 </t>
        </r>
        <r>
          <rPr>
            <sz val="9"/>
            <color indexed="81"/>
            <rFont val="細明體"/>
            <family val="3"/>
            <charset val="136"/>
          </rPr>
          <t>中等阻礙</t>
        </r>
        <r>
          <rPr>
            <sz val="9"/>
            <color indexed="81"/>
            <rFont val="Tahoma"/>
            <family val="2"/>
          </rPr>
          <t xml:space="preserve"> 100%</t>
        </r>
        <r>
          <rPr>
            <sz val="9"/>
            <color indexed="81"/>
            <rFont val="細明體"/>
            <family val="3"/>
            <charset val="136"/>
          </rPr>
          <t>生產中產品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必須線外重工和合格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失去次要功能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產品可運轉作動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但產品無法乘載正常載重量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5 </t>
        </r>
        <r>
          <rPr>
            <sz val="9"/>
            <color indexed="81"/>
            <rFont val="細明體"/>
            <family val="3"/>
            <charset val="136"/>
          </rPr>
          <t>部分生產中產品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必須線外重工和合格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降低次要功能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產品可運轉作動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但產品可乘載載重量降低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4 </t>
        </r>
        <r>
          <rPr>
            <sz val="9"/>
            <color indexed="81"/>
            <rFont val="細明體"/>
            <family val="3"/>
            <charset val="136"/>
          </rPr>
          <t>中等阻礙</t>
        </r>
        <r>
          <rPr>
            <sz val="9"/>
            <color indexed="81"/>
            <rFont val="Tahoma"/>
            <family val="2"/>
          </rPr>
          <t xml:space="preserve"> 100%</t>
        </r>
        <r>
          <rPr>
            <sz val="9"/>
            <color indexed="81"/>
            <rFont val="細明體"/>
            <family val="3"/>
            <charset val="136"/>
          </rPr>
          <t>生產中產品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必須於生產工站重工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外觀或可聽見噪音產品運轉作動大多數顧客會有感覺到不舒適</t>
        </r>
        <r>
          <rPr>
            <sz val="9"/>
            <color indexed="81"/>
            <rFont val="Tahoma"/>
            <family val="2"/>
          </rPr>
          <t>(&gt;75%)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細明體"/>
            <family val="3"/>
            <charset val="136"/>
          </rPr>
          <t>部分生產中產品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必須於生產工站重工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於投入生產前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外觀或可聽見噪音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產品運轉作動多數顧客會有感覺到不舒適</t>
        </r>
        <r>
          <rPr>
            <sz val="9"/>
            <color indexed="81"/>
            <rFont val="Tahoma"/>
            <family val="2"/>
          </rPr>
          <t>(50%)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細明體"/>
            <family val="3"/>
            <charset val="136"/>
          </rPr>
          <t>次要阻礙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在製程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操作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或對操作者有輕微不方便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>外觀或可聽見噪音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產品運轉作動顧客會有感覺到不舒適</t>
        </r>
        <r>
          <rPr>
            <sz val="9"/>
            <color indexed="81"/>
            <rFont val="Tahoma"/>
            <family val="2"/>
          </rPr>
          <t>(&lt;25%)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細明體"/>
            <family val="3"/>
            <charset val="136"/>
          </rPr>
          <t>無影響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 xml:space="preserve">無可辨別的影響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細明體"/>
            <family val="3"/>
            <charset val="136"/>
          </rPr>
          <t xml:space="preserve">無可辨別的影響
</t>
        </r>
        <r>
          <rPr>
            <sz val="9"/>
            <color indexed="81"/>
            <rFont val="Tahoma"/>
            <family val="2"/>
          </rPr>
          <t xml:space="preserve">  </t>
        </r>
      </text>
    </comment>
    <comment ref="H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10  </t>
        </r>
        <r>
          <rPr>
            <sz val="9"/>
            <color indexed="81"/>
            <rFont val="細明體"/>
            <family val="3"/>
            <charset val="136"/>
          </rPr>
          <t xml:space="preserve">很高 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≧</t>
        </r>
        <r>
          <rPr>
            <sz val="9"/>
            <color indexed="81"/>
            <rFont val="Tahoma"/>
            <family val="2"/>
          </rPr>
          <t>100/1,000</t>
        </r>
        <r>
          <rPr>
            <sz val="9"/>
            <color indexed="81"/>
            <rFont val="細明體"/>
            <family val="3"/>
            <charset val="136"/>
          </rPr>
          <t>或≧</t>
        </r>
        <r>
          <rPr>
            <sz val="9"/>
            <color indexed="81"/>
            <rFont val="Tahoma"/>
            <family val="2"/>
          </rPr>
          <t xml:space="preserve">1/10
09  </t>
        </r>
        <r>
          <rPr>
            <sz val="9"/>
            <color indexed="81"/>
            <rFont val="細明體"/>
            <family val="3"/>
            <charset val="136"/>
          </rPr>
          <t>高</t>
        </r>
        <r>
          <rPr>
            <sz val="9"/>
            <color indexed="81"/>
            <rFont val="Tahoma"/>
            <family val="2"/>
          </rPr>
          <t xml:space="preserve">       50/1,000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1/20
08  </t>
        </r>
        <r>
          <rPr>
            <sz val="9"/>
            <color indexed="81"/>
            <rFont val="細明體"/>
            <family val="3"/>
            <charset val="136"/>
          </rPr>
          <t xml:space="preserve">高    </t>
        </r>
        <r>
          <rPr>
            <sz val="9"/>
            <color indexed="81"/>
            <rFont val="Tahoma"/>
            <family val="2"/>
          </rPr>
          <t xml:space="preserve"> 20/1,000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1/50
07  </t>
        </r>
        <r>
          <rPr>
            <sz val="9"/>
            <color indexed="81"/>
            <rFont val="細明體"/>
            <family val="3"/>
            <charset val="136"/>
          </rPr>
          <t xml:space="preserve">高    </t>
        </r>
        <r>
          <rPr>
            <sz val="9"/>
            <color indexed="81"/>
            <rFont val="Tahoma"/>
            <family val="2"/>
          </rPr>
          <t xml:space="preserve"> 10/1,000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1/100
06  </t>
        </r>
        <r>
          <rPr>
            <sz val="9"/>
            <color indexed="81"/>
            <rFont val="細明體"/>
            <family val="3"/>
            <charset val="136"/>
          </rPr>
          <t xml:space="preserve">中等  </t>
        </r>
        <r>
          <rPr>
            <sz val="9"/>
            <color indexed="81"/>
            <rFont val="Tahoma"/>
            <family val="2"/>
          </rPr>
          <t xml:space="preserve"> 2/1,000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1/500
05  </t>
        </r>
        <r>
          <rPr>
            <sz val="9"/>
            <color indexed="81"/>
            <rFont val="細明體"/>
            <family val="3"/>
            <charset val="136"/>
          </rPr>
          <t xml:space="preserve">中等  </t>
        </r>
        <r>
          <rPr>
            <sz val="9"/>
            <color indexed="81"/>
            <rFont val="Tahoma"/>
            <family val="2"/>
          </rPr>
          <t xml:space="preserve"> 0.5/1,000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1/2,000
04  </t>
        </r>
        <r>
          <rPr>
            <sz val="9"/>
            <color indexed="81"/>
            <rFont val="細明體"/>
            <family val="3"/>
            <charset val="136"/>
          </rPr>
          <t xml:space="preserve">中等  </t>
        </r>
        <r>
          <rPr>
            <sz val="9"/>
            <color indexed="81"/>
            <rFont val="Tahoma"/>
            <family val="2"/>
          </rPr>
          <t xml:space="preserve"> 0.1/1,000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1/10,000
03  </t>
        </r>
        <r>
          <rPr>
            <sz val="9"/>
            <color indexed="81"/>
            <rFont val="細明體"/>
            <family val="3"/>
            <charset val="136"/>
          </rPr>
          <t xml:space="preserve">低    </t>
        </r>
        <r>
          <rPr>
            <sz val="9"/>
            <color indexed="81"/>
            <rFont val="Tahoma"/>
            <family val="2"/>
          </rPr>
          <t xml:space="preserve"> 0.01/1,000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1/100,000
02  </t>
        </r>
        <r>
          <rPr>
            <sz val="9"/>
            <color indexed="81"/>
            <rFont val="細明體"/>
            <family val="3"/>
            <charset val="136"/>
          </rPr>
          <t xml:space="preserve">低   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≦</t>
        </r>
        <r>
          <rPr>
            <sz val="9"/>
            <color indexed="81"/>
            <rFont val="Tahoma"/>
            <family val="2"/>
          </rPr>
          <t>0.001/1,000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1/1,000,000
01  </t>
        </r>
        <r>
          <rPr>
            <sz val="9"/>
            <color indexed="81"/>
            <rFont val="細明體"/>
            <family val="3"/>
            <charset val="136"/>
          </rPr>
          <t xml:space="preserve">很低 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透過預防管制阻止失效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10 </t>
        </r>
        <r>
          <rPr>
            <sz val="9"/>
            <color indexed="81"/>
            <rFont val="細明體"/>
            <family val="3"/>
            <charset val="136"/>
          </rPr>
          <t xml:space="preserve">幾乎不可能
</t>
        </r>
        <r>
          <rPr>
            <sz val="9"/>
            <color indexed="81"/>
            <rFont val="Tahoma"/>
            <family val="2"/>
          </rPr>
          <t xml:space="preserve">9   </t>
        </r>
        <r>
          <rPr>
            <sz val="9"/>
            <color indexed="81"/>
            <rFont val="細明體"/>
            <family val="3"/>
            <charset val="136"/>
          </rPr>
          <t xml:space="preserve">可能性極小
</t>
        </r>
        <r>
          <rPr>
            <sz val="9"/>
            <color indexed="81"/>
            <rFont val="Tahoma"/>
            <family val="2"/>
          </rPr>
          <t xml:space="preserve">8   </t>
        </r>
        <r>
          <rPr>
            <sz val="9"/>
            <color indexed="81"/>
            <rFont val="細明體"/>
            <family val="3"/>
            <charset val="136"/>
          </rPr>
          <t xml:space="preserve">可能性極小
</t>
        </r>
        <r>
          <rPr>
            <sz val="9"/>
            <color indexed="81"/>
            <rFont val="Tahoma"/>
            <family val="2"/>
          </rPr>
          <t xml:space="preserve">7   </t>
        </r>
        <r>
          <rPr>
            <sz val="9"/>
            <color indexed="81"/>
            <rFont val="細明體"/>
            <family val="3"/>
            <charset val="136"/>
          </rPr>
          <t xml:space="preserve">非常低
</t>
        </r>
        <r>
          <rPr>
            <sz val="9"/>
            <color indexed="81"/>
            <rFont val="Tahoma"/>
            <family val="2"/>
          </rPr>
          <t xml:space="preserve">6   </t>
        </r>
        <r>
          <rPr>
            <sz val="9"/>
            <color indexed="81"/>
            <rFont val="細明體"/>
            <family val="3"/>
            <charset val="136"/>
          </rPr>
          <t xml:space="preserve">低
</t>
        </r>
        <r>
          <rPr>
            <sz val="9"/>
            <color indexed="81"/>
            <rFont val="Tahoma"/>
            <family val="2"/>
          </rPr>
          <t xml:space="preserve">5   </t>
        </r>
        <r>
          <rPr>
            <sz val="9"/>
            <color indexed="81"/>
            <rFont val="細明體"/>
            <family val="3"/>
            <charset val="136"/>
          </rPr>
          <t xml:space="preserve">中等
</t>
        </r>
        <r>
          <rPr>
            <sz val="9"/>
            <color indexed="81"/>
            <rFont val="Tahoma"/>
            <family val="2"/>
          </rPr>
          <t xml:space="preserve">4   </t>
        </r>
        <r>
          <rPr>
            <sz val="9"/>
            <color indexed="81"/>
            <rFont val="細明體"/>
            <family val="3"/>
            <charset val="136"/>
          </rPr>
          <t xml:space="preserve">高中等
</t>
        </r>
        <r>
          <rPr>
            <sz val="9"/>
            <color indexed="81"/>
            <rFont val="Tahoma"/>
            <family val="2"/>
          </rPr>
          <t xml:space="preserve">3   </t>
        </r>
        <r>
          <rPr>
            <sz val="9"/>
            <color indexed="81"/>
            <rFont val="細明體"/>
            <family val="3"/>
            <charset val="136"/>
          </rPr>
          <t xml:space="preserve">高
</t>
        </r>
        <r>
          <rPr>
            <sz val="9"/>
            <color indexed="81"/>
            <rFont val="Tahoma"/>
            <family val="2"/>
          </rPr>
          <t xml:space="preserve">2   </t>
        </r>
        <r>
          <rPr>
            <sz val="9"/>
            <color indexed="81"/>
            <rFont val="細明體"/>
            <family val="3"/>
            <charset val="136"/>
          </rPr>
          <t xml:space="preserve">極高
</t>
        </r>
        <r>
          <rPr>
            <sz val="9"/>
            <color indexed="81"/>
            <rFont val="Tahoma"/>
            <family val="2"/>
          </rPr>
          <t xml:space="preserve">1   </t>
        </r>
        <r>
          <rPr>
            <sz val="9"/>
            <color indexed="81"/>
            <rFont val="細明體"/>
            <family val="3"/>
            <charset val="136"/>
          </rPr>
          <t>幾乎確定</t>
        </r>
      </text>
    </comment>
  </commentList>
</comments>
</file>

<file path=xl/sharedStrings.xml><?xml version="1.0" encoding="utf-8"?>
<sst xmlns="http://schemas.openxmlformats.org/spreadsheetml/2006/main" count="2518" uniqueCount="947">
  <si>
    <t>NO.</t>
  </si>
  <si>
    <t>1~50</t>
  </si>
  <si>
    <t>51~100</t>
  </si>
  <si>
    <t>101~200</t>
  </si>
  <si>
    <t>9~10</t>
  </si>
  <si>
    <t>201~1000</t>
  </si>
  <si>
    <t xml:space="preserve"> Failure Mode</t>
  </si>
  <si>
    <t>RPN</t>
  </si>
  <si>
    <t>S</t>
  </si>
  <si>
    <t>O</t>
  </si>
  <si>
    <t>D</t>
  </si>
  <si>
    <t>嚴重度
(S)</t>
    <phoneticPr fontId="12" type="noConversion"/>
  </si>
  <si>
    <t>PFMEA</t>
    <phoneticPr fontId="12" type="noConversion"/>
  </si>
  <si>
    <r>
      <rPr>
        <sz val="9"/>
        <color theme="1"/>
        <rFont val="標楷體"/>
        <family val="4"/>
        <charset val="136"/>
      </rPr>
      <t>產品編號</t>
    </r>
    <phoneticPr fontId="12" type="noConversion"/>
  </si>
  <si>
    <r>
      <rPr>
        <sz val="9"/>
        <color theme="1"/>
        <rFont val="標楷體"/>
        <family val="4"/>
        <charset val="136"/>
      </rPr>
      <t xml:space="preserve">嚴重度
</t>
    </r>
    <r>
      <rPr>
        <sz val="9"/>
        <color theme="1"/>
        <rFont val="Times New Roman"/>
        <family val="1"/>
      </rPr>
      <t>(S)</t>
    </r>
    <phoneticPr fontId="12" type="noConversion"/>
  </si>
  <si>
    <r>
      <rPr>
        <sz val="9"/>
        <color theme="1"/>
        <rFont val="標楷體"/>
        <family val="4"/>
        <charset val="136"/>
      </rPr>
      <t xml:space="preserve">發生率
</t>
    </r>
    <r>
      <rPr>
        <sz val="9"/>
        <color theme="1"/>
        <rFont val="Times New Roman"/>
        <family val="1"/>
      </rPr>
      <t>(O)</t>
    </r>
    <phoneticPr fontId="12" type="noConversion"/>
  </si>
  <si>
    <r>
      <rPr>
        <sz val="9"/>
        <color theme="1"/>
        <rFont val="標楷體"/>
        <family val="4"/>
        <charset val="136"/>
      </rPr>
      <t xml:space="preserve">偵測度
</t>
    </r>
    <r>
      <rPr>
        <sz val="9"/>
        <color theme="1"/>
        <rFont val="Times New Roman"/>
        <family val="1"/>
      </rPr>
      <t>(D)</t>
    </r>
    <phoneticPr fontId="12" type="noConversion"/>
  </si>
  <si>
    <r>
      <rPr>
        <sz val="9"/>
        <color theme="1"/>
        <rFont val="標楷體"/>
        <family val="4"/>
        <charset val="136"/>
      </rPr>
      <t xml:space="preserve">風險優先指數
</t>
    </r>
    <r>
      <rPr>
        <sz val="9"/>
        <color theme="1"/>
        <rFont val="Times New Roman"/>
        <family val="1"/>
      </rPr>
      <t>(RPN)</t>
    </r>
    <phoneticPr fontId="12" type="noConversion"/>
  </si>
  <si>
    <r>
      <rPr>
        <sz val="9"/>
        <color theme="1"/>
        <rFont val="標楷體"/>
        <family val="4"/>
        <charset val="136"/>
      </rPr>
      <t>相關部門</t>
    </r>
    <phoneticPr fontId="12" type="noConversion"/>
  </si>
  <si>
    <r>
      <rPr>
        <sz val="9"/>
        <color theme="1"/>
        <rFont val="標楷體"/>
        <family val="4"/>
        <charset val="136"/>
      </rPr>
      <t>分類</t>
    </r>
    <phoneticPr fontId="12" type="noConversion"/>
  </si>
  <si>
    <r>
      <rPr>
        <sz val="9"/>
        <color theme="1"/>
        <rFont val="標楷體"/>
        <family val="4"/>
        <charset val="136"/>
      </rPr>
      <t>高</t>
    </r>
    <phoneticPr fontId="12" type="noConversion"/>
  </si>
  <si>
    <r>
      <rPr>
        <sz val="9"/>
        <color theme="1"/>
        <rFont val="標楷體"/>
        <family val="4"/>
        <charset val="136"/>
      </rPr>
      <t>低</t>
    </r>
    <phoneticPr fontId="12" type="noConversion"/>
  </si>
  <si>
    <r>
      <rPr>
        <sz val="9"/>
        <color theme="1"/>
        <rFont val="標楷體"/>
        <family val="4"/>
        <charset val="136"/>
      </rPr>
      <t>管理課</t>
    </r>
    <phoneticPr fontId="12" type="noConversion"/>
  </si>
  <si>
    <r>
      <rPr>
        <sz val="9"/>
        <color theme="1"/>
        <rFont val="標楷體"/>
        <family val="4"/>
        <charset val="136"/>
      </rPr>
      <t>■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標楷體"/>
        <family val="4"/>
        <charset val="136"/>
      </rPr>
      <t>零件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標楷體"/>
        <family val="4"/>
        <charset val="136"/>
      </rPr>
      <t>□組合件</t>
    </r>
    <phoneticPr fontId="12" type="noConversion"/>
  </si>
  <si>
    <r>
      <rPr>
        <sz val="9"/>
        <color theme="1"/>
        <rFont val="標楷體"/>
        <family val="4"/>
        <charset val="136"/>
      </rPr>
      <t>技術課</t>
    </r>
    <phoneticPr fontId="12" type="noConversion"/>
  </si>
  <si>
    <r>
      <rPr>
        <sz val="9"/>
        <color theme="1"/>
        <rFont val="標楷體"/>
        <family val="4"/>
        <charset val="136"/>
      </rPr>
      <t>規格描述</t>
    </r>
    <phoneticPr fontId="12" type="noConversion"/>
  </si>
  <si>
    <r>
      <rPr>
        <sz val="9"/>
        <color theme="1"/>
        <rFont val="標楷體"/>
        <family val="4"/>
        <charset val="136"/>
      </rPr>
      <t>普通</t>
    </r>
    <phoneticPr fontId="12" type="noConversion"/>
  </si>
  <si>
    <r>
      <rPr>
        <sz val="9"/>
        <color theme="1"/>
        <rFont val="標楷體"/>
        <family val="4"/>
        <charset val="136"/>
      </rPr>
      <t>業務組</t>
    </r>
    <phoneticPr fontId="12" type="noConversion"/>
  </si>
  <si>
    <r>
      <rPr>
        <sz val="9"/>
        <color theme="1"/>
        <rFont val="標楷體"/>
        <family val="4"/>
        <charset val="136"/>
      </rPr>
      <t>品保組</t>
    </r>
    <phoneticPr fontId="12" type="noConversion"/>
  </si>
  <si>
    <r>
      <rPr>
        <sz val="9"/>
        <color theme="1"/>
        <rFont val="標楷體"/>
        <family val="4"/>
        <charset val="136"/>
      </rPr>
      <t>產品名稱</t>
    </r>
    <phoneticPr fontId="12" type="noConversion"/>
  </si>
  <si>
    <r>
      <rPr>
        <sz val="9"/>
        <color theme="1"/>
        <rFont val="標楷體"/>
        <family val="4"/>
        <charset val="136"/>
      </rPr>
      <t>倉管組</t>
    </r>
    <phoneticPr fontId="12" type="noConversion"/>
  </si>
  <si>
    <r>
      <rPr>
        <sz val="9"/>
        <color theme="1"/>
        <rFont val="標楷體"/>
        <family val="4"/>
        <charset val="136"/>
      </rPr>
      <t>採購組</t>
    </r>
    <phoneticPr fontId="12" type="noConversion"/>
  </si>
  <si>
    <r>
      <rPr>
        <sz val="9"/>
        <color theme="1"/>
        <rFont val="標楷體"/>
        <family val="4"/>
        <charset val="136"/>
      </rPr>
      <t>客戶名稱</t>
    </r>
    <phoneticPr fontId="12" type="noConversion"/>
  </si>
  <si>
    <r>
      <rPr>
        <sz val="9"/>
        <color theme="1"/>
        <rFont val="標楷體"/>
        <family val="4"/>
        <charset val="136"/>
      </rPr>
      <t>非常高</t>
    </r>
    <phoneticPr fontId="12" type="noConversion"/>
  </si>
  <si>
    <r>
      <rPr>
        <sz val="9"/>
        <color theme="1"/>
        <rFont val="標楷體"/>
        <family val="4"/>
        <charset val="136"/>
      </rPr>
      <t>生管組</t>
    </r>
    <phoneticPr fontId="12" type="noConversion"/>
  </si>
  <si>
    <r>
      <rPr>
        <sz val="9"/>
        <color theme="1"/>
        <rFont val="標楷體"/>
        <family val="4"/>
        <charset val="136"/>
      </rPr>
      <t>生產課</t>
    </r>
    <phoneticPr fontId="12" type="noConversion"/>
  </si>
  <si>
    <r>
      <rPr>
        <sz val="9"/>
        <color theme="1"/>
        <rFont val="標楷體"/>
        <family val="4"/>
        <charset val="136"/>
      </rPr>
      <t>項目</t>
    </r>
  </si>
  <si>
    <r>
      <rPr>
        <sz val="9"/>
        <color theme="1"/>
        <rFont val="標楷體"/>
        <family val="4"/>
        <charset val="136"/>
      </rPr>
      <t>要求</t>
    </r>
  </si>
  <si>
    <r>
      <rPr>
        <sz val="9"/>
        <color theme="1"/>
        <rFont val="標楷體"/>
        <family val="4"/>
        <charset val="136"/>
      </rPr>
      <t>分類</t>
    </r>
  </si>
  <si>
    <r>
      <rPr>
        <sz val="9"/>
        <color theme="1"/>
        <rFont val="標楷體"/>
        <family val="4"/>
        <charset val="136"/>
      </rPr>
      <t>現行設計管制</t>
    </r>
  </si>
  <si>
    <r>
      <rPr>
        <sz val="9"/>
        <color theme="1"/>
        <rFont val="標楷體"/>
        <family val="4"/>
        <charset val="136"/>
      </rPr>
      <t>措施結果</t>
    </r>
  </si>
  <si>
    <r>
      <rPr>
        <sz val="9"/>
        <color theme="1"/>
        <rFont val="標楷體"/>
        <family val="4"/>
        <charset val="136"/>
      </rPr>
      <t>評價</t>
    </r>
  </si>
  <si>
    <t>無影響</t>
  </si>
  <si>
    <t>2~3</t>
    <phoneticPr fontId="12" type="noConversion"/>
  </si>
  <si>
    <t>次要阻礙</t>
  </si>
  <si>
    <t>中等阻礙</t>
  </si>
  <si>
    <t>3~6</t>
    <phoneticPr fontId="12" type="noConversion"/>
  </si>
  <si>
    <t>顯著阻礙</t>
  </si>
  <si>
    <t>嚴重阻礙</t>
  </si>
  <si>
    <t>符合安全和/或法規要求之失效</t>
    <phoneticPr fontId="12" type="noConversion"/>
  </si>
  <si>
    <t>4~6</t>
    <phoneticPr fontId="12" type="noConversion"/>
  </si>
  <si>
    <t>7~9</t>
    <phoneticPr fontId="12" type="noConversion"/>
  </si>
  <si>
    <t>8~9</t>
    <phoneticPr fontId="12" type="noConversion"/>
  </si>
  <si>
    <r>
      <rPr>
        <sz val="18"/>
        <color theme="1"/>
        <rFont val="標楷體"/>
        <family val="4"/>
        <charset val="136"/>
      </rPr>
      <t>超正齒輪科技有限公司</t>
    </r>
    <phoneticPr fontId="12" type="noConversion"/>
  </si>
  <si>
    <r>
      <rPr>
        <sz val="14"/>
        <color theme="1"/>
        <rFont val="標楷體"/>
        <family val="4"/>
        <charset val="136"/>
      </rPr>
      <t>潛在失效模式及效應分析</t>
    </r>
    <phoneticPr fontId="12" type="noConversion"/>
  </si>
  <si>
    <t>責任目標
完成日</t>
    <phoneticPr fontId="12" type="noConversion"/>
  </si>
  <si>
    <t>失效潛在
原因</t>
    <phoneticPr fontId="12" type="noConversion"/>
  </si>
  <si>
    <t>潛在失效模式</t>
    <phoneticPr fontId="12" type="noConversion"/>
  </si>
  <si>
    <t>採行措施
生效日期</t>
    <phoneticPr fontId="12" type="noConversion"/>
  </si>
  <si>
    <r>
      <rPr>
        <sz val="9"/>
        <color theme="1"/>
        <rFont val="標楷體"/>
        <family val="4"/>
        <charset val="136"/>
      </rPr>
      <t>編號</t>
    </r>
    <phoneticPr fontId="12" type="noConversion"/>
  </si>
  <si>
    <r>
      <rPr>
        <sz val="9"/>
        <color theme="1"/>
        <rFont val="標楷體"/>
        <family val="4"/>
        <charset val="136"/>
      </rPr>
      <t>日期</t>
    </r>
    <phoneticPr fontId="12" type="noConversion"/>
  </si>
  <si>
    <r>
      <rPr>
        <sz val="9"/>
        <color theme="1"/>
        <rFont val="標楷體"/>
        <family val="4"/>
        <charset val="136"/>
      </rPr>
      <t>修訂內容</t>
    </r>
    <phoneticPr fontId="12" type="noConversion"/>
  </si>
  <si>
    <r>
      <rPr>
        <sz val="9"/>
        <color theme="1"/>
        <rFont val="標楷體"/>
        <family val="4"/>
        <charset val="136"/>
      </rPr>
      <t>批准</t>
    </r>
    <phoneticPr fontId="12" type="noConversion"/>
  </si>
  <si>
    <r>
      <rPr>
        <sz val="9"/>
        <color theme="1"/>
        <rFont val="標楷體"/>
        <family val="4"/>
        <charset val="136"/>
      </rPr>
      <t>檢查</t>
    </r>
    <phoneticPr fontId="12" type="noConversion"/>
  </si>
  <si>
    <r>
      <rPr>
        <sz val="9"/>
        <color theme="1"/>
        <rFont val="標楷體"/>
        <family val="4"/>
        <charset val="136"/>
      </rPr>
      <t>準備</t>
    </r>
    <phoneticPr fontId="12" type="noConversion"/>
  </si>
  <si>
    <t>(PFMEA)</t>
    <phoneticPr fontId="12" type="noConversion"/>
  </si>
  <si>
    <t>符合安全
和/或
法規要求之失效</t>
    <phoneticPr fontId="12" type="noConversion"/>
  </si>
  <si>
    <t>符合安全
和/或
法規要求之失效</t>
    <phoneticPr fontId="12" type="noConversion"/>
  </si>
  <si>
    <t>車床</t>
    <phoneticPr fontId="12" type="noConversion"/>
  </si>
  <si>
    <t>skiving</t>
  </si>
  <si>
    <t>孔位異常</t>
    <phoneticPr fontId="12" type="noConversion"/>
  </si>
  <si>
    <t>滾齒參數錯誤</t>
    <phoneticPr fontId="12" type="noConversion"/>
  </si>
  <si>
    <t>滾齒中心偏移</t>
    <phoneticPr fontId="12" type="noConversion"/>
  </si>
  <si>
    <t>雷刻位置錯誤</t>
    <phoneticPr fontId="12" type="noConversion"/>
  </si>
  <si>
    <t>防碳厚度不足</t>
    <phoneticPr fontId="12" type="noConversion"/>
  </si>
  <si>
    <t>鎖螺絲深度不足</t>
    <phoneticPr fontId="12" type="noConversion"/>
  </si>
  <si>
    <t>攻牙深度不足</t>
    <phoneticPr fontId="12" type="noConversion"/>
  </si>
  <si>
    <r>
      <rPr>
        <sz val="12"/>
        <color theme="1"/>
        <rFont val="標楷體"/>
        <family val="4"/>
        <charset val="136"/>
      </rPr>
      <t>滾齒</t>
    </r>
  </si>
  <si>
    <r>
      <rPr>
        <sz val="12"/>
        <color theme="1"/>
        <rFont val="標楷體"/>
        <family val="4"/>
        <charset val="136"/>
      </rPr>
      <t>線割</t>
    </r>
  </si>
  <si>
    <r>
      <rPr>
        <sz val="12"/>
        <color theme="1"/>
        <rFont val="標楷體"/>
        <family val="4"/>
        <charset val="136"/>
      </rPr>
      <t>平研</t>
    </r>
  </si>
  <si>
    <r>
      <rPr>
        <sz val="12"/>
        <color theme="1"/>
        <rFont val="標楷體"/>
        <family val="4"/>
        <charset val="136"/>
      </rPr>
      <t>外研</t>
    </r>
  </si>
  <si>
    <r>
      <rPr>
        <sz val="12"/>
        <color theme="1"/>
        <rFont val="標楷體"/>
        <family val="4"/>
        <charset val="136"/>
      </rPr>
      <t>齒研</t>
    </r>
  </si>
  <si>
    <r>
      <rPr>
        <sz val="12"/>
        <color theme="1"/>
        <rFont val="標楷體"/>
        <family val="4"/>
        <charset val="136"/>
      </rPr>
      <t>放電</t>
    </r>
  </si>
  <si>
    <r>
      <rPr>
        <sz val="12"/>
        <color theme="1"/>
        <rFont val="標楷體"/>
        <family val="4"/>
        <charset val="136"/>
      </rPr>
      <t>精銑鍵槽</t>
    </r>
  </si>
  <si>
    <r>
      <rPr>
        <sz val="12"/>
        <color theme="1"/>
        <rFont val="標楷體"/>
        <family val="4"/>
        <charset val="136"/>
      </rPr>
      <t>雷刻</t>
    </r>
  </si>
  <si>
    <r>
      <rPr>
        <sz val="12"/>
        <color theme="1"/>
        <rFont val="標楷體"/>
        <family val="4"/>
        <charset val="136"/>
      </rPr>
      <t>粗銑</t>
    </r>
  </si>
  <si>
    <r>
      <rPr>
        <sz val="12"/>
        <color theme="1"/>
        <rFont val="標楷體"/>
        <family val="4"/>
        <charset val="136"/>
      </rPr>
      <t>防碳</t>
    </r>
  </si>
  <si>
    <r>
      <rPr>
        <sz val="12"/>
        <color theme="1"/>
        <rFont val="標楷體"/>
        <family val="4"/>
        <charset val="136"/>
      </rPr>
      <t>鎖螺絲</t>
    </r>
  </si>
  <si>
    <r>
      <rPr>
        <sz val="12"/>
        <color theme="1"/>
        <rFont val="標楷體"/>
        <family val="4"/>
        <charset val="136"/>
      </rPr>
      <t>打毛邊</t>
    </r>
  </si>
  <si>
    <r>
      <rPr>
        <sz val="12"/>
        <color theme="1"/>
        <rFont val="標楷體"/>
        <family val="4"/>
        <charset val="136"/>
      </rPr>
      <t>精滾</t>
    </r>
  </si>
  <si>
    <r>
      <rPr>
        <sz val="12"/>
        <color theme="1"/>
        <rFont val="標楷體"/>
        <family val="4"/>
        <charset val="136"/>
      </rPr>
      <t>粗滾</t>
    </r>
  </si>
  <si>
    <r>
      <rPr>
        <sz val="12"/>
        <color theme="1"/>
        <rFont val="標楷體"/>
        <family val="4"/>
        <charset val="136"/>
      </rPr>
      <t>攻牙</t>
    </r>
  </si>
  <si>
    <r>
      <rPr>
        <sz val="12"/>
        <color theme="1"/>
        <rFont val="標楷體"/>
        <family val="4"/>
        <charset val="136"/>
      </rPr>
      <t>精車</t>
    </r>
  </si>
  <si>
    <r>
      <rPr>
        <sz val="12"/>
        <color theme="1"/>
        <rFont val="標楷體"/>
        <family val="4"/>
        <charset val="136"/>
      </rPr>
      <t>銑鍵槽</t>
    </r>
  </si>
  <si>
    <r>
      <rPr>
        <sz val="12"/>
        <color theme="1"/>
        <rFont val="標楷體"/>
        <family val="4"/>
        <charset val="136"/>
      </rPr>
      <t>鑽、攻</t>
    </r>
  </si>
  <si>
    <r>
      <rPr>
        <sz val="12"/>
        <color theme="1"/>
        <rFont val="標楷體"/>
        <family val="4"/>
        <charset val="136"/>
      </rPr>
      <t>齒部外研</t>
    </r>
  </si>
  <si>
    <r>
      <rPr>
        <sz val="12"/>
        <color theme="1"/>
        <rFont val="標楷體"/>
        <family val="4"/>
        <charset val="136"/>
      </rPr>
      <t>線割鍵槽</t>
    </r>
  </si>
  <si>
    <r>
      <rPr>
        <sz val="12"/>
        <color theme="1"/>
        <rFont val="標楷體"/>
        <family val="4"/>
        <charset val="136"/>
      </rPr>
      <t>線割雙鍵槽</t>
    </r>
  </si>
  <si>
    <r>
      <rPr>
        <sz val="12"/>
        <color theme="1"/>
        <rFont val="標楷體"/>
        <family val="4"/>
        <charset val="136"/>
      </rPr>
      <t>粗外研</t>
    </r>
  </si>
  <si>
    <r>
      <rPr>
        <sz val="12"/>
        <color theme="1"/>
        <rFont val="標楷體"/>
        <family val="4"/>
        <charset val="136"/>
      </rPr>
      <t>兩面平研</t>
    </r>
  </si>
  <si>
    <r>
      <rPr>
        <sz val="12"/>
        <color theme="1"/>
        <rFont val="標楷體"/>
        <family val="4"/>
        <charset val="136"/>
      </rPr>
      <t>穿心軸外研</t>
    </r>
  </si>
  <si>
    <r>
      <rPr>
        <sz val="12"/>
        <color theme="1"/>
        <rFont val="標楷體"/>
        <family val="4"/>
        <charset val="136"/>
      </rPr>
      <t>粗車</t>
    </r>
  </si>
  <si>
    <r>
      <rPr>
        <sz val="12"/>
        <color theme="1"/>
        <rFont val="標楷體"/>
        <family val="4"/>
        <charset val="136"/>
      </rPr>
      <t>線割內花鍵</t>
    </r>
  </si>
  <si>
    <r>
      <rPr>
        <sz val="12"/>
        <color theme="1"/>
        <rFont val="標楷體"/>
        <family val="4"/>
        <charset val="136"/>
      </rPr>
      <t>組裝</t>
    </r>
  </si>
  <si>
    <r>
      <rPr>
        <sz val="12"/>
        <color theme="1"/>
        <rFont val="標楷體"/>
        <family val="4"/>
        <charset val="136"/>
      </rPr>
      <t>切斷</t>
    </r>
  </si>
  <si>
    <r>
      <rPr>
        <sz val="12"/>
        <color theme="1"/>
        <rFont val="標楷體"/>
        <family val="4"/>
        <charset val="136"/>
      </rPr>
      <t>結合</t>
    </r>
  </si>
  <si>
    <r>
      <rPr>
        <sz val="12"/>
        <color theme="1"/>
        <rFont val="標楷體"/>
        <family val="4"/>
        <charset val="136"/>
      </rPr>
      <t>粗磨見光</t>
    </r>
  </si>
  <si>
    <r>
      <rPr>
        <sz val="12"/>
        <color theme="1"/>
        <rFont val="標楷體"/>
        <family val="4"/>
        <charset val="136"/>
      </rPr>
      <t>中心孔研</t>
    </r>
  </si>
  <si>
    <r>
      <rPr>
        <sz val="12"/>
        <color theme="1"/>
        <rFont val="標楷體"/>
        <family val="4"/>
        <charset val="136"/>
      </rPr>
      <t>車內孔</t>
    </r>
  </si>
  <si>
    <r>
      <rPr>
        <sz val="12"/>
        <color theme="1"/>
        <rFont val="標楷體"/>
        <family val="4"/>
        <charset val="136"/>
      </rPr>
      <t>銑對位</t>
    </r>
  </si>
  <si>
    <r>
      <rPr>
        <sz val="12"/>
        <color theme="1"/>
        <rFont val="標楷體"/>
        <family val="4"/>
        <charset val="136"/>
      </rPr>
      <t>精車內孔</t>
    </r>
  </si>
  <si>
    <r>
      <rPr>
        <sz val="12"/>
        <color theme="1"/>
        <rFont val="標楷體"/>
        <family val="4"/>
        <charset val="136"/>
      </rPr>
      <t>切除料</t>
    </r>
  </si>
  <si>
    <r>
      <rPr>
        <sz val="12"/>
        <color theme="1"/>
        <rFont val="標楷體"/>
        <family val="4"/>
        <charset val="136"/>
      </rPr>
      <t>合檔片</t>
    </r>
  </si>
  <si>
    <r>
      <rPr>
        <sz val="12"/>
        <color theme="1"/>
        <rFont val="標楷體"/>
        <family val="4"/>
        <charset val="136"/>
      </rPr>
      <t>合螺帽</t>
    </r>
  </si>
  <si>
    <r>
      <rPr>
        <sz val="12"/>
        <color theme="1"/>
        <rFont val="標楷體"/>
        <family val="4"/>
        <charset val="136"/>
      </rPr>
      <t>鉸孔</t>
    </r>
  </si>
  <si>
    <r>
      <rPr>
        <sz val="12"/>
        <color theme="1"/>
        <rFont val="標楷體"/>
        <family val="4"/>
        <charset val="136"/>
      </rPr>
      <t>車牙</t>
    </r>
  </si>
  <si>
    <r>
      <rPr>
        <sz val="12"/>
        <color theme="1"/>
        <rFont val="標楷體"/>
        <family val="4"/>
        <charset val="136"/>
      </rPr>
      <t>全檢</t>
    </r>
  </si>
  <si>
    <r>
      <rPr>
        <sz val="12"/>
        <color theme="1"/>
        <rFont val="標楷體"/>
        <family val="4"/>
        <charset val="136"/>
      </rPr>
      <t>銑對齒頂</t>
    </r>
  </si>
  <si>
    <r>
      <rPr>
        <sz val="12"/>
        <color theme="1"/>
        <rFont val="標楷體"/>
        <family val="4"/>
        <charset val="136"/>
      </rPr>
      <t>精銑孔位</t>
    </r>
  </si>
  <si>
    <r>
      <rPr>
        <sz val="12"/>
        <color theme="1"/>
        <rFont val="標楷體"/>
        <family val="4"/>
        <charset val="136"/>
      </rPr>
      <t>精銑齒部</t>
    </r>
  </si>
  <si>
    <r>
      <rPr>
        <sz val="12"/>
        <color theme="1"/>
        <rFont val="標楷體"/>
        <family val="4"/>
        <charset val="136"/>
      </rPr>
      <t>內孔精車端面</t>
    </r>
  </si>
  <si>
    <r>
      <rPr>
        <sz val="12"/>
        <color theme="1"/>
        <rFont val="標楷體"/>
        <family val="4"/>
        <charset val="136"/>
      </rPr>
      <t>拋光</t>
    </r>
  </si>
  <si>
    <r>
      <rPr>
        <sz val="12"/>
        <color theme="1"/>
        <rFont val="標楷體"/>
        <family val="4"/>
        <charset val="136"/>
      </rPr>
      <t>外齒研</t>
    </r>
  </si>
  <si>
    <r>
      <rPr>
        <sz val="12"/>
        <color theme="1"/>
        <rFont val="標楷體"/>
        <family val="4"/>
        <charset val="136"/>
      </rPr>
      <t>齒輪熱配端研</t>
    </r>
  </si>
  <si>
    <r>
      <rPr>
        <sz val="12"/>
        <color theme="1"/>
        <rFont val="標楷體"/>
        <family val="4"/>
        <charset val="136"/>
      </rPr>
      <t>合模具</t>
    </r>
  </si>
  <si>
    <r>
      <rPr>
        <sz val="12"/>
        <color theme="1"/>
        <rFont val="標楷體"/>
        <family val="4"/>
        <charset val="136"/>
      </rPr>
      <t>銑對正鍵槽</t>
    </r>
  </si>
  <si>
    <r>
      <rPr>
        <sz val="12"/>
        <color theme="1"/>
        <rFont val="標楷體"/>
        <family val="4"/>
        <charset val="136"/>
      </rPr>
      <t>銑倒角</t>
    </r>
  </si>
  <si>
    <r>
      <rPr>
        <sz val="12"/>
        <color theme="1"/>
        <rFont val="標楷體"/>
        <family val="4"/>
        <charset val="136"/>
      </rPr>
      <t>熱配</t>
    </r>
  </si>
  <si>
    <r>
      <rPr>
        <sz val="12"/>
        <color theme="1"/>
        <rFont val="標楷體"/>
        <family val="4"/>
        <charset val="136"/>
      </rPr>
      <t>焊補</t>
    </r>
  </si>
  <si>
    <r>
      <rPr>
        <sz val="12"/>
        <color theme="1"/>
        <rFont val="標楷體"/>
        <family val="4"/>
        <charset val="136"/>
      </rPr>
      <t>銅刷除毛邊</t>
    </r>
  </si>
  <si>
    <r>
      <rPr>
        <sz val="12"/>
        <color theme="1"/>
        <rFont val="標楷體"/>
        <family val="4"/>
        <charset val="136"/>
      </rPr>
      <t>修孔</t>
    </r>
  </si>
  <si>
    <r>
      <rPr>
        <sz val="12"/>
        <color theme="1"/>
        <rFont val="標楷體"/>
        <family val="4"/>
        <charset val="136"/>
      </rPr>
      <t>車床合擋片</t>
    </r>
  </si>
  <si>
    <r>
      <rPr>
        <sz val="12"/>
        <color theme="1"/>
        <rFont val="標楷體"/>
        <family val="4"/>
        <charset val="136"/>
      </rPr>
      <t>合工件</t>
    </r>
  </si>
  <si>
    <r>
      <rPr>
        <sz val="12"/>
        <color theme="1"/>
        <rFont val="標楷體"/>
        <family val="4"/>
        <charset val="136"/>
      </rPr>
      <t>線割齒部</t>
    </r>
  </si>
  <si>
    <r>
      <rPr>
        <sz val="12"/>
        <color theme="1"/>
        <rFont val="標楷體"/>
        <family val="4"/>
        <charset val="136"/>
      </rPr>
      <t>銑對齒底</t>
    </r>
  </si>
  <si>
    <r>
      <rPr>
        <sz val="12"/>
        <color theme="1"/>
        <rFont val="標楷體"/>
        <family val="4"/>
        <charset val="136"/>
      </rPr>
      <t>檢查內孔</t>
    </r>
  </si>
  <si>
    <r>
      <rPr>
        <sz val="12"/>
        <color theme="1"/>
        <rFont val="標楷體"/>
        <family val="4"/>
        <charset val="136"/>
      </rPr>
      <t>線割對圖面</t>
    </r>
  </si>
  <si>
    <r>
      <rPr>
        <sz val="12"/>
        <color theme="1"/>
        <rFont val="標楷體"/>
        <family val="4"/>
        <charset val="136"/>
      </rPr>
      <t>結合齒研</t>
    </r>
  </si>
  <si>
    <r>
      <rPr>
        <sz val="12"/>
        <color theme="1"/>
        <rFont val="標楷體"/>
        <family val="4"/>
        <charset val="136"/>
      </rPr>
      <t>銑對正齒頂</t>
    </r>
  </si>
  <si>
    <r>
      <rPr>
        <sz val="12"/>
        <color theme="1"/>
        <rFont val="標楷體"/>
        <family val="4"/>
        <charset val="136"/>
      </rPr>
      <t>倒角</t>
    </r>
  </si>
  <si>
    <r>
      <rPr>
        <sz val="12"/>
        <color theme="1"/>
        <rFont val="標楷體"/>
        <family val="4"/>
        <charset val="136"/>
      </rPr>
      <t>刷毛邊</t>
    </r>
  </si>
  <si>
    <r>
      <rPr>
        <sz val="12"/>
        <color theme="1"/>
        <rFont val="標楷體"/>
        <family val="4"/>
        <charset val="136"/>
      </rPr>
      <t>精銑牙</t>
    </r>
  </si>
  <si>
    <r>
      <rPr>
        <sz val="12"/>
        <color theme="1"/>
        <rFont val="標楷體"/>
        <family val="4"/>
        <charset val="136"/>
      </rPr>
      <t>材料</t>
    </r>
  </si>
  <si>
    <r>
      <rPr>
        <sz val="12"/>
        <color theme="1"/>
        <rFont val="標楷體"/>
        <family val="4"/>
        <charset val="136"/>
      </rPr>
      <t>快走絲</t>
    </r>
  </si>
  <si>
    <r>
      <rPr>
        <sz val="12"/>
        <color theme="1"/>
        <rFont val="標楷體"/>
        <family val="4"/>
        <charset val="136"/>
      </rPr>
      <t>焊接</t>
    </r>
  </si>
  <si>
    <r>
      <rPr>
        <sz val="12"/>
        <color theme="1"/>
        <rFont val="標楷體"/>
        <family val="4"/>
        <charset val="136"/>
      </rPr>
      <t>中心孔倒角</t>
    </r>
  </si>
  <si>
    <r>
      <rPr>
        <sz val="12"/>
        <color theme="1"/>
        <rFont val="標楷體"/>
        <family val="4"/>
        <charset val="136"/>
      </rPr>
      <t>甲苯清洗</t>
    </r>
  </si>
  <si>
    <r>
      <rPr>
        <sz val="12"/>
        <color theme="1"/>
        <rFont val="標楷體"/>
        <family val="4"/>
        <charset val="136"/>
      </rPr>
      <t>壓配</t>
    </r>
  </si>
  <si>
    <r>
      <rPr>
        <sz val="12"/>
        <color theme="1"/>
        <rFont val="標楷體"/>
        <family val="4"/>
        <charset val="136"/>
      </rPr>
      <t>牛皮去毛邊</t>
    </r>
  </si>
  <si>
    <r>
      <rPr>
        <sz val="12"/>
        <color theme="1"/>
        <rFont val="標楷體"/>
        <family val="4"/>
        <charset val="136"/>
      </rPr>
      <t>打中心孔</t>
    </r>
  </si>
  <si>
    <r>
      <rPr>
        <sz val="12"/>
        <color theme="1"/>
        <rFont val="標楷體"/>
        <family val="4"/>
        <charset val="136"/>
      </rPr>
      <t>鎖螺絲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防碳</t>
    </r>
  </si>
  <si>
    <r>
      <rPr>
        <sz val="12"/>
        <color theme="1"/>
        <rFont val="標楷體"/>
        <family val="4"/>
        <charset val="136"/>
      </rPr>
      <t>精車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含平面</t>
    </r>
    <r>
      <rPr>
        <sz val="12"/>
        <color theme="1"/>
        <rFont val="Times New Roman"/>
        <family val="1"/>
      </rPr>
      <t>)</t>
    </r>
  </si>
  <si>
    <r>
      <rPr>
        <sz val="12"/>
        <color theme="1"/>
        <rFont val="標楷體"/>
        <family val="4"/>
        <charset val="136"/>
      </rPr>
      <t>車床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車中心孔牙</t>
    </r>
  </si>
  <si>
    <r>
      <rPr>
        <sz val="12"/>
        <color theme="1"/>
        <rFont val="標楷體"/>
        <family val="4"/>
        <charset val="136"/>
      </rPr>
      <t>車床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車牙</t>
    </r>
  </si>
  <si>
    <r>
      <rPr>
        <sz val="12"/>
        <color theme="1"/>
        <rFont val="標楷體"/>
        <family val="4"/>
        <charset val="136"/>
      </rPr>
      <t>打</t>
    </r>
    <r>
      <rPr>
        <sz val="12"/>
        <color theme="1"/>
        <rFont val="Times New Roman"/>
        <family val="1"/>
      </rPr>
      <t>PIN</t>
    </r>
  </si>
  <si>
    <r>
      <rPr>
        <sz val="12"/>
        <color theme="1"/>
        <rFont val="標楷體"/>
        <family val="4"/>
        <charset val="136"/>
      </rPr>
      <t>車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車中心孔</t>
    </r>
  </si>
  <si>
    <r>
      <rPr>
        <sz val="12"/>
        <color theme="1"/>
        <rFont val="標楷體"/>
        <family val="4"/>
        <charset val="136"/>
      </rPr>
      <t>車床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檢查螺孔</t>
    </r>
  </si>
  <si>
    <r>
      <rPr>
        <sz val="12"/>
        <color theme="1"/>
        <rFont val="標楷體"/>
        <family val="4"/>
        <charset val="136"/>
      </rPr>
      <t>粗外研</t>
    </r>
    <r>
      <rPr>
        <sz val="12"/>
        <color theme="1"/>
        <rFont val="Times New Roman"/>
        <family val="1"/>
      </rPr>
      <t>+</t>
    </r>
    <r>
      <rPr>
        <sz val="12"/>
        <color theme="1"/>
        <rFont val="標楷體"/>
        <family val="4"/>
        <charset val="136"/>
      </rPr>
      <t>中心孔研</t>
    </r>
  </si>
  <si>
    <t>研磨過磨</t>
    <phoneticPr fontId="12" type="noConversion"/>
  </si>
  <si>
    <t>組裝未確實</t>
    <phoneticPr fontId="12" type="noConversion"/>
  </si>
  <si>
    <t>切斷長度異常</t>
    <phoneticPr fontId="12" type="noConversion"/>
  </si>
  <si>
    <t>結合未確實</t>
    <phoneticPr fontId="12" type="noConversion"/>
  </si>
  <si>
    <t>結合方向錯誤</t>
    <phoneticPr fontId="12" type="noConversion"/>
  </si>
  <si>
    <t>組裝方向錯誤</t>
    <phoneticPr fontId="12" type="noConversion"/>
  </si>
  <si>
    <t>中心孔研磨偏移</t>
    <phoneticPr fontId="12" type="noConversion"/>
  </si>
  <si>
    <t>合檔片未確實</t>
    <phoneticPr fontId="12" type="noConversion"/>
  </si>
  <si>
    <t>螺牙未鎖到底</t>
    <phoneticPr fontId="12" type="noConversion"/>
  </si>
  <si>
    <t>螺帽規格錯誤</t>
    <phoneticPr fontId="12" type="noConversion"/>
  </si>
  <si>
    <t>絞孔擴孔</t>
    <phoneticPr fontId="12" type="noConversion"/>
  </si>
  <si>
    <t>螺牙規格錯誤</t>
    <phoneticPr fontId="12" type="noConversion"/>
  </si>
  <si>
    <t>外徑過大</t>
    <phoneticPr fontId="12" type="noConversion"/>
  </si>
  <si>
    <t>長度不足</t>
    <phoneticPr fontId="12" type="noConversion"/>
  </si>
  <si>
    <t>中心孔未打</t>
    <phoneticPr fontId="12" type="noConversion"/>
  </si>
  <si>
    <t>鑽孔尺寸錯誤</t>
    <phoneticPr fontId="12" type="noConversion"/>
  </si>
  <si>
    <t>加工深度不足</t>
    <phoneticPr fontId="12" type="noConversion"/>
  </si>
  <si>
    <t>線割尺寸過小</t>
    <phoneticPr fontId="12" type="noConversion"/>
  </si>
  <si>
    <t>線割深度過深</t>
    <phoneticPr fontId="12" type="noConversion"/>
  </si>
  <si>
    <t>部分未見光</t>
    <phoneticPr fontId="12" type="noConversion"/>
  </si>
  <si>
    <t>代號</t>
    <phoneticPr fontId="12" type="noConversion"/>
  </si>
  <si>
    <t>尺寸過小</t>
    <phoneticPr fontId="12" type="noConversion"/>
  </si>
  <si>
    <t>加工位置錯誤</t>
    <phoneticPr fontId="12" type="noConversion"/>
  </si>
  <si>
    <t>孔位偏移</t>
    <phoneticPr fontId="12" type="noConversion"/>
  </si>
  <si>
    <t>孔深不足</t>
    <phoneticPr fontId="12" type="noConversion"/>
  </si>
  <si>
    <t>中心偏移</t>
    <phoneticPr fontId="12" type="noConversion"/>
  </si>
  <si>
    <t>參數設定錯誤</t>
    <phoneticPr fontId="12" type="noConversion"/>
  </si>
  <si>
    <t>中心定位不佳</t>
    <phoneticPr fontId="12" type="noConversion"/>
  </si>
  <si>
    <t>端面研磨尺寸過磨</t>
    <phoneticPr fontId="12" type="noConversion"/>
  </si>
  <si>
    <t>內孔加工過大</t>
    <phoneticPr fontId="12" type="noConversion"/>
  </si>
  <si>
    <t>加工尺寸過大</t>
    <phoneticPr fontId="12" type="noConversion"/>
  </si>
  <si>
    <t>平行度不佳</t>
    <phoneticPr fontId="12" type="noConversion"/>
  </si>
  <si>
    <t>中心孔牙牙深不足</t>
    <phoneticPr fontId="12" type="noConversion"/>
  </si>
  <si>
    <t>中心位置偏移</t>
    <phoneticPr fontId="12" type="noConversion"/>
  </si>
  <si>
    <t>牙部參數設定錯誤</t>
    <phoneticPr fontId="12" type="noConversion"/>
  </si>
  <si>
    <t>倒角角度不足</t>
    <phoneticPr fontId="12" type="noConversion"/>
  </si>
  <si>
    <t>加工尺寸過小</t>
    <phoneticPr fontId="12" type="noConversion"/>
  </si>
  <si>
    <t>深度不足</t>
    <phoneticPr fontId="12" type="noConversion"/>
  </si>
  <si>
    <t>合模具方向錯誤</t>
    <phoneticPr fontId="12" type="noConversion"/>
  </si>
  <si>
    <t>熱配未確實</t>
    <phoneticPr fontId="12" type="noConversion"/>
  </si>
  <si>
    <t>焊補不足</t>
    <phoneticPr fontId="12" type="noConversion"/>
  </si>
  <si>
    <t>除毛邊未確實</t>
    <phoneticPr fontId="12" type="noConversion"/>
  </si>
  <si>
    <t>合工件過大</t>
    <phoneticPr fontId="12" type="noConversion"/>
  </si>
  <si>
    <t>齒部數據設定錯誤</t>
    <phoneticPr fontId="12" type="noConversion"/>
  </si>
  <si>
    <t>花鍵數據設定錯誤</t>
    <phoneticPr fontId="12" type="noConversion"/>
  </si>
  <si>
    <t>去毛邊未確實</t>
    <phoneticPr fontId="12" type="noConversion"/>
  </si>
  <si>
    <t>刷毛邊未確實</t>
    <phoneticPr fontId="12" type="noConversion"/>
  </si>
  <si>
    <t>外徑尺寸錯誤</t>
    <phoneticPr fontId="12" type="noConversion"/>
  </si>
  <si>
    <t>料嚴重偏斜</t>
    <phoneticPr fontId="12" type="noConversion"/>
  </si>
  <si>
    <t>深度過深</t>
    <phoneticPr fontId="12" type="noConversion"/>
  </si>
  <si>
    <t>焊接未確實</t>
    <phoneticPr fontId="12" type="noConversion"/>
  </si>
  <si>
    <t>倒角過小</t>
    <phoneticPr fontId="12" type="noConversion"/>
  </si>
  <si>
    <t>清潔未確實</t>
    <phoneticPr fontId="12" type="noConversion"/>
  </si>
  <si>
    <t>壓配未確實</t>
    <phoneticPr fontId="12" type="noConversion"/>
  </si>
  <si>
    <t>倒角角度錯誤</t>
    <phoneticPr fontId="12" type="noConversion"/>
  </si>
  <si>
    <t>檢查未確實</t>
    <phoneticPr fontId="12" type="noConversion"/>
  </si>
  <si>
    <t>檢驗未確實</t>
    <phoneticPr fontId="12" type="noConversion"/>
  </si>
  <si>
    <t>功能</t>
    <phoneticPr fontId="12" type="noConversion"/>
  </si>
  <si>
    <r>
      <rPr>
        <sz val="9"/>
        <color theme="1"/>
        <rFont val="標楷體"/>
        <family val="4"/>
        <charset val="136"/>
      </rPr>
      <t xml:space="preserve">嚴重度
</t>
    </r>
    <r>
      <rPr>
        <sz val="9"/>
        <color theme="1"/>
        <rFont val="Times New Roman"/>
        <family val="1"/>
      </rPr>
      <t>(S)</t>
    </r>
    <phoneticPr fontId="12" type="noConversion"/>
  </si>
  <si>
    <r>
      <rPr>
        <sz val="9"/>
        <color theme="1"/>
        <rFont val="標楷體"/>
        <family val="4"/>
        <charset val="136"/>
      </rPr>
      <t xml:space="preserve">發生率
</t>
    </r>
    <r>
      <rPr>
        <sz val="9"/>
        <color theme="1"/>
        <rFont val="Times New Roman"/>
        <family val="1"/>
      </rPr>
      <t>(O)</t>
    </r>
    <phoneticPr fontId="12" type="noConversion"/>
  </si>
  <si>
    <t>控制預防</t>
    <phoneticPr fontId="12" type="noConversion"/>
  </si>
  <si>
    <t>控制偵測</t>
    <phoneticPr fontId="12" type="noConversion"/>
  </si>
  <si>
    <r>
      <rPr>
        <sz val="9"/>
        <color theme="1"/>
        <rFont val="標楷體"/>
        <family val="4"/>
        <charset val="136"/>
      </rPr>
      <t xml:space="preserve">偵測度
</t>
    </r>
    <r>
      <rPr>
        <sz val="9"/>
        <color theme="1"/>
        <rFont val="Times New Roman"/>
        <family val="1"/>
      </rPr>
      <t>(D)</t>
    </r>
    <phoneticPr fontId="12" type="noConversion"/>
  </si>
  <si>
    <t>建議措施</t>
    <phoneticPr fontId="12" type="noConversion"/>
  </si>
  <si>
    <t>製程</t>
    <phoneticPr fontId="12" type="noConversion"/>
  </si>
  <si>
    <t>優先判別</t>
    <phoneticPr fontId="12" type="noConversion"/>
  </si>
  <si>
    <t>銑床</t>
    <phoneticPr fontId="12" type="noConversion"/>
  </si>
  <si>
    <t>判別用</t>
    <phoneticPr fontId="12" type="noConversion"/>
  </si>
  <si>
    <t>失效模式潛在後果</t>
    <phoneticPr fontId="12" type="noConversion"/>
  </si>
  <si>
    <t>線割_線割尺寸過小</t>
    <phoneticPr fontId="12" type="noConversion"/>
  </si>
  <si>
    <t>影響</t>
  </si>
  <si>
    <t>等級</t>
  </si>
  <si>
    <t>主要功能</t>
  </si>
  <si>
    <t>失效或降低</t>
  </si>
  <si>
    <t>失去主要功能產品無法正常運轉作動</t>
  </si>
  <si>
    <t>次要功能</t>
  </si>
  <si>
    <t>失效</t>
  </si>
  <si>
    <t>使用者煩惱</t>
  </si>
  <si>
    <t>無可辨別的影響</t>
  </si>
  <si>
    <t>產品可能必須100%廢棄,生產線停止或出貨中止</t>
  </si>
  <si>
    <t>降低主要功能(產品可運轉作動,但精度有所降低)</t>
  </si>
  <si>
    <t>部分產品必須100%廢棄,變異來自於前製程,包括降低生產線流速或增加人力</t>
  </si>
  <si>
    <t>失去次要功能(產品可運轉作動,但產品無法乘載正常載重量)</t>
  </si>
  <si>
    <t>100%生產中產品,必須線外重工和合格</t>
  </si>
  <si>
    <t>降低次要功能(產品可運轉作動,但產品可乘載載重量降低)</t>
  </si>
  <si>
    <t>部分生產中產品,必須線外重工和合格</t>
  </si>
  <si>
    <t>外觀或可聽見噪音產品運轉作動大多數顧客會有感覺到不舒適(&gt;75%)</t>
  </si>
  <si>
    <t>100%生產中產品,必須於生產工站重工,於投入生產前</t>
  </si>
  <si>
    <t>外觀或可聽見噪音, 產品運轉作動多數顧客會有感覺到不舒適(50%)</t>
  </si>
  <si>
    <t>部分生產中產品, 必須於生產工站重工,於投入生產前</t>
  </si>
  <si>
    <t>外觀或可聽見噪音,產品運轉作動顧客會有感覺到不舒適(&lt;25%)</t>
  </si>
  <si>
    <t>在製程,操作,或對操作者有輕微不方便</t>
  </si>
  <si>
    <t>標準:產品之影響嚴重程度(客戶影響)</t>
    <phoneticPr fontId="12" type="noConversion"/>
  </si>
  <si>
    <t>標準:製程之影響嚴重程度(製程/組裝影響)</t>
    <phoneticPr fontId="12" type="noConversion"/>
  </si>
  <si>
    <t>潛在的失效模式影響到產品安全操作,及/或與政府法規不符,而無預警</t>
    <phoneticPr fontId="12" type="noConversion"/>
  </si>
  <si>
    <t>可能危害操作者(機構或組裝)而無預警</t>
    <phoneticPr fontId="12" type="noConversion"/>
  </si>
  <si>
    <t>潛在的失效模式影響到產品安全操作,及/或與政府法規不符,而有預警</t>
    <phoneticPr fontId="12" type="noConversion"/>
  </si>
  <si>
    <t>可能危害操作者(機構或組裝)而有預警</t>
    <phoneticPr fontId="12" type="noConversion"/>
  </si>
  <si>
    <t>可能失效</t>
  </si>
  <si>
    <r>
      <t>標準</t>
    </r>
    <r>
      <rPr>
        <sz val="12"/>
        <color theme="1"/>
        <rFont val="Times New Roman"/>
        <family val="1"/>
      </rPr>
      <t>:</t>
    </r>
    <r>
      <rPr>
        <sz val="12"/>
        <color theme="1"/>
        <rFont val="標楷體"/>
        <family val="4"/>
        <charset val="136"/>
      </rPr>
      <t>發生原因</t>
    </r>
    <r>
      <rPr>
        <sz val="12"/>
        <color theme="1"/>
        <rFont val="Times New Roman"/>
        <family val="1"/>
      </rPr>
      <t>-PFMEA</t>
    </r>
  </si>
  <si>
    <t>很高</t>
  </si>
  <si>
    <r>
      <t>≧</t>
    </r>
    <r>
      <rPr>
        <sz val="12"/>
        <color theme="1"/>
        <rFont val="Times New Roman"/>
        <family val="1"/>
      </rPr>
      <t>100/1,000</t>
    </r>
    <r>
      <rPr>
        <sz val="12"/>
        <color theme="1"/>
        <rFont val="標楷體"/>
        <family val="4"/>
        <charset val="136"/>
      </rPr>
      <t>或≧</t>
    </r>
    <r>
      <rPr>
        <sz val="12"/>
        <color theme="1"/>
        <rFont val="Times New Roman"/>
        <family val="1"/>
      </rPr>
      <t>1/10</t>
    </r>
  </si>
  <si>
    <t>高</t>
  </si>
  <si>
    <r>
      <t>50/1,000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1/20</t>
    </r>
  </si>
  <si>
    <r>
      <t>20/1,000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1/50</t>
    </r>
  </si>
  <si>
    <r>
      <t>10/1,000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1/100</t>
    </r>
  </si>
  <si>
    <t>中等</t>
  </si>
  <si>
    <r>
      <t>2/1,000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1/500</t>
    </r>
  </si>
  <si>
    <r>
      <t>0.5/1,000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1/2,000</t>
    </r>
  </si>
  <si>
    <r>
      <t>0.1/1,000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1/10,000</t>
    </r>
  </si>
  <si>
    <t>低</t>
  </si>
  <si>
    <r>
      <t>0.01/1,000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1/100,000</t>
    </r>
  </si>
  <si>
    <r>
      <t>≦</t>
    </r>
    <r>
      <rPr>
        <sz val="12"/>
        <color theme="1"/>
        <rFont val="Times New Roman"/>
        <family val="1"/>
      </rPr>
      <t>0.001/1,000</t>
    </r>
    <r>
      <rPr>
        <sz val="12"/>
        <color theme="1"/>
        <rFont val="標楷體"/>
        <family val="4"/>
        <charset val="136"/>
      </rPr>
      <t>或</t>
    </r>
    <r>
      <rPr>
        <sz val="12"/>
        <color theme="1"/>
        <rFont val="Times New Roman"/>
        <family val="1"/>
      </rPr>
      <t>1/1,000,000</t>
    </r>
  </si>
  <si>
    <t>很低</t>
  </si>
  <si>
    <t>透過預防管制阻止失效</t>
  </si>
  <si>
    <t>偵測機會</t>
  </si>
  <si>
    <r>
      <t>標準</t>
    </r>
    <r>
      <rPr>
        <sz val="12"/>
        <color theme="1"/>
        <rFont val="Times New Roman"/>
        <family val="1"/>
      </rPr>
      <t>:</t>
    </r>
    <r>
      <rPr>
        <sz val="12"/>
        <color theme="1"/>
        <rFont val="標楷體"/>
        <family val="4"/>
        <charset val="136"/>
      </rPr>
      <t>偵測性經由製程管制</t>
    </r>
  </si>
  <si>
    <t>偵測可能性</t>
  </si>
  <si>
    <t>無偵測機會</t>
  </si>
  <si>
    <t>無現行製程管制；無法偵測或分析</t>
  </si>
  <si>
    <t>幾乎不可能</t>
  </si>
  <si>
    <r>
      <t>失效模式和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或錯誤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無法偵測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亦即</t>
    </r>
    <r>
      <rPr>
        <sz val="12"/>
        <color theme="1"/>
        <rFont val="Times New Roman"/>
        <family val="1"/>
      </rPr>
      <t>:</t>
    </r>
    <r>
      <rPr>
        <sz val="12"/>
        <color theme="1"/>
        <rFont val="標楷體"/>
        <family val="4"/>
        <charset val="136"/>
      </rPr>
      <t>亂數稽核</t>
    </r>
    <r>
      <rPr>
        <sz val="12"/>
        <color theme="1"/>
        <rFont val="Times New Roman"/>
        <family val="1"/>
      </rPr>
      <t>)</t>
    </r>
  </si>
  <si>
    <t>可能性極小</t>
  </si>
  <si>
    <r>
      <t>後製程失效模式偵測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經由操作員之視覺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觸覺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聽覺的手段</t>
    </r>
  </si>
  <si>
    <t>問題偵查來源</t>
  </si>
  <si>
    <r>
      <t>製程工站失效模式偵測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經由操作員之視覺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觸覺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聽覺的手段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或後製程之計數值量測</t>
    </r>
    <r>
      <rPr>
        <sz val="12"/>
        <color theme="1"/>
        <rFont val="Times New Roman"/>
        <family val="1"/>
      </rPr>
      <t>(Go/No-Go,</t>
    </r>
    <r>
      <rPr>
        <sz val="12"/>
        <color theme="1"/>
        <rFont val="標楷體"/>
        <family val="4"/>
        <charset val="136"/>
      </rPr>
      <t>扭力板手</t>
    </r>
    <r>
      <rPr>
        <sz val="12"/>
        <color theme="1"/>
        <rFont val="Times New Roman"/>
        <family val="1"/>
      </rPr>
      <t>…</t>
    </r>
    <r>
      <rPr>
        <sz val="12"/>
        <color theme="1"/>
        <rFont val="標楷體"/>
        <family val="4"/>
        <charset val="136"/>
      </rPr>
      <t>等</t>
    </r>
    <r>
      <rPr>
        <sz val="12"/>
        <color theme="1"/>
        <rFont val="Times New Roman"/>
        <family val="1"/>
      </rPr>
      <t>)</t>
    </r>
  </si>
  <si>
    <t>非常低</t>
  </si>
  <si>
    <r>
      <t>後製程失效模式偵測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經由操作員之計量值量測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或製程之計數值量測</t>
    </r>
    <r>
      <rPr>
        <sz val="12"/>
        <color theme="1"/>
        <rFont val="Times New Roman"/>
        <family val="1"/>
      </rPr>
      <t>(Go/No-Go,</t>
    </r>
    <r>
      <rPr>
        <sz val="12"/>
        <color theme="1"/>
        <rFont val="標楷體"/>
        <family val="4"/>
        <charset val="136"/>
      </rPr>
      <t>扭力板手</t>
    </r>
    <r>
      <rPr>
        <sz val="12"/>
        <color theme="1"/>
        <rFont val="Times New Roman"/>
        <family val="1"/>
      </rPr>
      <t>…</t>
    </r>
    <r>
      <rPr>
        <sz val="12"/>
        <color theme="1"/>
        <rFont val="標楷體"/>
        <family val="4"/>
        <charset val="136"/>
      </rPr>
      <t>等</t>
    </r>
    <r>
      <rPr>
        <sz val="12"/>
        <color theme="1"/>
        <rFont val="Times New Roman"/>
        <family val="1"/>
      </rPr>
      <t>)</t>
    </r>
  </si>
  <si>
    <r>
      <t>製程工站失效模式或錯誤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經由操作員之計量值量測或製程工站自動控制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其將偵測異常零件和通知操作員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燈號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蜂鳴器</t>
    </r>
    <r>
      <rPr>
        <sz val="12"/>
        <color theme="1"/>
        <rFont val="Times New Roman"/>
        <family val="1"/>
      </rPr>
      <t>…</t>
    </r>
    <r>
      <rPr>
        <sz val="12"/>
        <color theme="1"/>
        <rFont val="標楷體"/>
        <family val="4"/>
        <charset val="136"/>
      </rPr>
      <t>等</t>
    </r>
    <r>
      <rPr>
        <sz val="12"/>
        <color theme="1"/>
        <rFont val="Times New Roman"/>
        <family val="1"/>
      </rPr>
      <t>)</t>
    </r>
  </si>
  <si>
    <r>
      <t>後製程失效模式偵測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經由自動控制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其將偵測異常零件和自動鎖定於製程工站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防止流入製程</t>
    </r>
  </si>
  <si>
    <t>高中等</t>
  </si>
  <si>
    <r>
      <t>製程工站失效模式偵測錯誤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經由自動控制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其將偵測異常零件和自動鎖定於製程工站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防止流入製程</t>
    </r>
  </si>
  <si>
    <r>
      <t>製程工站錯誤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偵測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經由自動控制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其將偵測錯誤和防止零件被生產</t>
    </r>
  </si>
  <si>
    <t>極高</t>
  </si>
  <si>
    <t>幾乎確定</t>
  </si>
  <si>
    <t>任何階段不可偵測</t>
    <phoneticPr fontId="12" type="noConversion"/>
  </si>
  <si>
    <t>後製程偵測問題</t>
    <phoneticPr fontId="12" type="noConversion"/>
  </si>
  <si>
    <t>後製程問題偵測</t>
    <phoneticPr fontId="12" type="noConversion"/>
  </si>
  <si>
    <r>
      <t>錯誤偵測和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貨問題預防</t>
    </r>
    <phoneticPr fontId="12" type="noConversion"/>
  </si>
  <si>
    <t>不適用偵測；缺失預防</t>
    <phoneticPr fontId="12" type="noConversion"/>
  </si>
  <si>
    <r>
      <t>錯誤</t>
    </r>
    <r>
      <rPr>
        <sz val="12"/>
        <color theme="1"/>
        <rFont val="Times New Roman"/>
        <family val="1"/>
      </rPr>
      <t>(</t>
    </r>
    <r>
      <rPr>
        <sz val="12"/>
        <color theme="1"/>
        <rFont val="標楷體"/>
        <family val="4"/>
        <charset val="136"/>
      </rPr>
      <t>原因</t>
    </r>
    <r>
      <rPr>
        <sz val="12"/>
        <color theme="1"/>
        <rFont val="Times New Roman"/>
        <family val="1"/>
      </rPr>
      <t>)</t>
    </r>
    <r>
      <rPr>
        <sz val="12"/>
        <color theme="1"/>
        <rFont val="標楷體"/>
        <family val="4"/>
        <charset val="136"/>
      </rPr>
      <t>預防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經由治具設計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機械設計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零件設計。
異常零件無法被生產</t>
    </r>
    <r>
      <rPr>
        <sz val="12"/>
        <color theme="1"/>
        <rFont val="Times New Roman"/>
        <family val="1"/>
      </rPr>
      <t>,</t>
    </r>
    <r>
      <rPr>
        <sz val="12"/>
        <color theme="1"/>
        <rFont val="標楷體"/>
        <family val="4"/>
        <charset val="136"/>
      </rPr>
      <t>因為於產品</t>
    </r>
    <r>
      <rPr>
        <sz val="12"/>
        <color theme="1"/>
        <rFont val="Times New Roman"/>
        <family val="1"/>
      </rPr>
      <t>/</t>
    </r>
    <r>
      <rPr>
        <sz val="12"/>
        <color theme="1"/>
        <rFont val="標楷體"/>
        <family val="4"/>
        <charset val="136"/>
      </rPr>
      <t>製程設計已設定防誤裝置</t>
    </r>
    <phoneticPr fontId="12" type="noConversion"/>
  </si>
  <si>
    <t>組裝</t>
  </si>
  <si>
    <r>
      <rPr>
        <sz val="12"/>
        <color theme="1"/>
        <rFont val="標楷體"/>
        <family val="4"/>
        <charset val="136"/>
      </rPr>
      <t xml:space="preserve">嚴重度
</t>
    </r>
    <r>
      <rPr>
        <sz val="12"/>
        <color theme="1"/>
        <rFont val="Times New Roman"/>
        <family val="1"/>
      </rPr>
      <t>(S)</t>
    </r>
    <phoneticPr fontId="12" type="noConversion"/>
  </si>
  <si>
    <r>
      <rPr>
        <sz val="12"/>
        <color theme="1"/>
        <rFont val="標楷體"/>
        <family val="4"/>
        <charset val="136"/>
      </rPr>
      <t xml:space="preserve">發生率
</t>
    </r>
    <r>
      <rPr>
        <sz val="12"/>
        <color theme="1"/>
        <rFont val="Times New Roman"/>
        <family val="1"/>
      </rPr>
      <t>(O)</t>
    </r>
    <phoneticPr fontId="12" type="noConversion"/>
  </si>
  <si>
    <r>
      <rPr>
        <sz val="12"/>
        <color theme="1"/>
        <rFont val="標楷體"/>
        <family val="4"/>
        <charset val="136"/>
      </rPr>
      <t xml:space="preserve">偵測度
</t>
    </r>
    <r>
      <rPr>
        <sz val="12"/>
        <color theme="1"/>
        <rFont val="Times New Roman"/>
        <family val="1"/>
      </rPr>
      <t>(D)</t>
    </r>
    <phoneticPr fontId="12" type="noConversion"/>
  </si>
  <si>
    <t>組裝</t>
    <phoneticPr fontId="12" type="noConversion"/>
  </si>
  <si>
    <t>後製程加工</t>
  </si>
  <si>
    <t>後製程加工</t>
    <phoneticPr fontId="12" type="noConversion"/>
  </si>
  <si>
    <t>功能</t>
    <phoneticPr fontId="12" type="noConversion"/>
  </si>
  <si>
    <t>組裝</t>
    <phoneticPr fontId="12" type="noConversion"/>
  </si>
  <si>
    <t>組裝</t>
    <phoneticPr fontId="12" type="noConversion"/>
  </si>
  <si>
    <t>失效模式潛在後果</t>
    <phoneticPr fontId="12" type="noConversion"/>
  </si>
  <si>
    <t>齒輪咬合</t>
    <phoneticPr fontId="12" type="noConversion"/>
  </si>
  <si>
    <t>齒部研磨</t>
  </si>
  <si>
    <t>齒部研磨</t>
    <phoneticPr fontId="12" type="noConversion"/>
  </si>
  <si>
    <t>產品辨識</t>
    <phoneticPr fontId="12" type="noConversion"/>
  </si>
  <si>
    <t>齒輪咬合度</t>
    <phoneticPr fontId="12" type="noConversion"/>
  </si>
  <si>
    <t>品質控管</t>
    <phoneticPr fontId="12" type="noConversion"/>
  </si>
  <si>
    <t>外觀</t>
    <phoneticPr fontId="12" type="noConversion"/>
  </si>
  <si>
    <t>齒輪研磨</t>
    <phoneticPr fontId="12" type="noConversion"/>
  </si>
  <si>
    <t>換檔順暢度</t>
    <phoneticPr fontId="12" type="noConversion"/>
  </si>
  <si>
    <t>齒部加工</t>
    <phoneticPr fontId="12" type="noConversion"/>
  </si>
  <si>
    <t>無法組裝</t>
    <phoneticPr fontId="12" type="noConversion"/>
  </si>
  <si>
    <t>部分零件無法組裝</t>
    <phoneticPr fontId="12" type="noConversion"/>
  </si>
  <si>
    <t>後製程無法加工</t>
    <phoneticPr fontId="12" type="noConversion"/>
  </si>
  <si>
    <t>無法傳動</t>
    <phoneticPr fontId="12" type="noConversion"/>
  </si>
  <si>
    <t>項目</t>
    <phoneticPr fontId="12" type="noConversion"/>
  </si>
  <si>
    <t>車床_外徑過大</t>
  </si>
  <si>
    <t>車床_長度不足</t>
  </si>
  <si>
    <t>車床_中心孔未打</t>
  </si>
  <si>
    <t>銑床_孔位異常</t>
  </si>
  <si>
    <t>銑床_鑽孔尺寸錯誤</t>
  </si>
  <si>
    <t>銑床_螺牙規格錯誤</t>
  </si>
  <si>
    <t>銑床_加工深度不足</t>
  </si>
  <si>
    <t>滾齒_滾齒參數錯誤</t>
  </si>
  <si>
    <t>滾齒_滾齒中心偏移</t>
  </si>
  <si>
    <t>線割_線割深度過深</t>
  </si>
  <si>
    <t>線割_加工位置錯誤</t>
  </si>
  <si>
    <t>平研_研磨過磨</t>
  </si>
  <si>
    <t>平研_部分未見光</t>
  </si>
  <si>
    <t>外研_研磨過磨</t>
  </si>
  <si>
    <t>齒研_中心定位不佳</t>
  </si>
  <si>
    <t>齒研_參數設定錯誤</t>
  </si>
  <si>
    <t>放電_尺寸過小</t>
  </si>
  <si>
    <t>放電_加工位置錯誤</t>
  </si>
  <si>
    <t>精銑鍵槽_加工位置錯誤</t>
  </si>
  <si>
    <t>精銑鍵槽_加工深度不足</t>
  </si>
  <si>
    <t>雷刻_雷刻位置錯誤</t>
  </si>
  <si>
    <t>粗銑_孔位異常</t>
  </si>
  <si>
    <t>粗銑_鑽孔尺寸錯誤</t>
  </si>
  <si>
    <t>粗銑_螺牙規格錯誤</t>
  </si>
  <si>
    <t>防碳_防碳厚度不足</t>
  </si>
  <si>
    <t>鎖螺絲_鎖螺絲深度不足</t>
  </si>
  <si>
    <t>精滾_滾齒參數錯誤</t>
  </si>
  <si>
    <t>精滾_滾齒中心偏移</t>
  </si>
  <si>
    <t>粗滾_滾齒參數錯誤</t>
  </si>
  <si>
    <t>粗滾_滾齒中心偏移</t>
  </si>
  <si>
    <t>攻牙_攻牙深度不足</t>
  </si>
  <si>
    <t>精車_加工尺寸過大</t>
  </si>
  <si>
    <t>銑鍵槽_加工位置錯誤</t>
  </si>
  <si>
    <t>銑鍵槽_加工深度不足</t>
  </si>
  <si>
    <t>鑽、攻_孔位異常</t>
  </si>
  <si>
    <t>鑽、攻_鑽孔尺寸錯誤</t>
  </si>
  <si>
    <t>鑽、攻_螺牙規格錯誤</t>
  </si>
  <si>
    <t>齒部外研_研磨過磨</t>
  </si>
  <si>
    <t>線割鍵槽_線割尺寸過小</t>
  </si>
  <si>
    <t>線割鍵槽_線割深度過深</t>
  </si>
  <si>
    <t>線割鍵槽_加工位置錯誤</t>
  </si>
  <si>
    <t>線割雙鍵槽_線割尺寸過小</t>
  </si>
  <si>
    <t>線割雙鍵槽_線割深度過深</t>
  </si>
  <si>
    <t>線割雙鍵槽_加工位置錯誤</t>
  </si>
  <si>
    <t>粗外研_研磨過磨</t>
  </si>
  <si>
    <t>兩面平研_研磨過磨</t>
  </si>
  <si>
    <t>穿心軸外研_研磨過磨</t>
  </si>
  <si>
    <t>粗車_外徑過大</t>
  </si>
  <si>
    <t>粗車_長度不足</t>
  </si>
  <si>
    <t>粗車_中心孔未打</t>
  </si>
  <si>
    <t>線割內花鍵_花鍵數據設定錯誤</t>
  </si>
  <si>
    <t>組裝_組裝未確實</t>
  </si>
  <si>
    <t>組裝_組裝方向錯誤</t>
  </si>
  <si>
    <t>切斷_切斷長度異常</t>
  </si>
  <si>
    <t>結合_結合未確實</t>
  </si>
  <si>
    <t>結合_結合方向錯誤</t>
  </si>
  <si>
    <t>粗磨見光_研磨過磨</t>
  </si>
  <si>
    <t>中心孔研_中心孔研磨偏移</t>
  </si>
  <si>
    <t>車內孔_內孔加工過大</t>
  </si>
  <si>
    <t>銑對位_孔位異常</t>
  </si>
  <si>
    <t>銑對位_鑽孔尺寸錯誤</t>
  </si>
  <si>
    <t>銑對位_螺牙規格錯誤</t>
  </si>
  <si>
    <t>精車內孔_內孔加工過大</t>
  </si>
  <si>
    <t>切除料_切斷長度異常</t>
  </si>
  <si>
    <t>合檔片_合檔片未確實</t>
  </si>
  <si>
    <t>鎖螺絲+防碳_防碳厚度不足</t>
  </si>
  <si>
    <t>鎖螺絲+防碳_螺牙未鎖到底</t>
  </si>
  <si>
    <t>鎖螺絲_螺牙未鎖到底</t>
  </si>
  <si>
    <t>合螺帽_螺帽規格錯誤</t>
  </si>
  <si>
    <t>鉸孔_絞孔擴孔</t>
  </si>
  <si>
    <t>車牙_螺牙規格錯誤</t>
  </si>
  <si>
    <t>精車(含平面)_加工尺寸過大</t>
  </si>
  <si>
    <t>精車(含平面)_平行度不佳</t>
  </si>
  <si>
    <t>全檢_檢驗未確實</t>
  </si>
  <si>
    <t>銑對齒頂_孔位異常</t>
  </si>
  <si>
    <t>銑對齒頂_鑽孔尺寸錯誤</t>
  </si>
  <si>
    <t>銑對齒頂_螺牙規格錯誤</t>
  </si>
  <si>
    <t>精銑孔位_孔位異常</t>
  </si>
  <si>
    <t>精銑孔位_鑽孔尺寸錯誤</t>
  </si>
  <si>
    <t>精銑孔位_螺牙規格錯誤</t>
  </si>
  <si>
    <t>內孔精車端面_加工尺寸過大</t>
  </si>
  <si>
    <t>內孔精車端面_平行度不佳</t>
  </si>
  <si>
    <t>拋光_加工尺寸過小</t>
  </si>
  <si>
    <t>車床+車中心孔牙_外徑過大</t>
  </si>
  <si>
    <t>車床+車中心孔牙_長度不足</t>
  </si>
  <si>
    <t>車床+車中心孔牙_中心孔牙牙深不足</t>
  </si>
  <si>
    <t>車床+車牙_外徑過大</t>
  </si>
  <si>
    <t>車床+車牙_長度不足</t>
  </si>
  <si>
    <t>車床+車牙_螺牙規格錯誤</t>
  </si>
  <si>
    <t>外齒研_研磨過磨</t>
  </si>
  <si>
    <t>齒輪熱配端研_端面研磨尺寸過磨</t>
  </si>
  <si>
    <t>打PIN_深度不足</t>
  </si>
  <si>
    <t>合模具_合模具方向錯誤</t>
  </si>
  <si>
    <t>銑對正鍵槽_孔位異常</t>
  </si>
  <si>
    <t>銑對正鍵槽_鑽孔尺寸錯誤</t>
  </si>
  <si>
    <t>銑對正鍵槽_螺牙規格錯誤</t>
  </si>
  <si>
    <t>銑倒角_倒角角度不足</t>
  </si>
  <si>
    <t>熱配_熱配未確實</t>
  </si>
  <si>
    <t>焊補_焊補不足</t>
  </si>
  <si>
    <t>銅刷除毛邊_除毛邊未確實</t>
  </si>
  <si>
    <t>修孔_加工尺寸過大</t>
  </si>
  <si>
    <t>車床合擋片_加工尺寸過大</t>
  </si>
  <si>
    <t>合工件_合工件過大</t>
  </si>
  <si>
    <t>車+車中心孔_外徑過大</t>
  </si>
  <si>
    <t>車+車中心孔_長度不足</t>
  </si>
  <si>
    <t>車+車中心孔_中心孔未打</t>
  </si>
  <si>
    <t>線割齒部_齒部數據設定錯誤</t>
  </si>
  <si>
    <t>銑對齒底_孔位異常</t>
  </si>
  <si>
    <t>銑對齒底_鑽孔尺寸錯誤</t>
  </si>
  <si>
    <t>銑對齒底_螺牙規格錯誤</t>
  </si>
  <si>
    <t>檢查內孔_檢查未確實</t>
  </si>
  <si>
    <t>線割對圖面_線割尺寸過小</t>
  </si>
  <si>
    <t>線割對圖面_線割深度過深</t>
  </si>
  <si>
    <t>線割對圖面_加工位置錯誤</t>
  </si>
  <si>
    <t>車床+檢查螺孔_外徑過大</t>
  </si>
  <si>
    <t>車床+檢查螺孔_長度不足</t>
  </si>
  <si>
    <t>結合齒研_中心定位不佳</t>
  </si>
  <si>
    <t>結合齒研_參數設定錯誤</t>
  </si>
  <si>
    <t>銑對正齒頂_孔位異常</t>
  </si>
  <si>
    <t>銑對正齒頂_鑽孔尺寸錯誤</t>
  </si>
  <si>
    <t>銑對正齒頂_螺牙規格錯誤</t>
  </si>
  <si>
    <t>倒角_倒角角度錯誤</t>
  </si>
  <si>
    <t>倒角_深度不足</t>
  </si>
  <si>
    <t>刷毛邊_刷毛邊未確實</t>
  </si>
  <si>
    <t>精銑牙_中心位置偏移</t>
  </si>
  <si>
    <t>精銑牙_牙部參數設定錯誤</t>
  </si>
  <si>
    <t>材料_外徑尺寸錯誤</t>
  </si>
  <si>
    <t>材料_長度不足</t>
  </si>
  <si>
    <t>材料_料嚴重偏斜</t>
  </si>
  <si>
    <t>快走絲_尺寸過小</t>
  </si>
  <si>
    <t>快走絲_深度過深</t>
  </si>
  <si>
    <t>快走絲_加工位置錯誤</t>
  </si>
  <si>
    <t>焊接_焊接未確實</t>
  </si>
  <si>
    <t>中心孔倒角_倒角過小</t>
  </si>
  <si>
    <t>甲苯清洗_清潔未確實</t>
  </si>
  <si>
    <t>壓配_壓配未確實</t>
  </si>
  <si>
    <t>牛皮去毛邊_去毛邊未確實</t>
  </si>
  <si>
    <t>打中心孔_孔位偏移</t>
  </si>
  <si>
    <t>打中心孔_孔深不足</t>
  </si>
  <si>
    <t>skiving_中心偏移</t>
  </si>
  <si>
    <t>skiving_參數設定錯誤</t>
  </si>
  <si>
    <t>粗外研+中心孔研_研磨過磨</t>
  </si>
  <si>
    <t>粗外研+中心孔研_中心孔研磨偏移</t>
  </si>
  <si>
    <t>銑床孔位異常</t>
    <phoneticPr fontId="12" type="noConversion"/>
  </si>
  <si>
    <t>組裝孔位無法對正</t>
    <phoneticPr fontId="12" type="noConversion"/>
  </si>
  <si>
    <t>銑床鑽孔尺寸錯誤</t>
    <phoneticPr fontId="12" type="noConversion"/>
  </si>
  <si>
    <t>車床外徑過大</t>
    <phoneticPr fontId="12" type="noConversion"/>
  </si>
  <si>
    <t>長度不足</t>
    <phoneticPr fontId="12" type="noConversion"/>
  </si>
  <si>
    <t>車床長度不足</t>
    <phoneticPr fontId="12" type="noConversion"/>
  </si>
  <si>
    <t>車床中心孔未打</t>
    <phoneticPr fontId="12" type="noConversion"/>
  </si>
  <si>
    <t>後續加工無法固定</t>
    <phoneticPr fontId="12" type="noConversion"/>
  </si>
  <si>
    <t>組裝尺寸不合</t>
    <phoneticPr fontId="12" type="noConversion"/>
  </si>
  <si>
    <t>銑床螺牙規格錯誤</t>
    <phoneticPr fontId="12" type="noConversion"/>
  </si>
  <si>
    <t>組裝孔無法鎖付</t>
    <phoneticPr fontId="12" type="noConversion"/>
  </si>
  <si>
    <t>銑床加工深度不足</t>
    <phoneticPr fontId="12" type="noConversion"/>
  </si>
  <si>
    <t>配件安裝尺寸過高</t>
    <phoneticPr fontId="12" type="noConversion"/>
  </si>
  <si>
    <t>滾齒參數錯誤</t>
    <phoneticPr fontId="12" type="noConversion"/>
  </si>
  <si>
    <t>齒輪無法咬合</t>
    <phoneticPr fontId="12" type="noConversion"/>
  </si>
  <si>
    <t>滾齒中心偏移</t>
    <phoneticPr fontId="12" type="noConversion"/>
  </si>
  <si>
    <t>齒輪研磨不佳</t>
    <phoneticPr fontId="12" type="noConversion"/>
  </si>
  <si>
    <t>線割加工位置錯誤</t>
  </si>
  <si>
    <t>平研部分未見光</t>
  </si>
  <si>
    <t>齒研中心定位不佳</t>
  </si>
  <si>
    <t>精滾滾齒參數錯誤</t>
  </si>
  <si>
    <t>精滾滾齒中心偏移</t>
  </si>
  <si>
    <t>粗滾滾齒參數錯誤</t>
  </si>
  <si>
    <t>精車加工尺寸過大</t>
  </si>
  <si>
    <t>粗車長度不足</t>
  </si>
  <si>
    <t>粗車中心孔未打</t>
  </si>
  <si>
    <t>外齒研研磨過磨</t>
  </si>
  <si>
    <t>倒角深度不足</t>
  </si>
  <si>
    <t>材料外徑尺寸錯誤</t>
  </si>
  <si>
    <t>材料長度不足</t>
  </si>
  <si>
    <t>快走絲尺寸過小</t>
  </si>
  <si>
    <t>快走絲深度過深</t>
  </si>
  <si>
    <t>線割尺寸過小</t>
    <phoneticPr fontId="12" type="noConversion"/>
  </si>
  <si>
    <t>線割深度過深</t>
    <phoneticPr fontId="12" type="noConversion"/>
  </si>
  <si>
    <t>配件無法安裝</t>
    <phoneticPr fontId="12" type="noConversion"/>
  </si>
  <si>
    <t>配件安裝尺寸過低</t>
    <phoneticPr fontId="12" type="noConversion"/>
  </si>
  <si>
    <t>對手件無法組裝</t>
    <phoneticPr fontId="12" type="noConversion"/>
  </si>
  <si>
    <t>平研過磨</t>
    <phoneticPr fontId="12" type="noConversion"/>
  </si>
  <si>
    <t>外研過磨</t>
    <phoneticPr fontId="12" type="noConversion"/>
  </si>
  <si>
    <t>組裝間隙過大</t>
    <phoneticPr fontId="12" type="noConversion"/>
  </si>
  <si>
    <t>運轉零件鬆脫</t>
    <phoneticPr fontId="12" type="noConversion"/>
  </si>
  <si>
    <t>組裝間隙過大</t>
    <phoneticPr fontId="12" type="noConversion"/>
  </si>
  <si>
    <t>中心孔研磨偏移</t>
    <phoneticPr fontId="12" type="noConversion"/>
  </si>
  <si>
    <t>粗外研研磨過磨</t>
    <phoneticPr fontId="12" type="noConversion"/>
  </si>
  <si>
    <t>參數設定錯誤</t>
    <phoneticPr fontId="12" type="noConversion"/>
  </si>
  <si>
    <t>中心偏移</t>
    <phoneticPr fontId="12" type="noConversion"/>
  </si>
  <si>
    <t>中心孔孔深不足</t>
    <phoneticPr fontId="12" type="noConversion"/>
  </si>
  <si>
    <t>中心孔孔位偏移</t>
    <phoneticPr fontId="12" type="noConversion"/>
  </si>
  <si>
    <t>去毛邊未確實</t>
    <phoneticPr fontId="12" type="noConversion"/>
  </si>
  <si>
    <t>壓配未確實</t>
    <phoneticPr fontId="12" type="noConversion"/>
  </si>
  <si>
    <t>清潔未確實</t>
    <phoneticPr fontId="12" type="noConversion"/>
  </si>
  <si>
    <t>中心孔倒角過小</t>
    <phoneticPr fontId="12" type="noConversion"/>
  </si>
  <si>
    <t>焊接未確實</t>
    <phoneticPr fontId="12" type="noConversion"/>
  </si>
  <si>
    <t>快走絲加工位置錯誤</t>
    <phoneticPr fontId="12" type="noConversion"/>
  </si>
  <si>
    <t>材料嚴重偏斜</t>
    <phoneticPr fontId="12" type="noConversion"/>
  </si>
  <si>
    <t>精銑牙部參數設定錯誤</t>
    <phoneticPr fontId="12" type="noConversion"/>
  </si>
  <si>
    <t>精銑牙中心位置偏移</t>
    <phoneticPr fontId="12" type="noConversion"/>
  </si>
  <si>
    <t>刷毛邊未確實</t>
    <phoneticPr fontId="12" type="noConversion"/>
  </si>
  <si>
    <t>倒角角度錯誤</t>
    <phoneticPr fontId="12" type="noConversion"/>
  </si>
  <si>
    <t>螺牙規格錯誤</t>
    <phoneticPr fontId="12" type="noConversion"/>
  </si>
  <si>
    <t>鑽孔尺寸錯誤</t>
    <phoneticPr fontId="12" type="noConversion"/>
  </si>
  <si>
    <t>孔位異常</t>
    <phoneticPr fontId="12" type="noConversion"/>
  </si>
  <si>
    <t>齒研參數設定錯誤</t>
    <phoneticPr fontId="12" type="noConversion"/>
  </si>
  <si>
    <t>齒研中心定位不佳</t>
    <phoneticPr fontId="12" type="noConversion"/>
  </si>
  <si>
    <t>線割加工位置錯誤</t>
    <phoneticPr fontId="12" type="noConversion"/>
  </si>
  <si>
    <t>內孔檢查未確實</t>
    <phoneticPr fontId="12" type="noConversion"/>
  </si>
  <si>
    <t>線割齒部數據設定錯誤</t>
    <phoneticPr fontId="12" type="noConversion"/>
  </si>
  <si>
    <t>合工件過大</t>
    <phoneticPr fontId="12" type="noConversion"/>
  </si>
  <si>
    <t>車床加工尺寸過大</t>
    <phoneticPr fontId="12" type="noConversion"/>
  </si>
  <si>
    <t>修孔加工尺寸過大</t>
    <phoneticPr fontId="12" type="noConversion"/>
  </si>
  <si>
    <t>除毛邊未確實</t>
    <phoneticPr fontId="12" type="noConversion"/>
  </si>
  <si>
    <t>焊補不足</t>
    <phoneticPr fontId="12" type="noConversion"/>
  </si>
  <si>
    <t>熱配未確實</t>
    <phoneticPr fontId="12" type="noConversion"/>
  </si>
  <si>
    <t>倒角角度不足</t>
    <phoneticPr fontId="12" type="noConversion"/>
  </si>
  <si>
    <t>合模具方向錯誤</t>
    <phoneticPr fontId="12" type="noConversion"/>
  </si>
  <si>
    <t>打PIN深度不足</t>
    <phoneticPr fontId="12" type="noConversion"/>
  </si>
  <si>
    <t>熱配端面研磨尺寸過磨</t>
    <phoneticPr fontId="12" type="noConversion"/>
  </si>
  <si>
    <t>中心孔牙牙深不足</t>
    <phoneticPr fontId="12" type="noConversion"/>
  </si>
  <si>
    <t>拋光尺寸過小</t>
    <phoneticPr fontId="12" type="noConversion"/>
  </si>
  <si>
    <t>端面平行度不佳</t>
    <phoneticPr fontId="12" type="noConversion"/>
  </si>
  <si>
    <t>內孔加工尺寸過大</t>
    <phoneticPr fontId="12" type="noConversion"/>
  </si>
  <si>
    <t>精車平行度不佳</t>
    <phoneticPr fontId="12" type="noConversion"/>
  </si>
  <si>
    <t>精車加工尺寸過大</t>
    <phoneticPr fontId="12" type="noConversion"/>
  </si>
  <si>
    <t>檢驗未確實</t>
    <phoneticPr fontId="12" type="noConversion"/>
  </si>
  <si>
    <t>絞孔擴孔</t>
    <phoneticPr fontId="12" type="noConversion"/>
  </si>
  <si>
    <t>螺帽規格錯誤</t>
    <phoneticPr fontId="12" type="noConversion"/>
  </si>
  <si>
    <t>防碳厚度不足</t>
    <phoneticPr fontId="12" type="noConversion"/>
  </si>
  <si>
    <t>合檔片未確實</t>
    <phoneticPr fontId="12" type="noConversion"/>
  </si>
  <si>
    <t>切斷長度異常</t>
    <phoneticPr fontId="12" type="noConversion"/>
  </si>
  <si>
    <t>內孔加工過大</t>
    <phoneticPr fontId="12" type="noConversion"/>
  </si>
  <si>
    <t>粗磨研磨過磨</t>
    <phoneticPr fontId="12" type="noConversion"/>
  </si>
  <si>
    <t>結合方向錯誤</t>
    <phoneticPr fontId="12" type="noConversion"/>
  </si>
  <si>
    <t>結合未確實</t>
    <phoneticPr fontId="12" type="noConversion"/>
  </si>
  <si>
    <t>組裝方向錯誤</t>
    <phoneticPr fontId="12" type="noConversion"/>
  </si>
  <si>
    <t>組裝未確實</t>
    <phoneticPr fontId="12" type="noConversion"/>
  </si>
  <si>
    <t>線割花鍵數據設定錯誤</t>
    <phoneticPr fontId="12" type="noConversion"/>
  </si>
  <si>
    <t>外研研磨過磨</t>
    <phoneticPr fontId="12" type="noConversion"/>
  </si>
  <si>
    <t>平研研磨過磨</t>
    <phoneticPr fontId="12" type="noConversion"/>
  </si>
  <si>
    <t>齒部外研研磨過磨</t>
    <phoneticPr fontId="12" type="noConversion"/>
  </si>
  <si>
    <t>加工深度不足</t>
    <phoneticPr fontId="12" type="noConversion"/>
  </si>
  <si>
    <t>加工位置錯誤</t>
    <phoneticPr fontId="12" type="noConversion"/>
  </si>
  <si>
    <t>攻牙深度不足</t>
    <phoneticPr fontId="12" type="noConversion"/>
  </si>
  <si>
    <t>粗滾滾齒中心偏移</t>
    <phoneticPr fontId="12" type="noConversion"/>
  </si>
  <si>
    <t>打毛邊深度過深</t>
    <phoneticPr fontId="12" type="noConversion"/>
  </si>
  <si>
    <t>打毛邊深度不足</t>
    <phoneticPr fontId="12" type="noConversion"/>
  </si>
  <si>
    <t>打毛邊深度不足</t>
    <phoneticPr fontId="12" type="noConversion"/>
  </si>
  <si>
    <t>打毛邊深度過深</t>
    <phoneticPr fontId="12" type="noConversion"/>
  </si>
  <si>
    <t>打毛邊_打毛邊深度過深</t>
    <phoneticPr fontId="12" type="noConversion"/>
  </si>
  <si>
    <t>打毛邊_打毛邊深度不足</t>
    <phoneticPr fontId="12" type="noConversion"/>
  </si>
  <si>
    <t>鎖螺絲深度不足</t>
    <phoneticPr fontId="12" type="noConversion"/>
  </si>
  <si>
    <t>雷刻位置錯誤</t>
    <phoneticPr fontId="12" type="noConversion"/>
  </si>
  <si>
    <t>精銑齒部中心偏移</t>
    <phoneticPr fontId="12" type="noConversion"/>
  </si>
  <si>
    <t>精銑齒部參數錯誤</t>
    <phoneticPr fontId="12" type="noConversion"/>
  </si>
  <si>
    <t>精銑齒部_參數錯誤</t>
    <phoneticPr fontId="12" type="noConversion"/>
  </si>
  <si>
    <t>精銑齒部_中心偏移</t>
    <phoneticPr fontId="12" type="noConversion"/>
  </si>
  <si>
    <t>中心偏移</t>
    <phoneticPr fontId="12" type="noConversion"/>
  </si>
  <si>
    <t>參數錯誤</t>
    <phoneticPr fontId="12" type="noConversion"/>
  </si>
  <si>
    <t>齒輪咬合不佳</t>
    <phoneticPr fontId="12" type="noConversion"/>
  </si>
  <si>
    <t>傳動不佳、異音</t>
    <phoneticPr fontId="12" type="noConversion"/>
  </si>
  <si>
    <t>齒輪咬合間隙過大、異音</t>
    <phoneticPr fontId="12" type="noConversion"/>
  </si>
  <si>
    <t>齒研過磨</t>
    <phoneticPr fontId="12" type="noConversion"/>
  </si>
  <si>
    <t>齒部咬合面過小、傳動不良</t>
    <phoneticPr fontId="12" type="noConversion"/>
  </si>
  <si>
    <t>放電尺寸過小</t>
    <phoneticPr fontId="12" type="noConversion"/>
  </si>
  <si>
    <t>傳動不良或無法傳動</t>
    <phoneticPr fontId="12" type="noConversion"/>
  </si>
  <si>
    <t>產品強度降低</t>
    <phoneticPr fontId="12" type="noConversion"/>
  </si>
  <si>
    <t>產品損壞機率提高</t>
    <phoneticPr fontId="12" type="noConversion"/>
  </si>
  <si>
    <t>無法固定</t>
    <phoneticPr fontId="12" type="noConversion"/>
  </si>
  <si>
    <t>固定強度降低</t>
    <phoneticPr fontId="12" type="noConversion"/>
  </si>
  <si>
    <t>運轉異常</t>
    <phoneticPr fontId="12" type="noConversion"/>
  </si>
  <si>
    <t>後續加工中心偏移</t>
    <phoneticPr fontId="12" type="noConversion"/>
  </si>
  <si>
    <t>對手件無法鎖固</t>
    <phoneticPr fontId="12" type="noConversion"/>
  </si>
  <si>
    <t>運轉鬆脫導致機台異常</t>
    <phoneticPr fontId="12" type="noConversion"/>
  </si>
  <si>
    <t>替換產品時不易辨別</t>
    <phoneticPr fontId="12" type="noConversion"/>
  </si>
  <si>
    <t>組裝固定深度不足</t>
    <phoneticPr fontId="12" type="noConversion"/>
  </si>
  <si>
    <t>運轉最大強度降低，機台提早損壞</t>
    <phoneticPr fontId="12" type="noConversion"/>
  </si>
  <si>
    <t>咬合不順</t>
    <phoneticPr fontId="12" type="noConversion"/>
  </si>
  <si>
    <t>運轉異音</t>
    <phoneticPr fontId="12" type="noConversion"/>
  </si>
  <si>
    <t>毛邊脫落導致咬合有異物</t>
    <phoneticPr fontId="12" type="noConversion"/>
  </si>
  <si>
    <t>組裝干涉</t>
    <phoneticPr fontId="12" type="noConversion"/>
  </si>
  <si>
    <t>粗車外徑過大</t>
    <phoneticPr fontId="12" type="noConversion"/>
  </si>
  <si>
    <t>齒研偏擺</t>
    <phoneticPr fontId="12" type="noConversion"/>
  </si>
  <si>
    <t>運轉偏心</t>
    <phoneticPr fontId="12" type="noConversion"/>
  </si>
  <si>
    <t>後製加工異常</t>
    <phoneticPr fontId="12" type="noConversion"/>
  </si>
  <si>
    <t>無法鎖固</t>
    <phoneticPr fontId="12" type="noConversion"/>
  </si>
  <si>
    <t>組裝不確實</t>
    <phoneticPr fontId="12" type="noConversion"/>
  </si>
  <si>
    <t>組裝困難</t>
    <phoneticPr fontId="12" type="noConversion"/>
  </si>
  <si>
    <t>外觀不佳</t>
    <phoneticPr fontId="12" type="noConversion"/>
  </si>
  <si>
    <t>外觀孔洞易積油垢</t>
    <phoneticPr fontId="12" type="noConversion"/>
  </si>
  <si>
    <t>加工長度不足</t>
    <phoneticPr fontId="12" type="noConversion"/>
  </si>
  <si>
    <t>內孔異物影響組裝</t>
    <phoneticPr fontId="12" type="noConversion"/>
  </si>
  <si>
    <t>換檔不順</t>
    <phoneticPr fontId="12" type="noConversion"/>
  </si>
  <si>
    <t>換檔異音</t>
    <phoneticPr fontId="12" type="noConversion"/>
  </si>
  <si>
    <t>組裝干涉</t>
    <phoneticPr fontId="12" type="noConversion"/>
  </si>
  <si>
    <t>異常品混料</t>
    <phoneticPr fontId="12" type="noConversion"/>
  </si>
  <si>
    <t>合檔片過鬆</t>
    <phoneticPr fontId="12" type="noConversion"/>
  </si>
  <si>
    <t>加工錯誤</t>
    <phoneticPr fontId="12" type="noConversion"/>
  </si>
  <si>
    <t>強度不足</t>
    <phoneticPr fontId="12" type="noConversion"/>
  </si>
  <si>
    <t>加工程式設定錯誤</t>
    <phoneticPr fontId="12" type="noConversion"/>
  </si>
  <si>
    <t>廠商尺寸拿錯</t>
    <phoneticPr fontId="12" type="noConversion"/>
  </si>
  <si>
    <t>加工放置未到底</t>
    <phoneticPr fontId="12" type="noConversion"/>
  </si>
  <si>
    <t>加工參數設定錯誤</t>
    <phoneticPr fontId="12" type="noConversion"/>
  </si>
  <si>
    <t>加工放置定位不佳</t>
    <phoneticPr fontId="12" type="noConversion"/>
  </si>
  <si>
    <t>加工尺寸量測異常</t>
    <phoneticPr fontId="12" type="noConversion"/>
  </si>
  <si>
    <t>前製程預留不足</t>
    <phoneticPr fontId="12" type="noConversion"/>
  </si>
  <si>
    <t>中心確認未確實</t>
    <phoneticPr fontId="12" type="noConversion"/>
  </si>
  <si>
    <t>加工治具錯誤</t>
    <phoneticPr fontId="12" type="noConversion"/>
  </si>
  <si>
    <t>視圖錯誤</t>
    <phoneticPr fontId="12" type="noConversion"/>
  </si>
  <si>
    <t>操作不當</t>
    <phoneticPr fontId="12" type="noConversion"/>
  </si>
  <si>
    <t>動作不確實</t>
    <phoneticPr fontId="12" type="noConversion"/>
  </si>
  <si>
    <t>廠商尺寸設定錯誤</t>
    <phoneticPr fontId="12" type="noConversion"/>
  </si>
  <si>
    <t>廠商切料歪斜</t>
    <phoneticPr fontId="12" type="noConversion"/>
  </si>
  <si>
    <t>首件確認</t>
    <phoneticPr fontId="12" type="noConversion"/>
  </si>
  <si>
    <t>1.首件確認
2.製程中定量抽樣</t>
    <phoneticPr fontId="12" type="noConversion"/>
  </si>
  <si>
    <t>1.首件上檢驗機確認
2.製程中定量抽樣</t>
    <phoneticPr fontId="12" type="noConversion"/>
  </si>
  <si>
    <t>R.P.N值</t>
    <phoneticPr fontId="12" type="noConversion"/>
  </si>
  <si>
    <t>1≦RPN≦26</t>
    <phoneticPr fontId="12" type="noConversion"/>
  </si>
  <si>
    <t xml:space="preserve">27≦RPN≦63 </t>
    <phoneticPr fontId="12" type="noConversion"/>
  </si>
  <si>
    <t xml:space="preserve">64≦RPN≦400 </t>
    <phoneticPr fontId="12" type="noConversion"/>
  </si>
  <si>
    <t xml:space="preserve">400≦RPN </t>
    <phoneticPr fontId="12" type="noConversion"/>
  </si>
  <si>
    <t>輕微的製造或商業風險，不需改善。</t>
    <phoneticPr fontId="12" type="noConversion"/>
  </si>
  <si>
    <t>低度風險，由專案負責人自行判斷是否採取措施 ，由專案負責人自行判斷是否採取措施。</t>
    <phoneticPr fontId="12" type="noConversion"/>
  </si>
  <si>
    <t>中度風險，須對設計做評價後 ，須對設計做評價後，再作改善。</t>
    <phoneticPr fontId="12" type="noConversion"/>
  </si>
  <si>
    <t>高度風險，須對設計作重新變更 ，須對設計作重新變更。</t>
    <phoneticPr fontId="12" type="noConversion"/>
  </si>
  <si>
    <t>說明</t>
    <phoneticPr fontId="12" type="noConversion"/>
  </si>
  <si>
    <t>a.400≦RPN時，須對設計作重新變更 須對設計作重新變更。 
b.當P (發生頻率指數)或D(探測度)大於7時，建議改善措施必須能降到 建議改善措施必須能降到3以下。 
c.當S(嚴重度指數)大於9時，P(發生頻率指數)和D(探測度)必須是2或是更低。 
d.當其中任何一項是大於 d.當其中任何一項是大於9時，必須進行設計變更或是適當的處置 必須進行設計變更或是適當的處置，使其降為3 以下 。</t>
    <phoneticPr fontId="12" type="noConversion"/>
  </si>
  <si>
    <t>控制預防</t>
    <phoneticPr fontId="12" type="noConversion"/>
  </si>
  <si>
    <t>控制偵測</t>
    <phoneticPr fontId="12" type="noConversion"/>
  </si>
  <si>
    <t>SOP</t>
  </si>
  <si>
    <t>SOP</t>
    <phoneticPr fontId="12" type="noConversion"/>
  </si>
  <si>
    <t>目視檢驗</t>
  </si>
  <si>
    <t>目視檢驗</t>
    <phoneticPr fontId="12" type="noConversion"/>
  </si>
  <si>
    <t>卡尺檢驗</t>
  </si>
  <si>
    <t>卡尺檢驗</t>
    <phoneticPr fontId="12" type="noConversion"/>
  </si>
  <si>
    <t>檢具檢驗</t>
  </si>
  <si>
    <t>檢具檢驗</t>
    <phoneticPr fontId="12" type="noConversion"/>
  </si>
  <si>
    <t>分厘卡檢驗</t>
  </si>
  <si>
    <t>分厘卡檢驗</t>
    <phoneticPr fontId="12" type="noConversion"/>
  </si>
  <si>
    <t>側微器檢驗</t>
  </si>
  <si>
    <t>側微器檢驗</t>
    <phoneticPr fontId="12" type="noConversion"/>
  </si>
  <si>
    <t>三次元檢驗</t>
  </si>
  <si>
    <t>三次元檢驗</t>
    <phoneticPr fontId="12" type="noConversion"/>
  </si>
  <si>
    <t>齒輪檢測機</t>
  </si>
  <si>
    <t>齒輪檢測機</t>
    <phoneticPr fontId="12" type="noConversion"/>
  </si>
  <si>
    <t>無</t>
  </si>
  <si>
    <t>無</t>
    <phoneticPr fontId="12" type="noConversion"/>
  </si>
  <si>
    <t>無</t>
    <phoneticPr fontId="12" type="noConversion"/>
  </si>
  <si>
    <t>高度計</t>
  </si>
  <si>
    <t>高度計</t>
    <phoneticPr fontId="12" type="noConversion"/>
  </si>
  <si>
    <t>需選擇</t>
    <phoneticPr fontId="12" type="noConversion"/>
  </si>
  <si>
    <t>自填</t>
    <phoneticPr fontId="12" type="noConversion"/>
  </si>
  <si>
    <r>
      <rPr>
        <sz val="9"/>
        <color theme="1"/>
        <rFont val="細明體"/>
        <family val="3"/>
        <charset val="136"/>
      </rPr>
      <t>不須建議措施</t>
    </r>
    <r>
      <rPr>
        <sz val="9"/>
        <color theme="1"/>
        <rFont val="Times New Roman"/>
        <family val="1"/>
      </rPr>
      <t>RPN</t>
    </r>
    <phoneticPr fontId="12" type="noConversion"/>
  </si>
  <si>
    <t>新增文件</t>
    <phoneticPr fontId="12" type="noConversion"/>
  </si>
  <si>
    <t>何沐桐</t>
    <phoneticPr fontId="12" type="noConversion"/>
  </si>
  <si>
    <r>
      <rPr>
        <sz val="9"/>
        <rFont val="標楷體"/>
        <family val="4"/>
        <charset val="136"/>
      </rPr>
      <t>次要阻礙</t>
    </r>
    <phoneticPr fontId="12" type="noConversion"/>
  </si>
  <si>
    <r>
      <rPr>
        <sz val="9"/>
        <rFont val="標楷體"/>
        <family val="4"/>
        <charset val="136"/>
      </rPr>
      <t>極高</t>
    </r>
    <phoneticPr fontId="12" type="noConversion"/>
  </si>
  <si>
    <r>
      <rPr>
        <sz val="9"/>
        <rFont val="標楷體"/>
        <family val="4"/>
        <charset val="136"/>
      </rPr>
      <t>中等阻礙</t>
    </r>
    <phoneticPr fontId="12" type="noConversion"/>
  </si>
  <si>
    <r>
      <rPr>
        <sz val="9"/>
        <rFont val="標楷體"/>
        <family val="4"/>
        <charset val="136"/>
      </rPr>
      <t>低</t>
    </r>
    <phoneticPr fontId="12" type="noConversion"/>
  </si>
  <si>
    <r>
      <rPr>
        <sz val="9"/>
        <rFont val="標楷體"/>
        <family val="4"/>
        <charset val="136"/>
      </rPr>
      <t>高</t>
    </r>
    <phoneticPr fontId="12" type="noConversion"/>
  </si>
  <si>
    <r>
      <rPr>
        <sz val="9"/>
        <rFont val="標楷體"/>
        <family val="4"/>
        <charset val="136"/>
      </rPr>
      <t>顯著阻礙</t>
    </r>
    <phoneticPr fontId="12" type="noConversion"/>
  </si>
  <si>
    <r>
      <rPr>
        <sz val="9"/>
        <rFont val="標楷體"/>
        <family val="4"/>
        <charset val="136"/>
      </rPr>
      <t>高中等</t>
    </r>
    <phoneticPr fontId="12" type="noConversion"/>
  </si>
  <si>
    <r>
      <rPr>
        <sz val="9"/>
        <rFont val="標楷體"/>
        <family val="4"/>
        <charset val="136"/>
      </rPr>
      <t>嚴重阻礙</t>
    </r>
    <phoneticPr fontId="12" type="noConversion"/>
  </si>
  <si>
    <r>
      <rPr>
        <sz val="9"/>
        <rFont val="標楷體"/>
        <family val="4"/>
        <charset val="136"/>
      </rPr>
      <t>中等</t>
    </r>
    <phoneticPr fontId="12" type="noConversion"/>
  </si>
  <si>
    <r>
      <rPr>
        <sz val="9"/>
        <rFont val="標楷體"/>
        <family val="4"/>
        <charset val="136"/>
      </rPr>
      <t>符合安全
和</t>
    </r>
    <r>
      <rPr>
        <sz val="9"/>
        <rFont val="Times New Roman"/>
        <family val="1"/>
      </rPr>
      <t>/</t>
    </r>
    <r>
      <rPr>
        <sz val="9"/>
        <rFont val="標楷體"/>
        <family val="4"/>
        <charset val="136"/>
      </rPr>
      <t>或
法規要求之失效</t>
    </r>
    <phoneticPr fontId="12" type="noConversion"/>
  </si>
  <si>
    <r>
      <rPr>
        <sz val="9"/>
        <rFont val="標楷體"/>
        <family val="4"/>
        <charset val="136"/>
      </rPr>
      <t>非常低</t>
    </r>
    <phoneticPr fontId="12" type="noConversion"/>
  </si>
  <si>
    <r>
      <rPr>
        <sz val="9"/>
        <rFont val="標楷體"/>
        <family val="4"/>
        <charset val="136"/>
      </rPr>
      <t>可能性極小</t>
    </r>
    <phoneticPr fontId="12" type="noConversion"/>
  </si>
  <si>
    <r>
      <rPr>
        <sz val="9"/>
        <rFont val="標楷體"/>
        <family val="4"/>
        <charset val="136"/>
      </rPr>
      <t>很高</t>
    </r>
    <phoneticPr fontId="12" type="noConversion"/>
  </si>
  <si>
    <r>
      <rPr>
        <sz val="9"/>
        <rFont val="標楷體"/>
        <family val="4"/>
        <charset val="136"/>
      </rPr>
      <t>幾乎不可能</t>
    </r>
    <phoneticPr fontId="12" type="noConversion"/>
  </si>
  <si>
    <r>
      <rPr>
        <sz val="9"/>
        <rFont val="標楷體"/>
        <family val="4"/>
        <charset val="136"/>
      </rPr>
      <t>無影響</t>
    </r>
    <phoneticPr fontId="12" type="noConversion"/>
  </si>
  <si>
    <r>
      <rPr>
        <sz val="9"/>
        <rFont val="標楷體"/>
        <family val="4"/>
        <charset val="136"/>
      </rPr>
      <t>很低</t>
    </r>
    <phoneticPr fontId="12" type="noConversion"/>
  </si>
  <si>
    <r>
      <rPr>
        <sz val="9"/>
        <rFont val="標楷體"/>
        <family val="4"/>
        <charset val="136"/>
      </rPr>
      <t>幾乎確定</t>
    </r>
    <phoneticPr fontId="12" type="noConversion"/>
  </si>
  <si>
    <t>v</t>
    <phoneticPr fontId="12" type="noConversion"/>
  </si>
  <si>
    <t>擇一填寫</t>
    <phoneticPr fontId="12" type="noConversion"/>
  </si>
  <si>
    <t>只有廠內製程需填寫</t>
    <phoneticPr fontId="12" type="noConversion"/>
  </si>
  <si>
    <t>M2T20W20L24.5</t>
    <phoneticPr fontId="12" type="noConversion"/>
  </si>
  <si>
    <t>本土</t>
    <phoneticPr fontId="12" type="noConversion"/>
  </si>
  <si>
    <t>左側三項為評價後</t>
    <phoneticPr fontId="12" type="noConversion"/>
  </si>
  <si>
    <t>安裝後無法確定產品品名</t>
    <phoneticPr fontId="12" type="noConversion"/>
  </si>
  <si>
    <t>F-1007353</t>
  </si>
  <si>
    <t>滾齒+除毛邊(精滾)</t>
  </si>
  <si>
    <t>F-11210-UE2-0001</t>
  </si>
  <si>
    <t>齒研</t>
  </si>
  <si>
    <t>F-11211-UE2-0001</t>
  </si>
  <si>
    <t>M1.25T74W22L22</t>
  </si>
  <si>
    <t>滾齒+砂輪齒側倒角</t>
  </si>
  <si>
    <t>SP-100003139</t>
  </si>
  <si>
    <t>齒研331+4管</t>
  </si>
  <si>
    <t>SP-100004574</t>
  </si>
  <si>
    <t>M1.5T13W12</t>
  </si>
  <si>
    <t>SP-11210-UE2-0001</t>
  </si>
  <si>
    <t>F-BW726934</t>
  </si>
  <si>
    <t>尺寸87.61-87.62(允收</t>
  </si>
  <si>
    <t>SP-1111-001-1-D3-01</t>
  </si>
  <si>
    <t>M2T9W18L44</t>
  </si>
  <si>
    <t>SP-1111-002-1-01</t>
  </si>
  <si>
    <t>M2T9W18L32</t>
  </si>
  <si>
    <t>F-6211-232-004</t>
  </si>
  <si>
    <t>SP-11211-UC2-1000</t>
  </si>
  <si>
    <t>滾齒+砂輪齒測倒角</t>
  </si>
  <si>
    <t>SP-BW735332</t>
  </si>
  <si>
    <t>滾齒+除毛邊</t>
  </si>
  <si>
    <t>2682912</t>
  </si>
  <si>
    <t>滾齒+除毛邊187+2架件</t>
  </si>
  <si>
    <t>SP-1007353</t>
  </si>
  <si>
    <t>SP-11211-IC2-0000</t>
  </si>
  <si>
    <t>滾齒+打毛邊</t>
  </si>
  <si>
    <t>2683275</t>
  </si>
  <si>
    <t>滾齒(193+4管)</t>
  </si>
  <si>
    <t>SP-ZA11-232-006</t>
  </si>
  <si>
    <t>SP-6211-232-004-1B</t>
  </si>
  <si>
    <t>(齒研)265+6架機件</t>
  </si>
  <si>
    <t>F-CB42832-001</t>
  </si>
  <si>
    <t>Φ68.8*18.9L</t>
  </si>
  <si>
    <t>(代車)</t>
  </si>
  <si>
    <t>產品編號</t>
  </si>
  <si>
    <t>規格描述</t>
  </si>
  <si>
    <t>客戶名稱</t>
  </si>
  <si>
    <t>製程(免填 備註用)</t>
    <phoneticPr fontId="12" type="noConversion"/>
  </si>
  <si>
    <t>M1.25T74W23</t>
    <phoneticPr fontId="12" type="noConversion"/>
  </si>
  <si>
    <t>M1.5T40W16</t>
    <phoneticPr fontId="12" type="noConversion"/>
  </si>
  <si>
    <t>M1.25T61W18L103.2</t>
    <phoneticPr fontId="12" type="noConversion"/>
  </si>
  <si>
    <t>M1.5T106W15L15</t>
    <phoneticPr fontId="12" type="noConversion"/>
  </si>
  <si>
    <t>M1.25T17W19.5L24</t>
    <phoneticPr fontId="12" type="noConversion"/>
  </si>
  <si>
    <t>齒輪軸</t>
    <phoneticPr fontId="12" type="noConversion"/>
  </si>
  <si>
    <t>M2.5T20W20L24.5</t>
    <phoneticPr fontId="12" type="noConversion"/>
  </si>
  <si>
    <t>M1.25T74</t>
    <phoneticPr fontId="12" type="noConversion"/>
  </si>
  <si>
    <t>DP12T10W19</t>
    <phoneticPr fontId="12" type="noConversion"/>
  </si>
  <si>
    <t>製程提示</t>
    <phoneticPr fontId="12" type="noConversion"/>
  </si>
  <si>
    <t>目前筆數</t>
    <phoneticPr fontId="12" type="noConversion"/>
  </si>
  <si>
    <t>日期</t>
    <phoneticPr fontId="12" type="noConversion"/>
  </si>
  <si>
    <t>4123-1711306-C01-B</t>
  </si>
  <si>
    <t>Shaft c3 M1T48W21L134.5</t>
  </si>
  <si>
    <t>滾齒/打樣</t>
  </si>
  <si>
    <t>倉佑</t>
  </si>
  <si>
    <t>DRW_AA96592_001</t>
  </si>
  <si>
    <t>滾齒</t>
  </si>
  <si>
    <t>DRW_AA96598_001D</t>
  </si>
  <si>
    <t>ZDRW_AE50626_001</t>
  </si>
  <si>
    <t>DRW_AA98366_001</t>
  </si>
  <si>
    <t>M0.58T72W7.5L11.28</t>
  </si>
  <si>
    <t>DRW_AA96598_001</t>
  </si>
  <si>
    <t>滾齒+齒研(D版)-新刀</t>
  </si>
  <si>
    <t>DRW_AA96597_001</t>
  </si>
  <si>
    <t>滾齒501-23100003-00</t>
  </si>
  <si>
    <t>DRW_AA96595_001</t>
  </si>
  <si>
    <t>滾齒(E版)</t>
  </si>
  <si>
    <t>DRW_AA96597_001D</t>
  </si>
  <si>
    <t>DRW_AA98366_001E</t>
  </si>
  <si>
    <t>DRW_AA96595_001D</t>
  </si>
  <si>
    <t>DRW_AA96592_001D</t>
  </si>
  <si>
    <t>DRW_AA96592_001E</t>
  </si>
  <si>
    <t>DRW_AA98366_001D</t>
  </si>
  <si>
    <t>DRW_AA96597_001C</t>
  </si>
  <si>
    <t>DRW-A781418_001F</t>
  </si>
  <si>
    <t>DRW-A691844_001J</t>
  </si>
  <si>
    <t>DRW-A699278_001F</t>
  </si>
  <si>
    <t>DRW-A699068_001F</t>
  </si>
  <si>
    <t>2024/11/12</t>
  </si>
  <si>
    <t>2024/10/1</t>
  </si>
  <si>
    <t>2024/5/29</t>
  </si>
  <si>
    <t>2024/5/9</t>
  </si>
  <si>
    <t>2024/3/6</t>
  </si>
  <si>
    <t>2024/1/18</t>
  </si>
  <si>
    <t>2023/9/27</t>
  </si>
  <si>
    <t>2023/9/6</t>
  </si>
  <si>
    <t>2023/8/15</t>
  </si>
  <si>
    <t>2023/8/8</t>
  </si>
  <si>
    <t>2023/7/31</t>
  </si>
  <si>
    <t>2023/7/26</t>
  </si>
  <si>
    <t>2023/7/13</t>
  </si>
  <si>
    <t>2023/3/31</t>
  </si>
  <si>
    <t>2022/12/28</t>
  </si>
  <si>
    <t>2022/12/19</t>
  </si>
  <si>
    <t>M0.7T85W7.5L30</t>
    <phoneticPr fontId="12" type="noConversion"/>
  </si>
  <si>
    <t>P1 / M0.58PA16T29RH26</t>
    <phoneticPr fontId="12" type="noConversion"/>
  </si>
  <si>
    <t>滾齒+齒研</t>
  </si>
  <si>
    <t>P1 / M0.58T29PA16-5/8</t>
    <phoneticPr fontId="12" type="noConversion"/>
  </si>
  <si>
    <t>M0.6T29W11R24</t>
  </si>
  <si>
    <t>M0.6T72W9.1L24</t>
  </si>
  <si>
    <t>M0.7T23W8.8R30</t>
  </si>
  <si>
    <t>P2 / M0.58PA16T72LH26</t>
  </si>
  <si>
    <t>P3 / M0.708PA16T23RH30</t>
  </si>
  <si>
    <t>P4 / M0.708PA16T85LH30</t>
  </si>
  <si>
    <t>M0.725T24W9.2L17</t>
  </si>
  <si>
    <t>M0.976T70W7.5L10</t>
  </si>
  <si>
    <t>滾+齒研</t>
    <phoneticPr fontId="12" type="noConversion"/>
  </si>
  <si>
    <t>P2 / M0.725T60W6L12</t>
    <phoneticPr fontId="12" type="noConversion"/>
  </si>
  <si>
    <t>P3 / M0.976T19W8.8L35.5</t>
    <phoneticPr fontId="12" type="noConversion"/>
  </si>
  <si>
    <t>華鏞</t>
  </si>
  <si>
    <t>HYB-234</t>
  </si>
  <si>
    <t>40*1.25*30*15°</t>
  </si>
  <si>
    <t>HYB-250-1-1</t>
  </si>
  <si>
    <t>M3.09T13W22L424.25</t>
  </si>
  <si>
    <t>998750310</t>
  </si>
  <si>
    <t>M3.09T13W34.45L425.75</t>
  </si>
  <si>
    <t>910220073</t>
  </si>
  <si>
    <t>齒研-試作</t>
  </si>
  <si>
    <t>40303021-01</t>
  </si>
  <si>
    <t>代料到完成</t>
  </si>
  <si>
    <t>40301001-01</t>
  </si>
  <si>
    <t>代料到成品</t>
  </si>
  <si>
    <t>40399034-01</t>
  </si>
  <si>
    <t>M2.5T26W20L25</t>
  </si>
  <si>
    <t>40402082-01</t>
  </si>
  <si>
    <t>代料到完成(精滾)</t>
  </si>
  <si>
    <t>40301010-01</t>
  </si>
  <si>
    <t>40301017-01</t>
  </si>
  <si>
    <t>代料到完成/打樣</t>
  </si>
  <si>
    <t>40303025-01</t>
  </si>
  <si>
    <t>40301033-01</t>
  </si>
  <si>
    <t>40302010-01</t>
  </si>
  <si>
    <t>40302012-01</t>
  </si>
  <si>
    <t>40301025-01</t>
  </si>
  <si>
    <t>40301012-01</t>
  </si>
  <si>
    <t>40303024-01</t>
  </si>
  <si>
    <t>40399044-01</t>
  </si>
  <si>
    <t>代料到齒研</t>
  </si>
  <si>
    <t>41202010-01</t>
  </si>
  <si>
    <t>41203002-01</t>
  </si>
  <si>
    <t>40303017-01</t>
  </si>
  <si>
    <t>40303016-01</t>
  </si>
  <si>
    <t>40399071-01</t>
  </si>
  <si>
    <t>40303022-01</t>
  </si>
  <si>
    <t>40302052-01</t>
  </si>
  <si>
    <t>40402075-01</t>
  </si>
  <si>
    <t>41202031-01</t>
  </si>
  <si>
    <t>40301024-01</t>
  </si>
  <si>
    <t>M2T55W30L144.5</t>
  </si>
  <si>
    <t>霄特</t>
  </si>
  <si>
    <t>M2T36W42</t>
  </si>
  <si>
    <t>M1.5T39W6.5L11.5</t>
  </si>
  <si>
    <t>M1.5T24W3.75L27.5</t>
  </si>
  <si>
    <t>M2.5T27W98</t>
  </si>
  <si>
    <t>M2.5T24W20L62</t>
  </si>
  <si>
    <t>M1.25T18L209</t>
  </si>
  <si>
    <t>M1.25T22L250</t>
  </si>
  <si>
    <t>M0.8T21L130</t>
  </si>
  <si>
    <t>M1.25T18L246.5</t>
  </si>
  <si>
    <t>M1.25T18L281.5</t>
  </si>
  <si>
    <t>M0.8T24W16.97L409</t>
  </si>
  <si>
    <t>M1.5T26W20L206</t>
  </si>
  <si>
    <t>M1.5T32W20L272</t>
  </si>
  <si>
    <t>M1.5T24W16L183</t>
  </si>
  <si>
    <t>M2.5T112W30L235.5</t>
  </si>
  <si>
    <t>M2T88W29L174</t>
  </si>
  <si>
    <t>M2T29L138</t>
  </si>
  <si>
    <t>M2T11W32L218</t>
  </si>
  <si>
    <t>M0.8T24W10.5L134.8</t>
  </si>
  <si>
    <t>M2.38T21</t>
  </si>
  <si>
    <t>M1.65T21L26.6</t>
  </si>
  <si>
    <t>Φ48L279</t>
  </si>
  <si>
    <t>出貨日期</t>
    <phoneticPr fontId="12" type="noConversion"/>
  </si>
  <si>
    <t>要求1</t>
    <phoneticPr fontId="12" type="noConversion"/>
  </si>
  <si>
    <t>要求2</t>
  </si>
  <si>
    <t>要求3</t>
  </si>
  <si>
    <t>要求4</t>
  </si>
  <si>
    <t>要求5</t>
  </si>
  <si>
    <t>要求6</t>
  </si>
  <si>
    <t>要求7</t>
  </si>
  <si>
    <r>
      <t>加工圖日期</t>
    </r>
    <r>
      <rPr>
        <b/>
        <sz val="8"/>
        <color theme="0"/>
        <rFont val="微軟正黑體"/>
        <family val="2"/>
        <charset val="136"/>
      </rPr>
      <t>(本文件日期)</t>
    </r>
    <phoneticPr fontId="12" type="noConversion"/>
  </si>
  <si>
    <t>偏擺0.03</t>
    <phoneticPr fontId="12" type="noConversion"/>
  </si>
  <si>
    <t>偏擺0.042</t>
    <phoneticPr fontId="12" type="noConversion"/>
  </si>
  <si>
    <t>F-11210-UE2-0001</t>
    <phoneticPr fontId="12" type="noConversion"/>
  </si>
  <si>
    <t>齒輪</t>
    <phoneticPr fontId="12" type="noConversion"/>
  </si>
  <si>
    <t>偏擺0.05</t>
    <phoneticPr fontId="12" type="noConversion"/>
  </si>
  <si>
    <t>偏擺0.02</t>
    <phoneticPr fontId="12" type="noConversion"/>
  </si>
  <si>
    <t>M1.25T61</t>
  </si>
  <si>
    <t>同心0.01</t>
    <phoneticPr fontId="12" type="noConversion"/>
  </si>
  <si>
    <t>M1.25T74</t>
  </si>
  <si>
    <t>M0.58PA16</t>
  </si>
  <si>
    <t>M0.58T29</t>
  </si>
  <si>
    <t>Shaft c3 M1T48W21L134.5</t>
    <phoneticPr fontId="12" type="noConversion"/>
  </si>
  <si>
    <t>M1T48</t>
  </si>
  <si>
    <t>P2 / M0.58PA16T72LH26</t>
    <phoneticPr fontId="12" type="noConversion"/>
  </si>
  <si>
    <t>P3 / M0.708PA16T23RH30</t>
    <phoneticPr fontId="12" type="noConversion"/>
  </si>
  <si>
    <t>M0.708PA16</t>
  </si>
  <si>
    <t>M0.725T60</t>
  </si>
  <si>
    <t>M0.976T19</t>
  </si>
  <si>
    <t>DIN 7</t>
    <phoneticPr fontId="12" type="noConversion"/>
  </si>
  <si>
    <t>N</t>
    <phoneticPr fontId="12" type="noConversion"/>
  </si>
  <si>
    <t>預設
刪除</t>
    <phoneticPr fontId="12" type="noConversion"/>
  </si>
  <si>
    <t>DP12T10W19.18</t>
    <phoneticPr fontId="12" type="noConversion"/>
  </si>
  <si>
    <t>偏擺0.045</t>
    <phoneticPr fontId="12" type="noConversion"/>
  </si>
  <si>
    <t>已轉出PDF</t>
  </si>
  <si>
    <r>
      <t>68.85</t>
    </r>
    <r>
      <rPr>
        <sz val="12"/>
        <color theme="1"/>
        <rFont val="標楷體"/>
        <family val="4"/>
        <charset val="136"/>
      </rPr>
      <t>±</t>
    </r>
    <r>
      <rPr>
        <sz val="6.95"/>
        <color theme="1"/>
        <rFont val="微軟正黑體"/>
        <family val="2"/>
        <charset val="136"/>
      </rPr>
      <t>0.02</t>
    </r>
    <phoneticPr fontId="12" type="noConversion"/>
  </si>
  <si>
    <t>18.9±0.02</t>
    <phoneticPr fontId="12" type="noConversion"/>
  </si>
  <si>
    <t>齒研</t>
    <phoneticPr fontId="12" type="noConversion"/>
  </si>
  <si>
    <t>22um</t>
    <phoneticPr fontId="12" type="noConversion"/>
  </si>
  <si>
    <t>M0.8T27L428</t>
    <phoneticPr fontId="12" type="noConversion"/>
  </si>
  <si>
    <t>代料到完成</t>
    <phoneticPr fontId="12" type="noConversion"/>
  </si>
  <si>
    <t>24f7</t>
    <phoneticPr fontId="12" type="noConversion"/>
  </si>
  <si>
    <t>428+-0.3</t>
    <phoneticPr fontId="12" type="noConversion"/>
  </si>
  <si>
    <t>M0.8T27PA30</t>
    <phoneticPr fontId="12" type="noConversion"/>
  </si>
  <si>
    <t>M5</t>
    <phoneticPr fontId="12" type="noConversion"/>
  </si>
  <si>
    <t>對齒</t>
    <phoneticPr fontId="12" type="noConversion"/>
  </si>
  <si>
    <t>滾齒+齒研</t>
    <phoneticPr fontId="12" type="noConversion"/>
  </si>
  <si>
    <t>滾齒</t>
    <phoneticPr fontId="12" type="noConversion"/>
  </si>
  <si>
    <t>2023.10.13</t>
    <phoneticPr fontId="12" type="noConversion"/>
  </si>
  <si>
    <t>2023.10.11</t>
    <phoneticPr fontId="12" type="noConversion"/>
  </si>
  <si>
    <t>2023.09.27</t>
    <phoneticPr fontId="12" type="noConversion"/>
  </si>
  <si>
    <t>2023.09.12</t>
    <phoneticPr fontId="12" type="noConversion"/>
  </si>
  <si>
    <t>2024.11.28</t>
    <phoneticPr fontId="12" type="noConversion"/>
  </si>
  <si>
    <t>2024.01.16</t>
    <phoneticPr fontId="12" type="noConversion"/>
  </si>
  <si>
    <t>40301017-01</t>
    <phoneticPr fontId="12" type="noConversion"/>
  </si>
  <si>
    <t>2024.04.23</t>
    <phoneticPr fontId="12" type="noConversion"/>
  </si>
  <si>
    <t>恩德</t>
    <phoneticPr fontId="12" type="noConversion"/>
  </si>
  <si>
    <t>M1T58W12L20</t>
    <phoneticPr fontId="12" type="noConversion"/>
  </si>
  <si>
    <t>尺寸過大</t>
    <phoneticPr fontId="12" type="noConversion"/>
  </si>
  <si>
    <t>M1T58</t>
    <phoneticPr fontId="12" type="noConversion"/>
  </si>
  <si>
    <t>偏擺0.03</t>
  </si>
  <si>
    <t>25H7</t>
    <phoneticPr fontId="12" type="noConversion"/>
  </si>
  <si>
    <t>JIS1</t>
    <phoneticPr fontId="12" type="noConversion"/>
  </si>
  <si>
    <t>偏擺0.022</t>
    <phoneticPr fontId="12" type="noConversion"/>
  </si>
  <si>
    <t>JIS0</t>
    <phoneticPr fontId="12" type="noConversion"/>
  </si>
  <si>
    <t>M0.6T29</t>
  </si>
  <si>
    <t>M2T29</t>
  </si>
  <si>
    <t>偏擺0.02</t>
    <phoneticPr fontId="12" type="noConversion"/>
  </si>
  <si>
    <t>63-0-0.1</t>
    <phoneticPr fontId="12" type="noConversion"/>
  </si>
  <si>
    <t>F-1007353</t>
    <phoneticPr fontId="12" type="noConversion"/>
  </si>
  <si>
    <t>失效模式潛在後果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</si>
</sst>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\.mm\.dd"/>
  </numFmts>
  <fonts count="49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0"/>
      <color theme="1"/>
      <name val="Times New Roman"/>
      <family val="1"/>
    </font>
    <font>
      <sz val="14"/>
      <color theme="1"/>
      <name val="Times New Roman"/>
      <family val="1"/>
    </font>
    <font>
      <sz val="18"/>
      <color theme="1"/>
      <name val="標楷體"/>
      <family val="4"/>
      <charset val="136"/>
    </font>
    <font>
      <sz val="18"/>
      <color theme="1"/>
      <name val="Times New Roman"/>
      <family val="1"/>
    </font>
    <font>
      <sz val="14"/>
      <color theme="1"/>
      <name val="標楷體"/>
      <family val="4"/>
      <charset val="136"/>
    </font>
    <font>
      <sz val="12"/>
      <color theme="1"/>
      <name val="Times New Roman"/>
      <family val="1"/>
    </font>
    <font>
      <sz val="6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9"/>
      <name val="新細明體"/>
      <family val="3"/>
      <charset val="136"/>
      <scheme val="minor"/>
    </font>
    <font>
      <sz val="9"/>
      <color theme="1"/>
      <name val="細明體"/>
      <family val="3"/>
      <charset val="136"/>
    </font>
    <font>
      <sz val="9"/>
      <color theme="1"/>
      <name val="新細明體"/>
      <family val="2"/>
      <scheme val="minor"/>
    </font>
    <font>
      <sz val="9"/>
      <color theme="1"/>
      <name val="Times New Roman"/>
      <family val="1"/>
    </font>
    <font>
      <sz val="9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9"/>
      <name val="細明體"/>
      <family val="3"/>
      <charset val="136"/>
    </font>
    <font>
      <sz val="12"/>
      <name val="新細明體"/>
      <family val="2"/>
      <scheme val="minor"/>
    </font>
    <font>
      <sz val="11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8"/>
      <color theme="1"/>
      <name val="標楷體"/>
      <family val="4"/>
      <charset val="136"/>
    </font>
    <font>
      <b/>
      <sz val="12"/>
      <color theme="1"/>
      <name val="細明體"/>
      <family val="3"/>
      <charset val="136"/>
    </font>
    <font>
      <sz val="9"/>
      <name val="Times New Roman"/>
      <family val="1"/>
    </font>
    <font>
      <sz val="9"/>
      <name val="標楷體"/>
      <family val="4"/>
      <charset val="136"/>
    </font>
    <font>
      <sz val="9"/>
      <name val="新細明體"/>
      <family val="2"/>
      <scheme val="minor"/>
    </font>
    <font>
      <sz val="10"/>
      <name val="標楷體"/>
      <family val="4"/>
      <charset val="136"/>
    </font>
    <font>
      <sz val="8"/>
      <name val="標楷體"/>
      <family val="4"/>
      <charset val="136"/>
    </font>
    <font>
      <sz val="12"/>
      <color rgb="FF000000"/>
      <name val="微軟正黑體"/>
      <family val="2"/>
      <charset val="136"/>
    </font>
    <font>
      <sz val="26"/>
      <color rgb="FFFF0000"/>
      <name val="標楷體"/>
      <family val="4"/>
      <charset val="136"/>
    </font>
    <font>
      <sz val="12"/>
      <color theme="1"/>
      <name val="Microsoft JhengHei"/>
      <family val="1"/>
    </font>
    <font>
      <b/>
      <sz val="12"/>
      <color theme="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0"/>
      <name val="Microsoft JhengHei"/>
      <family val="1"/>
      <charset val="136"/>
    </font>
    <font>
      <b/>
      <sz val="12"/>
      <color theme="0"/>
      <name val="新細明體"/>
      <family val="2"/>
      <scheme val="minor"/>
    </font>
    <font>
      <b/>
      <sz val="12"/>
      <color theme="0"/>
      <name val="Microsoft JhengHei"/>
      <family val="1"/>
    </font>
    <font>
      <sz val="9"/>
      <color theme="1"/>
      <name val="Microsoft JhengHei UI"/>
      <family val="2"/>
      <charset val="136"/>
    </font>
    <font>
      <b/>
      <sz val="12"/>
      <color rgb="FF000000"/>
      <name val="Microsoft JhengHei Light"/>
      <family val="2"/>
      <charset val="136"/>
    </font>
    <font>
      <b/>
      <sz val="12"/>
      <color rgb="FF000000"/>
      <name val="微軟正黑體"/>
      <family val="2"/>
      <charset val="136"/>
    </font>
    <font>
      <sz val="12"/>
      <color theme="1"/>
      <name val="Microsoft JhengHei Light"/>
      <family val="2"/>
      <charset val="136"/>
    </font>
    <font>
      <b/>
      <sz val="8"/>
      <color theme="0"/>
      <name val="微軟正黑體"/>
      <family val="2"/>
      <charset val="136"/>
    </font>
    <font>
      <b/>
      <sz val="9"/>
      <color theme="0"/>
      <name val="Microsoft JhengHei"/>
      <family val="2"/>
      <charset val="136"/>
    </font>
    <font>
      <sz val="6.95"/>
      <color theme="1"/>
      <name val="微軟正黑體"/>
      <family val="2"/>
      <charset val="136"/>
    </font>
    <font>
      <sz val="12"/>
      <color theme="1"/>
      <name val="Microsoft JhengHei"/>
      <family val="4"/>
      <charset val="136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74">
    <border>
      <left/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74">
    <xf numFmtId="0" fontId="0" fillId="0" borderId="0" xfId="0"/>
    <xf numFmtId="0" fontId="15" fillId="0" borderId="0" xfId="0" applyFont="1" applyAlignment="1">
      <alignment vertical="center"/>
    </xf>
    <xf numFmtId="0" fontId="15" fillId="0" borderId="0" xfId="0" applyFont="1" applyAlignment="1">
      <alignment vertical="center" wrapText="1"/>
    </xf>
    <xf numFmtId="0" fontId="9" fillId="0" borderId="0" xfId="0" applyFont="1"/>
    <xf numFmtId="0" fontId="15" fillId="0" borderId="0" xfId="0" applyFont="1"/>
    <xf numFmtId="0" fontId="9" fillId="0" borderId="0" xfId="0" applyFont="1" applyAlignment="1">
      <alignment wrapText="1"/>
    </xf>
    <xf numFmtId="0" fontId="9" fillId="0" borderId="0" xfId="0" applyFont="1" applyAlignment="1">
      <alignment shrinkToFit="1"/>
    </xf>
    <xf numFmtId="0" fontId="15" fillId="0" borderId="0" xfId="0" applyFont="1" applyAlignment="1">
      <alignment wrapText="1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shrinkToFit="1"/>
    </xf>
    <xf numFmtId="0" fontId="15" fillId="0" borderId="13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40" xfId="0" applyFont="1" applyBorder="1" applyAlignment="1">
      <alignment horizontal="center" vertical="center" wrapText="1"/>
    </xf>
    <xf numFmtId="0" fontId="16" fillId="0" borderId="36" xfId="0" applyFont="1" applyBorder="1" applyAlignment="1">
      <alignment horizontal="center" vertical="center" wrapText="1"/>
    </xf>
    <xf numFmtId="0" fontId="16" fillId="0" borderId="42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5" fillId="0" borderId="48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shrinkToFit="1"/>
    </xf>
    <xf numFmtId="0" fontId="15" fillId="0" borderId="40" xfId="0" applyFont="1" applyBorder="1" applyAlignment="1">
      <alignment horizontal="center" vertical="center" shrinkToFit="1"/>
    </xf>
    <xf numFmtId="0" fontId="15" fillId="0" borderId="59" xfId="0" applyFont="1" applyBorder="1" applyAlignment="1">
      <alignment horizontal="center" vertical="center" shrinkToFit="1"/>
    </xf>
    <xf numFmtId="0" fontId="15" fillId="0" borderId="57" xfId="0" applyFont="1" applyBorder="1" applyAlignment="1">
      <alignment horizontal="center" vertical="center" shrinkToFit="1"/>
    </xf>
    <xf numFmtId="0" fontId="15" fillId="0" borderId="60" xfId="0" applyFont="1" applyBorder="1" applyAlignment="1">
      <alignment horizontal="center" vertical="center" shrinkToFi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3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9" fillId="0" borderId="0" xfId="1" quotePrefix="1" applyNumberFormat="1" applyFont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6" fillId="0" borderId="54" xfId="0" applyFont="1" applyBorder="1" applyAlignment="1">
      <alignment horizontal="center" vertical="center" wrapText="1"/>
    </xf>
    <xf numFmtId="0" fontId="16" fillId="0" borderId="50" xfId="0" applyFont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17" fillId="4" borderId="0" xfId="1" applyFont="1" applyFill="1" applyAlignment="1">
      <alignment horizontal="center" vertical="center"/>
    </xf>
    <xf numFmtId="0" fontId="17" fillId="4" borderId="0" xfId="0" applyFont="1" applyFill="1" applyAlignment="1">
      <alignment horizontal="left" vertical="center"/>
    </xf>
    <xf numFmtId="176" fontId="17" fillId="4" borderId="0" xfId="1" applyNumberFormat="1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7" fillId="4" borderId="0" xfId="1" applyFont="1" applyFill="1">
      <alignment vertical="center"/>
    </xf>
    <xf numFmtId="0" fontId="17" fillId="0" borderId="0" xfId="1" quotePrefix="1" applyFont="1">
      <alignment vertical="center"/>
    </xf>
    <xf numFmtId="0" fontId="9" fillId="0" borderId="0" xfId="1" quotePrefix="1" applyFont="1">
      <alignment vertical="center"/>
    </xf>
    <xf numFmtId="0" fontId="11" fillId="0" borderId="11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0" fontId="16" fillId="2" borderId="0" xfId="0" applyFont="1" applyFill="1" applyAlignment="1">
      <alignment horizontal="center" vertical="center" shrinkToFit="1"/>
    </xf>
    <xf numFmtId="0" fontId="16" fillId="0" borderId="41" xfId="0" applyFont="1" applyBorder="1" applyAlignment="1">
      <alignment horizontal="center" vertical="center" wrapText="1"/>
    </xf>
    <xf numFmtId="0" fontId="17" fillId="0" borderId="61" xfId="0" applyFont="1" applyBorder="1" applyAlignment="1">
      <alignment horizontal="center" vertical="center" wrapText="1"/>
    </xf>
    <xf numFmtId="0" fontId="17" fillId="0" borderId="62" xfId="0" applyFont="1" applyBorder="1" applyAlignment="1">
      <alignment horizontal="center" vertical="center" wrapText="1"/>
    </xf>
    <xf numFmtId="0" fontId="17" fillId="0" borderId="63" xfId="0" applyFont="1" applyBorder="1" applyAlignment="1">
      <alignment horizontal="center" vertical="center" wrapText="1"/>
    </xf>
    <xf numFmtId="0" fontId="17" fillId="0" borderId="64" xfId="0" applyFont="1" applyBorder="1" applyAlignment="1">
      <alignment horizontal="center" vertical="center" wrapText="1"/>
    </xf>
    <xf numFmtId="0" fontId="17" fillId="0" borderId="65" xfId="0" applyFont="1" applyBorder="1" applyAlignment="1">
      <alignment horizontal="center" vertical="center" wrapText="1"/>
    </xf>
    <xf numFmtId="0" fontId="9" fillId="0" borderId="66" xfId="0" applyFont="1" applyBorder="1" applyAlignment="1">
      <alignment horizontal="center" vertical="center" wrapText="1"/>
    </xf>
    <xf numFmtId="0" fontId="9" fillId="0" borderId="65" xfId="0" applyFont="1" applyBorder="1" applyAlignment="1">
      <alignment horizontal="center" vertical="center" wrapText="1"/>
    </xf>
    <xf numFmtId="0" fontId="17" fillId="0" borderId="67" xfId="0" applyFont="1" applyBorder="1" applyAlignment="1">
      <alignment horizontal="center" vertical="center" wrapText="1"/>
    </xf>
    <xf numFmtId="0" fontId="17" fillId="0" borderId="68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7" fillId="0" borderId="69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justify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0" fontId="16" fillId="0" borderId="0" xfId="0" applyFont="1" applyAlignment="1">
      <alignment vertical="center" shrinkToFit="1"/>
    </xf>
    <xf numFmtId="0" fontId="17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17" fillId="4" borderId="0" xfId="0" applyFont="1" applyFill="1" applyAlignment="1">
      <alignment horizontal="center" vertical="center" shrinkToFit="1"/>
    </xf>
    <xf numFmtId="0" fontId="17" fillId="0" borderId="0" xfId="0" applyFont="1" applyAlignment="1">
      <alignment horizontal="center" vertical="center" shrinkToFit="1"/>
    </xf>
    <xf numFmtId="0" fontId="27" fillId="7" borderId="0" xfId="0" applyFont="1" applyFill="1" applyAlignment="1">
      <alignment horizontal="center" vertical="center"/>
    </xf>
    <xf numFmtId="0" fontId="27" fillId="8" borderId="0" xfId="0" applyFont="1" applyFill="1" applyAlignment="1">
      <alignment horizontal="center" vertical="center" wrapText="1"/>
    </xf>
    <xf numFmtId="0" fontId="15" fillId="0" borderId="70" xfId="0" applyFont="1" applyBorder="1" applyAlignment="1">
      <alignment horizontal="center" vertical="center" wrapText="1"/>
    </xf>
    <xf numFmtId="0" fontId="16" fillId="0" borderId="71" xfId="0" applyFont="1" applyBorder="1" applyAlignment="1">
      <alignment horizontal="center" vertical="center" wrapText="1"/>
    </xf>
    <xf numFmtId="0" fontId="15" fillId="0" borderId="70" xfId="0" applyFont="1" applyBorder="1" applyAlignment="1">
      <alignment horizontal="center" vertical="center" shrinkToFit="1"/>
    </xf>
    <xf numFmtId="0" fontId="15" fillId="0" borderId="73" xfId="0" applyFont="1" applyBorder="1" applyAlignment="1">
      <alignment horizontal="center" vertical="center" shrinkToFit="1"/>
    </xf>
    <xf numFmtId="0" fontId="16" fillId="0" borderId="32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5" fillId="0" borderId="71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26" fillId="0" borderId="38" xfId="0" applyFont="1" applyBorder="1" applyAlignment="1">
      <alignment horizontal="center" vertical="center" wrapText="1"/>
    </xf>
    <xf numFmtId="0" fontId="26" fillId="0" borderId="72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5" xfId="0" applyFont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 wrapText="1"/>
    </xf>
    <xf numFmtId="0" fontId="29" fillId="0" borderId="42" xfId="0" applyFont="1" applyBorder="1" applyAlignment="1">
      <alignment horizontal="center" vertical="center" wrapText="1"/>
    </xf>
    <xf numFmtId="0" fontId="28" fillId="0" borderId="40" xfId="0" applyFont="1" applyBorder="1" applyAlignment="1">
      <alignment horizontal="center" vertical="center" shrinkToFit="1"/>
    </xf>
    <xf numFmtId="0" fontId="32" fillId="0" borderId="38" xfId="0" applyFont="1" applyBorder="1" applyAlignment="1">
      <alignment horizontal="center" vertical="center" wrapText="1"/>
    </xf>
    <xf numFmtId="0" fontId="28" fillId="0" borderId="59" xfId="0" applyFont="1" applyBorder="1" applyAlignment="1">
      <alignment horizontal="center" vertical="center" shrinkToFit="1"/>
    </xf>
    <xf numFmtId="0" fontId="29" fillId="0" borderId="36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 wrapText="1"/>
    </xf>
    <xf numFmtId="0" fontId="28" fillId="0" borderId="42" xfId="0" applyFont="1" applyBorder="1" applyAlignment="1">
      <alignment horizontal="center" vertical="center" shrinkToFit="1"/>
    </xf>
    <xf numFmtId="0" fontId="28" fillId="0" borderId="43" xfId="0" applyFont="1" applyBorder="1" applyAlignment="1">
      <alignment horizontal="center" vertical="center" shrinkToFit="1"/>
    </xf>
    <xf numFmtId="0" fontId="29" fillId="0" borderId="11" xfId="0" applyFont="1" applyBorder="1" applyAlignment="1">
      <alignment horizontal="center" vertical="center" wrapText="1"/>
    </xf>
    <xf numFmtId="0" fontId="28" fillId="0" borderId="57" xfId="0" applyFont="1" applyBorder="1" applyAlignment="1">
      <alignment horizontal="center" vertical="center" shrinkToFit="1"/>
    </xf>
    <xf numFmtId="0" fontId="28" fillId="0" borderId="11" xfId="0" applyFont="1" applyBorder="1" applyAlignment="1">
      <alignment horizontal="center" vertical="center" shrinkToFit="1"/>
    </xf>
    <xf numFmtId="0" fontId="28" fillId="0" borderId="34" xfId="0" applyFont="1" applyBorder="1" applyAlignment="1">
      <alignment horizontal="center" vertical="center" shrinkToFit="1"/>
    </xf>
    <xf numFmtId="0" fontId="28" fillId="0" borderId="10" xfId="0" applyFont="1" applyBorder="1" applyAlignment="1">
      <alignment horizontal="center" vertical="center" shrinkToFit="1"/>
    </xf>
    <xf numFmtId="0" fontId="32" fillId="0" borderId="12" xfId="0" applyFont="1" applyBorder="1" applyAlignment="1">
      <alignment horizontal="center" vertical="center" wrapText="1"/>
    </xf>
    <xf numFmtId="0" fontId="29" fillId="0" borderId="20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left" vertical="center" wrapText="1"/>
    </xf>
    <xf numFmtId="0" fontId="32" fillId="0" borderId="20" xfId="0" applyFont="1" applyBorder="1" applyAlignment="1">
      <alignment horizontal="left" vertical="center" wrapText="1"/>
    </xf>
    <xf numFmtId="0" fontId="26" fillId="0" borderId="36" xfId="0" applyFont="1" applyBorder="1" applyAlignment="1">
      <alignment horizontal="left" vertical="center" wrapText="1"/>
    </xf>
    <xf numFmtId="0" fontId="26" fillId="0" borderId="32" xfId="0" applyFont="1" applyBorder="1" applyAlignment="1">
      <alignment horizontal="left" vertical="center" wrapText="1"/>
    </xf>
    <xf numFmtId="0" fontId="9" fillId="4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 wrapText="1"/>
    </xf>
    <xf numFmtId="0" fontId="17" fillId="0" borderId="52" xfId="0" applyFont="1" applyBorder="1" applyAlignment="1">
      <alignment vertical="center" wrapText="1"/>
    </xf>
    <xf numFmtId="0" fontId="36" fillId="9" borderId="0" xfId="0" applyFont="1" applyFill="1"/>
    <xf numFmtId="0" fontId="37" fillId="0" borderId="0" xfId="0" applyFont="1"/>
    <xf numFmtId="0" fontId="37" fillId="0" borderId="0" xfId="2" applyFont="1">
      <alignment vertical="center"/>
    </xf>
    <xf numFmtId="14" fontId="44" fillId="0" borderId="0" xfId="2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/>
    </xf>
    <xf numFmtId="0" fontId="36" fillId="9" borderId="0" xfId="0" applyFont="1" applyFill="1" applyAlignment="1">
      <alignment horizontal="center"/>
    </xf>
    <xf numFmtId="177" fontId="28" fillId="0" borderId="42" xfId="0" applyNumberFormat="1" applyFont="1" applyBorder="1" applyAlignment="1">
      <alignment horizontal="center" vertical="center" shrinkToFit="1"/>
    </xf>
    <xf numFmtId="177" fontId="28" fillId="0" borderId="41" xfId="0" applyNumberFormat="1" applyFont="1" applyBorder="1" applyAlignment="1">
      <alignment horizontal="center" vertical="center" shrinkToFit="1"/>
    </xf>
    <xf numFmtId="177" fontId="28" fillId="0" borderId="11" xfId="0" applyNumberFormat="1" applyFont="1" applyBorder="1" applyAlignment="1">
      <alignment horizontal="center" vertical="center" shrinkToFit="1"/>
    </xf>
    <xf numFmtId="177" fontId="28" fillId="0" borderId="17" xfId="0" applyNumberFormat="1" applyFont="1" applyBorder="1" applyAlignment="1">
      <alignment horizontal="center" vertical="center" shrinkToFit="1"/>
    </xf>
    <xf numFmtId="177" fontId="15" fillId="0" borderId="11" xfId="0" applyNumberFormat="1" applyFont="1" applyBorder="1" applyAlignment="1">
      <alignment horizontal="center" vertical="center" shrinkToFit="1"/>
    </xf>
    <xf numFmtId="177" fontId="15" fillId="0" borderId="17" xfId="0" applyNumberFormat="1" applyFont="1" applyBorder="1" applyAlignment="1">
      <alignment horizontal="center" vertical="center" shrinkToFit="1"/>
    </xf>
    <xf numFmtId="177" fontId="15" fillId="0" borderId="71" xfId="0" applyNumberFormat="1" applyFont="1" applyBorder="1" applyAlignment="1">
      <alignment horizontal="center" vertical="center" shrinkToFit="1"/>
    </xf>
    <xf numFmtId="177" fontId="15" fillId="0" borderId="28" xfId="0" applyNumberFormat="1" applyFont="1" applyBorder="1" applyAlignment="1">
      <alignment horizontal="center" vertical="center" shrinkToFit="1"/>
    </xf>
    <xf numFmtId="0" fontId="32" fillId="0" borderId="11" xfId="0" applyFont="1" applyBorder="1" applyAlignment="1">
      <alignment horizontal="center" vertical="center" wrapText="1"/>
    </xf>
    <xf numFmtId="0" fontId="37" fillId="0" borderId="0" xfId="0" applyFont="1" applyAlignment="1">
      <alignment shrinkToFit="1"/>
    </xf>
    <xf numFmtId="177" fontId="36" fillId="9" borderId="0" xfId="0" applyNumberFormat="1" applyFont="1" applyFill="1" applyAlignment="1">
      <alignment horizontal="center"/>
    </xf>
    <xf numFmtId="177" fontId="37" fillId="0" borderId="0" xfId="2" applyNumberFormat="1" applyFont="1" applyAlignment="1">
      <alignment horizontal="center" vertical="center"/>
    </xf>
    <xf numFmtId="177" fontId="37" fillId="0" borderId="0" xfId="0" applyNumberFormat="1" applyFont="1" applyAlignment="1">
      <alignment horizontal="center"/>
    </xf>
    <xf numFmtId="0" fontId="46" fillId="10" borderId="0" xfId="0" applyFont="1" applyFill="1" applyAlignment="1">
      <alignment horizontal="center" vertical="center" wrapText="1"/>
    </xf>
    <xf numFmtId="14" fontId="37" fillId="0" borderId="0" xfId="0" applyNumberFormat="1" applyFont="1" applyAlignment="1">
      <alignment horizontal="center"/>
    </xf>
    <xf numFmtId="0" fontId="34" fillId="0" borderId="0" xfId="0" applyFont="1" applyAlignment="1">
      <alignment horizontal="left" vertical="top" wrapText="1"/>
    </xf>
    <xf numFmtId="0" fontId="34" fillId="0" borderId="0" xfId="0" applyFont="1" applyAlignment="1">
      <alignment horizontal="left" vertical="top"/>
    </xf>
    <xf numFmtId="0" fontId="27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41" fillId="0" borderId="11" xfId="0" applyFont="1" applyBorder="1" applyAlignment="1">
      <alignment horizontal="center" vertical="center" wrapText="1"/>
    </xf>
    <xf numFmtId="0" fontId="41" fillId="0" borderId="12" xfId="0" applyFont="1" applyBorder="1" applyAlignment="1">
      <alignment wrapText="1"/>
    </xf>
    <xf numFmtId="0" fontId="41" fillId="0" borderId="14" xfId="0" applyFont="1" applyBorder="1" applyAlignment="1">
      <alignment horizontal="center" vertical="center" wrapText="1"/>
    </xf>
    <xf numFmtId="0" fontId="41" fillId="0" borderId="15" xfId="0" applyFont="1" applyBorder="1" applyAlignment="1">
      <alignment wrapText="1"/>
    </xf>
    <xf numFmtId="0" fontId="28" fillId="0" borderId="13" xfId="0" applyFont="1" applyBorder="1" applyAlignment="1">
      <alignment horizontal="center" vertical="center" wrapText="1"/>
    </xf>
    <xf numFmtId="0" fontId="28" fillId="0" borderId="14" xfId="0" applyFont="1" applyBorder="1" applyAlignment="1">
      <alignment wrapText="1"/>
    </xf>
    <xf numFmtId="0" fontId="28" fillId="0" borderId="12" xfId="0" applyFont="1" applyBorder="1" applyAlignment="1">
      <alignment horizontal="center" vertical="center" wrapText="1"/>
    </xf>
    <xf numFmtId="0" fontId="28" fillId="0" borderId="12" xfId="0" applyFont="1" applyBorder="1" applyAlignment="1">
      <alignment wrapText="1"/>
    </xf>
    <xf numFmtId="0" fontId="30" fillId="0" borderId="12" xfId="0" applyFont="1" applyBorder="1" applyAlignment="1">
      <alignment wrapText="1"/>
    </xf>
    <xf numFmtId="0" fontId="28" fillId="0" borderId="33" xfId="0" applyFont="1" applyBorder="1" applyAlignment="1">
      <alignment horizontal="center" vertical="center" wrapText="1"/>
    </xf>
    <xf numFmtId="0" fontId="28" fillId="0" borderId="20" xfId="0" applyFont="1" applyBorder="1" applyAlignment="1">
      <alignment wrapText="1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wrapText="1"/>
    </xf>
    <xf numFmtId="0" fontId="28" fillId="0" borderId="10" xfId="0" applyFont="1" applyBorder="1" applyAlignment="1">
      <alignment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8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28" fillId="0" borderId="17" xfId="0" applyFont="1" applyBorder="1" applyAlignment="1">
      <alignment horizontal="center" vertical="center" wrapText="1"/>
    </xf>
    <xf numFmtId="0" fontId="30" fillId="0" borderId="34" xfId="0" applyFont="1" applyBorder="1" applyAlignment="1">
      <alignment wrapText="1"/>
    </xf>
    <xf numFmtId="0" fontId="30" fillId="0" borderId="20" xfId="0" applyFont="1" applyBorder="1" applyAlignment="1">
      <alignment wrapText="1"/>
    </xf>
    <xf numFmtId="0" fontId="16" fillId="0" borderId="8" xfId="0" applyFont="1" applyBorder="1" applyAlignment="1">
      <alignment horizontal="center" vertical="center" wrapText="1"/>
    </xf>
    <xf numFmtId="0" fontId="15" fillId="0" borderId="11" xfId="0" applyFont="1" applyBorder="1" applyAlignment="1">
      <alignment vertical="center" wrapText="1"/>
    </xf>
    <xf numFmtId="0" fontId="15" fillId="0" borderId="48" xfId="0" applyFont="1" applyBorder="1" applyAlignment="1">
      <alignment vertical="center" wrapText="1"/>
    </xf>
    <xf numFmtId="0" fontId="15" fillId="0" borderId="56" xfId="0" applyFont="1" applyBorder="1" applyAlignment="1">
      <alignment horizontal="center" vertical="center" wrapText="1"/>
    </xf>
    <xf numFmtId="0" fontId="15" fillId="0" borderId="57" xfId="0" applyFont="1" applyBorder="1" applyAlignment="1">
      <alignment vertical="center" wrapText="1"/>
    </xf>
    <xf numFmtId="0" fontId="15" fillId="0" borderId="58" xfId="0" applyFont="1" applyBorder="1" applyAlignment="1">
      <alignment vertical="center" wrapText="1"/>
    </xf>
    <xf numFmtId="0" fontId="16" fillId="0" borderId="51" xfId="0" applyFont="1" applyBorder="1" applyAlignment="1">
      <alignment horizontal="center" vertical="center" wrapText="1"/>
    </xf>
    <xf numFmtId="0" fontId="15" fillId="0" borderId="52" xfId="0" applyFont="1" applyBorder="1" applyAlignment="1">
      <alignment vertical="center" wrapText="1"/>
    </xf>
    <xf numFmtId="0" fontId="15" fillId="0" borderId="53" xfId="0" applyFont="1" applyBorder="1" applyAlignment="1">
      <alignment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12" xfId="0" applyFont="1" applyBorder="1" applyAlignment="1">
      <alignment vertical="center" wrapText="1"/>
    </xf>
    <xf numFmtId="0" fontId="15" fillId="0" borderId="49" xfId="0" applyFont="1" applyBorder="1" applyAlignment="1">
      <alignment vertical="center" wrapText="1"/>
    </xf>
    <xf numFmtId="0" fontId="28" fillId="0" borderId="34" xfId="0" applyFont="1" applyBorder="1" applyAlignment="1">
      <alignment wrapText="1"/>
    </xf>
    <xf numFmtId="0" fontId="30" fillId="0" borderId="11" xfId="0" applyFont="1" applyBorder="1" applyAlignment="1">
      <alignment wrapText="1"/>
    </xf>
    <xf numFmtId="0" fontId="30" fillId="0" borderId="10" xfId="0" applyFont="1" applyBorder="1" applyAlignment="1">
      <alignment wrapText="1"/>
    </xf>
    <xf numFmtId="0" fontId="15" fillId="0" borderId="10" xfId="0" applyFont="1" applyBorder="1" applyAlignment="1">
      <alignment vertical="center" wrapText="1"/>
    </xf>
    <xf numFmtId="0" fontId="15" fillId="0" borderId="47" xfId="0" applyFont="1" applyBorder="1" applyAlignment="1">
      <alignment vertical="center" wrapText="1"/>
    </xf>
    <xf numFmtId="0" fontId="16" fillId="0" borderId="16" xfId="0" applyFont="1" applyBorder="1" applyAlignment="1">
      <alignment horizontal="center" vertical="center" wrapText="1"/>
    </xf>
    <xf numFmtId="0" fontId="15" fillId="0" borderId="17" xfId="0" applyFont="1" applyBorder="1" applyAlignment="1">
      <alignment vertical="center" wrapText="1"/>
    </xf>
    <xf numFmtId="0" fontId="15" fillId="0" borderId="50" xfId="0" applyFont="1" applyBorder="1" applyAlignment="1">
      <alignment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11" xfId="0" applyFont="1" applyBorder="1" applyAlignment="1">
      <alignment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wrapText="1"/>
    </xf>
    <xf numFmtId="0" fontId="15" fillId="0" borderId="14" xfId="0" applyFont="1" applyBorder="1" applyAlignment="1">
      <alignment horizontal="center" vertical="center" wrapText="1"/>
    </xf>
    <xf numFmtId="0" fontId="15" fillId="0" borderId="15" xfId="0" applyFont="1" applyBorder="1" applyAlignment="1">
      <alignment wrapText="1"/>
    </xf>
    <xf numFmtId="0" fontId="28" fillId="0" borderId="39" xfId="0" applyFont="1" applyBorder="1" applyAlignment="1">
      <alignment horizontal="center" vertical="center" wrapText="1"/>
    </xf>
    <xf numFmtId="0" fontId="28" fillId="0" borderId="21" xfId="0" applyFont="1" applyBorder="1" applyAlignment="1">
      <alignment wrapText="1"/>
    </xf>
    <xf numFmtId="0" fontId="15" fillId="0" borderId="21" xfId="0" applyFont="1" applyBorder="1" applyAlignment="1">
      <alignment horizontal="center" vertical="center" wrapText="1"/>
    </xf>
    <xf numFmtId="0" fontId="15" fillId="0" borderId="14" xfId="0" applyFont="1" applyBorder="1" applyAlignment="1">
      <alignment wrapText="1"/>
    </xf>
    <xf numFmtId="0" fontId="15" fillId="0" borderId="10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4" xfId="0" applyFont="1" applyBorder="1"/>
    <xf numFmtId="0" fontId="15" fillId="0" borderId="3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5" fillId="0" borderId="20" xfId="0" applyFont="1" applyBorder="1" applyAlignment="1">
      <alignment vertical="center" wrapText="1"/>
    </xf>
    <xf numFmtId="0" fontId="15" fillId="0" borderId="54" xfId="0" applyFont="1" applyBorder="1" applyAlignment="1">
      <alignment vertical="center" wrapText="1"/>
    </xf>
    <xf numFmtId="0" fontId="16" fillId="0" borderId="17" xfId="0" applyFont="1" applyBorder="1" applyAlignment="1">
      <alignment horizontal="center" vertical="center" wrapText="1"/>
    </xf>
    <xf numFmtId="0" fontId="15" fillId="0" borderId="50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6" fillId="0" borderId="11" xfId="0" applyFont="1" applyBorder="1"/>
    <xf numFmtId="0" fontId="15" fillId="0" borderId="8" xfId="0" applyFont="1" applyBorder="1"/>
    <xf numFmtId="0" fontId="16" fillId="0" borderId="12" xfId="0" applyFont="1" applyBorder="1"/>
    <xf numFmtId="0" fontId="15" fillId="0" borderId="9" xfId="0" applyFont="1" applyBorder="1"/>
    <xf numFmtId="0" fontId="15" fillId="0" borderId="15" xfId="0" applyFont="1" applyBorder="1"/>
    <xf numFmtId="0" fontId="15" fillId="0" borderId="24" xfId="0" applyFont="1" applyBorder="1" applyAlignment="1">
      <alignment horizontal="center" vertical="center" wrapText="1"/>
    </xf>
    <xf numFmtId="0" fontId="14" fillId="0" borderId="25" xfId="0" applyFont="1" applyBorder="1" applyAlignment="1">
      <alignment wrapText="1"/>
    </xf>
    <xf numFmtId="0" fontId="14" fillId="0" borderId="40" xfId="0" applyFont="1" applyBorder="1" applyAlignment="1">
      <alignment wrapText="1"/>
    </xf>
    <xf numFmtId="0" fontId="15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wrapText="1"/>
    </xf>
    <xf numFmtId="0" fontId="14" fillId="0" borderId="22" xfId="0" applyFont="1" applyBorder="1" applyAlignment="1">
      <alignment wrapText="1"/>
    </xf>
    <xf numFmtId="0" fontId="14" fillId="0" borderId="2" xfId="0" applyFont="1" applyBorder="1" applyAlignment="1">
      <alignment wrapText="1"/>
    </xf>
    <xf numFmtId="0" fontId="14" fillId="0" borderId="41" xfId="0" applyFont="1" applyBorder="1" applyAlignment="1">
      <alignment wrapText="1"/>
    </xf>
    <xf numFmtId="0" fontId="14" fillId="0" borderId="43" xfId="0" applyFont="1" applyBorder="1" applyAlignment="1">
      <alignment wrapText="1"/>
    </xf>
    <xf numFmtId="0" fontId="15" fillId="0" borderId="29" xfId="0" applyFont="1" applyBorder="1" applyAlignment="1">
      <alignment horizontal="center" vertical="center" wrapText="1"/>
    </xf>
    <xf numFmtId="0" fontId="14" fillId="0" borderId="30" xfId="0" applyFont="1" applyBorder="1" applyAlignment="1">
      <alignment wrapText="1"/>
    </xf>
    <xf numFmtId="0" fontId="14" fillId="0" borderId="35" xfId="0" applyFont="1" applyBorder="1" applyAlignment="1">
      <alignment wrapText="1"/>
    </xf>
    <xf numFmtId="0" fontId="14" fillId="0" borderId="36" xfId="0" applyFont="1" applyBorder="1" applyAlignment="1">
      <alignment wrapText="1"/>
    </xf>
    <xf numFmtId="0" fontId="15" fillId="0" borderId="37" xfId="0" applyFont="1" applyBorder="1" applyAlignment="1">
      <alignment wrapText="1"/>
    </xf>
    <xf numFmtId="0" fontId="14" fillId="0" borderId="38" xfId="0" applyFont="1" applyBorder="1" applyAlignment="1">
      <alignment wrapText="1"/>
    </xf>
    <xf numFmtId="0" fontId="15" fillId="0" borderId="19" xfId="0" applyFont="1" applyBorder="1" applyAlignment="1">
      <alignment horizontal="center" vertical="center" wrapText="1"/>
    </xf>
    <xf numFmtId="0" fontId="28" fillId="0" borderId="29" xfId="0" applyFont="1" applyBorder="1" applyAlignment="1">
      <alignment horizontal="center" vertical="center" wrapText="1"/>
    </xf>
    <xf numFmtId="0" fontId="30" fillId="0" borderId="30" xfId="0" applyFont="1" applyBorder="1" applyAlignment="1">
      <alignment wrapText="1"/>
    </xf>
    <xf numFmtId="0" fontId="30" fillId="0" borderId="6" xfId="0" applyFont="1" applyBorder="1" applyAlignment="1">
      <alignment wrapText="1"/>
    </xf>
    <xf numFmtId="0" fontId="30" fillId="0" borderId="23" xfId="0" applyFont="1" applyBorder="1" applyAlignment="1">
      <alignment wrapText="1"/>
    </xf>
    <xf numFmtId="0" fontId="30" fillId="0" borderId="31" xfId="0" applyFont="1" applyBorder="1" applyAlignment="1">
      <alignment wrapText="1"/>
    </xf>
    <xf numFmtId="0" fontId="30" fillId="0" borderId="32" xfId="0" applyFont="1" applyBorder="1" applyAlignment="1">
      <alignment wrapText="1"/>
    </xf>
    <xf numFmtId="0" fontId="28" fillId="0" borderId="26" xfId="0" applyFont="1" applyBorder="1" applyAlignment="1">
      <alignment horizontal="center" vertical="center" wrapText="1"/>
    </xf>
    <xf numFmtId="0" fontId="30" fillId="0" borderId="27" xfId="0" applyFont="1" applyBorder="1" applyAlignment="1">
      <alignment wrapText="1"/>
    </xf>
    <xf numFmtId="0" fontId="30" fillId="0" borderId="22" xfId="0" applyFont="1" applyBorder="1" applyAlignment="1">
      <alignment wrapText="1"/>
    </xf>
    <xf numFmtId="0" fontId="30" fillId="0" borderId="2" xfId="0" applyFont="1" applyBorder="1" applyAlignment="1">
      <alignment wrapText="1"/>
    </xf>
    <xf numFmtId="0" fontId="30" fillId="0" borderId="28" xfId="0" applyFont="1" applyBorder="1" applyAlignment="1">
      <alignment wrapText="1"/>
    </xf>
    <xf numFmtId="0" fontId="30" fillId="0" borderId="1" xfId="0" applyFont="1" applyBorder="1" applyAlignment="1">
      <alignment wrapText="1"/>
    </xf>
    <xf numFmtId="177" fontId="15" fillId="0" borderId="11" xfId="0" applyNumberFormat="1" applyFont="1" applyBorder="1" applyAlignment="1">
      <alignment horizontal="center" vertical="center" wrapText="1"/>
    </xf>
    <xf numFmtId="177" fontId="15" fillId="0" borderId="11" xfId="0" applyNumberFormat="1" applyFont="1" applyBorder="1"/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8" fillId="9" borderId="0" xfId="0" applyFont="1" applyFill="1" applyAlignment="1">
      <alignment horizontal="center" vertical="center"/>
    </xf>
    <xf numFmtId="0" fontId="39" fillId="9" borderId="0" xfId="0" applyFont="1" applyFill="1" applyAlignment="1">
      <alignment horizontal="center" vertical="center"/>
    </xf>
    <xf numFmtId="0" fontId="40" fillId="9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44" xfId="0" applyFont="1" applyBorder="1" applyAlignment="1">
      <alignment wrapText="1"/>
    </xf>
    <xf numFmtId="0" fontId="15" fillId="0" borderId="35" xfId="0" applyFont="1" applyBorder="1" applyAlignment="1">
      <alignment wrapText="1"/>
    </xf>
    <xf numFmtId="0" fontId="15" fillId="0" borderId="36" xfId="0" applyFont="1" applyBorder="1" applyAlignment="1">
      <alignment wrapText="1"/>
    </xf>
    <xf numFmtId="0" fontId="41" fillId="0" borderId="45" xfId="0" applyFont="1" applyBorder="1" applyAlignment="1">
      <alignment horizontal="center" vertical="center" wrapText="1"/>
    </xf>
    <xf numFmtId="0" fontId="41" fillId="0" borderId="4" xfId="0" applyFont="1" applyBorder="1" applyAlignment="1">
      <alignment wrapText="1"/>
    </xf>
    <xf numFmtId="0" fontId="41" fillId="0" borderId="3" xfId="0" applyFont="1" applyBorder="1" applyAlignment="1">
      <alignment wrapText="1"/>
    </xf>
    <xf numFmtId="0" fontId="41" fillId="0" borderId="41" xfId="0" applyFont="1" applyBorder="1" applyAlignment="1">
      <alignment wrapText="1"/>
    </xf>
    <xf numFmtId="0" fontId="41" fillId="0" borderId="46" xfId="0" applyFont="1" applyBorder="1" applyAlignment="1">
      <alignment wrapText="1"/>
    </xf>
    <xf numFmtId="0" fontId="41" fillId="0" borderId="43" xfId="0" applyFont="1" applyBorder="1" applyAlignment="1">
      <alignment wrapText="1"/>
    </xf>
    <xf numFmtId="0" fontId="15" fillId="0" borderId="17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47" xfId="0" applyFont="1" applyBorder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4">
    <cellStyle name="一般" xfId="0" builtinId="0"/>
    <cellStyle name="一般 2" xfId="1" xr:uid="{00000000-0005-0000-0000-000001000000}"/>
    <cellStyle name="一般 3" xfId="2" xr:uid="{506A2382-3436-471F-A293-95B469121728}"/>
    <cellStyle name="一般 4" xfId="3" xr:uid="{7FFA61D0-3AE7-457E-8BC3-D4899D65A22D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12</xdr:row>
          <xdr:rowOff>53340</xdr:rowOff>
        </xdr:from>
        <xdr:to>
          <xdr:col>1</xdr:col>
          <xdr:colOff>464820</xdr:colOff>
          <xdr:row>15</xdr:row>
          <xdr:rowOff>121920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清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5</xdr:row>
          <xdr:rowOff>45720</xdr:rowOff>
        </xdr:from>
        <xdr:to>
          <xdr:col>1</xdr:col>
          <xdr:colOff>495300</xdr:colOff>
          <xdr:row>6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Microsoft JhengHei Light"/>
                  <a:ea typeface="Microsoft JhengHei Light"/>
                </a:rPr>
                <a:t>下一筆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10</xdr:row>
          <xdr:rowOff>30480</xdr:rowOff>
        </xdr:from>
        <xdr:to>
          <xdr:col>1</xdr:col>
          <xdr:colOff>449580</xdr:colOff>
          <xdr:row>11</xdr:row>
          <xdr:rowOff>144780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列印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2</xdr:row>
          <xdr:rowOff>38100</xdr:rowOff>
        </xdr:from>
        <xdr:to>
          <xdr:col>2</xdr:col>
          <xdr:colOff>251460</xdr:colOff>
          <xdr:row>8</xdr:row>
          <xdr:rowOff>175260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Microsoft JhengHei Light"/>
                  <a:ea typeface="Microsoft JhengHei Light"/>
                </a:rPr>
                <a:t>換筆列印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3" tint="0.39997558519241921"/>
    <pageSetUpPr fitToPage="1"/>
  </sheetPr>
  <dimension ref="A1:Y33"/>
  <sheetViews>
    <sheetView zoomScale="70" zoomScaleNormal="70" workbookViewId="0">
      <selection activeCell="Z10" sqref="Z10"/>
    </sheetView>
  </sheetViews>
  <sheetFormatPr defaultColWidth="9" defaultRowHeight="15.6"/>
  <cols>
    <col min="1" max="1" width="3.44140625" style="3" customWidth="1"/>
    <col min="2" max="2" width="7.88671875" style="3" customWidth="1"/>
    <col min="3" max="3" width="4.21875" style="3" customWidth="1"/>
    <col min="4" max="4" width="5.109375" style="3" customWidth="1"/>
    <col min="5" max="5" width="8.6640625" style="3" customWidth="1"/>
    <col min="6" max="6" width="7.44140625" style="3" customWidth="1"/>
    <col min="7" max="7" width="6.44140625" style="3" customWidth="1"/>
    <col min="8" max="9" width="7.44140625" style="3" customWidth="1"/>
    <col min="10" max="10" width="4.77734375" style="3" customWidth="1"/>
    <col min="11" max="12" width="7.21875" style="3" customWidth="1"/>
    <col min="13" max="13" width="4.77734375" style="3" customWidth="1"/>
    <col min="14" max="15" width="7.44140625" style="3" customWidth="1"/>
    <col min="16" max="16" width="4.77734375" style="3" customWidth="1"/>
    <col min="17" max="17" width="5.33203125" style="3" customWidth="1"/>
    <col min="18" max="18" width="14.21875" style="3" customWidth="1"/>
    <col min="19" max="19" width="8.21875" style="3" bestFit="1" customWidth="1"/>
    <col min="20" max="20" width="7.44140625" style="3" bestFit="1" customWidth="1"/>
    <col min="21" max="23" width="4.44140625" style="3" customWidth="1"/>
    <col min="24" max="24" width="5.33203125" style="3" customWidth="1"/>
    <col min="25" max="25" width="3.44140625" style="3" customWidth="1"/>
    <col min="26" max="16384" width="9" style="3"/>
  </cols>
  <sheetData>
    <row r="1" spans="1:25" ht="25.2" thickTop="1">
      <c r="A1" s="248" t="s">
        <v>755</v>
      </c>
      <c r="B1" s="247"/>
      <c r="C1" s="136" t="s">
        <v>907</v>
      </c>
      <c r="D1" s="205" t="s">
        <v>53</v>
      </c>
      <c r="E1" s="206"/>
      <c r="F1" s="206"/>
      <c r="G1" s="206"/>
      <c r="H1" s="206"/>
      <c r="I1" s="206"/>
      <c r="J1" s="206"/>
      <c r="K1" s="206"/>
      <c r="L1" s="206"/>
      <c r="M1" s="206"/>
      <c r="N1" s="207"/>
      <c r="O1" s="24"/>
      <c r="P1" s="157"/>
      <c r="Q1" s="210"/>
      <c r="R1" s="25"/>
      <c r="S1" s="157"/>
      <c r="T1" s="210"/>
      <c r="U1" s="157"/>
      <c r="V1" s="210"/>
      <c r="W1" s="157"/>
      <c r="X1" s="212"/>
    </row>
    <row r="2" spans="1:25" ht="19.8">
      <c r="A2" s="249">
        <v>29</v>
      </c>
      <c r="B2" s="250"/>
      <c r="C2" s="32" t="s">
        <v>906</v>
      </c>
      <c r="D2" s="208" t="s">
        <v>54</v>
      </c>
      <c r="E2" s="206"/>
      <c r="F2" s="206"/>
      <c r="G2" s="206"/>
      <c r="H2" s="206"/>
      <c r="I2" s="206"/>
      <c r="J2" s="206"/>
      <c r="K2" s="206"/>
      <c r="L2" s="206"/>
      <c r="M2" s="206"/>
      <c r="N2" s="207"/>
      <c r="O2" s="8">
        <v>1</v>
      </c>
      <c r="P2" s="242" t="str">
        <f ca="1">IF($A$2="","",OFFSET(文件日期基準,$A$2,,,))</f>
        <v>2024.11.28</v>
      </c>
      <c r="Q2" s="243"/>
      <c r="R2" s="17" t="s">
        <v>679</v>
      </c>
      <c r="S2" s="185"/>
      <c r="T2" s="209"/>
      <c r="U2" s="185"/>
      <c r="V2" s="209"/>
      <c r="W2" s="185" t="s">
        <v>680</v>
      </c>
      <c r="X2" s="211"/>
    </row>
    <row r="3" spans="1:25" ht="16.8" thickBot="1">
      <c r="A3" s="246" t="s">
        <v>754</v>
      </c>
      <c r="B3" s="247"/>
      <c r="D3" s="251" t="s">
        <v>65</v>
      </c>
      <c r="E3" s="206"/>
      <c r="F3" s="206"/>
      <c r="G3" s="206"/>
      <c r="H3" s="206"/>
      <c r="I3" s="206"/>
      <c r="J3" s="206"/>
      <c r="K3" s="206"/>
      <c r="L3" s="206"/>
      <c r="M3" s="206"/>
      <c r="N3" s="207"/>
      <c r="O3" s="10" t="s">
        <v>59</v>
      </c>
      <c r="P3" s="189" t="s">
        <v>60</v>
      </c>
      <c r="Q3" s="197"/>
      <c r="R3" s="11" t="s">
        <v>61</v>
      </c>
      <c r="S3" s="189" t="s">
        <v>62</v>
      </c>
      <c r="T3" s="197"/>
      <c r="U3" s="189" t="s">
        <v>63</v>
      </c>
      <c r="V3" s="197"/>
      <c r="W3" s="189" t="s">
        <v>64</v>
      </c>
      <c r="X3" s="213"/>
    </row>
    <row r="4" spans="1:25" ht="8.25" customHeight="1" thickTop="1" thickBot="1"/>
    <row r="5" spans="1:25" s="7" customFormat="1" ht="32.25" customHeight="1" thickTop="1">
      <c r="A5" s="244" t="str">
        <f ca="1">IF($A$2="","",OFFSET(製作表單!$B$1,$A$2,2,,))</f>
        <v>代料到完成</v>
      </c>
      <c r="B5" s="245"/>
      <c r="C5" s="140"/>
      <c r="D5" s="256" t="s">
        <v>13</v>
      </c>
      <c r="E5" s="257"/>
      <c r="F5" s="260">
        <f ca="1">IF($A$2="","",OFFSET(製作表單!$B$1,$A$2,,,))</f>
        <v>50200420</v>
      </c>
      <c r="G5" s="261"/>
      <c r="H5" s="262"/>
      <c r="I5" s="156" t="s">
        <v>14</v>
      </c>
      <c r="J5" s="157"/>
      <c r="K5" s="158"/>
      <c r="L5" s="159"/>
      <c r="M5" s="156" t="s">
        <v>15</v>
      </c>
      <c r="N5" s="157"/>
      <c r="O5" s="159"/>
      <c r="P5" s="156" t="s">
        <v>16</v>
      </c>
      <c r="Q5" s="157"/>
      <c r="R5" s="159"/>
      <c r="S5" s="156" t="s">
        <v>17</v>
      </c>
      <c r="T5" s="157"/>
      <c r="U5" s="159"/>
      <c r="V5" s="229" t="s">
        <v>18</v>
      </c>
      <c r="W5" s="158"/>
      <c r="X5" s="159"/>
    </row>
    <row r="6" spans="1:25" s="7" customFormat="1" ht="12.6">
      <c r="C6" s="141"/>
      <c r="D6" s="258"/>
      <c r="E6" s="259"/>
      <c r="F6" s="263"/>
      <c r="G6" s="264"/>
      <c r="H6" s="265"/>
      <c r="I6" s="151" t="s">
        <v>695</v>
      </c>
      <c r="J6" s="162"/>
      <c r="K6" s="160">
        <v>1</v>
      </c>
      <c r="L6" s="161"/>
      <c r="M6" s="153" t="s">
        <v>696</v>
      </c>
      <c r="N6" s="154"/>
      <c r="O6" s="148">
        <v>1</v>
      </c>
      <c r="P6" s="151" t="s">
        <v>697</v>
      </c>
      <c r="Q6" s="152"/>
      <c r="R6" s="91">
        <v>1</v>
      </c>
      <c r="S6" s="214" t="s">
        <v>21</v>
      </c>
      <c r="T6" s="217" t="s">
        <v>1</v>
      </c>
      <c r="U6" s="218"/>
      <c r="V6" s="223" t="s">
        <v>22</v>
      </c>
      <c r="W6" s="224"/>
      <c r="X6" s="227"/>
    </row>
    <row r="7" spans="1:25" s="7" customFormat="1" ht="16.5" customHeight="1">
      <c r="C7" s="141"/>
      <c r="D7" s="195" t="s">
        <v>19</v>
      </c>
      <c r="E7" s="266"/>
      <c r="F7" s="187" t="s">
        <v>12</v>
      </c>
      <c r="G7" s="184"/>
      <c r="H7" s="188"/>
      <c r="I7" s="151" t="s">
        <v>681</v>
      </c>
      <c r="J7" s="162"/>
      <c r="K7" s="160">
        <v>2</v>
      </c>
      <c r="L7" s="161"/>
      <c r="M7" s="155"/>
      <c r="N7" s="154"/>
      <c r="O7" s="149"/>
      <c r="P7" s="151" t="s">
        <v>682</v>
      </c>
      <c r="Q7" s="152"/>
      <c r="R7" s="91">
        <v>2</v>
      </c>
      <c r="S7" s="215"/>
      <c r="T7" s="219"/>
      <c r="U7" s="220"/>
      <c r="V7" s="225"/>
      <c r="W7" s="226"/>
      <c r="X7" s="228"/>
    </row>
    <row r="8" spans="1:25" s="7" customFormat="1" ht="12.6">
      <c r="A8" s="269" t="s">
        <v>678</v>
      </c>
      <c r="B8" s="270"/>
      <c r="C8" s="141"/>
      <c r="D8" s="195"/>
      <c r="E8" s="266"/>
      <c r="F8" s="187" t="s">
        <v>23</v>
      </c>
      <c r="G8" s="184"/>
      <c r="H8" s="188"/>
      <c r="I8" s="151" t="s">
        <v>683</v>
      </c>
      <c r="J8" s="162"/>
      <c r="K8" s="160" t="s">
        <v>46</v>
      </c>
      <c r="L8" s="161"/>
      <c r="M8" s="153" t="s">
        <v>684</v>
      </c>
      <c r="N8" s="154"/>
      <c r="O8" s="148" t="s">
        <v>43</v>
      </c>
      <c r="P8" s="151" t="s">
        <v>685</v>
      </c>
      <c r="Q8" s="152"/>
      <c r="R8" s="91">
        <v>3</v>
      </c>
      <c r="S8" s="216"/>
      <c r="T8" s="221"/>
      <c r="U8" s="222"/>
      <c r="V8" s="183" t="s">
        <v>24</v>
      </c>
      <c r="W8" s="184"/>
      <c r="X8" s="91" t="s">
        <v>698</v>
      </c>
    </row>
    <row r="9" spans="1:25" s="7" customFormat="1" ht="16.5" customHeight="1">
      <c r="A9" s="270"/>
      <c r="B9" s="270"/>
      <c r="C9" s="141"/>
      <c r="D9" s="195" t="s">
        <v>25</v>
      </c>
      <c r="E9" s="266"/>
      <c r="F9" s="142" t="str">
        <f ca="1">IF($A$2="","",OFFSET(製作表單!$B$1,$A$2,1,,))</f>
        <v>M1T58W12L20</v>
      </c>
      <c r="G9" s="142"/>
      <c r="H9" s="143"/>
      <c r="I9" s="151" t="s">
        <v>686</v>
      </c>
      <c r="J9" s="162"/>
      <c r="K9" s="160">
        <v>7</v>
      </c>
      <c r="L9" s="161"/>
      <c r="M9" s="155"/>
      <c r="N9" s="154"/>
      <c r="O9" s="149"/>
      <c r="P9" s="151" t="s">
        <v>687</v>
      </c>
      <c r="Q9" s="152"/>
      <c r="R9" s="91">
        <v>4</v>
      </c>
      <c r="S9" s="195" t="s">
        <v>26</v>
      </c>
      <c r="T9" s="187" t="s">
        <v>2</v>
      </c>
      <c r="U9" s="188"/>
      <c r="V9" s="183" t="s">
        <v>27</v>
      </c>
      <c r="W9" s="184"/>
      <c r="X9" s="12"/>
    </row>
    <row r="10" spans="1:25" s="7" customFormat="1" ht="16.2">
      <c r="A10" s="244">
        <v>100</v>
      </c>
      <c r="B10" s="245"/>
      <c r="C10" s="141"/>
      <c r="D10" s="195"/>
      <c r="E10" s="266"/>
      <c r="F10" s="142"/>
      <c r="G10" s="142"/>
      <c r="H10" s="143"/>
      <c r="I10" s="151" t="s">
        <v>688</v>
      </c>
      <c r="J10" s="152"/>
      <c r="K10" s="160">
        <v>8</v>
      </c>
      <c r="L10" s="175"/>
      <c r="M10" s="153" t="s">
        <v>689</v>
      </c>
      <c r="N10" s="154"/>
      <c r="O10" s="148" t="s">
        <v>50</v>
      </c>
      <c r="P10" s="151" t="s">
        <v>689</v>
      </c>
      <c r="Q10" s="152"/>
      <c r="R10" s="91">
        <v>5</v>
      </c>
      <c r="S10" s="195"/>
      <c r="T10" s="187"/>
      <c r="U10" s="188"/>
      <c r="V10" s="183" t="s">
        <v>28</v>
      </c>
      <c r="W10" s="184"/>
      <c r="X10" s="12" t="s">
        <v>698</v>
      </c>
    </row>
    <row r="11" spans="1:25" s="7" customFormat="1" ht="12" customHeight="1">
      <c r="C11" s="141"/>
      <c r="D11" s="195" t="s">
        <v>29</v>
      </c>
      <c r="E11" s="266"/>
      <c r="F11" s="185" t="s">
        <v>890</v>
      </c>
      <c r="G11" s="185"/>
      <c r="H11" s="186"/>
      <c r="I11" s="230" t="s">
        <v>690</v>
      </c>
      <c r="J11" s="231"/>
      <c r="K11" s="236" t="s">
        <v>4</v>
      </c>
      <c r="L11" s="237"/>
      <c r="M11" s="155"/>
      <c r="N11" s="154"/>
      <c r="O11" s="149"/>
      <c r="P11" s="151" t="s">
        <v>684</v>
      </c>
      <c r="Q11" s="152"/>
      <c r="R11" s="91">
        <v>6</v>
      </c>
      <c r="S11" s="195" t="s">
        <v>20</v>
      </c>
      <c r="T11" s="187" t="s">
        <v>3</v>
      </c>
      <c r="U11" s="188"/>
      <c r="V11" s="183" t="s">
        <v>30</v>
      </c>
      <c r="W11" s="184"/>
      <c r="X11" s="12"/>
    </row>
    <row r="12" spans="1:25" s="7" customFormat="1" ht="15.75" customHeight="1">
      <c r="C12" s="141"/>
      <c r="D12" s="195"/>
      <c r="E12" s="266"/>
      <c r="F12" s="185"/>
      <c r="G12" s="185"/>
      <c r="H12" s="186"/>
      <c r="I12" s="232"/>
      <c r="J12" s="233"/>
      <c r="K12" s="238"/>
      <c r="L12" s="239"/>
      <c r="M12" s="153" t="s">
        <v>685</v>
      </c>
      <c r="N12" s="176"/>
      <c r="O12" s="148" t="s">
        <v>51</v>
      </c>
      <c r="P12" s="151" t="s">
        <v>691</v>
      </c>
      <c r="Q12" s="152"/>
      <c r="R12" s="91">
        <v>7</v>
      </c>
      <c r="S12" s="195"/>
      <c r="T12" s="187"/>
      <c r="U12" s="188"/>
      <c r="V12" s="183" t="s">
        <v>31</v>
      </c>
      <c r="W12" s="184"/>
      <c r="X12" s="12"/>
    </row>
    <row r="13" spans="1:25" s="7" customFormat="1" ht="12.75" customHeight="1">
      <c r="A13" s="254" t="s">
        <v>223</v>
      </c>
      <c r="C13" s="141"/>
      <c r="D13" s="195" t="s">
        <v>32</v>
      </c>
      <c r="E13" s="266"/>
      <c r="F13" s="142" t="str">
        <f ca="1">IF($A$2="","",OFFSET(製作表單!$B$1,$A$2,3,,))</f>
        <v>恩德</v>
      </c>
      <c r="G13" s="142"/>
      <c r="H13" s="143"/>
      <c r="I13" s="232"/>
      <c r="J13" s="233"/>
      <c r="K13" s="238"/>
      <c r="L13" s="239"/>
      <c r="M13" s="177"/>
      <c r="N13" s="176"/>
      <c r="O13" s="150"/>
      <c r="P13" s="151" t="s">
        <v>692</v>
      </c>
      <c r="Q13" s="152"/>
      <c r="R13" s="91" t="s">
        <v>52</v>
      </c>
      <c r="S13" s="195" t="s">
        <v>33</v>
      </c>
      <c r="T13" s="187" t="s">
        <v>5</v>
      </c>
      <c r="U13" s="188"/>
      <c r="V13" s="183" t="s">
        <v>34</v>
      </c>
      <c r="W13" s="184"/>
      <c r="X13" s="12" t="s">
        <v>698</v>
      </c>
    </row>
    <row r="14" spans="1:25" s="7" customFormat="1" ht="23.25" customHeight="1" thickBot="1">
      <c r="A14" s="255"/>
      <c r="C14" s="141"/>
      <c r="D14" s="196"/>
      <c r="E14" s="267"/>
      <c r="F14" s="144"/>
      <c r="G14" s="144"/>
      <c r="H14" s="145"/>
      <c r="I14" s="234"/>
      <c r="J14" s="235"/>
      <c r="K14" s="240"/>
      <c r="L14" s="241"/>
      <c r="M14" s="146" t="s">
        <v>693</v>
      </c>
      <c r="N14" s="147"/>
      <c r="O14" s="92">
        <v>10</v>
      </c>
      <c r="P14" s="191" t="s">
        <v>694</v>
      </c>
      <c r="Q14" s="192"/>
      <c r="R14" s="92">
        <v>10</v>
      </c>
      <c r="S14" s="196"/>
      <c r="T14" s="189"/>
      <c r="U14" s="190"/>
      <c r="V14" s="193" t="s">
        <v>35</v>
      </c>
      <c r="W14" s="194"/>
      <c r="X14" s="13" t="s">
        <v>698</v>
      </c>
    </row>
    <row r="15" spans="1:25" s="4" customFormat="1" ht="8.25" customHeight="1" thickTop="1" thickBot="1">
      <c r="A15" s="255"/>
      <c r="D15" s="1"/>
    </row>
    <row r="16" spans="1:25" s="4" customFormat="1" ht="12" customHeight="1" thickTop="1">
      <c r="A16" s="255"/>
      <c r="D16" s="156" t="s">
        <v>0</v>
      </c>
      <c r="E16" s="157" t="s">
        <v>36</v>
      </c>
      <c r="F16" s="163" t="s">
        <v>215</v>
      </c>
      <c r="G16" s="157" t="s">
        <v>37</v>
      </c>
      <c r="H16" s="163" t="s">
        <v>57</v>
      </c>
      <c r="I16" s="180" t="s">
        <v>226</v>
      </c>
      <c r="J16" s="156" t="s">
        <v>216</v>
      </c>
      <c r="K16" s="172" t="s">
        <v>38</v>
      </c>
      <c r="L16" s="169" t="s">
        <v>56</v>
      </c>
      <c r="M16" s="166" t="s">
        <v>217</v>
      </c>
      <c r="N16" s="229" t="s">
        <v>39</v>
      </c>
      <c r="O16" s="268"/>
      <c r="P16" s="166" t="s">
        <v>220</v>
      </c>
      <c r="Q16" s="166" t="s">
        <v>17</v>
      </c>
      <c r="R16" s="200" t="s">
        <v>221</v>
      </c>
      <c r="S16" s="163" t="s">
        <v>55</v>
      </c>
      <c r="T16" s="157" t="s">
        <v>40</v>
      </c>
      <c r="U16" s="157"/>
      <c r="V16" s="157"/>
      <c r="W16" s="157"/>
      <c r="X16" s="172"/>
      <c r="Y16" s="2"/>
    </row>
    <row r="17" spans="1:25" s="4" customFormat="1" ht="12" customHeight="1">
      <c r="A17" s="252" t="s">
        <v>699</v>
      </c>
      <c r="B17" s="253"/>
      <c r="C17" s="66"/>
      <c r="D17" s="195"/>
      <c r="E17" s="164"/>
      <c r="F17" s="164"/>
      <c r="G17" s="164"/>
      <c r="H17" s="164" t="s">
        <v>6</v>
      </c>
      <c r="I17" s="181"/>
      <c r="J17" s="178"/>
      <c r="K17" s="173"/>
      <c r="L17" s="170"/>
      <c r="M17" s="167"/>
      <c r="N17" s="201"/>
      <c r="O17" s="181"/>
      <c r="P17" s="167"/>
      <c r="Q17" s="167"/>
      <c r="R17" s="201"/>
      <c r="S17" s="164"/>
      <c r="T17" s="203" t="s">
        <v>58</v>
      </c>
      <c r="U17" s="187" t="s">
        <v>41</v>
      </c>
      <c r="V17" s="187"/>
      <c r="W17" s="187"/>
      <c r="X17" s="198" t="s">
        <v>7</v>
      </c>
      <c r="Y17" s="2"/>
    </row>
    <row r="18" spans="1:25" s="4" customFormat="1" ht="12" customHeight="1" thickBot="1">
      <c r="A18" s="41" t="s">
        <v>178</v>
      </c>
      <c r="B18" s="41" t="s">
        <v>222</v>
      </c>
      <c r="C18" s="67"/>
      <c r="D18" s="271"/>
      <c r="E18" s="165"/>
      <c r="F18" s="165"/>
      <c r="G18" s="165"/>
      <c r="H18" s="165"/>
      <c r="I18" s="182"/>
      <c r="J18" s="179"/>
      <c r="K18" s="174"/>
      <c r="L18" s="171"/>
      <c r="M18" s="168"/>
      <c r="N18" s="35" t="s">
        <v>218</v>
      </c>
      <c r="O18" s="36" t="s">
        <v>219</v>
      </c>
      <c r="P18" s="168"/>
      <c r="Q18" s="168"/>
      <c r="R18" s="202"/>
      <c r="S18" s="165"/>
      <c r="T18" s="204"/>
      <c r="U18" s="18" t="s">
        <v>8</v>
      </c>
      <c r="V18" s="18" t="s">
        <v>9</v>
      </c>
      <c r="W18" s="18" t="s">
        <v>10</v>
      </c>
      <c r="X18" s="199"/>
      <c r="Y18" s="2"/>
    </row>
    <row r="19" spans="1:25" s="4" customFormat="1" ht="33" customHeight="1">
      <c r="A19" s="47">
        <v>4</v>
      </c>
      <c r="B19" s="48"/>
      <c r="C19" s="48" t="str">
        <f>IF($A19="",IF($B19="","",$B19),IF(ISERROR(MATCH($A19,資料庫!D:D,0)),"",VLOOKUP($A19,資料庫!$D$2:$E$87,2)))</f>
        <v>滾齒</v>
      </c>
      <c r="D19" s="14">
        <v>1</v>
      </c>
      <c r="E19" s="93" t="str">
        <f ca="1">IF($C19="","",OFFSET(製程基準,MATCH($C19,製程,0),COUNTIF($A$18:$A19,$A19),,1))</f>
        <v>滾齒參數錯誤</v>
      </c>
      <c r="F19" s="94" t="str">
        <f ca="1">IF($E19="","",VLOOKUP($C19&amp;"_"&amp;$E19,項目異常!$A$2:$L$150,MATCH(F$16,項目異常!$B$1:$L$1,0)+1,FALSE))</f>
        <v>齒輪咬合</v>
      </c>
      <c r="G19" s="94" t="str">
        <f ca="1">IF($C19="","",IF(OFFSET(要求基準,MATCH($F$5,製作表單!$B:$B,0)-1,$D19-1,,)="","",OFFSET(要求基準,MATCH($F$5,製作表單!$B:$B,0)-1,$D19-1,,)))</f>
        <v>M1T58</v>
      </c>
      <c r="H19" s="94" t="str">
        <f ca="1">IF($E19="","",VLOOKUP($C19&amp;"_"&amp;$E19,項目異常!$A$2:$L$150,MATCH(H$16,項目異常!$B$1:$L$1,0)+1,FALSE))</f>
        <v>齒輪無法咬合</v>
      </c>
      <c r="I19" s="94" t="str">
        <f ca="1">IF($E19="","",VLOOKUP($C19&amp;"_"&amp;$E19,項目異常!$A$2:$L$150,MATCH(I$16,項目異常!$B$1:$L$1,0)+1,FALSE))</f>
        <v>無法傳動</v>
      </c>
      <c r="J19" s="95">
        <f ca="1">IF($E19="","",VLOOKUP($C19&amp;"_"&amp;$E19,項目異常!$A$2:$L$150,MATCH(J$16,項目異常!$B$1:$L$1,0)+1,FALSE))</f>
        <v>8</v>
      </c>
      <c r="K19" s="96" t="str">
        <f ca="1">IF($J19="","",IF($J19&gt;=9,"關鍵特性",IF(OR(AND($J19&gt;=5,$J19&lt;=8),AND($M19&gt;=4,$M19&lt;=10)),"重要特性","一般特性")))</f>
        <v>重要特性</v>
      </c>
      <c r="L19" s="94" t="str">
        <f ca="1">IF($E19="","",VLOOKUP($C19&amp;"_"&amp;$E19,項目異常!$A$2:$L$150,MATCH(L$16,項目異常!$B$1:$L$1,0)+1,FALSE))</f>
        <v>加工參數設定錯誤</v>
      </c>
      <c r="M19" s="97">
        <f ca="1">IF($E19="","",VLOOKUP($C19&amp;"_"&amp;$E19,項目異常!$A$2:$L$150,MATCH(M$16,項目異常!$B$1:$L$1,0)+1,FALSE))</f>
        <v>2</v>
      </c>
      <c r="N19" s="98" t="str">
        <f ca="1">IF($E19="","",VLOOKUP($C19&amp;"_"&amp;$E19,項目異常!$A$2:$L$150,MATCH(N$18,項目異常!$B$1:$L$1,0)+1,FALSE))</f>
        <v>SOP</v>
      </c>
      <c r="O19" s="99" t="str">
        <f ca="1">IF($E19="","",VLOOKUP($C19&amp;"_"&amp;$E19,項目異常!$A$2:$L$150,MATCH(O$18,項目異常!$B$1:$L$1,0)+1,FALSE))</f>
        <v>分厘卡檢驗</v>
      </c>
      <c r="P19" s="97">
        <f ca="1">IF($E19="","",VLOOKUP($C19&amp;"_"&amp;$E19,項目異常!$A$2:$L$150,MATCH(P$16,項目異常!$B$1:$L$1,0)+1,FALSE))</f>
        <v>10</v>
      </c>
      <c r="Q19" s="97">
        <f ca="1">IF(OR($J19="",$M19="",$P19=""),"",$J19*$M19*$P19)</f>
        <v>160</v>
      </c>
      <c r="R19" s="110" t="str">
        <f ca="1">IF($E19="","",VLOOKUP($C19&amp;"_"&amp;$E19,項目異常!$A$2:$L$150,MATCH(R$16,項目異常!$B$1:$L$1,0)+1,FALSE))</f>
        <v>1.首件確認
2.製程中定量抽樣</v>
      </c>
      <c r="S19" s="123" t="str">
        <f t="shared" ref="S19:T25" ca="1" si="0">IF($E19="","",$P$2)</f>
        <v>2024.11.28</v>
      </c>
      <c r="T19" s="124" t="str">
        <f t="shared" ca="1" si="0"/>
        <v>2024.11.28</v>
      </c>
      <c r="U19" s="100">
        <f ca="1">IF($E19="","",VLOOKUP($C19&amp;"_"&amp;$E19,項目異常!$A$2:$P$150,MATCH(U$18,項目異常!$B$1:$P$1,0)+1,FALSE))</f>
        <v>8</v>
      </c>
      <c r="V19" s="100">
        <f ca="1">IF($E19="","",VLOOKUP($C19&amp;"_"&amp;$E19,項目異常!$A$2:$P$150,MATCH(V$18,項目異常!$B$1:$P$1,0)+1,FALSE))</f>
        <v>1</v>
      </c>
      <c r="W19" s="100">
        <f ca="1">IF($E19="","",VLOOKUP($C19&amp;"_"&amp;$E19,項目異常!$A$2:$P$150,MATCH(W$18,項目異常!$B$1:$P$1,0)+1,FALSE))</f>
        <v>2</v>
      </c>
      <c r="X19" s="101">
        <f ca="1">IF(OR($U19="",$V19="",$W19=""),"",$U19*$V19*$W19)</f>
        <v>16</v>
      </c>
      <c r="Y19" s="2"/>
    </row>
    <row r="20" spans="1:25" s="4" customFormat="1" ht="33" customHeight="1">
      <c r="A20" s="47">
        <v>4</v>
      </c>
      <c r="B20" s="48"/>
      <c r="C20" s="48" t="str">
        <f>IF($A20="",IF($B20="","",$B20),IF(ISERROR(MATCH($A20,資料庫!D:D,0)),"",VLOOKUP($A20,資料庫!$D$2:$E$87,2)))</f>
        <v>滾齒</v>
      </c>
      <c r="D20" s="8">
        <v>2</v>
      </c>
      <c r="E20" s="93" t="str">
        <f ca="1">IF($C20="","",OFFSET(製程基準,MATCH($C20,製程,0),COUNTIF($A$18:$A20,$A20),,1))</f>
        <v>滾齒中心偏移</v>
      </c>
      <c r="F20" s="94" t="str">
        <f ca="1">IF($E20="","",VLOOKUP($C20&amp;"_"&amp;$E20,項目異常!$A$2:$L$150,MATCH(F$16,項目異常!$B$1:$L$1,0)+1,FALSE))</f>
        <v>齒部研磨</v>
      </c>
      <c r="G20" s="131" t="str">
        <f ca="1">IF($C20="","",IF(OFFSET(要求基準,MATCH($F$5,製作表單!$B:$B,0)-1,$D20-1,,)="","",OFFSET(要求基準,MATCH($F$5,製作表單!$B:$B,0)-1,$D20-1,,)))</f>
        <v>偏擺0.03</v>
      </c>
      <c r="H20" s="102" t="str">
        <f ca="1">IF($E20="","",VLOOKUP($C20&amp;"_"&amp;$E20,項目異常!$A$2:$L$150,MATCH(H$16,項目異常!$B$1:$L$1,0)+1,FALSE))</f>
        <v>齒研過磨</v>
      </c>
      <c r="I20" s="94" t="str">
        <f ca="1">IF($E20="","",VLOOKUP($C20&amp;"_"&amp;$E20,項目異常!$A$2:$L$150,MATCH(I$16,項目異常!$B$1:$L$1,0)+1,FALSE))</f>
        <v>齒輪咬合間隙過大、異音</v>
      </c>
      <c r="J20" s="95">
        <f ca="1">IF($E20="","",VLOOKUP($C20&amp;"_"&amp;$E20,項目異常!$A$2:$L$150,MATCH(J$16,項目異常!$B$1:$L$1,0)+1,FALSE))</f>
        <v>4</v>
      </c>
      <c r="K20" s="96" t="str">
        <f t="shared" ref="K20:K25" ca="1" si="1">IF($J20="","",IF($J20&gt;=9,"關鍵特性",IF(OR(AND($J20&gt;=5,$J20&lt;=8),AND($M20&gt;=4,$M20&lt;=10)),"重要特性","一般特性")))</f>
        <v>重要特性</v>
      </c>
      <c r="L20" s="94" t="str">
        <f ca="1">IF($E20="","",VLOOKUP($C20&amp;"_"&amp;$E20,項目異常!$A$2:$L$150,MATCH(L$16,項目異常!$B$1:$L$1,0)+1,FALSE))</f>
        <v>加工放置定位不佳</v>
      </c>
      <c r="M20" s="97">
        <f ca="1">IF($E20="","",VLOOKUP($C20&amp;"_"&amp;$E20,項目異常!$A$2:$L$150,MATCH(M$16,項目異常!$B$1:$L$1,0)+1,FALSE))</f>
        <v>6</v>
      </c>
      <c r="N20" s="98" t="str">
        <f ca="1">IF($E20="","",VLOOKUP($C20&amp;"_"&amp;$E20,項目異常!$A$2:$L$150,MATCH(N$18,項目異常!$B$1:$L$1,0)+1,FALSE))</f>
        <v>無</v>
      </c>
      <c r="O20" s="99" t="str">
        <f ca="1">IF($E20="","",VLOOKUP($C20&amp;"_"&amp;$E20,項目異常!$A$2:$L$150,MATCH(O$18,項目異常!$B$1:$L$1,0)+1,FALSE))</f>
        <v>齒輪檢測機</v>
      </c>
      <c r="P20" s="97">
        <f ca="1">IF($E20="","",VLOOKUP($C20&amp;"_"&amp;$E20,項目異常!$A$2:$L$150,MATCH(P$16,項目異常!$B$1:$L$1,0)+1,FALSE))</f>
        <v>10</v>
      </c>
      <c r="Q20" s="103">
        <f t="shared" ref="Q20:Q25" ca="1" si="2">IF(OR($J20="",$M20="",$P20=""),"",$J20*$M20*$P20)</f>
        <v>240</v>
      </c>
      <c r="R20" s="110" t="str">
        <f ca="1">IF($E20="","",VLOOKUP($C20&amp;"_"&amp;$E20,項目異常!$A$2:$L$150,MATCH(R$16,項目異常!$B$1:$L$1,0)+1,FALSE))</f>
        <v>1.首件上檢驗機確認
2.製程中定量抽樣</v>
      </c>
      <c r="S20" s="125" t="str">
        <f t="shared" ca="1" si="0"/>
        <v>2024.11.28</v>
      </c>
      <c r="T20" s="126" t="str">
        <f t="shared" ca="1" si="0"/>
        <v>2024.11.28</v>
      </c>
      <c r="U20" s="104">
        <f ca="1">IF($E20="","",VLOOKUP($C20&amp;"_"&amp;$E20,項目異常!$A$2:$P$150,MATCH(U$18,項目異常!$B$1:$P$1,0)+1,FALSE))</f>
        <v>4</v>
      </c>
      <c r="V20" s="104">
        <f ca="1">IF($E20="","",VLOOKUP($C20&amp;"_"&amp;$E20,項目異常!$A$2:$P$150,MATCH(V$18,項目異常!$B$1:$P$1,0)+1,FALSE))</f>
        <v>2</v>
      </c>
      <c r="W20" s="104">
        <f ca="1">IF($E20="","",VLOOKUP($C20&amp;"_"&amp;$E20,項目異常!$A$2:$P$150,MATCH(W$18,項目異常!$B$1:$P$1,0)+1,FALSE))</f>
        <v>6</v>
      </c>
      <c r="X20" s="105">
        <f t="shared" ref="X20:X25" ca="1" si="3">IF(OR($U20="",$V20="",$W20=""),"",$U20*$V20*$W20)</f>
        <v>48</v>
      </c>
      <c r="Y20" s="2"/>
    </row>
    <row r="21" spans="1:25" s="4" customFormat="1" ht="33" customHeight="1">
      <c r="A21" s="47">
        <v>2</v>
      </c>
      <c r="B21" s="48"/>
      <c r="C21" s="48" t="str">
        <f>IF($A21="",IF($B21="","",$B21),IF(ISERROR(MATCH($A21,資料庫!D:D,0)),"",VLOOKUP($A21,資料庫!$D$2:$E$87,2)))</f>
        <v>銑床</v>
      </c>
      <c r="D21" s="8">
        <v>3</v>
      </c>
      <c r="E21" s="93" t="str">
        <f ca="1">IF($C21="","",OFFSET(製程基準,MATCH($C21,製程,0),COUNTIF($A$18:$A21,$A21),,1))</f>
        <v>孔位異常</v>
      </c>
      <c r="F21" s="94" t="str">
        <f ca="1">IF($E21="","",VLOOKUP($C21&amp;"_"&amp;$E21,項目異常!$A$2:$L$150,MATCH(F$16,項目異常!$B$1:$L$1,0)+1,FALSE))</f>
        <v>組裝</v>
      </c>
      <c r="G21" s="102" t="str">
        <f ca="1">IF($C21="","",IF(OFFSET(要求基準,MATCH($F$5,製作表單!$B:$B,0)-1,$D21-1,,)="","",OFFSET(要求基準,MATCH($F$5,製作表單!$B:$B,0)-1,$D21-1,,)))</f>
        <v>M5</v>
      </c>
      <c r="H21" s="94" t="str">
        <f ca="1">IF($E21="","",VLOOKUP($C21&amp;"_"&amp;$E21,項目異常!$A$2:$L$150,MATCH(H$16,項目異常!$B$1:$L$1,0)+1,FALSE))</f>
        <v>組裝孔位無法對正</v>
      </c>
      <c r="I21" s="94" t="str">
        <f ca="1">IF($E21="","",VLOOKUP($C21&amp;"_"&amp;$E21,項目異常!$A$2:$L$150,MATCH(I$16,項目異常!$B$1:$L$1,0)+1,FALSE))</f>
        <v>無法組裝</v>
      </c>
      <c r="J21" s="95">
        <f ca="1">IF($E21="","",VLOOKUP($C21&amp;"_"&amp;$E21,項目異常!$A$2:$L$150,MATCH(J$16,項目異常!$B$1:$L$1,0)+1,FALSE))</f>
        <v>8</v>
      </c>
      <c r="K21" s="96" t="str">
        <f t="shared" ca="1" si="1"/>
        <v>重要特性</v>
      </c>
      <c r="L21" s="94" t="str">
        <f ca="1">IF($E21="","",VLOOKUP($C21&amp;"_"&amp;$E21,項目異常!$A$2:$L$150,MATCH(L$16,項目異常!$B$1:$L$1,0)+1,FALSE))</f>
        <v>加工程式設定錯誤</v>
      </c>
      <c r="M21" s="97">
        <f ca="1">IF($E21="","",VLOOKUP($C21&amp;"_"&amp;$E21,項目異常!$A$2:$L$150,MATCH(M$16,項目異常!$B$1:$L$1,0)+1,FALSE))</f>
        <v>3</v>
      </c>
      <c r="N21" s="98" t="str">
        <f ca="1">IF($E21="","",VLOOKUP($C21&amp;"_"&amp;$E21,項目異常!$A$2:$L$150,MATCH(N$18,項目異常!$B$1:$L$1,0)+1,FALSE))</f>
        <v>SOP</v>
      </c>
      <c r="O21" s="99" t="str">
        <f ca="1">IF($E21="","",VLOOKUP($C21&amp;"_"&amp;$E21,項目異常!$A$2:$L$150,MATCH(O$18,項目異常!$B$1:$L$1,0)+1,FALSE))</f>
        <v>卡尺檢驗</v>
      </c>
      <c r="P21" s="97">
        <f ca="1">IF($E21="","",VLOOKUP($C21&amp;"_"&amp;$E21,項目異常!$A$2:$L$150,MATCH(P$16,項目異常!$B$1:$L$1,0)+1,FALSE))</f>
        <v>5</v>
      </c>
      <c r="Q21" s="103">
        <f t="shared" ca="1" si="2"/>
        <v>120</v>
      </c>
      <c r="R21" s="110" t="str">
        <f ca="1">IF($E21="","",VLOOKUP($C21&amp;"_"&amp;$E21,項目異常!$A$2:$L$150,MATCH(R$16,項目異常!$B$1:$L$1,0)+1,FALSE))</f>
        <v>1.首件確認
2.製程中定量抽樣</v>
      </c>
      <c r="S21" s="125" t="str">
        <f t="shared" ca="1" si="0"/>
        <v>2024.11.28</v>
      </c>
      <c r="T21" s="126" t="str">
        <f t="shared" ca="1" si="0"/>
        <v>2024.11.28</v>
      </c>
      <c r="U21" s="104">
        <f ca="1">IF($E21="","",VLOOKUP($C21&amp;"_"&amp;$E21,項目異常!$A$2:$P$150,MATCH(U$18,項目異常!$B$1:$P$1,0)+1,FALSE))</f>
        <v>8</v>
      </c>
      <c r="V21" s="104">
        <f ca="1">IF($E21="","",VLOOKUP($C21&amp;"_"&amp;$E21,項目異常!$A$2:$P$150,MATCH(V$18,項目異常!$B$1:$P$1,0)+1,FALSE))</f>
        <v>2</v>
      </c>
      <c r="W21" s="104">
        <f ca="1">IF($E21="","",VLOOKUP($C21&amp;"_"&amp;$E21,項目異常!$A$2:$P$150,MATCH(W$18,項目異常!$B$1:$P$1,0)+1,FALSE))</f>
        <v>4</v>
      </c>
      <c r="X21" s="105">
        <f t="shared" ca="1" si="3"/>
        <v>64</v>
      </c>
      <c r="Y21" s="2"/>
    </row>
    <row r="22" spans="1:25" s="4" customFormat="1" ht="33" customHeight="1">
      <c r="A22" s="47">
        <v>9</v>
      </c>
      <c r="B22" s="48"/>
      <c r="C22" s="48" t="str">
        <f>IF($A22="",IF($B22="","",$B22),IF(ISERROR(MATCH($A22,資料庫!D:D,0)),"",VLOOKUP($A22,資料庫!$D$2:$E$87,2)))</f>
        <v>線割</v>
      </c>
      <c r="D22" s="8">
        <v>4</v>
      </c>
      <c r="E22" s="93" t="str">
        <f ca="1">IF($C22="","",OFFSET(製程基準,MATCH($C22,製程,0),COUNTIF($A$18:$A22,$A22),,1))</f>
        <v>線割尺寸過小</v>
      </c>
      <c r="F22" s="102" t="str">
        <f ca="1">IF($E22="","",VLOOKUP($C22&amp;"_"&amp;$E22,項目異常!$A$2:$L$150,MATCH(F$16,項目異常!$B$1:$L$1,0)+1,FALSE))</f>
        <v>組裝</v>
      </c>
      <c r="G22" s="102" t="str">
        <f ca="1">IF($C22="","",IF(OFFSET(要求基準,MATCH($F$5,製作表單!$B:$B,0)-1,$D22-1,,)="","",OFFSET(要求基準,MATCH($F$5,製作表單!$B:$B,0)-1,$D22-1,,)))</f>
        <v>25H7</v>
      </c>
      <c r="H22" s="102" t="str">
        <f ca="1">IF($E22="","",VLOOKUP($C22&amp;"_"&amp;$E22,項目異常!$A$2:$L$150,MATCH(H$16,項目異常!$B$1:$L$1,0)+1,FALSE))</f>
        <v>配件無法安裝</v>
      </c>
      <c r="I22" s="102" t="str">
        <f ca="1">IF($E22="","",VLOOKUP($C22&amp;"_"&amp;$E22,項目異常!$A$2:$L$150,MATCH(I$16,項目異常!$B$1:$L$1,0)+1,FALSE))</f>
        <v>無法組裝</v>
      </c>
      <c r="J22" s="106">
        <f ca="1">IF($E22="","",VLOOKUP($C22&amp;"_"&amp;$E22,項目異常!$A$2:$L$150,MATCH(J$16,項目異常!$B$1:$L$1,0)+1,FALSE))</f>
        <v>4</v>
      </c>
      <c r="K22" s="107" t="str">
        <f t="shared" ca="1" si="1"/>
        <v>一般特性</v>
      </c>
      <c r="L22" s="102" t="str">
        <f ca="1">IF($E22="","",VLOOKUP($C22&amp;"_"&amp;$E22,項目異常!$A$2:$L$150,MATCH(L$16,項目異常!$B$1:$L$1,0)+1,FALSE))</f>
        <v>加工程式設定錯誤</v>
      </c>
      <c r="M22" s="103">
        <f ca="1">IF($E22="","",VLOOKUP($C22&amp;"_"&amp;$E22,項目異常!$A$2:$L$150,MATCH(M$16,項目異常!$B$1:$L$1,0)+1,FALSE))</f>
        <v>3</v>
      </c>
      <c r="N22" s="108" t="str">
        <f ca="1">IF($E22="","",VLOOKUP($C22&amp;"_"&amp;$E22,項目異常!$A$2:$L$150,MATCH(N$18,項目異常!$B$1:$L$1,0)+1,FALSE))</f>
        <v>SOP</v>
      </c>
      <c r="O22" s="109" t="str">
        <f ca="1">IF($E22="","",VLOOKUP($C22&amp;"_"&amp;$E22,項目異常!$A$2:$L$150,MATCH(O$18,項目異常!$B$1:$L$1,0)+1,FALSE))</f>
        <v>檢具檢驗</v>
      </c>
      <c r="P22" s="103">
        <f ca="1">IF($E22="","",VLOOKUP($C22&amp;"_"&amp;$E22,項目異常!$A$2:$L$150,MATCH(P$16,項目異常!$B$1:$L$1,0)+1,FALSE))</f>
        <v>3</v>
      </c>
      <c r="Q22" s="103">
        <f t="shared" ca="1" si="2"/>
        <v>36</v>
      </c>
      <c r="R22" s="111" t="str">
        <f ca="1">IF($E22="","",VLOOKUP($C22&amp;"_"&amp;$E22,項目異常!$A$2:$L$150,MATCH(R$16,項目異常!$B$1:$L$1,0)+1,FALSE))</f>
        <v>1.首件確認
2.製程中定量抽樣</v>
      </c>
      <c r="S22" s="125" t="str">
        <f t="shared" ca="1" si="0"/>
        <v>2024.11.28</v>
      </c>
      <c r="T22" s="126" t="str">
        <f t="shared" ca="1" si="0"/>
        <v>2024.11.28</v>
      </c>
      <c r="U22" s="104">
        <f ca="1">IF($E22="","",VLOOKUP($C22&amp;"_"&amp;$E22,項目異常!$A$2:$P$150,MATCH(U$18,項目異常!$B$1:$P$1,0)+1,FALSE))</f>
        <v>4</v>
      </c>
      <c r="V22" s="104">
        <f ca="1">IF($E22="","",VLOOKUP($C22&amp;"_"&amp;$E22,項目異常!$A$2:$P$150,MATCH(V$18,項目異常!$B$1:$P$1,0)+1,FALSE))</f>
        <v>2</v>
      </c>
      <c r="W22" s="104">
        <f ca="1">IF($E22="","",VLOOKUP($C22&amp;"_"&amp;$E22,項目異常!$A$2:$P$150,MATCH(W$18,項目異常!$B$1:$P$1,0)+1,FALSE))</f>
        <v>3</v>
      </c>
      <c r="X22" s="105">
        <f t="shared" ca="1" si="3"/>
        <v>24</v>
      </c>
      <c r="Y22" s="2"/>
    </row>
    <row r="23" spans="1:25" s="4" customFormat="1" ht="33" customHeight="1">
      <c r="A23" s="47">
        <v>9</v>
      </c>
      <c r="B23" s="48"/>
      <c r="C23" s="48" t="str">
        <f>IF($A23="",IF($B23="","",$B23),IF(ISERROR(MATCH($A23,資料庫!D:D,0)),"",VLOOKUP($A23,資料庫!$D$2:$E$87,2)))</f>
        <v>線割</v>
      </c>
      <c r="D23" s="8">
        <v>5</v>
      </c>
      <c r="E23" s="93" t="str">
        <f ca="1">IF($C23="","",OFFSET(製程基準,MATCH($C23,製程,0),COUNTIF($A$18:$A23,$A23),,1))</f>
        <v>線割深度過深</v>
      </c>
      <c r="F23" s="94" t="str">
        <f ca="1">IF($E23="","",VLOOKUP($C23&amp;"_"&amp;$E23,項目異常!$A$2:$L$150,MATCH(F$16,項目異常!$B$1:$L$1,0)+1,FALSE))</f>
        <v>組裝</v>
      </c>
      <c r="G23" s="102" t="str">
        <f ca="1">IF($C23="","",IF(OFFSET(要求基準,MATCH($F$5,製作表單!$B:$B,0)-1,$D23-1,,)="","",OFFSET(要求基準,MATCH($F$5,製作表單!$B:$B,0)-1,$D23-1,,)))</f>
        <v>25H7</v>
      </c>
      <c r="H23" s="94" t="str">
        <f ca="1">IF($E23="","",VLOOKUP($C23&amp;"_"&amp;$E23,項目異常!$A$2:$L$150,MATCH(H$16,項目異常!$B$1:$L$1,0)+1,FALSE))</f>
        <v>配件安裝尺寸過低</v>
      </c>
      <c r="I23" s="94" t="str">
        <f ca="1">IF($E23="","",VLOOKUP($C23&amp;"_"&amp;$E23,項目異常!$A$2:$L$150,MATCH(I$16,項目異常!$B$1:$L$1,0)+1,FALSE))</f>
        <v>無法傳動</v>
      </c>
      <c r="J23" s="95">
        <f ca="1">IF($E23="","",VLOOKUP($C23&amp;"_"&amp;$E23,項目異常!$A$2:$L$150,MATCH(J$16,項目異常!$B$1:$L$1,0)+1,FALSE))</f>
        <v>8</v>
      </c>
      <c r="K23" s="96" t="str">
        <f t="shared" ca="1" si="1"/>
        <v>重要特性</v>
      </c>
      <c r="L23" s="94" t="str">
        <f ca="1">IF($E23="","",VLOOKUP($C23&amp;"_"&amp;$E23,項目異常!$A$2:$L$150,MATCH(L$16,項目異常!$B$1:$L$1,0)+1,FALSE))</f>
        <v>加工程式設定錯誤</v>
      </c>
      <c r="M23" s="97">
        <f ca="1">IF($E23="","",VLOOKUP($C23&amp;"_"&amp;$E23,項目異常!$A$2:$L$150,MATCH(M$16,項目異常!$B$1:$L$1,0)+1,FALSE))</f>
        <v>3</v>
      </c>
      <c r="N23" s="98" t="str">
        <f ca="1">IF($E23="","",VLOOKUP($C23&amp;"_"&amp;$E23,項目異常!$A$2:$L$150,MATCH(N$18,項目異常!$B$1:$L$1,0)+1,FALSE))</f>
        <v>SOP</v>
      </c>
      <c r="O23" s="99" t="str">
        <f ca="1">IF($E23="","",VLOOKUP($C23&amp;"_"&amp;$E23,項目異常!$A$2:$L$150,MATCH(O$18,項目異常!$B$1:$L$1,0)+1,FALSE))</f>
        <v>卡尺檢驗</v>
      </c>
      <c r="P23" s="97">
        <f ca="1">IF($E23="","",VLOOKUP($C23&amp;"_"&amp;$E23,項目異常!$A$2:$L$150,MATCH(P$16,項目異常!$B$1:$L$1,0)+1,FALSE))</f>
        <v>3</v>
      </c>
      <c r="Q23" s="103">
        <f t="shared" ca="1" si="2"/>
        <v>72</v>
      </c>
      <c r="R23" s="110" t="str">
        <f ca="1">IF($E23="","",VLOOKUP($C23&amp;"_"&amp;$E23,項目異常!$A$2:$L$150,MATCH(R$16,項目異常!$B$1:$L$1,0)+1,FALSE))</f>
        <v>1.首件確認
2.製程中定量抽樣</v>
      </c>
      <c r="S23" s="125" t="str">
        <f t="shared" ca="1" si="0"/>
        <v>2024.11.28</v>
      </c>
      <c r="T23" s="126" t="str">
        <f t="shared" ca="1" si="0"/>
        <v>2024.11.28</v>
      </c>
      <c r="U23" s="104">
        <f ca="1">IF($E23="","",VLOOKUP($C23&amp;"_"&amp;$E23,項目異常!$A$2:$P$150,MATCH(U$18,項目異常!$B$1:$P$1,0)+1,FALSE))</f>
        <v>8</v>
      </c>
      <c r="V23" s="104">
        <f ca="1">IF($E23="","",VLOOKUP($C23&amp;"_"&amp;$E23,項目異常!$A$2:$P$150,MATCH(V$18,項目異常!$B$1:$P$1,0)+1,FALSE))</f>
        <v>2</v>
      </c>
      <c r="W23" s="104">
        <f ca="1">IF($E23="","",VLOOKUP($C23&amp;"_"&amp;$E23,項目異常!$A$2:$P$150,MATCH(W$18,項目異常!$B$1:$P$1,0)+1,FALSE))</f>
        <v>3</v>
      </c>
      <c r="X23" s="105">
        <f t="shared" ca="1" si="3"/>
        <v>48</v>
      </c>
      <c r="Y23" s="2"/>
    </row>
    <row r="24" spans="1:25" s="4" customFormat="1" ht="33" customHeight="1">
      <c r="A24" s="47">
        <v>12</v>
      </c>
      <c r="B24" s="48"/>
      <c r="C24" s="48" t="str">
        <f>IF($A24="",IF($B24="","",$B24),IF(ISERROR(MATCH($A24,資料庫!D:D,0)),"",VLOOKUP($A24,資料庫!$D$2:$E$87,2)))</f>
        <v>齒研</v>
      </c>
      <c r="D24" s="8">
        <v>6</v>
      </c>
      <c r="E24" s="45" t="str">
        <f ca="1">IF($C24="","",OFFSET(製程基準,MATCH($C24,製程,0),COUNTIF($A$18:$A24,$A24),,1))</f>
        <v>中心定位不佳</v>
      </c>
      <c r="F24" s="16" t="str">
        <f ca="1">IF($E24="","",VLOOKUP($C24&amp;"_"&amp;$E24,項目異常!$A$2:$L$150,MATCH(F$16,項目異常!$B$1:$L$1,0)+1,FALSE))</f>
        <v>齒部研磨</v>
      </c>
      <c r="G24" s="17" t="str">
        <f ca="1">IF($C24="","",IF(OFFSET(要求基準,MATCH($F$5,製作表單!$B:$B,0)-1,$D24-1,,)="","",OFFSET(要求基準,MATCH($F$5,製作表單!$B:$B,0)-1,$D24-1,,)))</f>
        <v>JIS1</v>
      </c>
      <c r="H24" s="16" t="str">
        <f ca="1">IF($E24="","",VLOOKUP($C24&amp;"_"&amp;$E24,項目異常!$A$2:$L$150,MATCH(H$16,項目異常!$B$1:$L$1,0)+1,FALSE))</f>
        <v>齒輪研磨不佳</v>
      </c>
      <c r="I24" s="16" t="str">
        <f ca="1">IF($E24="","",VLOOKUP($C24&amp;"_"&amp;$E24,項目異常!$A$2:$L$150,MATCH(I$16,項目異常!$B$1:$L$1,0)+1,FALSE))</f>
        <v>齒輪咬合間隙過大、異音</v>
      </c>
      <c r="J24" s="20">
        <f ca="1">IF($E24="","",VLOOKUP($C24&amp;"_"&amp;$E24,項目異常!$A$2:$L$150,MATCH(J$16,項目異常!$B$1:$L$1,0)+1,FALSE))</f>
        <v>4</v>
      </c>
      <c r="K24" s="88" t="str">
        <f t="shared" ca="1" si="1"/>
        <v>重要特性</v>
      </c>
      <c r="L24" s="16" t="str">
        <f ca="1">IF($E24="","",VLOOKUP($C24&amp;"_"&amp;$E24,項目異常!$A$2:$L$150,MATCH(L$16,項目異常!$B$1:$L$1,0)+1,FALSE))</f>
        <v>中心確認未確實</v>
      </c>
      <c r="M24" s="21">
        <f ca="1">IF($E24="","",VLOOKUP($C24&amp;"_"&amp;$E24,項目異常!$A$2:$L$150,MATCH(M$16,項目異常!$B$1:$L$1,0)+1,FALSE))</f>
        <v>4</v>
      </c>
      <c r="N24" s="15" t="str">
        <f ca="1">IF($E24="","",VLOOKUP($C24&amp;"_"&amp;$E24,項目異常!$A$2:$L$150,MATCH(N$18,項目異常!$B$1:$L$1,0)+1,FALSE))</f>
        <v>SOP</v>
      </c>
      <c r="O24" s="50" t="str">
        <f ca="1">IF($E24="","",VLOOKUP($C24&amp;"_"&amp;$E24,項目異常!$A$2:$L$150,MATCH(O$18,項目異常!$B$1:$L$1,0)+1,FALSE))</f>
        <v>齒輪檢測機</v>
      </c>
      <c r="P24" s="21">
        <f ca="1">IF($E24="","",VLOOKUP($C24&amp;"_"&amp;$E24,項目異常!$A$2:$L$150,MATCH(P$16,項目異常!$B$1:$L$1,0)+1,FALSE))</f>
        <v>10</v>
      </c>
      <c r="Q24" s="22">
        <f t="shared" ca="1" si="2"/>
        <v>160</v>
      </c>
      <c r="R24" s="112" t="str">
        <f ca="1">IF($E24="","",VLOOKUP($C24&amp;"_"&amp;$E24,項目異常!$A$2:$L$150,MATCH(R$16,項目異常!$B$1:$L$1,0)+1,FALSE))</f>
        <v>1.首件上檢驗機確認
2.製程中定量抽樣</v>
      </c>
      <c r="S24" s="127" t="str">
        <f t="shared" ca="1" si="0"/>
        <v>2024.11.28</v>
      </c>
      <c r="T24" s="128" t="str">
        <f t="shared" ca="1" si="0"/>
        <v>2024.11.28</v>
      </c>
      <c r="U24" s="9">
        <f ca="1">IF($E24="","",VLOOKUP($C24&amp;"_"&amp;$E24,項目異常!$A$2:$P$150,MATCH(U$18,項目異常!$B$1:$P$1,0)+1,FALSE))</f>
        <v>4</v>
      </c>
      <c r="V24" s="9">
        <f ca="1">IF($E24="","",VLOOKUP($C24&amp;"_"&amp;$E24,項目異常!$A$2:$P$150,MATCH(V$18,項目異常!$B$1:$P$1,0)+1,FALSE))</f>
        <v>3</v>
      </c>
      <c r="W24" s="9">
        <f ca="1">IF($E24="","",VLOOKUP($C24&amp;"_"&amp;$E24,項目異常!$A$2:$P$150,MATCH(W$18,項目異常!$B$1:$P$1,0)+1,FALSE))</f>
        <v>5</v>
      </c>
      <c r="X24" s="19">
        <f t="shared" ca="1" si="3"/>
        <v>60</v>
      </c>
      <c r="Y24" s="2"/>
    </row>
    <row r="25" spans="1:25" s="4" customFormat="1" ht="33" customHeight="1" thickBot="1">
      <c r="A25" s="47"/>
      <c r="B25" s="48"/>
      <c r="C25" s="48" t="str">
        <f>IF($A25="",IF($B25="","",$B25),IF(ISERROR(MATCH($A25,資料庫!D:D,0)),"",VLOOKUP($A25,資料庫!$D$2:$E$87,2)))</f>
        <v/>
      </c>
      <c r="D25" s="80">
        <v>7</v>
      </c>
      <c r="E25" s="46" t="str">
        <f ca="1">IF($C25="","",OFFSET(製程基準,MATCH($C25,製程,0),COUNTIF($A$18:$A25,$A25),,1))</f>
        <v/>
      </c>
      <c r="F25" s="81" t="str">
        <f ca="1">IF($E25="","",VLOOKUP($C25&amp;"_"&amp;$E25,項目異常!$A$2:$L$150,MATCH(F$16,項目異常!$B$1:$L$1,0)+1,FALSE))</f>
        <v/>
      </c>
      <c r="G25" s="90" t="str">
        <f ca="1">IF($C25="","",IF(OFFSET(要求基準,MATCH($F$5,製作表單!$B:$B,0)-1,$D25-1,,)="","",OFFSET(要求基準,MATCH($F$5,製作表單!$B:$B,0)-1,$D25-1,,)))</f>
        <v/>
      </c>
      <c r="H25" s="81" t="str">
        <f ca="1">IF($E25="","",VLOOKUP($C25&amp;"_"&amp;$E25,項目異常!$A$2:$L$150,MATCH(H$16,項目異常!$B$1:$L$1,0)+1,FALSE))</f>
        <v/>
      </c>
      <c r="I25" s="81" t="str">
        <f ca="1">IF($E25="","",VLOOKUP($C25&amp;"_"&amp;$E25,項目異常!$A$2:$L$150,MATCH(I$16,項目異常!$B$1:$L$1,0)+1,FALSE))</f>
        <v/>
      </c>
      <c r="J25" s="82" t="str">
        <f ca="1">IF($E25="","",VLOOKUP($C25&amp;"_"&amp;$E25,項目異常!$A$2:$L$150,MATCH(J$16,項目異常!$B$1:$L$1,0)+1,FALSE))</f>
        <v/>
      </c>
      <c r="K25" s="89" t="str">
        <f t="shared" ca="1" si="1"/>
        <v/>
      </c>
      <c r="L25" s="81" t="str">
        <f ca="1">IF($E25="","",VLOOKUP($C25&amp;"_"&amp;$E25,項目異常!$A$2:$L$150,MATCH(L$16,項目異常!$B$1:$L$1,0)+1,FALSE))</f>
        <v/>
      </c>
      <c r="M25" s="83" t="str">
        <f ca="1">IF($E25="","",VLOOKUP($C25&amp;"_"&amp;$E25,項目異常!$A$2:$L$150,MATCH(M$16,項目異常!$B$1:$L$1,0)+1,FALSE))</f>
        <v/>
      </c>
      <c r="N25" s="84" t="str">
        <f ca="1">IF($E25="","",VLOOKUP($C25&amp;"_"&amp;$E25,項目異常!$A$2:$L$150,MATCH(N$18,項目異常!$B$1:$L$1,0)+1,FALSE))</f>
        <v/>
      </c>
      <c r="O25" s="85" t="str">
        <f ca="1">IF($E25="","",VLOOKUP($C25&amp;"_"&amp;$E25,項目異常!$A$2:$L$150,MATCH(O$18,項目異常!$B$1:$L$1,0)+1,FALSE))</f>
        <v/>
      </c>
      <c r="P25" s="83" t="str">
        <f ca="1">IF($E25="","",VLOOKUP($C25&amp;"_"&amp;$E25,項目異常!$A$2:$L$150,MATCH(P$16,項目異常!$B$1:$L$1,0)+1,FALSE))</f>
        <v/>
      </c>
      <c r="Q25" s="23" t="str">
        <f t="shared" ca="1" si="2"/>
        <v/>
      </c>
      <c r="R25" s="113" t="str">
        <f ca="1">IF($E25="","",VLOOKUP($C25&amp;"_"&amp;$E25,項目異常!$A$2:$L$150,MATCH(R$16,項目異常!$B$1:$L$1,0)+1,FALSE))</f>
        <v/>
      </c>
      <c r="S25" s="129" t="str">
        <f t="shared" ca="1" si="0"/>
        <v/>
      </c>
      <c r="T25" s="130" t="str">
        <f t="shared" ca="1" si="0"/>
        <v/>
      </c>
      <c r="U25" s="86" t="str">
        <f ca="1">IF($E25="","",VLOOKUP($C25&amp;"_"&amp;$E25,項目異常!$A$2:$P$150,MATCH(U$18,項目異常!$B$1:$P$1,0)+1,FALSE))</f>
        <v/>
      </c>
      <c r="V25" s="86" t="str">
        <f ca="1">IF($E25="","",VLOOKUP($C25&amp;"_"&amp;$E25,項目異常!$A$2:$P$150,MATCH(V$18,項目異常!$B$1:$P$1,0)+1,FALSE))</f>
        <v/>
      </c>
      <c r="W25" s="86" t="str">
        <f ca="1">IF($E25="","",VLOOKUP($C25&amp;"_"&amp;$E25,項目異常!$A$2:$P$150,MATCH(W$18,項目異常!$B$1:$P$1,0)+1,FALSE))</f>
        <v/>
      </c>
      <c r="X25" s="87" t="str">
        <f t="shared" ca="1" si="3"/>
        <v/>
      </c>
      <c r="Y25" s="2"/>
    </row>
    <row r="26" spans="1:25" ht="16.8" thickTop="1">
      <c r="E26" s="78" t="s">
        <v>676</v>
      </c>
      <c r="F26" s="5"/>
      <c r="G26" s="79" t="s">
        <v>677</v>
      </c>
      <c r="S26" s="6"/>
    </row>
    <row r="27" spans="1:25" ht="31.5" customHeight="1">
      <c r="E27" s="138" t="s">
        <v>700</v>
      </c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S27" s="6"/>
      <c r="T27" s="6"/>
      <c r="U27" s="6"/>
      <c r="V27" s="6"/>
      <c r="W27" s="6"/>
      <c r="X27" s="6"/>
    </row>
    <row r="28" spans="1:25" ht="31.5" customHeight="1"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S28" s="6"/>
      <c r="T28" s="6"/>
      <c r="U28" s="6"/>
      <c r="V28" s="6"/>
      <c r="W28" s="6"/>
      <c r="X28" s="6"/>
    </row>
    <row r="29" spans="1:25" ht="31.5" customHeight="1">
      <c r="S29" s="6"/>
      <c r="T29" s="6"/>
      <c r="U29" s="6"/>
      <c r="V29" s="6"/>
      <c r="W29" s="6"/>
      <c r="X29" s="6"/>
    </row>
    <row r="30" spans="1:25" ht="31.5" customHeight="1">
      <c r="S30" s="6"/>
      <c r="T30" s="6"/>
      <c r="U30" s="6"/>
      <c r="V30" s="6"/>
      <c r="W30" s="6"/>
      <c r="X30" s="6"/>
    </row>
    <row r="31" spans="1:25" ht="31.5" customHeight="1">
      <c r="S31" s="6"/>
      <c r="T31" s="6"/>
      <c r="U31" s="6"/>
      <c r="V31" s="6"/>
      <c r="W31" s="6"/>
      <c r="X31" s="6"/>
    </row>
    <row r="32" spans="1:25" ht="31.5" customHeight="1">
      <c r="E32" s="5"/>
      <c r="F32" s="5"/>
      <c r="G32" s="5"/>
      <c r="S32" s="6"/>
      <c r="T32" s="6"/>
      <c r="U32" s="6"/>
      <c r="V32" s="6"/>
      <c r="W32" s="6"/>
      <c r="X32" s="6"/>
    </row>
    <row r="33" spans="5:24" ht="31.5" customHeight="1">
      <c r="E33" s="5"/>
      <c r="F33" s="5"/>
      <c r="G33" s="5"/>
      <c r="H33" s="5"/>
      <c r="I33" s="5"/>
      <c r="J33" s="6"/>
      <c r="K33" s="5"/>
      <c r="L33" s="5"/>
      <c r="M33" s="6"/>
      <c r="P33" s="6"/>
      <c r="Q33" s="6"/>
      <c r="R33" s="5"/>
      <c r="S33" s="6"/>
      <c r="T33" s="6"/>
      <c r="U33" s="6"/>
      <c r="V33" s="6"/>
      <c r="W33" s="6"/>
      <c r="X33" s="6"/>
    </row>
  </sheetData>
  <mergeCells count="107">
    <mergeCell ref="A5:B5"/>
    <mergeCell ref="A3:B3"/>
    <mergeCell ref="A1:B1"/>
    <mergeCell ref="A2:B2"/>
    <mergeCell ref="D3:N3"/>
    <mergeCell ref="A17:B17"/>
    <mergeCell ref="A13:A16"/>
    <mergeCell ref="D5:E6"/>
    <mergeCell ref="F5:H6"/>
    <mergeCell ref="M6:N7"/>
    <mergeCell ref="M8:N9"/>
    <mergeCell ref="D7:E8"/>
    <mergeCell ref="D9:E10"/>
    <mergeCell ref="D11:E12"/>
    <mergeCell ref="D13:E14"/>
    <mergeCell ref="N16:O17"/>
    <mergeCell ref="F7:H7"/>
    <mergeCell ref="F8:H8"/>
    <mergeCell ref="A10:B10"/>
    <mergeCell ref="A8:B9"/>
    <mergeCell ref="D16:D18"/>
    <mergeCell ref="E16:E18"/>
    <mergeCell ref="F16:F18"/>
    <mergeCell ref="G16:G18"/>
    <mergeCell ref="D1:N1"/>
    <mergeCell ref="D2:N2"/>
    <mergeCell ref="S2:T2"/>
    <mergeCell ref="S1:T1"/>
    <mergeCell ref="T9:U10"/>
    <mergeCell ref="T11:U12"/>
    <mergeCell ref="W2:X2"/>
    <mergeCell ref="W1:X1"/>
    <mergeCell ref="U1:V1"/>
    <mergeCell ref="U2:V2"/>
    <mergeCell ref="U3:V3"/>
    <mergeCell ref="W3:X3"/>
    <mergeCell ref="S6:S8"/>
    <mergeCell ref="T6:U8"/>
    <mergeCell ref="V6:W7"/>
    <mergeCell ref="X6:X7"/>
    <mergeCell ref="V5:X5"/>
    <mergeCell ref="S9:S10"/>
    <mergeCell ref="S11:S12"/>
    <mergeCell ref="V12:W12"/>
    <mergeCell ref="I11:J14"/>
    <mergeCell ref="K11:L14"/>
    <mergeCell ref="P1:Q1"/>
    <mergeCell ref="P2:Q2"/>
    <mergeCell ref="S3:T3"/>
    <mergeCell ref="X17:X18"/>
    <mergeCell ref="T16:X16"/>
    <mergeCell ref="S16:S18"/>
    <mergeCell ref="P11:Q11"/>
    <mergeCell ref="R16:R18"/>
    <mergeCell ref="Q16:Q18"/>
    <mergeCell ref="P16:P18"/>
    <mergeCell ref="T17:T18"/>
    <mergeCell ref="P3:Q3"/>
    <mergeCell ref="P5:R5"/>
    <mergeCell ref="P6:Q6"/>
    <mergeCell ref="P7:Q7"/>
    <mergeCell ref="P8:Q8"/>
    <mergeCell ref="P9:Q9"/>
    <mergeCell ref="P10:Q10"/>
    <mergeCell ref="U17:W17"/>
    <mergeCell ref="S5:U5"/>
    <mergeCell ref="M12:N13"/>
    <mergeCell ref="J16:J18"/>
    <mergeCell ref="I16:I18"/>
    <mergeCell ref="F9:H10"/>
    <mergeCell ref="V8:W8"/>
    <mergeCell ref="V9:W9"/>
    <mergeCell ref="V10:W10"/>
    <mergeCell ref="V11:W11"/>
    <mergeCell ref="O10:O11"/>
    <mergeCell ref="F11:H12"/>
    <mergeCell ref="T13:U14"/>
    <mergeCell ref="P14:Q14"/>
    <mergeCell ref="V13:W13"/>
    <mergeCell ref="V14:W14"/>
    <mergeCell ref="I9:J9"/>
    <mergeCell ref="I10:J10"/>
    <mergeCell ref="S13:S14"/>
    <mergeCell ref="E27:O28"/>
    <mergeCell ref="C5:C14"/>
    <mergeCell ref="F13:H14"/>
    <mergeCell ref="M14:N14"/>
    <mergeCell ref="O8:O9"/>
    <mergeCell ref="O12:O13"/>
    <mergeCell ref="P13:Q13"/>
    <mergeCell ref="P12:Q12"/>
    <mergeCell ref="M10:N11"/>
    <mergeCell ref="I5:L5"/>
    <mergeCell ref="M5:O5"/>
    <mergeCell ref="K7:L7"/>
    <mergeCell ref="O6:O7"/>
    <mergeCell ref="I6:J6"/>
    <mergeCell ref="K6:L6"/>
    <mergeCell ref="I7:J7"/>
    <mergeCell ref="H16:H18"/>
    <mergeCell ref="M16:M18"/>
    <mergeCell ref="L16:L18"/>
    <mergeCell ref="K16:K18"/>
    <mergeCell ref="K10:L10"/>
    <mergeCell ref="K9:L9"/>
    <mergeCell ref="K8:L8"/>
    <mergeCell ref="I8:J8"/>
  </mergeCells>
  <phoneticPr fontId="12" type="noConversion"/>
  <dataValidations count="4">
    <dataValidation type="list" allowBlank="1" sqref="R22:R25" xr:uid="{00000000-0002-0000-0000-000000000000}">
      <formula1>"首件須以檢驗機量測"</formula1>
    </dataValidation>
    <dataValidation type="list" allowBlank="1" showInputMessage="1" showErrorMessage="1" sqref="B19:B25" xr:uid="{00000000-0002-0000-0000-000001000000}">
      <formula1>製程</formula1>
    </dataValidation>
    <dataValidation type="list" allowBlank="1" showInputMessage="1" showErrorMessage="1" sqref="E19:E25" xr:uid="{00000000-0002-0000-0000-000002000000}">
      <formula1>OFFSET(製程基準,MATCH($C19,製程,0),1,,COUNTA(OFFSET(製程基準,MATCH($C19,製程,0),1,,10)))</formula1>
    </dataValidation>
    <dataValidation allowBlank="1" sqref="R19:R21" xr:uid="{F3AAF71A-DE16-4CBA-B543-B638E180736B}"/>
  </dataValidations>
  <pageMargins left="0.25" right="0.25" top="0.75" bottom="0.75" header="0.3" footer="0.3"/>
  <pageSetup paperSize="9" orientation="landscape" horizontalDpi="180" verticalDpi="180" r:id="rId1"/>
  <headerFooter>
    <oddFooter>&amp;R&amp;"Arial Unicode MS,標準"3-TD-01-02</oddFooter>
  </headerFooter>
  <ignoredErrors>
    <ignoredError sqref="Q19 K19:K2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清除">
                <anchor moveWithCells="1" sizeWithCells="1">
                  <from>
                    <xdr:col>1</xdr:col>
                    <xdr:colOff>99060</xdr:colOff>
                    <xdr:row>12</xdr:row>
                    <xdr:rowOff>53340</xdr:rowOff>
                  </from>
                  <to>
                    <xdr:col>1</xdr:col>
                    <xdr:colOff>464820</xdr:colOff>
                    <xdr:row>15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下一筆">
                <anchor moveWithCells="1" sizeWithCells="1">
                  <from>
                    <xdr:col>0</xdr:col>
                    <xdr:colOff>68580</xdr:colOff>
                    <xdr:row>5</xdr:row>
                    <xdr:rowOff>45720</xdr:rowOff>
                  </from>
                  <to>
                    <xdr:col>1</xdr:col>
                    <xdr:colOff>495300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列印">
                <anchor moveWithCells="1" sizeWithCells="1">
                  <from>
                    <xdr:col>0</xdr:col>
                    <xdr:colOff>60960</xdr:colOff>
                    <xdr:row>10</xdr:row>
                    <xdr:rowOff>30480</xdr:rowOff>
                  </from>
                  <to>
                    <xdr:col>1</xdr:col>
                    <xdr:colOff>449580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換筆列印">
                <anchor moveWithCells="1" sizeWithCells="1">
                  <from>
                    <xdr:col>2</xdr:col>
                    <xdr:colOff>22860</xdr:colOff>
                    <xdr:row>2</xdr:row>
                    <xdr:rowOff>38100</xdr:rowOff>
                  </from>
                  <to>
                    <xdr:col>2</xdr:col>
                    <xdr:colOff>251460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B96C4-B1AF-4719-9D03-952949ED7BDA}">
  <sheetPr codeName="工作表8"/>
  <dimension ref="A1:T10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6" sqref="H16"/>
    </sheetView>
  </sheetViews>
  <sheetFormatPr defaultColWidth="8.77734375" defaultRowHeight="15.6"/>
  <cols>
    <col min="1" max="1" width="16.33203125" style="121" customWidth="1"/>
    <col min="2" max="2" width="24.5546875" style="118" customWidth="1"/>
    <col min="3" max="3" width="24.33203125" style="118" customWidth="1"/>
    <col min="4" max="4" width="23.88671875" style="118" bestFit="1" customWidth="1"/>
    <col min="5" max="5" width="11.44140625" style="118" customWidth="1"/>
    <col min="6" max="6" width="19.88671875" style="135" customWidth="1"/>
    <col min="7" max="13" width="4.77734375" style="118" customWidth="1"/>
    <col min="14" max="14" width="6" style="132" customWidth="1"/>
    <col min="15" max="15" width="7.5546875" style="132" customWidth="1"/>
    <col min="16" max="20" width="6" style="132" customWidth="1"/>
    <col min="21" max="16384" width="8.77734375" style="118"/>
  </cols>
  <sheetData>
    <row r="1" spans="1:20">
      <c r="A1" s="122" t="s">
        <v>878</v>
      </c>
      <c r="B1" s="117" t="s">
        <v>741</v>
      </c>
      <c r="C1" s="117" t="s">
        <v>742</v>
      </c>
      <c r="D1" s="117" t="s">
        <v>744</v>
      </c>
      <c r="E1" s="117" t="s">
        <v>743</v>
      </c>
      <c r="F1" s="133" t="s">
        <v>886</v>
      </c>
      <c r="G1" s="118">
        <v>1</v>
      </c>
      <c r="H1" s="118">
        <v>2</v>
      </c>
      <c r="I1" s="118">
        <v>3</v>
      </c>
      <c r="J1" s="118">
        <v>4</v>
      </c>
      <c r="K1" s="118">
        <v>5</v>
      </c>
      <c r="L1" s="118">
        <v>6</v>
      </c>
      <c r="M1" s="118">
        <v>7</v>
      </c>
      <c r="N1" s="132" t="s">
        <v>879</v>
      </c>
      <c r="O1" s="132" t="s">
        <v>880</v>
      </c>
      <c r="P1" s="132" t="s">
        <v>881</v>
      </c>
      <c r="Q1" s="132" t="s">
        <v>882</v>
      </c>
      <c r="R1" s="132" t="s">
        <v>883</v>
      </c>
      <c r="S1" s="132" t="s">
        <v>884</v>
      </c>
      <c r="T1" s="132" t="s">
        <v>885</v>
      </c>
    </row>
    <row r="2" spans="1:20">
      <c r="A2" s="120" t="s">
        <v>910</v>
      </c>
      <c r="B2" s="119" t="s">
        <v>945</v>
      </c>
      <c r="C2" s="119" t="s">
        <v>701</v>
      </c>
      <c r="D2" s="119" t="s">
        <v>706</v>
      </c>
      <c r="E2" s="119" t="s">
        <v>702</v>
      </c>
      <c r="F2" s="134">
        <v>45607</v>
      </c>
      <c r="G2" s="118">
        <v>4</v>
      </c>
      <c r="H2" s="118">
        <v>4</v>
      </c>
      <c r="N2" s="132" t="s">
        <v>887</v>
      </c>
      <c r="O2" s="132" t="str">
        <f>IF(ISERROR(FIND("W",$C2,1)),LEFT($C2,FIND("L",$C2,1)-1),LEFT($C2,FIND("W",$C2,1)-1))</f>
        <v>M2T20</v>
      </c>
    </row>
    <row r="3" spans="1:20">
      <c r="A3" s="120" t="s">
        <v>910</v>
      </c>
      <c r="B3" s="119" t="s">
        <v>889</v>
      </c>
      <c r="C3" s="119" t="s">
        <v>745</v>
      </c>
      <c r="D3" s="119" t="s">
        <v>708</v>
      </c>
      <c r="E3" s="119" t="s">
        <v>702</v>
      </c>
      <c r="F3" s="134">
        <v>45433</v>
      </c>
      <c r="G3" s="118">
        <v>12</v>
      </c>
      <c r="H3" s="118">
        <v>12</v>
      </c>
      <c r="N3" s="132" t="s">
        <v>888</v>
      </c>
      <c r="O3" s="132" t="str">
        <f t="shared" ref="O3:P48" si="0">IF(ISERROR(FIND("W",$C3,1)),LEFT($C3,FIND("L",$C3,1)-1),LEFT($C3,FIND("W",$C3,1)-1))</f>
        <v>M1.25T74</v>
      </c>
    </row>
    <row r="4" spans="1:20">
      <c r="A4" s="120" t="s">
        <v>910</v>
      </c>
      <c r="B4" s="119" t="s">
        <v>709</v>
      </c>
      <c r="C4" s="119" t="s">
        <v>710</v>
      </c>
      <c r="D4" s="119" t="s">
        <v>711</v>
      </c>
      <c r="E4" s="119" t="s">
        <v>702</v>
      </c>
      <c r="F4" s="134">
        <v>45504</v>
      </c>
      <c r="G4" s="118">
        <v>4</v>
      </c>
      <c r="H4" s="118">
        <v>4</v>
      </c>
      <c r="N4" s="132" t="s">
        <v>891</v>
      </c>
      <c r="O4" s="132" t="str">
        <f t="shared" si="0"/>
        <v>M1.25T74</v>
      </c>
    </row>
    <row r="5" spans="1:20">
      <c r="A5" s="120" t="s">
        <v>910</v>
      </c>
      <c r="B5" s="119" t="s">
        <v>712</v>
      </c>
      <c r="C5" s="119" t="s">
        <v>746</v>
      </c>
      <c r="D5" s="119" t="s">
        <v>713</v>
      </c>
      <c r="E5" s="119" t="s">
        <v>702</v>
      </c>
      <c r="F5" s="134">
        <v>45478</v>
      </c>
      <c r="G5" s="118">
        <v>12</v>
      </c>
      <c r="H5" s="118">
        <v>12</v>
      </c>
      <c r="N5" s="132" t="s">
        <v>892</v>
      </c>
      <c r="O5" s="132" t="str">
        <f t="shared" si="0"/>
        <v>M1.5T40</v>
      </c>
    </row>
    <row r="6" spans="1:20">
      <c r="A6" s="120" t="s">
        <v>910</v>
      </c>
      <c r="B6" s="119" t="s">
        <v>714</v>
      </c>
      <c r="C6" s="119" t="s">
        <v>715</v>
      </c>
      <c r="D6" s="119" t="s">
        <v>708</v>
      </c>
      <c r="E6" s="119" t="s">
        <v>702</v>
      </c>
      <c r="F6" s="134">
        <v>45454</v>
      </c>
      <c r="G6" s="118">
        <v>12</v>
      </c>
      <c r="H6" s="118">
        <v>12</v>
      </c>
      <c r="N6" s="132" t="s">
        <v>892</v>
      </c>
      <c r="O6" s="132" t="str">
        <f t="shared" si="0"/>
        <v>M1.5T13</v>
      </c>
    </row>
    <row r="7" spans="1:20">
      <c r="A7" s="120" t="s">
        <v>910</v>
      </c>
      <c r="B7" s="119" t="s">
        <v>716</v>
      </c>
      <c r="C7" s="119" t="s">
        <v>745</v>
      </c>
      <c r="D7" s="119" t="s">
        <v>708</v>
      </c>
      <c r="E7" s="119" t="s">
        <v>702</v>
      </c>
      <c r="F7" s="134">
        <v>45356</v>
      </c>
      <c r="G7" s="118">
        <v>12</v>
      </c>
      <c r="H7" s="118">
        <v>12</v>
      </c>
      <c r="N7" s="132" t="s">
        <v>888</v>
      </c>
      <c r="O7" s="132" t="str">
        <f t="shared" si="0"/>
        <v>M1.25T74</v>
      </c>
    </row>
    <row r="8" spans="1:20">
      <c r="A8" s="120" t="s">
        <v>910</v>
      </c>
      <c r="B8" s="119" t="s">
        <v>717</v>
      </c>
      <c r="C8" s="119" t="s">
        <v>747</v>
      </c>
      <c r="D8" s="118" t="s">
        <v>812</v>
      </c>
      <c r="E8" s="119" t="s">
        <v>702</v>
      </c>
      <c r="F8" s="134">
        <v>45449</v>
      </c>
      <c r="G8" s="118">
        <v>4</v>
      </c>
      <c r="H8" s="118">
        <v>4</v>
      </c>
      <c r="I8" s="118">
        <v>12</v>
      </c>
      <c r="J8" s="118">
        <v>12</v>
      </c>
      <c r="N8" s="132" t="s">
        <v>891</v>
      </c>
      <c r="O8" s="132" t="str">
        <f t="shared" si="0"/>
        <v>M1.25T61</v>
      </c>
      <c r="P8" s="132" t="s">
        <v>887</v>
      </c>
      <c r="Q8" s="132" t="s">
        <v>893</v>
      </c>
    </row>
    <row r="9" spans="1:20">
      <c r="A9" s="120" t="s">
        <v>910</v>
      </c>
      <c r="B9" s="119" t="s">
        <v>719</v>
      </c>
      <c r="C9" s="119" t="s">
        <v>720</v>
      </c>
      <c r="D9" s="119" t="s">
        <v>708</v>
      </c>
      <c r="E9" s="119" t="s">
        <v>702</v>
      </c>
      <c r="F9" s="134">
        <v>45205</v>
      </c>
      <c r="G9" s="118">
        <v>12</v>
      </c>
      <c r="H9" s="118">
        <v>12</v>
      </c>
      <c r="N9" s="132" t="s">
        <v>894</v>
      </c>
      <c r="O9" s="132" t="str">
        <f t="shared" si="0"/>
        <v>M2T9</v>
      </c>
    </row>
    <row r="10" spans="1:20">
      <c r="A10" s="120" t="s">
        <v>910</v>
      </c>
      <c r="B10" s="119" t="s">
        <v>721</v>
      </c>
      <c r="C10" s="119" t="s">
        <v>722</v>
      </c>
      <c r="D10" s="119" t="s">
        <v>708</v>
      </c>
      <c r="E10" s="119" t="s">
        <v>702</v>
      </c>
      <c r="F10" s="134">
        <v>45177</v>
      </c>
      <c r="G10" s="118">
        <v>12</v>
      </c>
      <c r="H10" s="118">
        <v>12</v>
      </c>
      <c r="N10" s="132" t="s">
        <v>894</v>
      </c>
      <c r="O10" s="132" t="str">
        <f t="shared" si="0"/>
        <v>M2T9</v>
      </c>
    </row>
    <row r="11" spans="1:20">
      <c r="A11" s="120" t="s">
        <v>910</v>
      </c>
      <c r="B11" s="119" t="s">
        <v>723</v>
      </c>
      <c r="C11" s="119" t="s">
        <v>748</v>
      </c>
      <c r="D11" s="119" t="s">
        <v>708</v>
      </c>
      <c r="E11" s="119" t="s">
        <v>702</v>
      </c>
      <c r="F11" s="134">
        <v>45132</v>
      </c>
      <c r="G11" s="118">
        <v>12</v>
      </c>
      <c r="H11" s="118">
        <v>12</v>
      </c>
      <c r="N11" s="132" t="s">
        <v>905</v>
      </c>
      <c r="O11" s="132" t="str">
        <f t="shared" si="0"/>
        <v>M1.5T106</v>
      </c>
    </row>
    <row r="12" spans="1:20">
      <c r="A12" s="120" t="s">
        <v>910</v>
      </c>
      <c r="B12" s="119" t="s">
        <v>724</v>
      </c>
      <c r="C12" s="119" t="s">
        <v>745</v>
      </c>
      <c r="D12" s="119" t="s">
        <v>725</v>
      </c>
      <c r="E12" s="119" t="s">
        <v>702</v>
      </c>
      <c r="F12" s="134">
        <v>45135</v>
      </c>
      <c r="G12" s="118">
        <v>4</v>
      </c>
      <c r="H12" s="118">
        <v>4</v>
      </c>
      <c r="N12" s="132" t="s">
        <v>891</v>
      </c>
      <c r="O12" s="132" t="str">
        <f t="shared" si="0"/>
        <v>M1.25T74</v>
      </c>
    </row>
    <row r="13" spans="1:20">
      <c r="A13" s="120" t="s">
        <v>910</v>
      </c>
      <c r="B13" s="119" t="s">
        <v>726</v>
      </c>
      <c r="C13" s="119" t="s">
        <v>749</v>
      </c>
      <c r="D13" s="119" t="s">
        <v>727</v>
      </c>
      <c r="E13" s="119" t="s">
        <v>702</v>
      </c>
      <c r="F13" s="134">
        <v>45002</v>
      </c>
      <c r="G13" s="118">
        <v>4</v>
      </c>
      <c r="H13" s="118">
        <v>4</v>
      </c>
      <c r="N13" s="132" t="s">
        <v>887</v>
      </c>
      <c r="O13" s="132" t="str">
        <f t="shared" si="0"/>
        <v>M1.25T17</v>
      </c>
    </row>
    <row r="14" spans="1:20">
      <c r="A14" s="120" t="s">
        <v>910</v>
      </c>
      <c r="B14" s="119" t="s">
        <v>728</v>
      </c>
      <c r="C14" s="119" t="s">
        <v>908</v>
      </c>
      <c r="D14" s="119" t="s">
        <v>729</v>
      </c>
      <c r="E14" s="119" t="s">
        <v>702</v>
      </c>
      <c r="F14" s="134">
        <v>45075</v>
      </c>
      <c r="G14" s="118">
        <v>4</v>
      </c>
      <c r="H14" s="118">
        <v>4</v>
      </c>
      <c r="N14" s="132" t="s">
        <v>887</v>
      </c>
      <c r="O14" s="132" t="str">
        <f t="shared" si="0"/>
        <v>DP12T10</v>
      </c>
    </row>
    <row r="15" spans="1:20">
      <c r="A15" s="120" t="s">
        <v>910</v>
      </c>
      <c r="B15" s="119" t="s">
        <v>730</v>
      </c>
      <c r="C15" s="119" t="s">
        <v>751</v>
      </c>
      <c r="D15" s="119" t="s">
        <v>727</v>
      </c>
      <c r="E15" s="119" t="s">
        <v>702</v>
      </c>
      <c r="F15" s="134">
        <v>44972</v>
      </c>
      <c r="G15" s="118">
        <v>4</v>
      </c>
      <c r="H15" s="118">
        <v>4</v>
      </c>
      <c r="N15" s="132" t="s">
        <v>909</v>
      </c>
      <c r="O15" s="132" t="str">
        <f t="shared" si="0"/>
        <v>M2.5T20</v>
      </c>
    </row>
    <row r="16" spans="1:20">
      <c r="A16" s="120" t="s">
        <v>910</v>
      </c>
      <c r="B16" s="119" t="s">
        <v>731</v>
      </c>
      <c r="C16" s="119" t="s">
        <v>752</v>
      </c>
      <c r="D16" s="119" t="s">
        <v>732</v>
      </c>
      <c r="E16" s="119" t="s">
        <v>702</v>
      </c>
      <c r="F16" s="134">
        <v>44781</v>
      </c>
      <c r="G16" s="118">
        <v>4</v>
      </c>
      <c r="H16" s="118">
        <v>4</v>
      </c>
      <c r="N16" s="132" t="s">
        <v>891</v>
      </c>
      <c r="O16" s="132" t="s">
        <v>895</v>
      </c>
    </row>
    <row r="17" spans="1:20">
      <c r="A17" s="120" t="s">
        <v>910</v>
      </c>
      <c r="B17" s="119" t="s">
        <v>733</v>
      </c>
      <c r="C17" s="119" t="s">
        <v>753</v>
      </c>
      <c r="D17" s="119" t="s">
        <v>734</v>
      </c>
      <c r="E17" s="119" t="s">
        <v>702</v>
      </c>
      <c r="F17" s="134">
        <v>44685</v>
      </c>
      <c r="G17" s="118">
        <v>4</v>
      </c>
      <c r="H17" s="118">
        <v>4</v>
      </c>
      <c r="N17" s="132" t="s">
        <v>887</v>
      </c>
      <c r="O17" s="132" t="str">
        <f t="shared" si="0"/>
        <v>DP12T10</v>
      </c>
    </row>
    <row r="18" spans="1:20">
      <c r="A18" s="120" t="s">
        <v>910</v>
      </c>
      <c r="B18" s="119" t="s">
        <v>735</v>
      </c>
      <c r="C18" s="119" t="s">
        <v>748</v>
      </c>
      <c r="D18" s="119" t="s">
        <v>708</v>
      </c>
      <c r="E18" s="119" t="s">
        <v>702</v>
      </c>
      <c r="F18" s="134">
        <v>44634</v>
      </c>
      <c r="G18" s="118">
        <v>12</v>
      </c>
      <c r="H18" s="118">
        <v>12</v>
      </c>
      <c r="N18" s="132" t="s">
        <v>905</v>
      </c>
      <c r="O18" s="132" t="str">
        <f t="shared" si="0"/>
        <v>M1.5T106</v>
      </c>
    </row>
    <row r="19" spans="1:20">
      <c r="A19" s="120" t="s">
        <v>910</v>
      </c>
      <c r="B19" s="119" t="s">
        <v>736</v>
      </c>
      <c r="C19" s="119" t="s">
        <v>748</v>
      </c>
      <c r="D19" s="119" t="s">
        <v>737</v>
      </c>
      <c r="E19" s="119" t="s">
        <v>702</v>
      </c>
      <c r="F19" s="134">
        <v>44222</v>
      </c>
      <c r="G19" s="118">
        <v>12</v>
      </c>
      <c r="H19" s="118">
        <v>12</v>
      </c>
      <c r="N19" s="132" t="s">
        <v>905</v>
      </c>
      <c r="O19" s="132" t="str">
        <f t="shared" si="0"/>
        <v>M1.5T106</v>
      </c>
    </row>
    <row r="20" spans="1:20" ht="16.2">
      <c r="A20" s="120" t="s">
        <v>910</v>
      </c>
      <c r="B20" s="119" t="s">
        <v>738</v>
      </c>
      <c r="C20" s="119" t="s">
        <v>739</v>
      </c>
      <c r="D20" s="119" t="s">
        <v>740</v>
      </c>
      <c r="E20" s="119" t="s">
        <v>702</v>
      </c>
      <c r="F20" s="134">
        <v>44308</v>
      </c>
      <c r="G20" s="118">
        <v>1</v>
      </c>
      <c r="H20" s="118">
        <v>1</v>
      </c>
      <c r="N20" s="132" t="s">
        <v>911</v>
      </c>
      <c r="O20" s="132" t="s">
        <v>912</v>
      </c>
    </row>
    <row r="21" spans="1:20">
      <c r="A21" s="120" t="s">
        <v>910</v>
      </c>
      <c r="B21" s="118" t="s">
        <v>757</v>
      </c>
      <c r="C21" s="118" t="s">
        <v>898</v>
      </c>
      <c r="D21" s="118" t="s">
        <v>759</v>
      </c>
      <c r="E21" s="118" t="s">
        <v>760</v>
      </c>
      <c r="F21" s="135">
        <v>45604</v>
      </c>
      <c r="G21" s="118">
        <v>4</v>
      </c>
      <c r="H21" s="118">
        <v>4</v>
      </c>
      <c r="N21" s="132" t="s">
        <v>892</v>
      </c>
      <c r="O21" s="132" t="s">
        <v>899</v>
      </c>
    </row>
    <row r="22" spans="1:20">
      <c r="A22" s="120" t="s">
        <v>910</v>
      </c>
      <c r="B22" s="118" t="s">
        <v>761</v>
      </c>
      <c r="C22" s="118" t="s">
        <v>800</v>
      </c>
      <c r="D22" s="118" t="s">
        <v>762</v>
      </c>
      <c r="E22" s="118" t="s">
        <v>760</v>
      </c>
      <c r="F22" s="135">
        <v>45589</v>
      </c>
      <c r="G22" s="118">
        <v>4</v>
      </c>
      <c r="H22" s="118">
        <v>4</v>
      </c>
      <c r="N22" s="132" t="s">
        <v>914</v>
      </c>
      <c r="O22" s="132" t="str">
        <f t="shared" si="0"/>
        <v>M0.7T85</v>
      </c>
    </row>
    <row r="23" spans="1:20">
      <c r="A23" s="120" t="s">
        <v>910</v>
      </c>
      <c r="B23" s="118" t="s">
        <v>763</v>
      </c>
      <c r="C23" s="118" t="s">
        <v>801</v>
      </c>
      <c r="D23" s="118" t="s">
        <v>913</v>
      </c>
      <c r="E23" s="118" t="s">
        <v>760</v>
      </c>
      <c r="F23" s="135">
        <v>45005</v>
      </c>
      <c r="G23" s="118">
        <v>12</v>
      </c>
      <c r="H23" s="118">
        <v>12</v>
      </c>
      <c r="N23" s="132" t="s">
        <v>914</v>
      </c>
      <c r="O23" s="132" t="s">
        <v>896</v>
      </c>
    </row>
    <row r="24" spans="1:20">
      <c r="A24" s="137" t="s">
        <v>910</v>
      </c>
      <c r="B24" s="118" t="s">
        <v>818</v>
      </c>
      <c r="C24" s="118" t="s">
        <v>819</v>
      </c>
      <c r="D24" s="118" t="s">
        <v>708</v>
      </c>
      <c r="E24" s="118" t="s">
        <v>815</v>
      </c>
      <c r="F24" s="135" t="s">
        <v>924</v>
      </c>
      <c r="G24" s="118">
        <v>12</v>
      </c>
      <c r="H24" s="118">
        <v>12</v>
      </c>
      <c r="N24" s="132" t="s">
        <v>939</v>
      </c>
      <c r="O24" s="132" t="str">
        <f>IF(ISERROR(FIND("W",$C24,1)),LEFT($C24,FIND("L",$C24,1)-1),LEFT($C24,FIND("W",$C24,1)-1))</f>
        <v>M3.09T13</v>
      </c>
    </row>
    <row r="25" spans="1:20">
      <c r="A25" s="137" t="s">
        <v>910</v>
      </c>
      <c r="B25" s="118" t="s">
        <v>767</v>
      </c>
      <c r="C25" s="118" t="s">
        <v>804</v>
      </c>
      <c r="D25" s="118" t="s">
        <v>922</v>
      </c>
      <c r="E25" s="118" t="s">
        <v>760</v>
      </c>
      <c r="F25" s="135" t="s">
        <v>925</v>
      </c>
      <c r="G25" s="118">
        <v>4</v>
      </c>
      <c r="H25" s="118">
        <v>4</v>
      </c>
      <c r="I25" s="118">
        <v>12</v>
      </c>
      <c r="J25" s="118">
        <v>12</v>
      </c>
      <c r="N25" s="132" t="s">
        <v>936</v>
      </c>
      <c r="O25" s="132" t="str">
        <f>IF(ISERROR(FIND("W",$C25,1)),LEFT($C25,FIND("L",$C25,1)-1),LEFT($C25,FIND("W",$C25,1)-1))</f>
        <v>M0.6T29</v>
      </c>
      <c r="P25" s="132" t="s">
        <v>940</v>
      </c>
      <c r="Q25" s="132" t="s">
        <v>941</v>
      </c>
    </row>
    <row r="26" spans="1:20">
      <c r="A26" s="137" t="s">
        <v>910</v>
      </c>
      <c r="B26" s="118" t="s">
        <v>769</v>
      </c>
      <c r="C26" s="118" t="s">
        <v>805</v>
      </c>
      <c r="D26" s="118" t="s">
        <v>923</v>
      </c>
      <c r="E26" s="118" t="s">
        <v>760</v>
      </c>
      <c r="F26" s="135" t="s">
        <v>926</v>
      </c>
      <c r="G26" s="118">
        <v>4</v>
      </c>
      <c r="H26" s="118">
        <v>4</v>
      </c>
      <c r="N26" s="132" t="s">
        <v>936</v>
      </c>
      <c r="O26" s="132" t="str">
        <f>IF(ISERROR(FIND("W",$C26,1)),LEFT($C26,FIND("L",$C26,1)-1),LEFT($C26,FIND("W",$C26,1)-1))</f>
        <v>M0.6T72</v>
      </c>
    </row>
    <row r="27" spans="1:20">
      <c r="A27" s="137" t="s">
        <v>910</v>
      </c>
      <c r="B27" s="118" t="s">
        <v>771</v>
      </c>
      <c r="C27" s="118" t="s">
        <v>806</v>
      </c>
      <c r="D27" s="118" t="s">
        <v>923</v>
      </c>
      <c r="E27" s="118" t="s">
        <v>760</v>
      </c>
      <c r="F27" s="135" t="s">
        <v>927</v>
      </c>
      <c r="G27" s="118">
        <v>4</v>
      </c>
      <c r="H27" s="118">
        <v>4</v>
      </c>
      <c r="N27" s="132" t="s">
        <v>936</v>
      </c>
      <c r="O27" s="132" t="str">
        <f>IF(ISERROR(FIND("W",$C27,1)),LEFT($C27,FIND("L",$C27,1)-1),LEFT($C27,FIND("W",$C27,1)-1))</f>
        <v>M0.7T23</v>
      </c>
    </row>
    <row r="28" spans="1:20">
      <c r="A28" s="137" t="s">
        <v>910</v>
      </c>
      <c r="B28" s="118" t="s">
        <v>930</v>
      </c>
      <c r="C28" s="118" t="s">
        <v>872</v>
      </c>
      <c r="D28" s="118" t="s">
        <v>916</v>
      </c>
      <c r="E28" s="118" t="s">
        <v>855</v>
      </c>
      <c r="F28" s="135" t="s">
        <v>931</v>
      </c>
      <c r="G28" s="118">
        <v>1</v>
      </c>
      <c r="H28" s="118">
        <v>4</v>
      </c>
      <c r="I28" s="118">
        <v>4</v>
      </c>
      <c r="J28" s="118">
        <v>12</v>
      </c>
      <c r="K28" s="118">
        <v>12</v>
      </c>
      <c r="N28" s="132" t="s">
        <v>944</v>
      </c>
      <c r="O28" s="132" t="s">
        <v>936</v>
      </c>
      <c r="P28" s="132" t="str">
        <f>IF(ISERROR(FIND("W",$C28,1)),LEFT($C28,FIND("L",$C28,1)-1),LEFT($C28,FIND("W",$C28,1)-1))</f>
        <v>M2T29</v>
      </c>
      <c r="Q28" s="132" t="s">
        <v>943</v>
      </c>
      <c r="R28" s="132" t="s">
        <v>942</v>
      </c>
    </row>
    <row r="29" spans="1:20">
      <c r="A29" s="137" t="s">
        <v>910</v>
      </c>
      <c r="B29" s="118">
        <v>40402035</v>
      </c>
      <c r="C29" s="118" t="s">
        <v>915</v>
      </c>
      <c r="D29" s="118" t="s">
        <v>916</v>
      </c>
      <c r="E29" s="118" t="s">
        <v>855</v>
      </c>
      <c r="F29" s="135" t="s">
        <v>929</v>
      </c>
      <c r="G29" s="118">
        <v>1</v>
      </c>
      <c r="H29" s="118">
        <v>1</v>
      </c>
      <c r="I29" s="118">
        <v>4</v>
      </c>
      <c r="J29" s="118">
        <v>2</v>
      </c>
      <c r="K29" s="118">
        <v>2</v>
      </c>
      <c r="L29" s="118">
        <v>11</v>
      </c>
      <c r="N29" s="132" t="s">
        <v>917</v>
      </c>
      <c r="O29" s="132" t="s">
        <v>918</v>
      </c>
      <c r="P29" s="132" t="s">
        <v>919</v>
      </c>
      <c r="Q29" s="132" t="s">
        <v>921</v>
      </c>
      <c r="R29" s="132" t="s">
        <v>920</v>
      </c>
    </row>
    <row r="30" spans="1:20">
      <c r="A30" s="137" t="s">
        <v>910</v>
      </c>
      <c r="B30" s="118">
        <v>50200420</v>
      </c>
      <c r="C30" s="118" t="s">
        <v>933</v>
      </c>
      <c r="D30" s="118" t="s">
        <v>916</v>
      </c>
      <c r="E30" s="118" t="s">
        <v>932</v>
      </c>
      <c r="F30" s="135" t="s">
        <v>928</v>
      </c>
      <c r="G30" s="118">
        <v>4</v>
      </c>
      <c r="H30" s="118">
        <v>4</v>
      </c>
      <c r="I30" s="118">
        <v>2</v>
      </c>
      <c r="J30" s="118">
        <v>9</v>
      </c>
      <c r="K30" s="118">
        <v>9</v>
      </c>
      <c r="L30" s="118">
        <v>12</v>
      </c>
      <c r="M30" s="118">
        <v>12</v>
      </c>
      <c r="N30" s="132" t="s">
        <v>935</v>
      </c>
      <c r="O30" s="132" t="s">
        <v>887</v>
      </c>
      <c r="P30" s="132" t="s">
        <v>920</v>
      </c>
      <c r="Q30" s="132" t="s">
        <v>937</v>
      </c>
      <c r="R30" s="132" t="s">
        <v>937</v>
      </c>
      <c r="S30" s="132" t="s">
        <v>938</v>
      </c>
      <c r="T30" s="132" t="s">
        <v>935</v>
      </c>
    </row>
    <row r="31" spans="1:20">
      <c r="A31" s="120" t="s">
        <v>786</v>
      </c>
      <c r="B31" s="118" t="s">
        <v>764</v>
      </c>
      <c r="C31" s="118" t="s">
        <v>803</v>
      </c>
      <c r="D31" s="118" t="s">
        <v>762</v>
      </c>
      <c r="E31" s="118" t="s">
        <v>760</v>
      </c>
      <c r="G31" s="118">
        <v>4</v>
      </c>
      <c r="H31" s="118">
        <v>4</v>
      </c>
      <c r="O31" s="132" t="s">
        <v>897</v>
      </c>
    </row>
    <row r="32" spans="1:20">
      <c r="A32" s="120" t="s">
        <v>787</v>
      </c>
      <c r="B32" s="118" t="s">
        <v>765</v>
      </c>
      <c r="C32" s="118" t="s">
        <v>766</v>
      </c>
      <c r="D32" s="118" t="s">
        <v>708</v>
      </c>
      <c r="E32" s="118" t="s">
        <v>760</v>
      </c>
      <c r="G32" s="118">
        <v>12</v>
      </c>
      <c r="H32" s="118">
        <v>12</v>
      </c>
      <c r="O32" s="132" t="str">
        <f t="shared" si="0"/>
        <v>M0.58T72</v>
      </c>
    </row>
    <row r="33" spans="1:16">
      <c r="A33" s="120" t="s">
        <v>791</v>
      </c>
      <c r="B33" s="118" t="s">
        <v>773</v>
      </c>
      <c r="C33" s="118" t="s">
        <v>900</v>
      </c>
      <c r="D33" s="118" t="s">
        <v>762</v>
      </c>
      <c r="E33" s="118" t="s">
        <v>760</v>
      </c>
      <c r="G33" s="118">
        <v>4</v>
      </c>
      <c r="H33" s="118">
        <v>4</v>
      </c>
      <c r="O33" s="132" t="s">
        <v>896</v>
      </c>
    </row>
    <row r="34" spans="1:16">
      <c r="A34" s="120" t="s">
        <v>792</v>
      </c>
      <c r="B34" s="118" t="s">
        <v>774</v>
      </c>
      <c r="C34" s="118" t="s">
        <v>766</v>
      </c>
      <c r="D34" s="118" t="s">
        <v>708</v>
      </c>
      <c r="E34" s="118" t="s">
        <v>760</v>
      </c>
      <c r="G34" s="118">
        <v>12</v>
      </c>
      <c r="H34" s="118">
        <v>12</v>
      </c>
      <c r="O34" s="132" t="str">
        <f t="shared" si="0"/>
        <v>M0.58T72</v>
      </c>
    </row>
    <row r="35" spans="1:16">
      <c r="A35" s="120" t="s">
        <v>793</v>
      </c>
      <c r="B35" s="118" t="s">
        <v>775</v>
      </c>
      <c r="C35" s="118" t="s">
        <v>901</v>
      </c>
      <c r="D35" s="118" t="s">
        <v>762</v>
      </c>
      <c r="E35" s="118" t="s">
        <v>760</v>
      </c>
      <c r="G35" s="118">
        <v>4</v>
      </c>
      <c r="H35" s="118">
        <v>4</v>
      </c>
      <c r="O35" s="132" t="s">
        <v>902</v>
      </c>
    </row>
    <row r="36" spans="1:16">
      <c r="A36" s="120" t="s">
        <v>794</v>
      </c>
      <c r="B36" s="118" t="s">
        <v>776</v>
      </c>
      <c r="C36" s="118" t="s">
        <v>809</v>
      </c>
      <c r="D36" s="118" t="s">
        <v>762</v>
      </c>
      <c r="E36" s="118" t="s">
        <v>760</v>
      </c>
      <c r="G36" s="118">
        <v>4</v>
      </c>
      <c r="H36" s="118">
        <v>4</v>
      </c>
      <c r="O36" s="132" t="s">
        <v>902</v>
      </c>
    </row>
    <row r="37" spans="1:16">
      <c r="A37" s="120" t="s">
        <v>795</v>
      </c>
      <c r="B37" s="118" t="s">
        <v>777</v>
      </c>
      <c r="C37" s="118" t="s">
        <v>809</v>
      </c>
      <c r="D37" s="118" t="s">
        <v>762</v>
      </c>
      <c r="E37" s="118" t="s">
        <v>760</v>
      </c>
      <c r="G37" s="118">
        <v>4</v>
      </c>
      <c r="H37" s="118">
        <v>4</v>
      </c>
      <c r="O37" s="132" t="s">
        <v>902</v>
      </c>
    </row>
    <row r="38" spans="1:16">
      <c r="A38" s="120" t="s">
        <v>796</v>
      </c>
      <c r="B38" s="118" t="s">
        <v>778</v>
      </c>
      <c r="C38" s="118" t="s">
        <v>766</v>
      </c>
      <c r="D38" s="118" t="s">
        <v>762</v>
      </c>
      <c r="E38" s="118" t="s">
        <v>760</v>
      </c>
      <c r="G38" s="118">
        <v>4</v>
      </c>
      <c r="H38" s="118">
        <v>4</v>
      </c>
      <c r="O38" s="132" t="str">
        <f t="shared" si="0"/>
        <v>M0.58T72</v>
      </c>
    </row>
    <row r="39" spans="1:16">
      <c r="A39" s="120" t="s">
        <v>797</v>
      </c>
      <c r="B39" s="118" t="s">
        <v>779</v>
      </c>
      <c r="C39" s="118" t="s">
        <v>900</v>
      </c>
      <c r="D39" s="118" t="s">
        <v>812</v>
      </c>
      <c r="E39" s="118" t="s">
        <v>760</v>
      </c>
      <c r="G39" s="118">
        <v>4</v>
      </c>
      <c r="H39" s="118">
        <v>4</v>
      </c>
      <c r="I39" s="118">
        <v>12</v>
      </c>
      <c r="J39" s="118">
        <v>12</v>
      </c>
      <c r="O39" s="132" t="s">
        <v>896</v>
      </c>
    </row>
    <row r="40" spans="1:16">
      <c r="A40" s="120" t="s">
        <v>798</v>
      </c>
      <c r="B40" s="118" t="s">
        <v>780</v>
      </c>
      <c r="C40" s="118" t="s">
        <v>811</v>
      </c>
      <c r="D40" s="118" t="s">
        <v>812</v>
      </c>
      <c r="E40" s="118" t="s">
        <v>760</v>
      </c>
      <c r="G40" s="118">
        <v>4</v>
      </c>
      <c r="H40" s="118">
        <v>4</v>
      </c>
      <c r="I40" s="118">
        <v>12</v>
      </c>
      <c r="J40" s="118">
        <v>12</v>
      </c>
      <c r="O40" s="132" t="str">
        <f t="shared" si="0"/>
        <v>M0.976T70</v>
      </c>
    </row>
    <row r="41" spans="1:16">
      <c r="A41" s="120" t="s">
        <v>798</v>
      </c>
      <c r="B41" s="118" t="s">
        <v>781</v>
      </c>
      <c r="C41" s="118" t="s">
        <v>810</v>
      </c>
      <c r="D41" s="118" t="s">
        <v>812</v>
      </c>
      <c r="E41" s="118" t="s">
        <v>760</v>
      </c>
      <c r="G41" s="118">
        <v>4</v>
      </c>
      <c r="H41" s="118">
        <v>4</v>
      </c>
      <c r="I41" s="118">
        <v>12</v>
      </c>
      <c r="J41" s="118">
        <v>12</v>
      </c>
      <c r="O41" s="132" t="str">
        <f t="shared" si="0"/>
        <v>M0.725T24</v>
      </c>
    </row>
    <row r="42" spans="1:16">
      <c r="A42" s="120" t="s">
        <v>798</v>
      </c>
      <c r="B42" s="118" t="s">
        <v>782</v>
      </c>
      <c r="C42" s="118" t="s">
        <v>813</v>
      </c>
      <c r="D42" s="118" t="s">
        <v>812</v>
      </c>
      <c r="E42" s="118" t="s">
        <v>760</v>
      </c>
      <c r="G42" s="118">
        <v>4</v>
      </c>
      <c r="H42" s="118">
        <v>4</v>
      </c>
      <c r="I42" s="118">
        <v>12</v>
      </c>
      <c r="J42" s="118">
        <v>12</v>
      </c>
      <c r="O42" s="132" t="s">
        <v>903</v>
      </c>
    </row>
    <row r="43" spans="1:16">
      <c r="A43" s="120" t="s">
        <v>799</v>
      </c>
      <c r="B43" s="118" t="s">
        <v>783</v>
      </c>
      <c r="C43" s="118" t="s">
        <v>814</v>
      </c>
      <c r="D43" s="118" t="s">
        <v>812</v>
      </c>
      <c r="E43" s="118" t="s">
        <v>760</v>
      </c>
      <c r="G43" s="118">
        <v>4</v>
      </c>
      <c r="H43" s="118">
        <v>4</v>
      </c>
      <c r="I43" s="118">
        <v>12</v>
      </c>
      <c r="J43" s="118">
        <v>12</v>
      </c>
      <c r="O43" s="132" t="s">
        <v>904</v>
      </c>
    </row>
    <row r="44" spans="1:16">
      <c r="A44" s="120">
        <v>45477</v>
      </c>
      <c r="B44" s="118" t="s">
        <v>816</v>
      </c>
      <c r="C44" s="118" t="s">
        <v>817</v>
      </c>
      <c r="D44" s="118" t="s">
        <v>708</v>
      </c>
      <c r="E44" s="118" t="s">
        <v>815</v>
      </c>
      <c r="G44" s="118">
        <v>12</v>
      </c>
      <c r="H44" s="118">
        <v>12</v>
      </c>
      <c r="O44" s="132" t="e">
        <f t="shared" si="0"/>
        <v>#VALUE!</v>
      </c>
    </row>
    <row r="45" spans="1:16">
      <c r="A45" s="120">
        <v>45273</v>
      </c>
      <c r="B45" s="118" t="s">
        <v>820</v>
      </c>
      <c r="C45" s="118" t="s">
        <v>821</v>
      </c>
      <c r="D45" s="118" t="s">
        <v>708</v>
      </c>
      <c r="E45" s="118" t="s">
        <v>815</v>
      </c>
      <c r="G45" s="118">
        <v>12</v>
      </c>
      <c r="H45" s="118">
        <v>12</v>
      </c>
      <c r="O45" s="132" t="str">
        <f t="shared" si="0"/>
        <v>M3.09T13</v>
      </c>
    </row>
    <row r="46" spans="1:16">
      <c r="A46" s="120">
        <v>45097</v>
      </c>
      <c r="B46" s="118" t="s">
        <v>822</v>
      </c>
      <c r="C46" s="118" t="s">
        <v>819</v>
      </c>
      <c r="D46" s="118" t="s">
        <v>823</v>
      </c>
      <c r="E46" s="118" t="s">
        <v>815</v>
      </c>
      <c r="G46" s="118">
        <v>12</v>
      </c>
      <c r="H46" s="118">
        <v>12</v>
      </c>
      <c r="O46" s="132" t="str">
        <f t="shared" si="0"/>
        <v>M3.09T13</v>
      </c>
    </row>
    <row r="47" spans="1:16">
      <c r="A47" s="120">
        <v>45589</v>
      </c>
      <c r="B47" s="118" t="s">
        <v>824</v>
      </c>
      <c r="C47" s="118" t="s">
        <v>861</v>
      </c>
      <c r="D47" s="118" t="s">
        <v>825</v>
      </c>
      <c r="E47" s="118" t="s">
        <v>855</v>
      </c>
      <c r="G47" s="118">
        <v>1</v>
      </c>
      <c r="H47" s="118">
        <v>4</v>
      </c>
      <c r="I47" s="118">
        <v>4</v>
      </c>
      <c r="J47" s="118">
        <v>2</v>
      </c>
      <c r="K47" s="118">
        <v>11</v>
      </c>
      <c r="L47" s="118">
        <v>12</v>
      </c>
      <c r="M47" s="118">
        <v>12</v>
      </c>
      <c r="P47" s="132" t="str">
        <f t="shared" si="0"/>
        <v>M1.25T18</v>
      </c>
    </row>
    <row r="48" spans="1:16">
      <c r="A48" s="120">
        <v>45569</v>
      </c>
      <c r="B48" s="118" t="s">
        <v>826</v>
      </c>
      <c r="C48" s="118" t="s">
        <v>856</v>
      </c>
      <c r="D48" s="118" t="s">
        <v>827</v>
      </c>
      <c r="E48" s="118" t="s">
        <v>855</v>
      </c>
      <c r="G48" s="118">
        <v>1</v>
      </c>
      <c r="H48" s="118">
        <v>4</v>
      </c>
      <c r="I48" s="118">
        <v>4</v>
      </c>
      <c r="J48" s="118">
        <v>12</v>
      </c>
      <c r="K48" s="118">
        <v>12</v>
      </c>
      <c r="P48" s="132" t="str">
        <f t="shared" si="0"/>
        <v>M2T36</v>
      </c>
    </row>
    <row r="49" spans="1:16">
      <c r="A49" s="120">
        <v>45541</v>
      </c>
      <c r="B49" s="118" t="s">
        <v>828</v>
      </c>
      <c r="C49" s="118" t="s">
        <v>829</v>
      </c>
      <c r="D49" s="118" t="s">
        <v>825</v>
      </c>
      <c r="E49" s="118" t="s">
        <v>855</v>
      </c>
      <c r="G49" s="118">
        <v>1</v>
      </c>
      <c r="H49" s="118">
        <v>4</v>
      </c>
      <c r="I49" s="118">
        <v>4</v>
      </c>
      <c r="J49" s="118">
        <v>12</v>
      </c>
      <c r="K49" s="118">
        <v>12</v>
      </c>
      <c r="P49" s="132" t="str">
        <f t="shared" ref="P49:P69" si="1">IF(ISERROR(FIND("W",$C49,1)),LEFT($C49,FIND("L",$C49,1)-1),LEFT($C49,FIND("W",$C49,1)-1))</f>
        <v>M2.5T26</v>
      </c>
    </row>
    <row r="50" spans="1:16">
      <c r="A50" s="120">
        <v>45541</v>
      </c>
      <c r="B50" s="118" t="s">
        <v>830</v>
      </c>
      <c r="C50" s="118" t="s">
        <v>866</v>
      </c>
      <c r="D50" s="118" t="s">
        <v>831</v>
      </c>
      <c r="E50" s="118" t="s">
        <v>855</v>
      </c>
      <c r="G50" s="118">
        <v>1</v>
      </c>
      <c r="H50" s="118">
        <v>4</v>
      </c>
      <c r="I50" s="118">
        <v>4</v>
      </c>
      <c r="P50" s="132" t="str">
        <f t="shared" si="1"/>
        <v>M0.8T24</v>
      </c>
    </row>
    <row r="51" spans="1:16">
      <c r="A51" s="120">
        <v>45477</v>
      </c>
      <c r="B51" s="118" t="s">
        <v>832</v>
      </c>
      <c r="C51" s="118" t="s">
        <v>870</v>
      </c>
      <c r="D51" s="118" t="s">
        <v>827</v>
      </c>
      <c r="E51" s="118" t="s">
        <v>855</v>
      </c>
      <c r="G51" s="118">
        <v>1</v>
      </c>
      <c r="H51" s="118">
        <v>4</v>
      </c>
      <c r="I51" s="118">
        <v>4</v>
      </c>
      <c r="J51" s="118">
        <v>12</v>
      </c>
      <c r="K51" s="118">
        <v>12</v>
      </c>
      <c r="P51" s="132" t="str">
        <f t="shared" si="1"/>
        <v>M2.5T112</v>
      </c>
    </row>
    <row r="52" spans="1:16">
      <c r="A52" s="120">
        <v>45418</v>
      </c>
      <c r="B52" s="118" t="s">
        <v>835</v>
      </c>
      <c r="C52" s="118" t="s">
        <v>862</v>
      </c>
      <c r="D52" s="118" t="s">
        <v>825</v>
      </c>
      <c r="E52" s="118" t="s">
        <v>855</v>
      </c>
      <c r="G52" s="118">
        <v>1</v>
      </c>
      <c r="H52" s="118">
        <v>4</v>
      </c>
      <c r="I52" s="118">
        <v>4</v>
      </c>
      <c r="J52" s="118">
        <v>12</v>
      </c>
      <c r="K52" s="118">
        <v>12</v>
      </c>
      <c r="P52" s="132" t="str">
        <f t="shared" si="1"/>
        <v>M1.25T22</v>
      </c>
    </row>
    <row r="53" spans="1:16">
      <c r="A53" s="120">
        <v>45406</v>
      </c>
      <c r="B53" s="118" t="s">
        <v>836</v>
      </c>
      <c r="C53" s="118" t="s">
        <v>873</v>
      </c>
      <c r="D53" s="118" t="s">
        <v>825</v>
      </c>
      <c r="E53" s="118" t="s">
        <v>855</v>
      </c>
      <c r="G53" s="118">
        <v>1</v>
      </c>
      <c r="H53" s="118">
        <v>4</v>
      </c>
      <c r="I53" s="118">
        <v>4</v>
      </c>
      <c r="J53" s="118">
        <v>12</v>
      </c>
      <c r="K53" s="118">
        <v>12</v>
      </c>
      <c r="P53" s="132" t="str">
        <f t="shared" si="1"/>
        <v>M2T11</v>
      </c>
    </row>
    <row r="54" spans="1:16">
      <c r="A54" s="120">
        <v>45384</v>
      </c>
      <c r="B54" s="118" t="s">
        <v>837</v>
      </c>
      <c r="C54" s="118" t="s">
        <v>857</v>
      </c>
      <c r="D54" s="118" t="s">
        <v>825</v>
      </c>
      <c r="E54" s="118" t="s">
        <v>855</v>
      </c>
      <c r="G54" s="118">
        <v>1</v>
      </c>
      <c r="H54" s="118">
        <v>4</v>
      </c>
      <c r="I54" s="118">
        <v>4</v>
      </c>
      <c r="J54" s="118">
        <v>12</v>
      </c>
      <c r="K54" s="118">
        <v>12</v>
      </c>
      <c r="P54" s="132" t="str">
        <f t="shared" si="1"/>
        <v>M1.5T39</v>
      </c>
    </row>
    <row r="55" spans="1:16">
      <c r="A55" s="120">
        <v>45384</v>
      </c>
      <c r="B55" s="118" t="s">
        <v>838</v>
      </c>
      <c r="C55" s="118" t="s">
        <v>858</v>
      </c>
      <c r="D55" s="118" t="s">
        <v>825</v>
      </c>
      <c r="E55" s="118" t="s">
        <v>855</v>
      </c>
      <c r="G55" s="118">
        <v>1</v>
      </c>
      <c r="H55" s="118">
        <v>4</v>
      </c>
      <c r="I55" s="118">
        <v>4</v>
      </c>
      <c r="J55" s="118">
        <v>12</v>
      </c>
      <c r="K55" s="118">
        <v>12</v>
      </c>
      <c r="P55" s="132" t="str">
        <f t="shared" si="1"/>
        <v>M1.5T24</v>
      </c>
    </row>
    <row r="56" spans="1:16">
      <c r="A56" s="120">
        <v>45351</v>
      </c>
      <c r="B56" s="118" t="s">
        <v>839</v>
      </c>
      <c r="C56" s="118" t="s">
        <v>871</v>
      </c>
      <c r="D56" s="118" t="s">
        <v>825</v>
      </c>
      <c r="E56" s="118" t="s">
        <v>855</v>
      </c>
      <c r="G56" s="118">
        <v>1</v>
      </c>
      <c r="H56" s="118">
        <v>4</v>
      </c>
      <c r="I56" s="118">
        <v>4</v>
      </c>
      <c r="J56" s="118">
        <v>12</v>
      </c>
      <c r="K56" s="118">
        <v>12</v>
      </c>
      <c r="P56" s="132" t="str">
        <f t="shared" si="1"/>
        <v>M2T88</v>
      </c>
    </row>
    <row r="57" spans="1:16">
      <c r="A57" s="120">
        <v>45317</v>
      </c>
      <c r="B57" s="118" t="s">
        <v>840</v>
      </c>
      <c r="C57" s="118" t="s">
        <v>859</v>
      </c>
      <c r="D57" s="118" t="s">
        <v>825</v>
      </c>
      <c r="E57" s="118" t="s">
        <v>855</v>
      </c>
      <c r="G57" s="118">
        <v>1</v>
      </c>
      <c r="H57" s="118">
        <v>4</v>
      </c>
      <c r="I57" s="118">
        <v>4</v>
      </c>
      <c r="J57" s="118">
        <v>12</v>
      </c>
      <c r="K57" s="118">
        <v>12</v>
      </c>
      <c r="P57" s="132" t="str">
        <f t="shared" si="1"/>
        <v>M2.5T27</v>
      </c>
    </row>
    <row r="58" spans="1:16">
      <c r="A58" s="120">
        <v>45310</v>
      </c>
      <c r="B58" s="118" t="s">
        <v>841</v>
      </c>
      <c r="C58" s="118" t="s">
        <v>863</v>
      </c>
      <c r="D58" s="118" t="s">
        <v>827</v>
      </c>
      <c r="E58" s="118" t="s">
        <v>855</v>
      </c>
      <c r="G58" s="118">
        <v>1</v>
      </c>
      <c r="H58" s="118">
        <v>4</v>
      </c>
      <c r="I58" s="118">
        <v>4</v>
      </c>
      <c r="J58" s="118">
        <v>12</v>
      </c>
      <c r="K58" s="118">
        <v>12</v>
      </c>
      <c r="P58" s="132" t="str">
        <f t="shared" si="1"/>
        <v>M0.8T21</v>
      </c>
    </row>
    <row r="59" spans="1:16">
      <c r="A59" s="120">
        <v>45229</v>
      </c>
      <c r="B59" s="118" t="s">
        <v>842</v>
      </c>
      <c r="C59" s="118" t="s">
        <v>867</v>
      </c>
      <c r="D59" s="118" t="s">
        <v>843</v>
      </c>
      <c r="E59" s="118" t="s">
        <v>855</v>
      </c>
      <c r="G59" s="118">
        <v>1</v>
      </c>
      <c r="H59" s="118">
        <v>4</v>
      </c>
      <c r="I59" s="118">
        <v>4</v>
      </c>
      <c r="J59" s="118">
        <v>12</v>
      </c>
      <c r="K59" s="118">
        <v>12</v>
      </c>
      <c r="P59" s="132" t="str">
        <f t="shared" si="1"/>
        <v>M1.5T26</v>
      </c>
    </row>
    <row r="60" spans="1:16">
      <c r="A60" s="120">
        <v>45229</v>
      </c>
      <c r="B60" s="118" t="s">
        <v>844</v>
      </c>
      <c r="C60" s="118" t="s">
        <v>875</v>
      </c>
      <c r="D60" s="118" t="s">
        <v>825</v>
      </c>
      <c r="E60" s="118" t="s">
        <v>855</v>
      </c>
      <c r="G60" s="118">
        <v>1</v>
      </c>
      <c r="H60" s="118">
        <v>4</v>
      </c>
      <c r="I60" s="118">
        <v>4</v>
      </c>
      <c r="J60" s="118">
        <v>12</v>
      </c>
      <c r="K60" s="118">
        <v>12</v>
      </c>
      <c r="P60" s="132" t="e">
        <f t="shared" si="1"/>
        <v>#VALUE!</v>
      </c>
    </row>
    <row r="61" spans="1:16">
      <c r="A61" s="120">
        <v>45229</v>
      </c>
      <c r="B61" s="118" t="s">
        <v>845</v>
      </c>
      <c r="C61" s="118" t="s">
        <v>876</v>
      </c>
      <c r="D61" s="118" t="s">
        <v>825</v>
      </c>
      <c r="E61" s="118" t="s">
        <v>855</v>
      </c>
      <c r="G61" s="118">
        <v>1</v>
      </c>
      <c r="H61" s="118">
        <v>4</v>
      </c>
      <c r="I61" s="118">
        <v>4</v>
      </c>
      <c r="J61" s="118">
        <v>12</v>
      </c>
      <c r="K61" s="118">
        <v>12</v>
      </c>
      <c r="P61" s="132" t="str">
        <f t="shared" si="1"/>
        <v>M1.65T21</v>
      </c>
    </row>
    <row r="62" spans="1:16">
      <c r="A62" s="120">
        <v>45229</v>
      </c>
      <c r="B62" s="118" t="s">
        <v>846</v>
      </c>
      <c r="C62" s="118" t="s">
        <v>868</v>
      </c>
      <c r="D62" s="118" t="s">
        <v>843</v>
      </c>
      <c r="E62" s="118" t="s">
        <v>855</v>
      </c>
      <c r="G62" s="118">
        <v>1</v>
      </c>
      <c r="H62" s="118">
        <v>4</v>
      </c>
      <c r="I62" s="118">
        <v>4</v>
      </c>
      <c r="J62" s="118">
        <v>12</v>
      </c>
      <c r="K62" s="118">
        <v>12</v>
      </c>
      <c r="P62" s="132" t="str">
        <f t="shared" si="1"/>
        <v>M1.5T32</v>
      </c>
    </row>
    <row r="63" spans="1:16">
      <c r="A63" s="120">
        <v>45197</v>
      </c>
      <c r="B63" s="118" t="s">
        <v>847</v>
      </c>
      <c r="C63" s="118" t="s">
        <v>864</v>
      </c>
      <c r="D63" s="118" t="s">
        <v>825</v>
      </c>
      <c r="E63" s="118" t="s">
        <v>855</v>
      </c>
      <c r="G63" s="118">
        <v>1</v>
      </c>
      <c r="H63" s="118">
        <v>4</v>
      </c>
      <c r="I63" s="118">
        <v>4</v>
      </c>
      <c r="J63" s="118">
        <v>12</v>
      </c>
      <c r="K63" s="118">
        <v>12</v>
      </c>
      <c r="P63" s="132" t="str">
        <f t="shared" si="1"/>
        <v>M1.25T18</v>
      </c>
    </row>
    <row r="64" spans="1:16">
      <c r="A64" s="120">
        <v>45145</v>
      </c>
      <c r="B64" s="118" t="s">
        <v>848</v>
      </c>
      <c r="C64" s="118" t="s">
        <v>869</v>
      </c>
      <c r="D64" s="118" t="s">
        <v>825</v>
      </c>
      <c r="E64" s="118" t="s">
        <v>855</v>
      </c>
      <c r="G64" s="118">
        <v>1</v>
      </c>
      <c r="H64" s="118">
        <v>4</v>
      </c>
      <c r="I64" s="118">
        <v>4</v>
      </c>
      <c r="J64" s="118">
        <v>12</v>
      </c>
      <c r="K64" s="118">
        <v>12</v>
      </c>
      <c r="P64" s="132" t="str">
        <f t="shared" si="1"/>
        <v>M1.5T24</v>
      </c>
    </row>
    <row r="65" spans="1:16">
      <c r="A65" s="120">
        <v>45105</v>
      </c>
      <c r="B65" s="118" t="s">
        <v>849</v>
      </c>
      <c r="C65" s="118" t="s">
        <v>865</v>
      </c>
      <c r="D65" s="118" t="s">
        <v>825</v>
      </c>
      <c r="E65" s="118" t="s">
        <v>855</v>
      </c>
      <c r="G65" s="118">
        <v>1</v>
      </c>
      <c r="H65" s="118">
        <v>4</v>
      </c>
      <c r="I65" s="118">
        <v>4</v>
      </c>
      <c r="J65" s="118">
        <v>12</v>
      </c>
      <c r="K65" s="118">
        <v>12</v>
      </c>
      <c r="P65" s="132" t="str">
        <f t="shared" si="1"/>
        <v>M1.25T18</v>
      </c>
    </row>
    <row r="66" spans="1:16">
      <c r="A66" s="120">
        <v>45089</v>
      </c>
      <c r="B66" s="118" t="s">
        <v>850</v>
      </c>
      <c r="C66" s="118" t="s">
        <v>860</v>
      </c>
      <c r="D66" s="118" t="s">
        <v>825</v>
      </c>
      <c r="E66" s="118" t="s">
        <v>855</v>
      </c>
      <c r="G66" s="118">
        <v>1</v>
      </c>
      <c r="H66" s="118">
        <v>4</v>
      </c>
      <c r="I66" s="118">
        <v>4</v>
      </c>
      <c r="J66" s="118">
        <v>12</v>
      </c>
      <c r="K66" s="118">
        <v>12</v>
      </c>
      <c r="P66" s="132" t="str">
        <f t="shared" si="1"/>
        <v>M2.5T24</v>
      </c>
    </row>
    <row r="67" spans="1:16">
      <c r="A67" s="120">
        <v>45063</v>
      </c>
      <c r="B67" s="118" t="s">
        <v>851</v>
      </c>
      <c r="C67" s="118" t="s">
        <v>877</v>
      </c>
      <c r="D67" s="118" t="s">
        <v>825</v>
      </c>
      <c r="E67" s="118" t="s">
        <v>855</v>
      </c>
      <c r="G67" s="118">
        <v>1</v>
      </c>
      <c r="H67" s="118">
        <v>4</v>
      </c>
      <c r="I67" s="118">
        <v>4</v>
      </c>
      <c r="J67" s="118">
        <v>12</v>
      </c>
      <c r="K67" s="118">
        <v>12</v>
      </c>
      <c r="P67" s="132" t="str">
        <f t="shared" si="1"/>
        <v>Φ48</v>
      </c>
    </row>
    <row r="68" spans="1:16">
      <c r="A68" s="120">
        <v>44995</v>
      </c>
      <c r="B68" s="118" t="s">
        <v>852</v>
      </c>
      <c r="C68" s="118" t="s">
        <v>874</v>
      </c>
      <c r="D68" s="118" t="s">
        <v>825</v>
      </c>
      <c r="E68" s="118" t="s">
        <v>855</v>
      </c>
      <c r="G68" s="118">
        <v>1</v>
      </c>
      <c r="H68" s="118">
        <v>4</v>
      </c>
      <c r="I68" s="118">
        <v>4</v>
      </c>
      <c r="J68" s="118">
        <v>12</v>
      </c>
      <c r="K68" s="118">
        <v>12</v>
      </c>
      <c r="P68" s="132" t="str">
        <f t="shared" si="1"/>
        <v>M0.8T24</v>
      </c>
    </row>
    <row r="69" spans="1:16">
      <c r="A69" s="120">
        <v>44833</v>
      </c>
      <c r="B69" s="118" t="s">
        <v>853</v>
      </c>
      <c r="C69" s="118" t="s">
        <v>854</v>
      </c>
      <c r="D69" s="118" t="s">
        <v>825</v>
      </c>
      <c r="E69" s="118" t="s">
        <v>855</v>
      </c>
      <c r="G69" s="118">
        <v>1</v>
      </c>
      <c r="H69" s="118">
        <v>4</v>
      </c>
      <c r="I69" s="118">
        <v>4</v>
      </c>
      <c r="J69" s="118">
        <v>12</v>
      </c>
      <c r="K69" s="118">
        <v>12</v>
      </c>
      <c r="P69" s="132" t="str">
        <f t="shared" si="1"/>
        <v>M2T55</v>
      </c>
    </row>
    <row r="70" spans="1:16">
      <c r="A70" s="120"/>
    </row>
    <row r="71" spans="1:16">
      <c r="A71" s="120"/>
    </row>
    <row r="72" spans="1:16">
      <c r="A72" s="120"/>
    </row>
    <row r="73" spans="1:16">
      <c r="A73" s="120"/>
    </row>
    <row r="74" spans="1:16">
      <c r="A74" s="120"/>
    </row>
    <row r="75" spans="1:16">
      <c r="A75" s="120"/>
    </row>
    <row r="76" spans="1:16">
      <c r="A76" s="120"/>
    </row>
    <row r="77" spans="1:16">
      <c r="A77" s="120"/>
    </row>
    <row r="78" spans="1:16">
      <c r="A78" s="120"/>
    </row>
    <row r="79" spans="1:16">
      <c r="A79" s="120"/>
    </row>
    <row r="80" spans="1:16">
      <c r="A80" s="120"/>
    </row>
    <row r="81" spans="1:1">
      <c r="A81" s="120"/>
    </row>
    <row r="82" spans="1:1">
      <c r="A82" s="120"/>
    </row>
    <row r="83" spans="1:1">
      <c r="A83" s="120"/>
    </row>
    <row r="84" spans="1:1">
      <c r="A84" s="120"/>
    </row>
    <row r="85" spans="1:1">
      <c r="A85" s="120"/>
    </row>
    <row r="86" spans="1:1">
      <c r="A86" s="120"/>
    </row>
    <row r="87" spans="1:1">
      <c r="A87" s="120"/>
    </row>
    <row r="88" spans="1:1">
      <c r="A88" s="120"/>
    </row>
    <row r="89" spans="1:1">
      <c r="A89" s="120"/>
    </row>
    <row r="90" spans="1:1">
      <c r="A90" s="120"/>
    </row>
    <row r="91" spans="1:1">
      <c r="A91" s="120"/>
    </row>
    <row r="92" spans="1:1">
      <c r="A92" s="120"/>
    </row>
    <row r="93" spans="1:1">
      <c r="A93" s="120"/>
    </row>
    <row r="94" spans="1:1">
      <c r="A94" s="120"/>
    </row>
    <row r="95" spans="1:1">
      <c r="A95" s="120"/>
    </row>
    <row r="96" spans="1:1">
      <c r="A96" s="120"/>
    </row>
    <row r="97" spans="1:1">
      <c r="A97" s="120"/>
    </row>
    <row r="98" spans="1:1">
      <c r="A98" s="120"/>
    </row>
    <row r="99" spans="1:1">
      <c r="A99" s="120"/>
    </row>
    <row r="100" spans="1:1">
      <c r="A100" s="120"/>
    </row>
    <row r="101" spans="1:1">
      <c r="A101" s="120"/>
    </row>
    <row r="102" spans="1:1">
      <c r="A102" s="120"/>
    </row>
  </sheetData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B3686-794F-4F29-9F8D-F1E85F6B5DFC}">
  <sheetPr codeName="工作表9"/>
  <dimension ref="A1:L100"/>
  <sheetViews>
    <sheetView workbookViewId="0">
      <selection activeCell="A2" sqref="A2:XFD13"/>
    </sheetView>
  </sheetViews>
  <sheetFormatPr defaultColWidth="8.77734375" defaultRowHeight="15.6"/>
  <cols>
    <col min="1" max="1" width="16.33203125" style="121" customWidth="1"/>
    <col min="2" max="2" width="27.33203125" style="118" customWidth="1"/>
    <col min="3" max="3" width="32" style="118" bestFit="1" customWidth="1"/>
    <col min="4" max="4" width="23.88671875" style="118" bestFit="1" customWidth="1"/>
    <col min="5" max="5" width="11.44140625" style="118" customWidth="1"/>
    <col min="6" max="12" width="4.77734375" style="118" customWidth="1"/>
    <col min="13" max="16384" width="8.77734375" style="118"/>
  </cols>
  <sheetData>
    <row r="1" spans="1:12">
      <c r="A1" s="122" t="s">
        <v>756</v>
      </c>
      <c r="B1" s="117" t="s">
        <v>741</v>
      </c>
      <c r="C1" s="117" t="s">
        <v>742</v>
      </c>
      <c r="D1" s="117" t="s">
        <v>744</v>
      </c>
      <c r="E1" s="117" t="s">
        <v>743</v>
      </c>
      <c r="F1" s="118">
        <v>1</v>
      </c>
      <c r="G1" s="118">
        <v>2</v>
      </c>
      <c r="H1" s="118">
        <v>3</v>
      </c>
      <c r="I1" s="118">
        <v>4</v>
      </c>
      <c r="J1" s="118">
        <v>5</v>
      </c>
      <c r="K1" s="118">
        <v>6</v>
      </c>
      <c r="L1" s="118">
        <v>7</v>
      </c>
    </row>
    <row r="2" spans="1:12">
      <c r="A2" s="120">
        <v>45610</v>
      </c>
      <c r="B2" s="119" t="s">
        <v>705</v>
      </c>
      <c r="C2" s="119" t="s">
        <v>701</v>
      </c>
      <c r="D2" s="119" t="s">
        <v>706</v>
      </c>
      <c r="E2" s="119" t="s">
        <v>702</v>
      </c>
    </row>
    <row r="3" spans="1:12">
      <c r="A3" s="120">
        <v>45608</v>
      </c>
      <c r="B3" s="119" t="s">
        <v>707</v>
      </c>
      <c r="C3" s="119" t="s">
        <v>745</v>
      </c>
      <c r="D3" s="119" t="s">
        <v>708</v>
      </c>
      <c r="E3" s="119" t="s">
        <v>702</v>
      </c>
    </row>
    <row r="4" spans="1:12">
      <c r="A4" s="120">
        <v>45534</v>
      </c>
      <c r="B4" s="119" t="s">
        <v>709</v>
      </c>
      <c r="C4" s="119" t="s">
        <v>710</v>
      </c>
      <c r="D4" s="119" t="s">
        <v>711</v>
      </c>
      <c r="E4" s="119" t="s">
        <v>702</v>
      </c>
    </row>
    <row r="5" spans="1:12">
      <c r="A5" s="120">
        <v>45509</v>
      </c>
      <c r="B5" s="119" t="s">
        <v>712</v>
      </c>
      <c r="C5" s="119" t="s">
        <v>746</v>
      </c>
      <c r="D5" s="119" t="s">
        <v>713</v>
      </c>
      <c r="E5" s="119" t="s">
        <v>702</v>
      </c>
    </row>
    <row r="6" spans="1:12">
      <c r="A6" s="120">
        <v>45471</v>
      </c>
      <c r="B6" s="119" t="s">
        <v>714</v>
      </c>
      <c r="C6" s="119" t="s">
        <v>715</v>
      </c>
      <c r="D6" s="119" t="s">
        <v>708</v>
      </c>
      <c r="E6" s="119" t="s">
        <v>702</v>
      </c>
    </row>
    <row r="7" spans="1:12">
      <c r="A7" s="120">
        <v>45391</v>
      </c>
      <c r="B7" s="119" t="s">
        <v>716</v>
      </c>
      <c r="C7" s="119" t="s">
        <v>745</v>
      </c>
      <c r="D7" s="119" t="s">
        <v>708</v>
      </c>
      <c r="E7" s="119" t="s">
        <v>702</v>
      </c>
    </row>
    <row r="8" spans="1:12">
      <c r="A8" s="120">
        <v>45377</v>
      </c>
      <c r="B8" s="119" t="s">
        <v>717</v>
      </c>
      <c r="C8" s="119" t="s">
        <v>747</v>
      </c>
      <c r="D8" s="119" t="s">
        <v>718</v>
      </c>
      <c r="E8" s="119" t="s">
        <v>702</v>
      </c>
    </row>
    <row r="9" spans="1:12">
      <c r="A9" s="120">
        <v>45267</v>
      </c>
      <c r="B9" s="119" t="s">
        <v>719</v>
      </c>
      <c r="C9" s="119" t="s">
        <v>720</v>
      </c>
      <c r="D9" s="119" t="s">
        <v>708</v>
      </c>
      <c r="E9" s="119" t="s">
        <v>702</v>
      </c>
    </row>
    <row r="10" spans="1:12">
      <c r="A10" s="120">
        <v>45260</v>
      </c>
      <c r="B10" s="119" t="s">
        <v>721</v>
      </c>
      <c r="C10" s="119" t="s">
        <v>722</v>
      </c>
      <c r="D10" s="119" t="s">
        <v>708</v>
      </c>
      <c r="E10" s="119" t="s">
        <v>702</v>
      </c>
    </row>
    <row r="11" spans="1:12">
      <c r="A11" s="120">
        <v>45180</v>
      </c>
      <c r="B11" s="119" t="s">
        <v>723</v>
      </c>
      <c r="C11" s="119" t="s">
        <v>748</v>
      </c>
      <c r="D11" s="119" t="s">
        <v>708</v>
      </c>
      <c r="E11" s="119" t="s">
        <v>702</v>
      </c>
    </row>
    <row r="12" spans="1:12">
      <c r="A12" s="120">
        <v>45148</v>
      </c>
      <c r="B12" s="119" t="s">
        <v>724</v>
      </c>
      <c r="C12" s="119" t="s">
        <v>745</v>
      </c>
      <c r="D12" s="119" t="s">
        <v>725</v>
      </c>
      <c r="E12" s="119" t="s">
        <v>702</v>
      </c>
    </row>
    <row r="13" spans="1:12">
      <c r="A13" s="120">
        <v>45146</v>
      </c>
      <c r="B13" s="119" t="s">
        <v>726</v>
      </c>
      <c r="C13" s="119" t="s">
        <v>749</v>
      </c>
      <c r="D13" s="119" t="s">
        <v>727</v>
      </c>
      <c r="E13" s="119" t="s">
        <v>702</v>
      </c>
    </row>
    <row r="14" spans="1:12">
      <c r="A14" s="120">
        <v>45086</v>
      </c>
      <c r="B14" s="119" t="s">
        <v>728</v>
      </c>
      <c r="C14" s="119" t="s">
        <v>750</v>
      </c>
      <c r="D14" s="119" t="s">
        <v>729</v>
      </c>
      <c r="E14" s="119" t="s">
        <v>702</v>
      </c>
    </row>
    <row r="15" spans="1:12">
      <c r="A15" s="120">
        <v>44995</v>
      </c>
      <c r="B15" s="119" t="s">
        <v>730</v>
      </c>
      <c r="C15" s="119" t="s">
        <v>751</v>
      </c>
      <c r="D15" s="119" t="s">
        <v>727</v>
      </c>
      <c r="E15" s="119" t="s">
        <v>702</v>
      </c>
    </row>
    <row r="16" spans="1:12">
      <c r="A16" s="120">
        <v>44785</v>
      </c>
      <c r="B16" s="119" t="s">
        <v>731</v>
      </c>
      <c r="C16" s="119" t="s">
        <v>752</v>
      </c>
      <c r="D16" s="119" t="s">
        <v>732</v>
      </c>
      <c r="E16" s="119" t="s">
        <v>702</v>
      </c>
    </row>
    <row r="17" spans="1:5">
      <c r="A17" s="120">
        <v>44706</v>
      </c>
      <c r="B17" s="119" t="s">
        <v>733</v>
      </c>
      <c r="C17" s="119" t="s">
        <v>753</v>
      </c>
      <c r="D17" s="119" t="s">
        <v>734</v>
      </c>
      <c r="E17" s="119" t="s">
        <v>702</v>
      </c>
    </row>
    <row r="18" spans="1:5">
      <c r="A18" s="120">
        <v>44637</v>
      </c>
      <c r="B18" s="119" t="s">
        <v>735</v>
      </c>
      <c r="C18" s="119" t="s">
        <v>748</v>
      </c>
      <c r="D18" s="119" t="s">
        <v>708</v>
      </c>
      <c r="E18" s="119" t="s">
        <v>702</v>
      </c>
    </row>
    <row r="19" spans="1:5">
      <c r="A19" s="120">
        <v>44362</v>
      </c>
      <c r="B19" s="119" t="s">
        <v>736</v>
      </c>
      <c r="C19" s="119" t="s">
        <v>748</v>
      </c>
      <c r="D19" s="119" t="s">
        <v>737</v>
      </c>
      <c r="E19" s="119" t="s">
        <v>702</v>
      </c>
    </row>
    <row r="20" spans="1:5">
      <c r="A20" s="120">
        <v>44319</v>
      </c>
      <c r="B20" s="119" t="s">
        <v>738</v>
      </c>
      <c r="C20" s="119" t="s">
        <v>739</v>
      </c>
      <c r="D20" s="119" t="s">
        <v>740</v>
      </c>
      <c r="E20" s="119" t="s">
        <v>702</v>
      </c>
    </row>
    <row r="21" spans="1:5">
      <c r="A21" s="120" t="s">
        <v>784</v>
      </c>
      <c r="B21" s="118" t="s">
        <v>757</v>
      </c>
      <c r="C21" s="118" t="s">
        <v>758</v>
      </c>
      <c r="D21" s="118" t="s">
        <v>759</v>
      </c>
      <c r="E21" s="118" t="s">
        <v>760</v>
      </c>
    </row>
    <row r="22" spans="1:5">
      <c r="A22" s="120" t="s">
        <v>785</v>
      </c>
      <c r="B22" s="118" t="s">
        <v>761</v>
      </c>
      <c r="C22" s="118" t="s">
        <v>800</v>
      </c>
      <c r="D22" s="118" t="s">
        <v>762</v>
      </c>
      <c r="E22" s="118" t="s">
        <v>760</v>
      </c>
    </row>
    <row r="23" spans="1:5">
      <c r="A23" s="120" t="s">
        <v>785</v>
      </c>
      <c r="B23" s="118" t="s">
        <v>763</v>
      </c>
      <c r="C23" s="118" t="s">
        <v>801</v>
      </c>
      <c r="D23" s="118" t="s">
        <v>802</v>
      </c>
      <c r="E23" s="118" t="s">
        <v>760</v>
      </c>
    </row>
    <row r="24" spans="1:5">
      <c r="A24" s="120" t="s">
        <v>786</v>
      </c>
      <c r="B24" s="118" t="s">
        <v>764</v>
      </c>
      <c r="C24" s="118" t="s">
        <v>803</v>
      </c>
      <c r="D24" s="118" t="s">
        <v>762</v>
      </c>
      <c r="E24" s="118" t="s">
        <v>760</v>
      </c>
    </row>
    <row r="25" spans="1:5">
      <c r="A25" s="120" t="s">
        <v>787</v>
      </c>
      <c r="B25" s="118" t="s">
        <v>765</v>
      </c>
      <c r="C25" s="118" t="s">
        <v>766</v>
      </c>
      <c r="D25" s="118" t="s">
        <v>708</v>
      </c>
      <c r="E25" s="118" t="s">
        <v>760</v>
      </c>
    </row>
    <row r="26" spans="1:5">
      <c r="A26" s="120" t="s">
        <v>788</v>
      </c>
      <c r="B26" s="118" t="s">
        <v>767</v>
      </c>
      <c r="C26" s="118" t="s">
        <v>804</v>
      </c>
      <c r="D26" s="118" t="s">
        <v>768</v>
      </c>
      <c r="E26" s="118" t="s">
        <v>760</v>
      </c>
    </row>
    <row r="27" spans="1:5">
      <c r="A27" s="120" t="s">
        <v>789</v>
      </c>
      <c r="B27" s="118" t="s">
        <v>769</v>
      </c>
      <c r="C27" s="118" t="s">
        <v>805</v>
      </c>
      <c r="D27" s="118" t="s">
        <v>770</v>
      </c>
      <c r="E27" s="118" t="s">
        <v>760</v>
      </c>
    </row>
    <row r="28" spans="1:5">
      <c r="A28" s="120" t="s">
        <v>790</v>
      </c>
      <c r="B28" s="118" t="s">
        <v>771</v>
      </c>
      <c r="C28" s="118" t="s">
        <v>806</v>
      </c>
      <c r="D28" s="118" t="s">
        <v>772</v>
      </c>
      <c r="E28" s="118" t="s">
        <v>760</v>
      </c>
    </row>
    <row r="29" spans="1:5">
      <c r="A29" s="120" t="s">
        <v>791</v>
      </c>
      <c r="B29" s="118" t="s">
        <v>773</v>
      </c>
      <c r="C29" s="118" t="s">
        <v>807</v>
      </c>
      <c r="D29" s="118" t="s">
        <v>762</v>
      </c>
      <c r="E29" s="118" t="s">
        <v>760</v>
      </c>
    </row>
    <row r="30" spans="1:5">
      <c r="A30" s="120" t="s">
        <v>792</v>
      </c>
      <c r="B30" s="118" t="s">
        <v>774</v>
      </c>
      <c r="C30" s="118" t="s">
        <v>766</v>
      </c>
      <c r="D30" s="118" t="s">
        <v>708</v>
      </c>
      <c r="E30" s="118" t="s">
        <v>760</v>
      </c>
    </row>
    <row r="31" spans="1:5">
      <c r="A31" s="120" t="s">
        <v>793</v>
      </c>
      <c r="B31" s="118" t="s">
        <v>775</v>
      </c>
      <c r="C31" s="118" t="s">
        <v>808</v>
      </c>
      <c r="D31" s="118" t="s">
        <v>762</v>
      </c>
      <c r="E31" s="118" t="s">
        <v>760</v>
      </c>
    </row>
    <row r="32" spans="1:5">
      <c r="A32" s="120" t="s">
        <v>794</v>
      </c>
      <c r="B32" s="118" t="s">
        <v>776</v>
      </c>
      <c r="C32" s="118" t="s">
        <v>809</v>
      </c>
      <c r="D32" s="118" t="s">
        <v>762</v>
      </c>
      <c r="E32" s="118" t="s">
        <v>760</v>
      </c>
    </row>
    <row r="33" spans="1:5">
      <c r="A33" s="120" t="s">
        <v>795</v>
      </c>
      <c r="B33" s="118" t="s">
        <v>777</v>
      </c>
      <c r="C33" s="118" t="s">
        <v>809</v>
      </c>
      <c r="D33" s="118" t="s">
        <v>762</v>
      </c>
      <c r="E33" s="118" t="s">
        <v>760</v>
      </c>
    </row>
    <row r="34" spans="1:5">
      <c r="A34" s="120" t="s">
        <v>796</v>
      </c>
      <c r="B34" s="118" t="s">
        <v>778</v>
      </c>
      <c r="C34" s="118" t="s">
        <v>766</v>
      </c>
      <c r="D34" s="118" t="s">
        <v>762</v>
      </c>
      <c r="E34" s="118" t="s">
        <v>760</v>
      </c>
    </row>
    <row r="35" spans="1:5">
      <c r="A35" s="120" t="s">
        <v>797</v>
      </c>
      <c r="B35" s="118" t="s">
        <v>779</v>
      </c>
      <c r="C35" s="118" t="s">
        <v>807</v>
      </c>
      <c r="D35" s="118" t="s">
        <v>812</v>
      </c>
      <c r="E35" s="118" t="s">
        <v>760</v>
      </c>
    </row>
    <row r="36" spans="1:5">
      <c r="A36" s="120" t="s">
        <v>798</v>
      </c>
      <c r="B36" s="118" t="s">
        <v>780</v>
      </c>
      <c r="C36" s="118" t="s">
        <v>811</v>
      </c>
      <c r="D36" s="118" t="s">
        <v>812</v>
      </c>
      <c r="E36" s="118" t="s">
        <v>760</v>
      </c>
    </row>
    <row r="37" spans="1:5">
      <c r="A37" s="120" t="s">
        <v>798</v>
      </c>
      <c r="B37" s="118" t="s">
        <v>781</v>
      </c>
      <c r="C37" s="118" t="s">
        <v>810</v>
      </c>
      <c r="D37" s="118" t="s">
        <v>812</v>
      </c>
      <c r="E37" s="118" t="s">
        <v>760</v>
      </c>
    </row>
    <row r="38" spans="1:5">
      <c r="A38" s="120" t="s">
        <v>798</v>
      </c>
      <c r="B38" s="118" t="s">
        <v>782</v>
      </c>
      <c r="C38" s="118" t="s">
        <v>813</v>
      </c>
      <c r="D38" s="118" t="s">
        <v>812</v>
      </c>
      <c r="E38" s="118" t="s">
        <v>760</v>
      </c>
    </row>
    <row r="39" spans="1:5">
      <c r="A39" s="120" t="s">
        <v>799</v>
      </c>
      <c r="B39" s="118" t="s">
        <v>783</v>
      </c>
      <c r="C39" s="118" t="s">
        <v>814</v>
      </c>
      <c r="D39" s="118" t="s">
        <v>812</v>
      </c>
      <c r="E39" s="118" t="s">
        <v>760</v>
      </c>
    </row>
    <row r="40" spans="1:5">
      <c r="A40" s="120">
        <v>45477</v>
      </c>
      <c r="B40" s="118" t="s">
        <v>816</v>
      </c>
      <c r="C40" s="118" t="s">
        <v>817</v>
      </c>
      <c r="D40" s="118" t="s">
        <v>708</v>
      </c>
      <c r="E40" s="118" t="s">
        <v>815</v>
      </c>
    </row>
    <row r="41" spans="1:5">
      <c r="A41" s="120">
        <v>45371</v>
      </c>
      <c r="B41" s="118" t="s">
        <v>818</v>
      </c>
      <c r="C41" s="118" t="s">
        <v>819</v>
      </c>
      <c r="D41" s="118" t="s">
        <v>708</v>
      </c>
      <c r="E41" s="118" t="s">
        <v>815</v>
      </c>
    </row>
    <row r="42" spans="1:5">
      <c r="A42" s="120">
        <v>45273</v>
      </c>
      <c r="B42" s="118" t="s">
        <v>820</v>
      </c>
      <c r="C42" s="118" t="s">
        <v>821</v>
      </c>
      <c r="D42" s="118" t="s">
        <v>708</v>
      </c>
      <c r="E42" s="118" t="s">
        <v>815</v>
      </c>
    </row>
    <row r="43" spans="1:5">
      <c r="A43" s="120">
        <v>45097</v>
      </c>
      <c r="B43" s="118" t="s">
        <v>822</v>
      </c>
      <c r="C43" s="118" t="s">
        <v>819</v>
      </c>
      <c r="D43" s="118" t="s">
        <v>823</v>
      </c>
      <c r="E43" s="118" t="s">
        <v>815</v>
      </c>
    </row>
    <row r="44" spans="1:5">
      <c r="A44" s="120">
        <v>45589</v>
      </c>
      <c r="B44" s="118" t="s">
        <v>824</v>
      </c>
      <c r="C44" s="118" t="s">
        <v>861</v>
      </c>
      <c r="D44" s="118" t="s">
        <v>825</v>
      </c>
      <c r="E44" s="118" t="s">
        <v>855</v>
      </c>
    </row>
    <row r="45" spans="1:5">
      <c r="A45" s="120">
        <v>45569</v>
      </c>
      <c r="B45" s="118" t="s">
        <v>826</v>
      </c>
      <c r="C45" s="118" t="s">
        <v>856</v>
      </c>
      <c r="D45" s="118" t="s">
        <v>827</v>
      </c>
      <c r="E45" s="118" t="s">
        <v>855</v>
      </c>
    </row>
    <row r="46" spans="1:5">
      <c r="A46" s="120">
        <v>45541</v>
      </c>
      <c r="B46" s="118" t="s">
        <v>828</v>
      </c>
      <c r="C46" s="118" t="s">
        <v>829</v>
      </c>
      <c r="D46" s="118" t="s">
        <v>825</v>
      </c>
      <c r="E46" s="118" t="s">
        <v>855</v>
      </c>
    </row>
    <row r="47" spans="1:5">
      <c r="A47" s="120">
        <v>45541</v>
      </c>
      <c r="B47" s="118" t="s">
        <v>830</v>
      </c>
      <c r="C47" s="118" t="s">
        <v>866</v>
      </c>
      <c r="D47" s="118" t="s">
        <v>831</v>
      </c>
      <c r="E47" s="118" t="s">
        <v>855</v>
      </c>
    </row>
    <row r="48" spans="1:5">
      <c r="A48" s="120">
        <v>45483</v>
      </c>
      <c r="B48" s="118" t="s">
        <v>833</v>
      </c>
      <c r="C48" s="118" t="s">
        <v>872</v>
      </c>
      <c r="D48" s="118" t="s">
        <v>834</v>
      </c>
      <c r="E48" s="118" t="s">
        <v>855</v>
      </c>
    </row>
    <row r="49" spans="1:5">
      <c r="A49" s="120">
        <v>45477</v>
      </c>
      <c r="B49" s="118" t="s">
        <v>832</v>
      </c>
      <c r="C49" s="118" t="s">
        <v>870</v>
      </c>
      <c r="D49" s="118" t="s">
        <v>827</v>
      </c>
      <c r="E49" s="118" t="s">
        <v>855</v>
      </c>
    </row>
    <row r="50" spans="1:5">
      <c r="A50" s="120">
        <v>45418</v>
      </c>
      <c r="B50" s="118" t="s">
        <v>835</v>
      </c>
      <c r="C50" s="118" t="s">
        <v>862</v>
      </c>
      <c r="D50" s="118" t="s">
        <v>825</v>
      </c>
      <c r="E50" s="118" t="s">
        <v>855</v>
      </c>
    </row>
    <row r="51" spans="1:5">
      <c r="A51" s="120">
        <v>45406</v>
      </c>
      <c r="B51" s="118" t="s">
        <v>836</v>
      </c>
      <c r="C51" s="118" t="s">
        <v>873</v>
      </c>
      <c r="D51" s="118" t="s">
        <v>825</v>
      </c>
      <c r="E51" s="118" t="s">
        <v>855</v>
      </c>
    </row>
    <row r="52" spans="1:5">
      <c r="A52" s="120">
        <v>45384</v>
      </c>
      <c r="B52" s="118" t="s">
        <v>837</v>
      </c>
      <c r="C52" s="118" t="s">
        <v>857</v>
      </c>
      <c r="D52" s="118" t="s">
        <v>825</v>
      </c>
      <c r="E52" s="118" t="s">
        <v>855</v>
      </c>
    </row>
    <row r="53" spans="1:5">
      <c r="A53" s="120">
        <v>45384</v>
      </c>
      <c r="B53" s="118" t="s">
        <v>838</v>
      </c>
      <c r="C53" s="118" t="s">
        <v>858</v>
      </c>
      <c r="D53" s="118" t="s">
        <v>825</v>
      </c>
      <c r="E53" s="118" t="s">
        <v>855</v>
      </c>
    </row>
    <row r="54" spans="1:5">
      <c r="A54" s="120">
        <v>45351</v>
      </c>
      <c r="B54" s="118" t="s">
        <v>839</v>
      </c>
      <c r="C54" s="118" t="s">
        <v>871</v>
      </c>
      <c r="D54" s="118" t="s">
        <v>825</v>
      </c>
      <c r="E54" s="118" t="s">
        <v>855</v>
      </c>
    </row>
    <row r="55" spans="1:5">
      <c r="A55" s="120">
        <v>45317</v>
      </c>
      <c r="B55" s="118" t="s">
        <v>840</v>
      </c>
      <c r="C55" s="118" t="s">
        <v>859</v>
      </c>
      <c r="D55" s="118" t="s">
        <v>825</v>
      </c>
      <c r="E55" s="118" t="s">
        <v>855</v>
      </c>
    </row>
    <row r="56" spans="1:5">
      <c r="A56" s="120">
        <v>45310</v>
      </c>
      <c r="B56" s="118" t="s">
        <v>841</v>
      </c>
      <c r="C56" s="118" t="s">
        <v>863</v>
      </c>
      <c r="D56" s="118" t="s">
        <v>827</v>
      </c>
      <c r="E56" s="118" t="s">
        <v>855</v>
      </c>
    </row>
    <row r="57" spans="1:5">
      <c r="A57" s="120">
        <v>45229</v>
      </c>
      <c r="B57" s="118" t="s">
        <v>842</v>
      </c>
      <c r="C57" s="118" t="s">
        <v>867</v>
      </c>
      <c r="D57" s="118" t="s">
        <v>843</v>
      </c>
      <c r="E57" s="118" t="s">
        <v>855</v>
      </c>
    </row>
    <row r="58" spans="1:5">
      <c r="A58" s="120">
        <v>45229</v>
      </c>
      <c r="B58" s="118" t="s">
        <v>844</v>
      </c>
      <c r="C58" s="118" t="s">
        <v>875</v>
      </c>
      <c r="D58" s="118" t="s">
        <v>825</v>
      </c>
      <c r="E58" s="118" t="s">
        <v>855</v>
      </c>
    </row>
    <row r="59" spans="1:5">
      <c r="A59" s="120">
        <v>45229</v>
      </c>
      <c r="B59" s="118" t="s">
        <v>845</v>
      </c>
      <c r="C59" s="118" t="s">
        <v>876</v>
      </c>
      <c r="D59" s="118" t="s">
        <v>825</v>
      </c>
      <c r="E59" s="118" t="s">
        <v>855</v>
      </c>
    </row>
    <row r="60" spans="1:5">
      <c r="A60" s="120">
        <v>45229</v>
      </c>
      <c r="B60" s="118" t="s">
        <v>846</v>
      </c>
      <c r="C60" s="118" t="s">
        <v>868</v>
      </c>
      <c r="D60" s="118" t="s">
        <v>843</v>
      </c>
      <c r="E60" s="118" t="s">
        <v>855</v>
      </c>
    </row>
    <row r="61" spans="1:5">
      <c r="A61" s="120">
        <v>45197</v>
      </c>
      <c r="B61" s="118" t="s">
        <v>847</v>
      </c>
      <c r="C61" s="118" t="s">
        <v>864</v>
      </c>
      <c r="D61" s="118" t="s">
        <v>825</v>
      </c>
      <c r="E61" s="118" t="s">
        <v>855</v>
      </c>
    </row>
    <row r="62" spans="1:5">
      <c r="A62" s="120">
        <v>45145</v>
      </c>
      <c r="B62" s="118" t="s">
        <v>848</v>
      </c>
      <c r="C62" s="118" t="s">
        <v>869</v>
      </c>
      <c r="D62" s="118" t="s">
        <v>825</v>
      </c>
      <c r="E62" s="118" t="s">
        <v>855</v>
      </c>
    </row>
    <row r="63" spans="1:5">
      <c r="A63" s="120">
        <v>45105</v>
      </c>
      <c r="B63" s="118" t="s">
        <v>849</v>
      </c>
      <c r="C63" s="118" t="s">
        <v>865</v>
      </c>
      <c r="D63" s="118" t="s">
        <v>825</v>
      </c>
      <c r="E63" s="118" t="s">
        <v>855</v>
      </c>
    </row>
    <row r="64" spans="1:5">
      <c r="A64" s="120">
        <v>45089</v>
      </c>
      <c r="B64" s="118" t="s">
        <v>850</v>
      </c>
      <c r="C64" s="118" t="s">
        <v>860</v>
      </c>
      <c r="D64" s="118" t="s">
        <v>825</v>
      </c>
      <c r="E64" s="118" t="s">
        <v>855</v>
      </c>
    </row>
    <row r="65" spans="1:5">
      <c r="A65" s="120">
        <v>45063</v>
      </c>
      <c r="B65" s="118" t="s">
        <v>851</v>
      </c>
      <c r="C65" s="118" t="s">
        <v>877</v>
      </c>
      <c r="D65" s="118" t="s">
        <v>825</v>
      </c>
      <c r="E65" s="118" t="s">
        <v>855</v>
      </c>
    </row>
    <row r="66" spans="1:5">
      <c r="A66" s="120">
        <v>44995</v>
      </c>
      <c r="B66" s="118" t="s">
        <v>852</v>
      </c>
      <c r="C66" s="118" t="s">
        <v>874</v>
      </c>
      <c r="D66" s="118" t="s">
        <v>825</v>
      </c>
      <c r="E66" s="118" t="s">
        <v>855</v>
      </c>
    </row>
    <row r="67" spans="1:5">
      <c r="A67" s="120">
        <v>44833</v>
      </c>
      <c r="B67" s="118" t="s">
        <v>853</v>
      </c>
      <c r="C67" s="118" t="s">
        <v>854</v>
      </c>
      <c r="D67" s="118" t="s">
        <v>825</v>
      </c>
      <c r="E67" s="118" t="s">
        <v>855</v>
      </c>
    </row>
    <row r="68" spans="1:5">
      <c r="A68" s="120"/>
    </row>
    <row r="69" spans="1:5">
      <c r="A69" s="120"/>
    </row>
    <row r="70" spans="1:5">
      <c r="A70" s="120"/>
    </row>
    <row r="71" spans="1:5">
      <c r="A71" s="120"/>
    </row>
    <row r="72" spans="1:5">
      <c r="A72" s="120"/>
    </row>
    <row r="73" spans="1:5">
      <c r="A73" s="120"/>
    </row>
    <row r="74" spans="1:5">
      <c r="A74" s="120"/>
    </row>
    <row r="75" spans="1:5">
      <c r="A75" s="120"/>
    </row>
    <row r="76" spans="1:5">
      <c r="A76" s="120"/>
    </row>
    <row r="77" spans="1:5">
      <c r="A77" s="120"/>
    </row>
    <row r="78" spans="1:5">
      <c r="A78" s="120"/>
    </row>
    <row r="79" spans="1:5">
      <c r="A79" s="120"/>
    </row>
    <row r="80" spans="1:5">
      <c r="A80" s="120"/>
    </row>
    <row r="81" spans="1:1">
      <c r="A81" s="120"/>
    </row>
    <row r="82" spans="1:1">
      <c r="A82" s="120"/>
    </row>
    <row r="83" spans="1:1">
      <c r="A83" s="120"/>
    </row>
    <row r="84" spans="1:1">
      <c r="A84" s="120"/>
    </row>
    <row r="85" spans="1:1">
      <c r="A85" s="120"/>
    </row>
    <row r="86" spans="1:1">
      <c r="A86" s="120"/>
    </row>
    <row r="87" spans="1:1">
      <c r="A87" s="120"/>
    </row>
    <row r="88" spans="1:1">
      <c r="A88" s="120"/>
    </row>
    <row r="89" spans="1:1">
      <c r="A89" s="120"/>
    </row>
    <row r="90" spans="1:1">
      <c r="A90" s="120"/>
    </row>
    <row r="91" spans="1:1">
      <c r="A91" s="120"/>
    </row>
    <row r="92" spans="1:1">
      <c r="A92" s="120"/>
    </row>
    <row r="93" spans="1:1">
      <c r="A93" s="120"/>
    </row>
    <row r="94" spans="1:1">
      <c r="A94" s="120"/>
    </row>
    <row r="95" spans="1:1">
      <c r="A95" s="120"/>
    </row>
    <row r="96" spans="1:1">
      <c r="A96" s="120"/>
    </row>
    <row r="97" spans="1:1">
      <c r="A97" s="120"/>
    </row>
    <row r="98" spans="1:1">
      <c r="A98" s="120"/>
    </row>
    <row r="99" spans="1:1">
      <c r="A99" s="120"/>
    </row>
    <row r="100" spans="1:1">
      <c r="A100" s="120"/>
    </row>
  </sheetData>
  <autoFilter ref="A1:H142" xr:uid="{8F4B3686-794F-4F29-9F8D-F1E85F6B5DFC}"/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L180"/>
  <sheetViews>
    <sheetView tabSelected="1" topLeftCell="D1" zoomScaleNormal="100" workbookViewId="0">
      <pane ySplit="1" topLeftCell="A2" activePane="bottomLeft" state="frozen"/>
      <selection pane="bottomLeft" activeCell="I10" sqref="I10"/>
    </sheetView>
  </sheetViews>
  <sheetFormatPr defaultColWidth="9" defaultRowHeight="16.2"/>
  <cols>
    <col min="1" max="1" width="11.6640625" style="26" hidden="1" customWidth="1"/>
    <col min="2" max="2" width="16.109375" style="27" hidden="1" customWidth="1"/>
    <col min="3" max="3" width="6.44140625" style="26" hidden="1" customWidth="1"/>
    <col min="4" max="4" width="9" style="31"/>
    <col min="5" max="5" width="17.33203125" style="32" bestFit="1" customWidth="1"/>
    <col min="6" max="6" width="18.33203125" style="27" bestFit="1" customWidth="1"/>
    <col min="7" max="7" width="13.88671875" style="27" bestFit="1" customWidth="1"/>
    <col min="8" max="8" width="18.33203125" style="27" bestFit="1" customWidth="1"/>
    <col min="9" max="9" width="13.88671875" style="27" bestFit="1" customWidth="1"/>
    <col min="10" max="12" width="9" style="27"/>
    <col min="13" max="16384" width="9" style="26"/>
  </cols>
  <sheetData>
    <row r="1" spans="1:11" ht="32.4">
      <c r="A1" s="29" t="s">
        <v>11</v>
      </c>
      <c r="D1" s="40" t="s">
        <v>178</v>
      </c>
      <c r="E1" s="42" t="s">
        <v>222</v>
      </c>
      <c r="F1" s="39" t="s">
        <v>57</v>
      </c>
      <c r="G1" s="272" t="s">
        <v>946</v>
      </c>
      <c r="H1" s="273"/>
      <c r="I1" s="273"/>
      <c r="J1" s="273"/>
      <c r="K1" s="273"/>
    </row>
    <row r="2" spans="1:11">
      <c r="A2" s="26">
        <v>1</v>
      </c>
      <c r="B2" s="27" t="s">
        <v>42</v>
      </c>
      <c r="D2" s="33">
        <v>1</v>
      </c>
      <c r="E2" s="43" t="s">
        <v>68</v>
      </c>
      <c r="F2" s="27" t="s">
        <v>170</v>
      </c>
      <c r="G2" s="27" t="s">
        <v>171</v>
      </c>
      <c r="H2" s="27" t="s">
        <v>172</v>
      </c>
    </row>
    <row r="3" spans="1:11">
      <c r="A3" s="26">
        <v>2</v>
      </c>
      <c r="B3" s="27" t="s">
        <v>44</v>
      </c>
      <c r="D3" s="33">
        <v>2</v>
      </c>
      <c r="E3" s="43" t="s">
        <v>224</v>
      </c>
      <c r="F3" s="27" t="s">
        <v>70</v>
      </c>
      <c r="G3" s="27" t="s">
        <v>173</v>
      </c>
      <c r="H3" s="27" t="s">
        <v>169</v>
      </c>
      <c r="I3" s="27" t="s">
        <v>174</v>
      </c>
    </row>
    <row r="4" spans="1:11">
      <c r="A4" s="26">
        <v>3</v>
      </c>
      <c r="B4" s="27" t="s">
        <v>45</v>
      </c>
      <c r="D4" s="33">
        <v>4</v>
      </c>
      <c r="E4" s="44" t="s">
        <v>77</v>
      </c>
      <c r="F4" s="27" t="s">
        <v>71</v>
      </c>
      <c r="G4" s="27" t="s">
        <v>72</v>
      </c>
    </row>
    <row r="5" spans="1:11">
      <c r="A5" s="26">
        <v>4</v>
      </c>
      <c r="B5" s="27" t="s">
        <v>45</v>
      </c>
      <c r="D5" s="33">
        <v>8</v>
      </c>
      <c r="E5" s="44" t="s">
        <v>78</v>
      </c>
      <c r="F5" s="27" t="s">
        <v>175</v>
      </c>
      <c r="G5" s="27" t="s">
        <v>176</v>
      </c>
      <c r="H5" s="27" t="s">
        <v>180</v>
      </c>
    </row>
    <row r="6" spans="1:11">
      <c r="A6" s="26">
        <v>5</v>
      </c>
      <c r="B6" s="27" t="s">
        <v>45</v>
      </c>
      <c r="D6" s="33">
        <v>10</v>
      </c>
      <c r="E6" s="44" t="s">
        <v>79</v>
      </c>
      <c r="F6" s="27" t="s">
        <v>158</v>
      </c>
      <c r="G6" s="27" t="s">
        <v>177</v>
      </c>
    </row>
    <row r="7" spans="1:11">
      <c r="A7" s="26">
        <v>6</v>
      </c>
      <c r="B7" s="27" t="s">
        <v>45</v>
      </c>
      <c r="D7" s="33">
        <v>11</v>
      </c>
      <c r="E7" s="44" t="s">
        <v>80</v>
      </c>
      <c r="F7" s="27" t="s">
        <v>158</v>
      </c>
    </row>
    <row r="8" spans="1:11">
      <c r="A8" s="26">
        <v>7</v>
      </c>
      <c r="B8" s="27" t="s">
        <v>47</v>
      </c>
      <c r="D8" s="33">
        <v>12</v>
      </c>
      <c r="E8" s="44" t="s">
        <v>81</v>
      </c>
      <c r="F8" s="27" t="s">
        <v>185</v>
      </c>
      <c r="G8" s="27" t="s">
        <v>184</v>
      </c>
    </row>
    <row r="9" spans="1:11">
      <c r="A9" s="26">
        <v>8</v>
      </c>
      <c r="B9" s="27" t="s">
        <v>48</v>
      </c>
      <c r="D9" s="33">
        <v>9</v>
      </c>
      <c r="E9" s="44" t="s">
        <v>82</v>
      </c>
      <c r="F9" s="27" t="s">
        <v>179</v>
      </c>
      <c r="G9" s="27" t="s">
        <v>934</v>
      </c>
    </row>
    <row r="10" spans="1:11" ht="23.4">
      <c r="A10" s="26">
        <v>9</v>
      </c>
      <c r="B10" s="34" t="s">
        <v>67</v>
      </c>
      <c r="D10" s="33">
        <v>15</v>
      </c>
      <c r="E10" s="44" t="s">
        <v>83</v>
      </c>
      <c r="F10" s="27" t="s">
        <v>180</v>
      </c>
      <c r="G10" s="27" t="s">
        <v>174</v>
      </c>
    </row>
    <row r="11" spans="1:11" ht="23.4">
      <c r="A11" s="26">
        <v>10</v>
      </c>
      <c r="B11" s="34" t="s">
        <v>66</v>
      </c>
      <c r="D11" s="33">
        <v>16</v>
      </c>
      <c r="E11" s="44" t="s">
        <v>84</v>
      </c>
      <c r="F11" s="27" t="s">
        <v>73</v>
      </c>
    </row>
    <row r="12" spans="1:11">
      <c r="D12" s="33">
        <v>19</v>
      </c>
      <c r="E12" s="44" t="s">
        <v>85</v>
      </c>
      <c r="F12" s="27" t="s">
        <v>70</v>
      </c>
      <c r="G12" s="27" t="s">
        <v>173</v>
      </c>
      <c r="H12" s="27" t="s">
        <v>169</v>
      </c>
    </row>
    <row r="13" spans="1:11">
      <c r="D13" s="33">
        <v>21</v>
      </c>
      <c r="E13" s="44" t="s">
        <v>86</v>
      </c>
      <c r="F13" s="27" t="s">
        <v>74</v>
      </c>
    </row>
    <row r="14" spans="1:11">
      <c r="D14" s="33">
        <v>22</v>
      </c>
      <c r="E14" s="44" t="s">
        <v>87</v>
      </c>
      <c r="F14" s="27" t="s">
        <v>75</v>
      </c>
    </row>
    <row r="15" spans="1:11">
      <c r="A15" s="30" t="s">
        <v>653</v>
      </c>
      <c r="B15" s="30" t="s">
        <v>654</v>
      </c>
      <c r="D15" s="33">
        <v>25</v>
      </c>
      <c r="E15" s="44" t="s">
        <v>88</v>
      </c>
      <c r="F15" s="27" t="s">
        <v>573</v>
      </c>
      <c r="G15" s="27" t="s">
        <v>574</v>
      </c>
    </row>
    <row r="16" spans="1:11">
      <c r="A16" s="26" t="s">
        <v>672</v>
      </c>
      <c r="B16" s="26" t="s">
        <v>673</v>
      </c>
      <c r="D16" s="33">
        <v>27</v>
      </c>
      <c r="E16" s="44" t="s">
        <v>89</v>
      </c>
      <c r="F16" s="27" t="s">
        <v>71</v>
      </c>
      <c r="G16" s="27" t="s">
        <v>72</v>
      </c>
    </row>
    <row r="17" spans="1:8">
      <c r="A17" s="26" t="s">
        <v>656</v>
      </c>
      <c r="B17" s="26" t="s">
        <v>658</v>
      </c>
      <c r="D17" s="33">
        <v>34</v>
      </c>
      <c r="E17" s="44" t="s">
        <v>90</v>
      </c>
      <c r="F17" s="27" t="s">
        <v>71</v>
      </c>
      <c r="G17" s="27" t="s">
        <v>72</v>
      </c>
    </row>
    <row r="18" spans="1:8">
      <c r="B18" s="26" t="s">
        <v>662</v>
      </c>
      <c r="D18" s="33">
        <v>37</v>
      </c>
      <c r="E18" s="44" t="s">
        <v>91</v>
      </c>
      <c r="F18" s="27" t="s">
        <v>76</v>
      </c>
    </row>
    <row r="19" spans="1:8">
      <c r="B19" s="26" t="s">
        <v>660</v>
      </c>
      <c r="D19" s="33">
        <v>39</v>
      </c>
      <c r="E19" s="44" t="s">
        <v>92</v>
      </c>
      <c r="F19" s="27" t="s">
        <v>188</v>
      </c>
    </row>
    <row r="20" spans="1:8">
      <c r="B20" s="26" t="s">
        <v>664</v>
      </c>
      <c r="D20" s="33">
        <v>42</v>
      </c>
      <c r="E20" s="44" t="s">
        <v>93</v>
      </c>
      <c r="F20" s="27" t="s">
        <v>180</v>
      </c>
      <c r="G20" s="27" t="s">
        <v>174</v>
      </c>
    </row>
    <row r="21" spans="1:8">
      <c r="B21" s="26" t="s">
        <v>666</v>
      </c>
      <c r="D21" s="33">
        <v>43</v>
      </c>
      <c r="E21" s="44" t="s">
        <v>94</v>
      </c>
      <c r="F21" s="27" t="s">
        <v>70</v>
      </c>
      <c r="G21" s="27" t="s">
        <v>173</v>
      </c>
      <c r="H21" s="27" t="s">
        <v>169</v>
      </c>
    </row>
    <row r="22" spans="1:8">
      <c r="B22" s="26" t="s">
        <v>668</v>
      </c>
      <c r="D22" s="33">
        <v>48</v>
      </c>
      <c r="E22" s="44" t="s">
        <v>95</v>
      </c>
      <c r="F22" s="27" t="s">
        <v>158</v>
      </c>
    </row>
    <row r="23" spans="1:8">
      <c r="B23" s="26" t="s">
        <v>670</v>
      </c>
      <c r="D23" s="33">
        <v>50</v>
      </c>
      <c r="E23" s="44" t="s">
        <v>96</v>
      </c>
      <c r="F23" s="27" t="s">
        <v>175</v>
      </c>
      <c r="G23" s="27" t="s">
        <v>176</v>
      </c>
      <c r="H23" s="27" t="s">
        <v>180</v>
      </c>
    </row>
    <row r="24" spans="1:8">
      <c r="B24" s="26" t="s">
        <v>675</v>
      </c>
      <c r="D24" s="33">
        <v>51</v>
      </c>
      <c r="E24" s="44" t="s">
        <v>97</v>
      </c>
      <c r="F24" s="27" t="s">
        <v>175</v>
      </c>
      <c r="G24" s="27" t="s">
        <v>176</v>
      </c>
      <c r="H24" s="27" t="s">
        <v>180</v>
      </c>
    </row>
    <row r="25" spans="1:8">
      <c r="D25" s="33">
        <v>56</v>
      </c>
      <c r="E25" s="44" t="s">
        <v>98</v>
      </c>
      <c r="F25" s="27" t="s">
        <v>158</v>
      </c>
    </row>
    <row r="26" spans="1:8">
      <c r="D26" s="33">
        <v>61</v>
      </c>
      <c r="E26" s="44" t="s">
        <v>99</v>
      </c>
      <c r="F26" s="27" t="s">
        <v>158</v>
      </c>
    </row>
    <row r="27" spans="1:8">
      <c r="D27" s="33">
        <v>62</v>
      </c>
      <c r="E27" s="44" t="s">
        <v>100</v>
      </c>
      <c r="F27" s="27" t="s">
        <v>158</v>
      </c>
    </row>
    <row r="28" spans="1:8">
      <c r="D28" s="33">
        <v>74</v>
      </c>
      <c r="E28" s="44" t="s">
        <v>92</v>
      </c>
      <c r="F28" s="27" t="s">
        <v>188</v>
      </c>
    </row>
    <row r="29" spans="1:8">
      <c r="D29" s="33">
        <v>75</v>
      </c>
      <c r="E29" s="44" t="s">
        <v>101</v>
      </c>
      <c r="F29" s="27" t="s">
        <v>170</v>
      </c>
      <c r="G29" s="27" t="s">
        <v>171</v>
      </c>
      <c r="H29" s="27" t="s">
        <v>172</v>
      </c>
    </row>
    <row r="30" spans="1:8">
      <c r="D30" s="33">
        <v>84</v>
      </c>
      <c r="E30" s="44" t="s">
        <v>102</v>
      </c>
      <c r="F30" s="27" t="s">
        <v>202</v>
      </c>
    </row>
    <row r="31" spans="1:8">
      <c r="D31" s="33">
        <v>87</v>
      </c>
      <c r="E31" s="44" t="s">
        <v>103</v>
      </c>
      <c r="F31" s="27" t="s">
        <v>159</v>
      </c>
      <c r="G31" s="27" t="s">
        <v>163</v>
      </c>
    </row>
    <row r="32" spans="1:8">
      <c r="D32" s="33">
        <v>88</v>
      </c>
      <c r="E32" s="44" t="s">
        <v>104</v>
      </c>
      <c r="F32" s="27" t="s">
        <v>160</v>
      </c>
    </row>
    <row r="33" spans="4:8">
      <c r="D33" s="33">
        <v>89</v>
      </c>
      <c r="E33" s="44" t="s">
        <v>105</v>
      </c>
      <c r="F33" s="27" t="s">
        <v>161</v>
      </c>
      <c r="G33" s="27" t="s">
        <v>162</v>
      </c>
    </row>
    <row r="34" spans="4:8">
      <c r="D34" s="33">
        <v>91</v>
      </c>
      <c r="E34" s="44" t="s">
        <v>106</v>
      </c>
      <c r="F34" s="27" t="s">
        <v>158</v>
      </c>
    </row>
    <row r="35" spans="4:8">
      <c r="D35" s="33">
        <v>92</v>
      </c>
      <c r="E35" s="44" t="s">
        <v>107</v>
      </c>
      <c r="F35" s="27" t="s">
        <v>164</v>
      </c>
    </row>
    <row r="36" spans="4:8">
      <c r="D36" s="33">
        <v>100</v>
      </c>
      <c r="E36" s="44" t="s">
        <v>108</v>
      </c>
      <c r="F36" s="27" t="s">
        <v>187</v>
      </c>
    </row>
    <row r="37" spans="4:8">
      <c r="D37" s="33">
        <v>102</v>
      </c>
      <c r="E37" s="44" t="s">
        <v>109</v>
      </c>
      <c r="F37" s="27" t="s">
        <v>70</v>
      </c>
      <c r="G37" s="27" t="s">
        <v>173</v>
      </c>
      <c r="H37" s="27" t="s">
        <v>169</v>
      </c>
    </row>
    <row r="38" spans="4:8">
      <c r="D38" s="33">
        <v>104</v>
      </c>
      <c r="E38" s="44" t="s">
        <v>110</v>
      </c>
      <c r="F38" s="27" t="s">
        <v>187</v>
      </c>
    </row>
    <row r="39" spans="4:8">
      <c r="D39" s="33">
        <v>106</v>
      </c>
      <c r="E39" s="44" t="s">
        <v>111</v>
      </c>
      <c r="F39" s="27" t="s">
        <v>160</v>
      </c>
    </row>
    <row r="40" spans="4:8">
      <c r="D40" s="33">
        <v>107</v>
      </c>
      <c r="E40" s="44" t="s">
        <v>112</v>
      </c>
      <c r="F40" s="27" t="s">
        <v>165</v>
      </c>
    </row>
    <row r="41" spans="4:8">
      <c r="D41" s="33">
        <v>109</v>
      </c>
      <c r="E41" s="44" t="s">
        <v>150</v>
      </c>
      <c r="F41" s="27" t="s">
        <v>74</v>
      </c>
      <c r="G41" s="27" t="s">
        <v>166</v>
      </c>
    </row>
    <row r="42" spans="4:8">
      <c r="D42" s="33">
        <v>110</v>
      </c>
      <c r="E42" s="44" t="s">
        <v>87</v>
      </c>
      <c r="F42" s="27" t="s">
        <v>166</v>
      </c>
    </row>
    <row r="43" spans="4:8">
      <c r="D43" s="33">
        <v>111</v>
      </c>
      <c r="E43" s="44" t="s">
        <v>113</v>
      </c>
      <c r="F43" s="27" t="s">
        <v>167</v>
      </c>
    </row>
    <row r="44" spans="4:8">
      <c r="D44" s="33">
        <v>112</v>
      </c>
      <c r="E44" s="44" t="s">
        <v>114</v>
      </c>
      <c r="F44" s="27" t="s">
        <v>168</v>
      </c>
    </row>
    <row r="45" spans="4:8">
      <c r="D45" s="33">
        <v>113</v>
      </c>
      <c r="E45" s="44" t="s">
        <v>115</v>
      </c>
      <c r="F45" s="27" t="s">
        <v>169</v>
      </c>
    </row>
    <row r="46" spans="4:8">
      <c r="D46" s="33">
        <v>114</v>
      </c>
      <c r="E46" s="44" t="s">
        <v>151</v>
      </c>
      <c r="F46" s="27" t="s">
        <v>188</v>
      </c>
      <c r="G46" s="27" t="s">
        <v>189</v>
      </c>
    </row>
    <row r="47" spans="4:8">
      <c r="D47" s="33">
        <v>115</v>
      </c>
      <c r="E47" s="44" t="s">
        <v>116</v>
      </c>
      <c r="F47" s="27" t="s">
        <v>214</v>
      </c>
    </row>
    <row r="48" spans="4:8">
      <c r="D48" s="33">
        <v>116</v>
      </c>
      <c r="E48" s="44" t="s">
        <v>117</v>
      </c>
      <c r="F48" s="27" t="s">
        <v>70</v>
      </c>
      <c r="G48" s="27" t="s">
        <v>173</v>
      </c>
      <c r="H48" s="27" t="s">
        <v>169</v>
      </c>
    </row>
    <row r="49" spans="4:8">
      <c r="D49" s="33">
        <v>117</v>
      </c>
      <c r="E49" s="44" t="s">
        <v>118</v>
      </c>
      <c r="F49" s="27" t="s">
        <v>70</v>
      </c>
      <c r="G49" s="27" t="s">
        <v>173</v>
      </c>
      <c r="H49" s="27" t="s">
        <v>169</v>
      </c>
    </row>
    <row r="50" spans="4:8">
      <c r="D50" s="33">
        <v>118</v>
      </c>
      <c r="E50" s="44" t="s">
        <v>119</v>
      </c>
      <c r="F50" s="27" t="s">
        <v>583</v>
      </c>
      <c r="G50" s="27" t="s">
        <v>584</v>
      </c>
    </row>
    <row r="51" spans="4:8">
      <c r="D51" s="33">
        <v>119</v>
      </c>
      <c r="E51" s="44" t="s">
        <v>120</v>
      </c>
      <c r="F51" s="27" t="s">
        <v>188</v>
      </c>
      <c r="G51" s="27" t="s">
        <v>189</v>
      </c>
    </row>
    <row r="52" spans="4:8">
      <c r="D52" s="33">
        <v>120</v>
      </c>
      <c r="E52" s="44" t="s">
        <v>121</v>
      </c>
      <c r="F52" s="27" t="s">
        <v>194</v>
      </c>
    </row>
    <row r="53" spans="4:8">
      <c r="D53" s="33">
        <v>121</v>
      </c>
      <c r="E53" s="44" t="s">
        <v>152</v>
      </c>
      <c r="F53" s="27" t="s">
        <v>170</v>
      </c>
      <c r="G53" s="27" t="s">
        <v>171</v>
      </c>
      <c r="H53" s="27" t="s">
        <v>190</v>
      </c>
    </row>
    <row r="54" spans="4:8">
      <c r="D54" s="33">
        <v>123</v>
      </c>
      <c r="E54" s="44" t="s">
        <v>153</v>
      </c>
      <c r="F54" s="27" t="s">
        <v>170</v>
      </c>
      <c r="G54" s="27" t="s">
        <v>171</v>
      </c>
      <c r="H54" s="27" t="s">
        <v>169</v>
      </c>
    </row>
    <row r="55" spans="4:8">
      <c r="D55" s="33">
        <v>126</v>
      </c>
      <c r="E55" s="44" t="s">
        <v>122</v>
      </c>
      <c r="F55" s="27" t="s">
        <v>158</v>
      </c>
    </row>
    <row r="56" spans="4:8">
      <c r="D56" s="33">
        <v>127</v>
      </c>
      <c r="E56" s="44" t="s">
        <v>123</v>
      </c>
      <c r="F56" s="27" t="s">
        <v>186</v>
      </c>
    </row>
    <row r="57" spans="4:8">
      <c r="D57" s="33">
        <v>128</v>
      </c>
      <c r="E57" s="44" t="s">
        <v>154</v>
      </c>
      <c r="F57" s="27" t="s">
        <v>195</v>
      </c>
    </row>
    <row r="58" spans="4:8">
      <c r="D58" s="33">
        <v>129</v>
      </c>
      <c r="E58" s="44" t="s">
        <v>124</v>
      </c>
      <c r="F58" s="27" t="s">
        <v>196</v>
      </c>
    </row>
    <row r="59" spans="4:8">
      <c r="D59" s="33">
        <v>134</v>
      </c>
      <c r="E59" s="44" t="s">
        <v>125</v>
      </c>
      <c r="F59" s="27" t="s">
        <v>70</v>
      </c>
      <c r="G59" s="27" t="s">
        <v>173</v>
      </c>
      <c r="H59" s="27" t="s">
        <v>169</v>
      </c>
    </row>
    <row r="60" spans="4:8">
      <c r="D60" s="33">
        <v>135</v>
      </c>
      <c r="E60" s="44" t="s">
        <v>126</v>
      </c>
      <c r="F60" s="27" t="s">
        <v>193</v>
      </c>
    </row>
    <row r="61" spans="4:8">
      <c r="D61" s="33">
        <v>136</v>
      </c>
      <c r="E61" s="44" t="s">
        <v>127</v>
      </c>
      <c r="F61" s="27" t="s">
        <v>197</v>
      </c>
    </row>
    <row r="62" spans="4:8">
      <c r="D62" s="33">
        <v>137</v>
      </c>
      <c r="E62" s="44" t="s">
        <v>128</v>
      </c>
      <c r="F62" s="27" t="s">
        <v>198</v>
      </c>
    </row>
    <row r="63" spans="4:8">
      <c r="D63" s="33">
        <v>140</v>
      </c>
      <c r="E63" s="44" t="s">
        <v>129</v>
      </c>
      <c r="F63" s="27" t="s">
        <v>199</v>
      </c>
    </row>
    <row r="64" spans="4:8">
      <c r="D64" s="33">
        <v>144</v>
      </c>
      <c r="E64" s="44" t="s">
        <v>130</v>
      </c>
      <c r="F64" s="27" t="s">
        <v>188</v>
      </c>
    </row>
    <row r="65" spans="4:8">
      <c r="D65" s="33">
        <v>146</v>
      </c>
      <c r="E65" s="44" t="s">
        <v>131</v>
      </c>
      <c r="F65" s="27" t="s">
        <v>188</v>
      </c>
    </row>
    <row r="66" spans="4:8">
      <c r="D66" s="33">
        <v>147</v>
      </c>
      <c r="E66" s="44" t="s">
        <v>132</v>
      </c>
      <c r="F66" s="27" t="s">
        <v>200</v>
      </c>
    </row>
    <row r="67" spans="4:8">
      <c r="D67" s="33">
        <v>148</v>
      </c>
      <c r="E67" s="44" t="s">
        <v>155</v>
      </c>
      <c r="F67" s="27" t="s">
        <v>170</v>
      </c>
      <c r="G67" s="27" t="s">
        <v>171</v>
      </c>
      <c r="H67" s="27" t="s">
        <v>172</v>
      </c>
    </row>
    <row r="68" spans="4:8">
      <c r="D68" s="33">
        <v>149</v>
      </c>
      <c r="E68" s="44" t="s">
        <v>133</v>
      </c>
      <c r="F68" s="27" t="s">
        <v>201</v>
      </c>
    </row>
    <row r="69" spans="4:8">
      <c r="D69" s="33">
        <v>151</v>
      </c>
      <c r="E69" s="44" t="s">
        <v>134</v>
      </c>
      <c r="F69" s="27" t="s">
        <v>70</v>
      </c>
      <c r="G69" s="27" t="s">
        <v>173</v>
      </c>
      <c r="H69" s="27" t="s">
        <v>169</v>
      </c>
    </row>
    <row r="70" spans="4:8">
      <c r="D70" s="33">
        <v>152</v>
      </c>
      <c r="E70" s="44" t="s">
        <v>135</v>
      </c>
      <c r="F70" s="27" t="s">
        <v>213</v>
      </c>
    </row>
    <row r="71" spans="4:8">
      <c r="D71" s="33">
        <v>153</v>
      </c>
      <c r="E71" s="44" t="s">
        <v>136</v>
      </c>
      <c r="F71" s="27" t="s">
        <v>175</v>
      </c>
      <c r="G71" s="27" t="s">
        <v>176</v>
      </c>
      <c r="H71" s="27" t="s">
        <v>180</v>
      </c>
    </row>
    <row r="72" spans="4:8">
      <c r="D72" s="33">
        <v>155</v>
      </c>
      <c r="E72" s="44" t="s">
        <v>156</v>
      </c>
      <c r="F72" s="27" t="s">
        <v>170</v>
      </c>
      <c r="G72" s="27" t="s">
        <v>171</v>
      </c>
    </row>
    <row r="73" spans="4:8">
      <c r="D73" s="33">
        <v>156</v>
      </c>
      <c r="E73" s="44" t="s">
        <v>137</v>
      </c>
      <c r="F73" s="27" t="s">
        <v>185</v>
      </c>
      <c r="G73" s="27" t="s">
        <v>184</v>
      </c>
    </row>
    <row r="74" spans="4:8">
      <c r="D74" s="33">
        <v>158</v>
      </c>
      <c r="E74" s="44" t="s">
        <v>138</v>
      </c>
      <c r="F74" s="27" t="s">
        <v>70</v>
      </c>
      <c r="G74" s="27" t="s">
        <v>173</v>
      </c>
      <c r="H74" s="27" t="s">
        <v>169</v>
      </c>
    </row>
    <row r="75" spans="4:8">
      <c r="D75" s="33">
        <v>159</v>
      </c>
      <c r="E75" s="44" t="s">
        <v>139</v>
      </c>
      <c r="F75" s="27" t="s">
        <v>212</v>
      </c>
      <c r="G75" s="27" t="s">
        <v>195</v>
      </c>
    </row>
    <row r="76" spans="4:8">
      <c r="D76" s="33">
        <v>160</v>
      </c>
      <c r="E76" s="44" t="s">
        <v>140</v>
      </c>
      <c r="F76" s="27" t="s">
        <v>204</v>
      </c>
    </row>
    <row r="77" spans="4:8">
      <c r="D77" s="33">
        <v>162</v>
      </c>
      <c r="E77" s="44" t="s">
        <v>141</v>
      </c>
      <c r="F77" s="27" t="s">
        <v>191</v>
      </c>
      <c r="G77" s="27" t="s">
        <v>192</v>
      </c>
    </row>
    <row r="78" spans="4:8">
      <c r="D78" s="33">
        <v>170</v>
      </c>
      <c r="E78" s="44" t="s">
        <v>142</v>
      </c>
      <c r="F78" s="27" t="s">
        <v>205</v>
      </c>
      <c r="G78" s="27" t="s">
        <v>171</v>
      </c>
      <c r="H78" s="27" t="s">
        <v>206</v>
      </c>
    </row>
    <row r="79" spans="4:8">
      <c r="D79" s="33">
        <v>172</v>
      </c>
      <c r="E79" s="44" t="s">
        <v>143</v>
      </c>
      <c r="F79" s="27" t="s">
        <v>179</v>
      </c>
      <c r="G79" s="27" t="s">
        <v>207</v>
      </c>
      <c r="H79" s="27" t="s">
        <v>180</v>
      </c>
    </row>
    <row r="80" spans="4:8">
      <c r="D80" s="33">
        <v>173</v>
      </c>
      <c r="E80" s="44" t="s">
        <v>144</v>
      </c>
      <c r="F80" s="27" t="s">
        <v>208</v>
      </c>
    </row>
    <row r="81" spans="4:7">
      <c r="D81" s="33">
        <v>180</v>
      </c>
      <c r="E81" s="44" t="s">
        <v>145</v>
      </c>
      <c r="F81" s="27" t="s">
        <v>209</v>
      </c>
    </row>
    <row r="82" spans="4:7">
      <c r="D82" s="33">
        <v>181</v>
      </c>
      <c r="E82" s="44" t="s">
        <v>146</v>
      </c>
      <c r="F82" s="27" t="s">
        <v>210</v>
      </c>
    </row>
    <row r="83" spans="4:7">
      <c r="D83" s="33">
        <v>185</v>
      </c>
      <c r="E83" s="44" t="s">
        <v>147</v>
      </c>
      <c r="F83" s="27" t="s">
        <v>211</v>
      </c>
    </row>
    <row r="84" spans="4:7">
      <c r="D84" s="33">
        <v>188</v>
      </c>
      <c r="E84" s="44" t="s">
        <v>148</v>
      </c>
      <c r="F84" s="27" t="s">
        <v>203</v>
      </c>
    </row>
    <row r="85" spans="4:7">
      <c r="D85" s="33">
        <v>192</v>
      </c>
      <c r="E85" s="44" t="s">
        <v>149</v>
      </c>
      <c r="F85" s="27" t="s">
        <v>181</v>
      </c>
      <c r="G85" s="27" t="s">
        <v>182</v>
      </c>
    </row>
    <row r="86" spans="4:7">
      <c r="D86" s="33">
        <v>199</v>
      </c>
      <c r="E86" s="44" t="s">
        <v>69</v>
      </c>
      <c r="F86" s="27" t="s">
        <v>183</v>
      </c>
      <c r="G86" s="27" t="s">
        <v>184</v>
      </c>
    </row>
    <row r="87" spans="4:7">
      <c r="D87" s="33">
        <v>200</v>
      </c>
      <c r="E87" s="44" t="s">
        <v>157</v>
      </c>
      <c r="F87" s="27" t="s">
        <v>158</v>
      </c>
      <c r="G87" s="27" t="s">
        <v>164</v>
      </c>
    </row>
    <row r="88" spans="4:7">
      <c r="D88" s="33"/>
      <c r="E88" s="44"/>
    </row>
    <row r="89" spans="4:7">
      <c r="D89" s="33"/>
      <c r="E89" s="44"/>
    </row>
    <row r="90" spans="4:7">
      <c r="D90" s="33"/>
      <c r="E90" s="44"/>
    </row>
    <row r="91" spans="4:7">
      <c r="D91" s="33"/>
      <c r="E91" s="44"/>
    </row>
    <row r="92" spans="4:7">
      <c r="D92" s="33"/>
      <c r="E92" s="44"/>
    </row>
    <row r="93" spans="4:7">
      <c r="D93" s="33"/>
      <c r="E93" s="44"/>
    </row>
    <row r="94" spans="4:7">
      <c r="D94" s="33"/>
      <c r="E94" s="44"/>
    </row>
    <row r="95" spans="4:7">
      <c r="D95" s="33"/>
      <c r="E95" s="44"/>
    </row>
    <row r="96" spans="4:7">
      <c r="D96" s="33"/>
      <c r="E96" s="44"/>
    </row>
    <row r="97" spans="4:5">
      <c r="D97" s="33"/>
      <c r="E97" s="44"/>
    </row>
    <row r="98" spans="4:5">
      <c r="D98" s="33"/>
      <c r="E98" s="44"/>
    </row>
    <row r="99" spans="4:5">
      <c r="D99" s="33"/>
      <c r="E99" s="44"/>
    </row>
    <row r="100" spans="4:5">
      <c r="D100" s="33"/>
      <c r="E100" s="44"/>
    </row>
    <row r="101" spans="4:5">
      <c r="D101" s="33"/>
      <c r="E101" s="44"/>
    </row>
    <row r="102" spans="4:5">
      <c r="D102" s="33"/>
      <c r="E102" s="44"/>
    </row>
    <row r="103" spans="4:5">
      <c r="D103" s="33"/>
      <c r="E103" s="44"/>
    </row>
    <row r="104" spans="4:5">
      <c r="D104" s="33"/>
      <c r="E104" s="44"/>
    </row>
    <row r="105" spans="4:5">
      <c r="D105" s="33"/>
      <c r="E105" s="44"/>
    </row>
    <row r="106" spans="4:5">
      <c r="D106" s="33"/>
      <c r="E106" s="44"/>
    </row>
    <row r="107" spans="4:5">
      <c r="D107" s="33"/>
      <c r="E107" s="44"/>
    </row>
    <row r="108" spans="4:5">
      <c r="D108" s="33"/>
      <c r="E108" s="44"/>
    </row>
    <row r="109" spans="4:5">
      <c r="D109" s="33"/>
      <c r="E109" s="44"/>
    </row>
    <row r="110" spans="4:5">
      <c r="D110" s="33"/>
      <c r="E110" s="44"/>
    </row>
    <row r="111" spans="4:5">
      <c r="D111" s="33"/>
      <c r="E111" s="44"/>
    </row>
    <row r="112" spans="4:5">
      <c r="D112" s="33"/>
      <c r="E112" s="44"/>
    </row>
    <row r="113" spans="4:5">
      <c r="D113" s="33"/>
      <c r="E113" s="44"/>
    </row>
    <row r="114" spans="4:5">
      <c r="D114" s="33"/>
      <c r="E114" s="44"/>
    </row>
    <row r="115" spans="4:5">
      <c r="D115" s="33"/>
      <c r="E115" s="44"/>
    </row>
    <row r="116" spans="4:5">
      <c r="D116" s="33"/>
      <c r="E116" s="44"/>
    </row>
    <row r="117" spans="4:5">
      <c r="D117" s="33"/>
      <c r="E117" s="44"/>
    </row>
    <row r="118" spans="4:5">
      <c r="D118" s="33"/>
      <c r="E118" s="44"/>
    </row>
    <row r="119" spans="4:5">
      <c r="D119" s="33"/>
      <c r="E119" s="44"/>
    </row>
    <row r="120" spans="4:5">
      <c r="D120" s="33"/>
      <c r="E120" s="44"/>
    </row>
    <row r="121" spans="4:5">
      <c r="D121" s="33"/>
      <c r="E121" s="44"/>
    </row>
    <row r="122" spans="4:5">
      <c r="D122" s="33"/>
      <c r="E122" s="44"/>
    </row>
    <row r="123" spans="4:5">
      <c r="D123" s="33"/>
      <c r="E123" s="44"/>
    </row>
    <row r="124" spans="4:5">
      <c r="D124" s="33"/>
      <c r="E124" s="44"/>
    </row>
    <row r="125" spans="4:5">
      <c r="D125" s="33"/>
      <c r="E125" s="44"/>
    </row>
    <row r="126" spans="4:5">
      <c r="D126" s="33"/>
      <c r="E126" s="44"/>
    </row>
    <row r="127" spans="4:5">
      <c r="D127" s="33"/>
      <c r="E127" s="44"/>
    </row>
    <row r="128" spans="4:5">
      <c r="D128" s="33"/>
      <c r="E128" s="44"/>
    </row>
    <row r="129" spans="4:5">
      <c r="D129" s="33"/>
      <c r="E129" s="44"/>
    </row>
    <row r="130" spans="4:5">
      <c r="D130" s="33"/>
      <c r="E130" s="44"/>
    </row>
    <row r="131" spans="4:5">
      <c r="D131" s="33"/>
      <c r="E131" s="44"/>
    </row>
    <row r="132" spans="4:5">
      <c r="D132" s="33"/>
      <c r="E132" s="44"/>
    </row>
    <row r="133" spans="4:5">
      <c r="D133" s="33"/>
      <c r="E133" s="44"/>
    </row>
    <row r="134" spans="4:5">
      <c r="D134" s="33"/>
      <c r="E134" s="44"/>
    </row>
    <row r="135" spans="4:5">
      <c r="D135" s="33"/>
      <c r="E135" s="44"/>
    </row>
    <row r="136" spans="4:5">
      <c r="D136" s="33"/>
      <c r="E136" s="44"/>
    </row>
    <row r="137" spans="4:5">
      <c r="D137" s="33"/>
      <c r="E137" s="44"/>
    </row>
    <row r="138" spans="4:5">
      <c r="D138" s="33"/>
      <c r="E138" s="44"/>
    </row>
    <row r="139" spans="4:5">
      <c r="D139" s="33"/>
      <c r="E139" s="44"/>
    </row>
    <row r="140" spans="4:5">
      <c r="D140" s="33"/>
      <c r="E140" s="44"/>
    </row>
    <row r="141" spans="4:5">
      <c r="D141" s="33"/>
      <c r="E141" s="44"/>
    </row>
    <row r="142" spans="4:5">
      <c r="D142" s="33"/>
      <c r="E142" s="44"/>
    </row>
    <row r="143" spans="4:5">
      <c r="D143" s="33"/>
      <c r="E143" s="44"/>
    </row>
    <row r="144" spans="4:5">
      <c r="D144" s="33"/>
      <c r="E144" s="44"/>
    </row>
    <row r="145" spans="4:5">
      <c r="D145" s="33"/>
      <c r="E145" s="44"/>
    </row>
    <row r="146" spans="4:5">
      <c r="D146" s="33"/>
      <c r="E146" s="44"/>
    </row>
    <row r="147" spans="4:5">
      <c r="D147" s="33"/>
      <c r="E147" s="44"/>
    </row>
    <row r="148" spans="4:5">
      <c r="D148" s="33"/>
      <c r="E148" s="44"/>
    </row>
    <row r="149" spans="4:5">
      <c r="D149" s="33"/>
      <c r="E149" s="44"/>
    </row>
    <row r="150" spans="4:5">
      <c r="D150" s="33"/>
      <c r="E150" s="44"/>
    </row>
    <row r="151" spans="4:5">
      <c r="D151" s="33"/>
      <c r="E151" s="44"/>
    </row>
    <row r="152" spans="4:5">
      <c r="D152" s="33"/>
      <c r="E152" s="44"/>
    </row>
    <row r="153" spans="4:5">
      <c r="D153" s="33"/>
      <c r="E153" s="44"/>
    </row>
    <row r="154" spans="4:5">
      <c r="D154" s="33"/>
      <c r="E154" s="44"/>
    </row>
    <row r="155" spans="4:5">
      <c r="D155" s="33"/>
      <c r="E155" s="44"/>
    </row>
    <row r="156" spans="4:5">
      <c r="D156" s="33"/>
      <c r="E156" s="44"/>
    </row>
    <row r="157" spans="4:5">
      <c r="D157" s="33"/>
      <c r="E157" s="44"/>
    </row>
    <row r="158" spans="4:5">
      <c r="D158" s="33"/>
      <c r="E158" s="44"/>
    </row>
    <row r="159" spans="4:5">
      <c r="D159" s="33"/>
      <c r="E159" s="44"/>
    </row>
    <row r="160" spans="4:5">
      <c r="D160" s="33"/>
      <c r="E160" s="44"/>
    </row>
    <row r="161" spans="4:5">
      <c r="D161" s="33"/>
      <c r="E161" s="44"/>
    </row>
    <row r="162" spans="4:5">
      <c r="D162" s="33"/>
      <c r="E162" s="44"/>
    </row>
    <row r="163" spans="4:5">
      <c r="D163" s="33"/>
      <c r="E163" s="44"/>
    </row>
    <row r="164" spans="4:5">
      <c r="D164" s="33"/>
      <c r="E164" s="44"/>
    </row>
    <row r="165" spans="4:5">
      <c r="D165" s="33"/>
      <c r="E165" s="44"/>
    </row>
    <row r="166" spans="4:5">
      <c r="D166" s="33"/>
      <c r="E166" s="44"/>
    </row>
    <row r="167" spans="4:5">
      <c r="D167" s="33"/>
      <c r="E167" s="44"/>
    </row>
    <row r="168" spans="4:5">
      <c r="D168" s="33"/>
      <c r="E168" s="44"/>
    </row>
    <row r="169" spans="4:5">
      <c r="D169" s="33"/>
      <c r="E169" s="44"/>
    </row>
    <row r="170" spans="4:5">
      <c r="D170" s="33"/>
      <c r="E170" s="44"/>
    </row>
    <row r="171" spans="4:5">
      <c r="D171" s="33"/>
      <c r="E171" s="44"/>
    </row>
    <row r="172" spans="4:5">
      <c r="D172" s="33"/>
      <c r="E172" s="44"/>
    </row>
    <row r="173" spans="4:5">
      <c r="D173" s="33"/>
      <c r="E173" s="44"/>
    </row>
    <row r="174" spans="4:5">
      <c r="D174" s="33"/>
      <c r="E174" s="44"/>
    </row>
    <row r="175" spans="4:5">
      <c r="D175" s="33"/>
      <c r="E175" s="44"/>
    </row>
    <row r="176" spans="4:5">
      <c r="D176" s="33"/>
      <c r="E176" s="44"/>
    </row>
    <row r="177" spans="4:5">
      <c r="D177" s="33"/>
      <c r="E177" s="44"/>
    </row>
    <row r="178" spans="4:5">
      <c r="D178" s="33"/>
      <c r="E178" s="44"/>
    </row>
    <row r="179" spans="4:5">
      <c r="D179" s="33"/>
      <c r="E179" s="44"/>
    </row>
    <row r="180" spans="4:5">
      <c r="D180" s="33"/>
      <c r="E180" s="44"/>
    </row>
  </sheetData>
  <sortState xmlns:xlrd2="http://schemas.microsoft.com/office/spreadsheetml/2017/richdata2" ref="D2:E182">
    <sortCondition ref="D2:D182"/>
  </sortState>
  <mergeCells count="1">
    <mergeCell ref="G1:K1"/>
  </mergeCells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Q242"/>
  <sheetViews>
    <sheetView workbookViewId="0">
      <pane xSplit="3" ySplit="1" topLeftCell="D143" activePane="bottomRight" state="frozen"/>
      <selection pane="topRight" activeCell="D1" sqref="D1"/>
      <selection pane="bottomLeft" activeCell="A2" sqref="A2"/>
      <selection pane="bottomRight" activeCell="P151" sqref="P151"/>
    </sheetView>
  </sheetViews>
  <sheetFormatPr defaultColWidth="9" defaultRowHeight="16.2"/>
  <cols>
    <col min="1" max="1" width="10" style="69" customWidth="1"/>
    <col min="2" max="2" width="20.21875" style="26" customWidth="1"/>
    <col min="3" max="3" width="17" style="27" customWidth="1"/>
    <col min="4" max="4" width="11.6640625" style="27" bestFit="1" customWidth="1"/>
    <col min="5" max="5" width="14.33203125" style="68" customWidth="1"/>
    <col min="6" max="6" width="7.21875" style="32" customWidth="1"/>
    <col min="7" max="7" width="10" style="37" customWidth="1"/>
    <col min="8" max="8" width="9" style="32"/>
    <col min="9" max="9" width="9" style="26"/>
    <col min="10" max="10" width="9" style="77"/>
    <col min="11" max="11" width="9" style="32"/>
    <col min="12" max="12" width="20.88671875" style="70" customWidth="1"/>
    <col min="13" max="13" width="9" style="71"/>
    <col min="14" max="16" width="5.77734375" style="71" customWidth="1"/>
    <col min="17" max="17" width="11.109375" style="71" customWidth="1"/>
    <col min="18" max="16384" width="9" style="71"/>
  </cols>
  <sheetData>
    <row r="1" spans="1:17" s="32" customFormat="1" ht="48">
      <c r="A1" s="49" t="s">
        <v>225</v>
      </c>
      <c r="B1" s="38" t="s">
        <v>324</v>
      </c>
      <c r="C1" s="30" t="s">
        <v>57</v>
      </c>
      <c r="D1" s="30" t="s">
        <v>306</v>
      </c>
      <c r="E1" s="29" t="s">
        <v>309</v>
      </c>
      <c r="F1" s="65" t="s">
        <v>300</v>
      </c>
      <c r="G1" s="29" t="s">
        <v>56</v>
      </c>
      <c r="H1" s="65" t="s">
        <v>301</v>
      </c>
      <c r="I1" s="30" t="s">
        <v>218</v>
      </c>
      <c r="J1" s="76" t="s">
        <v>219</v>
      </c>
      <c r="K1" s="65" t="s">
        <v>302</v>
      </c>
      <c r="L1" s="29" t="s">
        <v>221</v>
      </c>
      <c r="N1" s="114" t="s">
        <v>8</v>
      </c>
      <c r="O1" s="114" t="s">
        <v>9</v>
      </c>
      <c r="P1" s="114" t="s">
        <v>10</v>
      </c>
      <c r="Q1" s="115" t="s">
        <v>703</v>
      </c>
    </row>
    <row r="2" spans="1:17" ht="32.4">
      <c r="A2" s="69" t="s">
        <v>325</v>
      </c>
      <c r="B2" s="43" t="s">
        <v>471</v>
      </c>
      <c r="C2" s="27" t="s">
        <v>606</v>
      </c>
      <c r="D2" s="27" t="s">
        <v>307</v>
      </c>
      <c r="E2" s="68" t="s">
        <v>320</v>
      </c>
      <c r="F2" s="32">
        <v>8</v>
      </c>
      <c r="G2" s="37" t="s">
        <v>625</v>
      </c>
      <c r="H2" s="32">
        <v>4</v>
      </c>
      <c r="I2" s="26" t="s">
        <v>671</v>
      </c>
      <c r="J2" s="77" t="s">
        <v>659</v>
      </c>
      <c r="K2" s="32">
        <v>5</v>
      </c>
      <c r="L2" s="37" t="s">
        <v>640</v>
      </c>
      <c r="M2" s="71">
        <f>F2*H2*K2</f>
        <v>160</v>
      </c>
      <c r="N2" s="71">
        <v>8</v>
      </c>
      <c r="O2" s="71">
        <v>1</v>
      </c>
      <c r="P2" s="71">
        <v>4</v>
      </c>
      <c r="Q2" s="71">
        <f>N2*O2*P2</f>
        <v>32</v>
      </c>
    </row>
    <row r="3" spans="1:17" ht="32.4">
      <c r="A3" s="69" t="s">
        <v>326</v>
      </c>
      <c r="B3" s="43" t="s">
        <v>473</v>
      </c>
      <c r="C3" s="27" t="s">
        <v>472</v>
      </c>
      <c r="D3" s="27" t="s">
        <v>308</v>
      </c>
      <c r="E3" s="68" t="s">
        <v>321</v>
      </c>
      <c r="F3" s="32">
        <v>7</v>
      </c>
      <c r="G3" s="37" t="s">
        <v>625</v>
      </c>
      <c r="H3" s="32">
        <v>1</v>
      </c>
      <c r="I3" s="26" t="s">
        <v>671</v>
      </c>
      <c r="J3" s="77" t="s">
        <v>659</v>
      </c>
      <c r="K3" s="32">
        <v>5</v>
      </c>
      <c r="L3" s="37" t="s">
        <v>640</v>
      </c>
      <c r="M3" s="71">
        <f t="shared" ref="M3:M66" si="0">F3*H3*K3</f>
        <v>35</v>
      </c>
      <c r="N3" s="71">
        <v>7</v>
      </c>
      <c r="O3" s="71">
        <v>1</v>
      </c>
      <c r="P3" s="71">
        <v>4</v>
      </c>
      <c r="Q3" s="71">
        <f t="shared" ref="Q3:Q66" si="1">N3*O3*P3</f>
        <v>28</v>
      </c>
    </row>
    <row r="4" spans="1:17" ht="32.4">
      <c r="A4" s="69" t="s">
        <v>327</v>
      </c>
      <c r="B4" s="43" t="s">
        <v>474</v>
      </c>
      <c r="C4" s="27" t="s">
        <v>475</v>
      </c>
      <c r="D4" s="27" t="s">
        <v>305</v>
      </c>
      <c r="E4" s="68" t="s">
        <v>322</v>
      </c>
      <c r="F4" s="32">
        <v>4</v>
      </c>
      <c r="G4" s="37" t="s">
        <v>625</v>
      </c>
      <c r="H4" s="32">
        <v>1</v>
      </c>
      <c r="I4" s="26" t="s">
        <v>671</v>
      </c>
      <c r="J4" s="77" t="s">
        <v>657</v>
      </c>
      <c r="K4" s="32">
        <v>5</v>
      </c>
      <c r="L4" s="37" t="s">
        <v>640</v>
      </c>
      <c r="M4" s="71">
        <f t="shared" si="0"/>
        <v>20</v>
      </c>
      <c r="N4" s="71">
        <v>4</v>
      </c>
      <c r="O4" s="71">
        <v>1</v>
      </c>
      <c r="P4" s="71">
        <v>3</v>
      </c>
      <c r="Q4" s="71">
        <f t="shared" si="1"/>
        <v>12</v>
      </c>
    </row>
    <row r="5" spans="1:17" ht="32.4">
      <c r="A5" s="69" t="s">
        <v>328</v>
      </c>
      <c r="B5" s="43" t="s">
        <v>468</v>
      </c>
      <c r="C5" s="27" t="s">
        <v>469</v>
      </c>
      <c r="D5" s="27" t="s">
        <v>303</v>
      </c>
      <c r="E5" s="68" t="s">
        <v>320</v>
      </c>
      <c r="F5" s="32">
        <v>8</v>
      </c>
      <c r="G5" s="37" t="s">
        <v>625</v>
      </c>
      <c r="H5" s="32">
        <v>3</v>
      </c>
      <c r="I5" s="26" t="s">
        <v>655</v>
      </c>
      <c r="J5" s="77" t="s">
        <v>659</v>
      </c>
      <c r="K5" s="32">
        <v>5</v>
      </c>
      <c r="L5" s="37" t="s">
        <v>640</v>
      </c>
      <c r="M5" s="71">
        <f t="shared" si="0"/>
        <v>120</v>
      </c>
      <c r="N5" s="71">
        <v>8</v>
      </c>
      <c r="O5" s="71">
        <v>2</v>
      </c>
      <c r="P5" s="71">
        <v>4</v>
      </c>
      <c r="Q5" s="71">
        <f t="shared" si="1"/>
        <v>64</v>
      </c>
    </row>
    <row r="6" spans="1:17" ht="32.4">
      <c r="A6" s="69" t="s">
        <v>329</v>
      </c>
      <c r="B6" s="43" t="s">
        <v>470</v>
      </c>
      <c r="C6" s="27" t="s">
        <v>476</v>
      </c>
      <c r="D6" s="27" t="s">
        <v>303</v>
      </c>
      <c r="E6" s="68" t="s">
        <v>320</v>
      </c>
      <c r="F6" s="32">
        <v>8</v>
      </c>
      <c r="G6" s="37" t="s">
        <v>625</v>
      </c>
      <c r="H6" s="32">
        <v>3</v>
      </c>
      <c r="I6" s="26" t="s">
        <v>655</v>
      </c>
      <c r="J6" s="77" t="s">
        <v>661</v>
      </c>
      <c r="K6" s="32">
        <v>5</v>
      </c>
      <c r="L6" s="37" t="s">
        <v>640</v>
      </c>
      <c r="M6" s="71">
        <f t="shared" si="0"/>
        <v>120</v>
      </c>
      <c r="N6" s="71">
        <v>8</v>
      </c>
      <c r="O6" s="71">
        <v>2</v>
      </c>
      <c r="P6" s="71">
        <v>4</v>
      </c>
      <c r="Q6" s="71">
        <f t="shared" si="1"/>
        <v>64</v>
      </c>
    </row>
    <row r="7" spans="1:17" ht="32.4">
      <c r="A7" s="69" t="s">
        <v>330</v>
      </c>
      <c r="B7" s="43" t="s">
        <v>477</v>
      </c>
      <c r="C7" s="27" t="s">
        <v>478</v>
      </c>
      <c r="D7" s="27" t="s">
        <v>303</v>
      </c>
      <c r="E7" s="68" t="s">
        <v>320</v>
      </c>
      <c r="F7" s="32">
        <v>4</v>
      </c>
      <c r="G7" s="37" t="s">
        <v>625</v>
      </c>
      <c r="H7" s="32">
        <v>3</v>
      </c>
      <c r="I7" s="26" t="s">
        <v>655</v>
      </c>
      <c r="J7" s="77" t="s">
        <v>661</v>
      </c>
      <c r="K7" s="32">
        <v>5</v>
      </c>
      <c r="L7" s="37" t="s">
        <v>640</v>
      </c>
      <c r="M7" s="71">
        <f t="shared" si="0"/>
        <v>60</v>
      </c>
      <c r="N7" s="71">
        <v>4</v>
      </c>
      <c r="O7" s="71">
        <v>1</v>
      </c>
      <c r="P7" s="71">
        <v>4</v>
      </c>
      <c r="Q7" s="71">
        <f t="shared" si="1"/>
        <v>16</v>
      </c>
    </row>
    <row r="8" spans="1:17" ht="32.4">
      <c r="A8" s="69" t="s">
        <v>331</v>
      </c>
      <c r="B8" s="43" t="s">
        <v>479</v>
      </c>
      <c r="C8" s="27" t="s">
        <v>480</v>
      </c>
      <c r="D8" s="27" t="s">
        <v>303</v>
      </c>
      <c r="E8" s="68" t="s">
        <v>320</v>
      </c>
      <c r="F8" s="32">
        <v>4</v>
      </c>
      <c r="G8" s="37" t="s">
        <v>625</v>
      </c>
      <c r="H8" s="32">
        <v>3</v>
      </c>
      <c r="I8" s="26" t="s">
        <v>655</v>
      </c>
      <c r="J8" s="77" t="s">
        <v>661</v>
      </c>
      <c r="K8" s="32">
        <v>5</v>
      </c>
      <c r="L8" s="37" t="s">
        <v>640</v>
      </c>
      <c r="M8" s="71">
        <f t="shared" si="0"/>
        <v>60</v>
      </c>
      <c r="N8" s="71">
        <v>4</v>
      </c>
      <c r="O8" s="71">
        <v>1</v>
      </c>
      <c r="P8" s="71">
        <v>4</v>
      </c>
      <c r="Q8" s="71">
        <f t="shared" si="1"/>
        <v>16</v>
      </c>
    </row>
    <row r="9" spans="1:17" ht="32.4">
      <c r="A9" s="69" t="s">
        <v>332</v>
      </c>
      <c r="B9" s="43" t="s">
        <v>481</v>
      </c>
      <c r="C9" s="68" t="s">
        <v>482</v>
      </c>
      <c r="D9" s="27" t="s">
        <v>310</v>
      </c>
      <c r="E9" s="68" t="s">
        <v>323</v>
      </c>
      <c r="F9" s="32">
        <v>8</v>
      </c>
      <c r="G9" s="37" t="s">
        <v>628</v>
      </c>
      <c r="H9" s="32">
        <v>2</v>
      </c>
      <c r="I9" s="26" t="s">
        <v>655</v>
      </c>
      <c r="J9" s="77" t="s">
        <v>663</v>
      </c>
      <c r="K9" s="32">
        <v>10</v>
      </c>
      <c r="L9" s="37" t="s">
        <v>640</v>
      </c>
      <c r="M9" s="71">
        <f t="shared" si="0"/>
        <v>160</v>
      </c>
      <c r="N9" s="71">
        <v>8</v>
      </c>
      <c r="O9" s="71">
        <v>1</v>
      </c>
      <c r="P9" s="71">
        <v>2</v>
      </c>
      <c r="Q9" s="71">
        <f t="shared" si="1"/>
        <v>16</v>
      </c>
    </row>
    <row r="10" spans="1:17" ht="32.4">
      <c r="A10" s="69" t="s">
        <v>333</v>
      </c>
      <c r="B10" s="43" t="s">
        <v>483</v>
      </c>
      <c r="C10" s="27" t="s">
        <v>588</v>
      </c>
      <c r="D10" s="27" t="s">
        <v>312</v>
      </c>
      <c r="E10" s="68" t="s">
        <v>587</v>
      </c>
      <c r="F10" s="32">
        <v>4</v>
      </c>
      <c r="G10" s="37" t="s">
        <v>629</v>
      </c>
      <c r="H10" s="32">
        <v>6</v>
      </c>
      <c r="I10" s="26" t="s">
        <v>671</v>
      </c>
      <c r="J10" s="77" t="s">
        <v>669</v>
      </c>
      <c r="K10" s="32">
        <v>10</v>
      </c>
      <c r="L10" s="37" t="s">
        <v>641</v>
      </c>
      <c r="M10" s="71">
        <f t="shared" si="0"/>
        <v>240</v>
      </c>
      <c r="N10" s="71">
        <v>4</v>
      </c>
      <c r="O10" s="71">
        <v>2</v>
      </c>
      <c r="P10" s="71">
        <v>6</v>
      </c>
      <c r="Q10" s="71">
        <f t="shared" si="1"/>
        <v>48</v>
      </c>
    </row>
    <row r="11" spans="1:17" ht="32.4">
      <c r="A11" s="69" t="s">
        <v>227</v>
      </c>
      <c r="B11" s="43" t="s">
        <v>500</v>
      </c>
      <c r="C11" s="27" t="s">
        <v>502</v>
      </c>
      <c r="D11" s="27" t="s">
        <v>303</v>
      </c>
      <c r="E11" s="68" t="s">
        <v>320</v>
      </c>
      <c r="F11" s="32">
        <v>4</v>
      </c>
      <c r="G11" s="37" t="s">
        <v>625</v>
      </c>
      <c r="H11" s="32">
        <v>3</v>
      </c>
      <c r="I11" s="26" t="s">
        <v>655</v>
      </c>
      <c r="J11" s="77" t="s">
        <v>661</v>
      </c>
      <c r="K11" s="32">
        <v>3</v>
      </c>
      <c r="L11" s="37" t="s">
        <v>640</v>
      </c>
      <c r="M11" s="71">
        <f t="shared" si="0"/>
        <v>36</v>
      </c>
      <c r="N11" s="71">
        <v>4</v>
      </c>
      <c r="O11" s="71">
        <v>2</v>
      </c>
      <c r="P11" s="71">
        <v>3</v>
      </c>
      <c r="Q11" s="71">
        <f t="shared" si="1"/>
        <v>24</v>
      </c>
    </row>
    <row r="12" spans="1:17" ht="32.4">
      <c r="A12" s="69" t="s">
        <v>334</v>
      </c>
      <c r="B12" s="43" t="s">
        <v>501</v>
      </c>
      <c r="C12" s="27" t="s">
        <v>503</v>
      </c>
      <c r="D12" s="27" t="s">
        <v>303</v>
      </c>
      <c r="E12" s="68" t="s">
        <v>323</v>
      </c>
      <c r="F12" s="32">
        <v>8</v>
      </c>
      <c r="G12" s="37" t="s">
        <v>625</v>
      </c>
      <c r="H12" s="32">
        <v>3</v>
      </c>
      <c r="I12" s="26" t="s">
        <v>655</v>
      </c>
      <c r="J12" s="77" t="s">
        <v>659</v>
      </c>
      <c r="K12" s="32">
        <v>3</v>
      </c>
      <c r="L12" s="37" t="s">
        <v>640</v>
      </c>
      <c r="M12" s="71">
        <f t="shared" si="0"/>
        <v>72</v>
      </c>
      <c r="N12" s="71">
        <v>8</v>
      </c>
      <c r="O12" s="71">
        <v>2</v>
      </c>
      <c r="P12" s="71">
        <v>3</v>
      </c>
      <c r="Q12" s="71">
        <f t="shared" si="1"/>
        <v>48</v>
      </c>
    </row>
    <row r="13" spans="1:17" ht="32.4">
      <c r="A13" s="69" t="s">
        <v>335</v>
      </c>
      <c r="B13" s="43" t="s">
        <v>485</v>
      </c>
      <c r="C13" s="27" t="s">
        <v>504</v>
      </c>
      <c r="D13" s="27" t="s">
        <v>303</v>
      </c>
      <c r="E13" s="68" t="s">
        <v>320</v>
      </c>
      <c r="F13" s="32">
        <v>4</v>
      </c>
      <c r="G13" s="37" t="s">
        <v>629</v>
      </c>
      <c r="H13" s="32">
        <v>3</v>
      </c>
      <c r="I13" s="26" t="s">
        <v>671</v>
      </c>
      <c r="J13" s="77" t="s">
        <v>657</v>
      </c>
      <c r="K13" s="32">
        <v>7</v>
      </c>
      <c r="L13" s="37" t="s">
        <v>640</v>
      </c>
      <c r="M13" s="71">
        <f t="shared" si="0"/>
        <v>84</v>
      </c>
      <c r="N13" s="71">
        <v>4</v>
      </c>
      <c r="O13" s="71">
        <v>1</v>
      </c>
      <c r="P13" s="71">
        <v>7</v>
      </c>
      <c r="Q13" s="71">
        <f t="shared" si="1"/>
        <v>28</v>
      </c>
    </row>
    <row r="14" spans="1:17" ht="32.4">
      <c r="A14" s="69" t="s">
        <v>336</v>
      </c>
      <c r="B14" s="43" t="s">
        <v>505</v>
      </c>
      <c r="C14" s="27" t="s">
        <v>507</v>
      </c>
      <c r="D14" s="27" t="s">
        <v>303</v>
      </c>
      <c r="E14" s="68" t="s">
        <v>508</v>
      </c>
      <c r="F14" s="32">
        <v>7</v>
      </c>
      <c r="G14" s="37" t="s">
        <v>630</v>
      </c>
      <c r="H14" s="32">
        <v>4</v>
      </c>
      <c r="I14" s="26" t="s">
        <v>655</v>
      </c>
      <c r="J14" s="77" t="s">
        <v>665</v>
      </c>
      <c r="K14" s="32">
        <v>6</v>
      </c>
      <c r="L14" s="37" t="s">
        <v>640</v>
      </c>
      <c r="M14" s="71">
        <f t="shared" si="0"/>
        <v>168</v>
      </c>
      <c r="N14" s="71">
        <v>7</v>
      </c>
      <c r="O14" s="71">
        <v>2</v>
      </c>
      <c r="P14" s="71">
        <v>6</v>
      </c>
      <c r="Q14" s="71">
        <f t="shared" si="1"/>
        <v>84</v>
      </c>
    </row>
    <row r="15" spans="1:17" ht="32.4">
      <c r="A15" s="69" t="s">
        <v>337</v>
      </c>
      <c r="B15" s="43" t="s">
        <v>486</v>
      </c>
      <c r="C15" s="27" t="s">
        <v>606</v>
      </c>
      <c r="D15" s="27" t="s">
        <v>303</v>
      </c>
      <c r="E15" s="68" t="s">
        <v>320</v>
      </c>
      <c r="F15" s="32">
        <v>4</v>
      </c>
      <c r="G15" s="37" t="s">
        <v>631</v>
      </c>
      <c r="H15" s="32">
        <v>4</v>
      </c>
      <c r="I15" s="26" t="s">
        <v>655</v>
      </c>
      <c r="J15" s="77" t="s">
        <v>657</v>
      </c>
      <c r="K15" s="32">
        <v>7</v>
      </c>
      <c r="L15" s="37" t="s">
        <v>640</v>
      </c>
      <c r="M15" s="71">
        <f t="shared" si="0"/>
        <v>112</v>
      </c>
      <c r="N15" s="71">
        <v>4</v>
      </c>
      <c r="O15" s="71">
        <v>2</v>
      </c>
      <c r="P15" s="71">
        <v>7</v>
      </c>
      <c r="Q15" s="71">
        <f t="shared" si="1"/>
        <v>56</v>
      </c>
    </row>
    <row r="16" spans="1:17" ht="32.4">
      <c r="A16" s="69" t="s">
        <v>338</v>
      </c>
      <c r="B16" s="43" t="s">
        <v>506</v>
      </c>
      <c r="C16" s="27" t="s">
        <v>507</v>
      </c>
      <c r="D16" s="27" t="s">
        <v>303</v>
      </c>
      <c r="E16" s="68" t="s">
        <v>508</v>
      </c>
      <c r="F16" s="32">
        <v>7</v>
      </c>
      <c r="G16" s="37" t="s">
        <v>630</v>
      </c>
      <c r="H16" s="32">
        <v>4</v>
      </c>
      <c r="I16" s="26" t="s">
        <v>655</v>
      </c>
      <c r="J16" s="77" t="s">
        <v>665</v>
      </c>
      <c r="K16" s="32">
        <v>7</v>
      </c>
      <c r="L16" s="37" t="s">
        <v>640</v>
      </c>
      <c r="M16" s="71">
        <f t="shared" si="0"/>
        <v>196</v>
      </c>
      <c r="N16" s="71">
        <v>7</v>
      </c>
      <c r="O16" s="71">
        <v>2</v>
      </c>
      <c r="P16" s="71">
        <v>5</v>
      </c>
      <c r="Q16" s="71">
        <f t="shared" si="1"/>
        <v>70</v>
      </c>
    </row>
    <row r="17" spans="1:17" ht="32.4">
      <c r="A17" s="69" t="s">
        <v>339</v>
      </c>
      <c r="B17" s="43" t="s">
        <v>487</v>
      </c>
      <c r="C17" s="27" t="s">
        <v>484</v>
      </c>
      <c r="D17" s="27" t="s">
        <v>311</v>
      </c>
      <c r="E17" s="68" t="s">
        <v>587</v>
      </c>
      <c r="F17" s="32">
        <v>4</v>
      </c>
      <c r="G17" s="37" t="s">
        <v>632</v>
      </c>
      <c r="H17" s="32">
        <v>4</v>
      </c>
      <c r="I17" s="26" t="s">
        <v>655</v>
      </c>
      <c r="J17" s="77" t="s">
        <v>669</v>
      </c>
      <c r="K17" s="32">
        <v>10</v>
      </c>
      <c r="L17" s="37" t="s">
        <v>641</v>
      </c>
      <c r="M17" s="71">
        <f t="shared" si="0"/>
        <v>160</v>
      </c>
      <c r="N17" s="71">
        <f>IF(F17="","",F17)</f>
        <v>4</v>
      </c>
      <c r="O17" s="71">
        <v>3</v>
      </c>
      <c r="P17" s="71">
        <v>5</v>
      </c>
      <c r="Q17" s="71">
        <f t="shared" si="1"/>
        <v>60</v>
      </c>
    </row>
    <row r="18" spans="1:17" ht="32.4">
      <c r="A18" s="69" t="s">
        <v>340</v>
      </c>
      <c r="B18" s="43" t="s">
        <v>530</v>
      </c>
      <c r="C18" s="68" t="s">
        <v>482</v>
      </c>
      <c r="D18" s="27" t="s">
        <v>310</v>
      </c>
      <c r="E18" s="68" t="s">
        <v>323</v>
      </c>
      <c r="F18" s="32">
        <v>8</v>
      </c>
      <c r="G18" s="37" t="s">
        <v>628</v>
      </c>
      <c r="H18" s="32">
        <v>3</v>
      </c>
      <c r="I18" s="26" t="s">
        <v>655</v>
      </c>
      <c r="J18" s="77" t="s">
        <v>669</v>
      </c>
      <c r="K18" s="32">
        <v>10</v>
      </c>
      <c r="L18" s="37" t="s">
        <v>641</v>
      </c>
      <c r="M18" s="71">
        <f t="shared" si="0"/>
        <v>240</v>
      </c>
      <c r="N18" s="71">
        <f t="shared" ref="N18:N81" si="2">IF(F18="","",F18)</f>
        <v>8</v>
      </c>
      <c r="O18" s="71">
        <v>1</v>
      </c>
      <c r="P18" s="71">
        <v>5</v>
      </c>
      <c r="Q18" s="71">
        <f t="shared" si="1"/>
        <v>40</v>
      </c>
    </row>
    <row r="19" spans="1:17" ht="32.4">
      <c r="A19" s="69" t="s">
        <v>341</v>
      </c>
      <c r="B19" s="43" t="s">
        <v>590</v>
      </c>
      <c r="C19" s="27" t="s">
        <v>509</v>
      </c>
      <c r="D19" s="27" t="s">
        <v>299</v>
      </c>
      <c r="E19" s="68" t="s">
        <v>591</v>
      </c>
      <c r="F19" s="32">
        <v>5</v>
      </c>
      <c r="G19" s="37" t="s">
        <v>633</v>
      </c>
      <c r="H19" s="32">
        <v>2</v>
      </c>
      <c r="I19" s="26" t="s">
        <v>655</v>
      </c>
      <c r="J19" s="77" t="s">
        <v>659</v>
      </c>
      <c r="K19" s="32">
        <v>7</v>
      </c>
      <c r="L19" s="37" t="s">
        <v>639</v>
      </c>
      <c r="M19" s="71">
        <f t="shared" si="0"/>
        <v>70</v>
      </c>
      <c r="N19" s="71">
        <f t="shared" si="2"/>
        <v>5</v>
      </c>
      <c r="O19" s="71">
        <v>1</v>
      </c>
      <c r="P19" s="71">
        <f t="shared" ref="P19:P81" si="3">IF(K19="","",K19)</f>
        <v>7</v>
      </c>
      <c r="Q19" s="71">
        <f t="shared" si="1"/>
        <v>35</v>
      </c>
    </row>
    <row r="20" spans="1:17" ht="32.4">
      <c r="A20" s="69" t="s">
        <v>342</v>
      </c>
      <c r="B20" s="43" t="s">
        <v>568</v>
      </c>
      <c r="C20" s="27" t="s">
        <v>504</v>
      </c>
      <c r="D20" s="27" t="s">
        <v>299</v>
      </c>
      <c r="E20" s="68" t="s">
        <v>320</v>
      </c>
      <c r="F20" s="32">
        <v>4</v>
      </c>
      <c r="G20" s="37" t="s">
        <v>629</v>
      </c>
      <c r="H20" s="32">
        <v>3</v>
      </c>
      <c r="I20" s="26" t="s">
        <v>671</v>
      </c>
      <c r="J20" s="77" t="s">
        <v>657</v>
      </c>
      <c r="K20" s="32">
        <v>7</v>
      </c>
      <c r="L20" s="37" t="s">
        <v>640</v>
      </c>
      <c r="M20" s="71">
        <f t="shared" si="0"/>
        <v>84</v>
      </c>
      <c r="N20" s="71">
        <f t="shared" si="2"/>
        <v>4</v>
      </c>
      <c r="O20" s="71">
        <v>2</v>
      </c>
      <c r="P20" s="71">
        <f t="shared" si="3"/>
        <v>7</v>
      </c>
      <c r="Q20" s="71">
        <f t="shared" si="1"/>
        <v>56</v>
      </c>
    </row>
    <row r="21" spans="1:17" ht="32.4">
      <c r="A21" s="69" t="s">
        <v>343</v>
      </c>
      <c r="B21" s="43" t="s">
        <v>568</v>
      </c>
      <c r="C21" s="27" t="s">
        <v>504</v>
      </c>
      <c r="D21" s="27" t="s">
        <v>299</v>
      </c>
      <c r="E21" s="68" t="s">
        <v>320</v>
      </c>
      <c r="F21" s="32">
        <v>4</v>
      </c>
      <c r="G21" s="37" t="s">
        <v>629</v>
      </c>
      <c r="H21" s="32">
        <v>3</v>
      </c>
      <c r="I21" s="26" t="s">
        <v>671</v>
      </c>
      <c r="J21" s="77" t="s">
        <v>657</v>
      </c>
      <c r="K21" s="32">
        <v>7</v>
      </c>
      <c r="L21" s="37" t="s">
        <v>640</v>
      </c>
      <c r="M21" s="71">
        <f t="shared" si="0"/>
        <v>84</v>
      </c>
      <c r="N21" s="71">
        <f t="shared" si="2"/>
        <v>4</v>
      </c>
      <c r="O21" s="71">
        <v>2</v>
      </c>
      <c r="P21" s="71">
        <f t="shared" si="3"/>
        <v>7</v>
      </c>
      <c r="Q21" s="71">
        <f t="shared" si="1"/>
        <v>56</v>
      </c>
    </row>
    <row r="22" spans="1:17" ht="32.4">
      <c r="A22" s="69" t="s">
        <v>344</v>
      </c>
      <c r="B22" s="43" t="s">
        <v>567</v>
      </c>
      <c r="C22" s="27" t="s">
        <v>480</v>
      </c>
      <c r="D22" s="27" t="s">
        <v>303</v>
      </c>
      <c r="E22" s="68" t="s">
        <v>320</v>
      </c>
      <c r="F22" s="32">
        <v>4</v>
      </c>
      <c r="G22" s="37" t="s">
        <v>625</v>
      </c>
      <c r="H22" s="32">
        <v>3</v>
      </c>
      <c r="I22" s="26" t="s">
        <v>655</v>
      </c>
      <c r="J22" s="77" t="s">
        <v>659</v>
      </c>
      <c r="K22" s="32">
        <v>5</v>
      </c>
      <c r="L22" s="37" t="s">
        <v>640</v>
      </c>
      <c r="M22" s="71">
        <f t="shared" si="0"/>
        <v>60</v>
      </c>
      <c r="N22" s="71">
        <f t="shared" si="2"/>
        <v>4</v>
      </c>
      <c r="O22" s="71">
        <v>2</v>
      </c>
      <c r="P22" s="71">
        <f t="shared" si="3"/>
        <v>5</v>
      </c>
      <c r="Q22" s="71">
        <f t="shared" si="1"/>
        <v>40</v>
      </c>
    </row>
    <row r="23" spans="1:17" ht="32.4">
      <c r="A23" s="69" t="s">
        <v>345</v>
      </c>
      <c r="B23" s="43" t="s">
        <v>578</v>
      </c>
      <c r="C23" s="27" t="s">
        <v>704</v>
      </c>
      <c r="D23" s="27" t="s">
        <v>313</v>
      </c>
      <c r="E23" s="68" t="s">
        <v>600</v>
      </c>
      <c r="F23" s="32">
        <v>1</v>
      </c>
      <c r="G23" s="37" t="s">
        <v>629</v>
      </c>
      <c r="H23" s="32">
        <v>3</v>
      </c>
      <c r="I23" s="26" t="s">
        <v>671</v>
      </c>
      <c r="J23" s="77" t="s">
        <v>657</v>
      </c>
      <c r="K23" s="32">
        <v>8</v>
      </c>
      <c r="L23" s="37" t="s">
        <v>639</v>
      </c>
      <c r="M23" s="71">
        <f t="shared" si="0"/>
        <v>24</v>
      </c>
      <c r="N23" s="71">
        <f t="shared" si="2"/>
        <v>1</v>
      </c>
      <c r="O23" s="71">
        <v>1</v>
      </c>
      <c r="P23" s="71">
        <f t="shared" si="3"/>
        <v>8</v>
      </c>
      <c r="Q23" s="71">
        <f t="shared" si="1"/>
        <v>8</v>
      </c>
    </row>
    <row r="24" spans="1:17" ht="32.4">
      <c r="A24" s="69" t="s">
        <v>346</v>
      </c>
      <c r="B24" s="43" t="s">
        <v>529</v>
      </c>
      <c r="C24" s="27" t="s">
        <v>469</v>
      </c>
      <c r="D24" s="27" t="s">
        <v>303</v>
      </c>
      <c r="E24" s="68" t="s">
        <v>320</v>
      </c>
      <c r="F24" s="32">
        <v>8</v>
      </c>
      <c r="G24" s="37" t="s">
        <v>625</v>
      </c>
      <c r="H24" s="32">
        <v>3</v>
      </c>
      <c r="I24" s="26" t="s">
        <v>655</v>
      </c>
      <c r="J24" s="77" t="s">
        <v>659</v>
      </c>
      <c r="K24" s="32">
        <v>6</v>
      </c>
      <c r="L24" s="37" t="s">
        <v>640</v>
      </c>
      <c r="M24" s="71">
        <f t="shared" si="0"/>
        <v>144</v>
      </c>
      <c r="N24" s="71">
        <f t="shared" si="2"/>
        <v>8</v>
      </c>
      <c r="O24" s="71">
        <v>2</v>
      </c>
      <c r="P24" s="71">
        <f t="shared" si="3"/>
        <v>6</v>
      </c>
      <c r="Q24" s="71">
        <f t="shared" si="1"/>
        <v>96</v>
      </c>
    </row>
    <row r="25" spans="1:17" ht="32.4">
      <c r="A25" s="69" t="s">
        <v>347</v>
      </c>
      <c r="B25" s="43" t="s">
        <v>528</v>
      </c>
      <c r="C25" s="27" t="s">
        <v>476</v>
      </c>
      <c r="D25" s="27" t="s">
        <v>303</v>
      </c>
      <c r="E25" s="68" t="s">
        <v>320</v>
      </c>
      <c r="F25" s="32">
        <v>8</v>
      </c>
      <c r="G25" s="37" t="s">
        <v>625</v>
      </c>
      <c r="H25" s="32">
        <v>3</v>
      </c>
      <c r="I25" s="26" t="s">
        <v>655</v>
      </c>
      <c r="J25" s="77" t="s">
        <v>661</v>
      </c>
      <c r="K25" s="32">
        <v>3</v>
      </c>
      <c r="L25" s="37" t="s">
        <v>640</v>
      </c>
      <c r="M25" s="71">
        <f t="shared" si="0"/>
        <v>72</v>
      </c>
      <c r="N25" s="71">
        <f t="shared" si="2"/>
        <v>8</v>
      </c>
      <c r="O25" s="71">
        <v>2</v>
      </c>
      <c r="P25" s="71">
        <f t="shared" si="3"/>
        <v>3</v>
      </c>
      <c r="Q25" s="71">
        <f t="shared" si="1"/>
        <v>48</v>
      </c>
    </row>
    <row r="26" spans="1:17" ht="32.4">
      <c r="A26" s="69" t="s">
        <v>348</v>
      </c>
      <c r="B26" s="43" t="s">
        <v>527</v>
      </c>
      <c r="C26" s="27" t="s">
        <v>478</v>
      </c>
      <c r="D26" s="27" t="s">
        <v>303</v>
      </c>
      <c r="E26" s="68" t="s">
        <v>320</v>
      </c>
      <c r="F26" s="32">
        <v>4</v>
      </c>
      <c r="G26" s="37" t="s">
        <v>625</v>
      </c>
      <c r="H26" s="32">
        <v>3</v>
      </c>
      <c r="I26" s="26" t="s">
        <v>655</v>
      </c>
      <c r="J26" s="77" t="s">
        <v>661</v>
      </c>
      <c r="K26" s="32">
        <v>3</v>
      </c>
      <c r="L26" s="37" t="s">
        <v>640</v>
      </c>
      <c r="M26" s="71">
        <f t="shared" si="0"/>
        <v>36</v>
      </c>
      <c r="N26" s="71">
        <f t="shared" si="2"/>
        <v>4</v>
      </c>
      <c r="O26" s="71">
        <v>2</v>
      </c>
      <c r="P26" s="71">
        <f t="shared" si="3"/>
        <v>3</v>
      </c>
      <c r="Q26" s="71">
        <f t="shared" si="1"/>
        <v>24</v>
      </c>
    </row>
    <row r="27" spans="1:17" ht="32.4">
      <c r="A27" s="69" t="s">
        <v>349</v>
      </c>
      <c r="B27" s="43" t="s">
        <v>554</v>
      </c>
      <c r="C27" s="27" t="s">
        <v>322</v>
      </c>
      <c r="D27" s="27" t="s">
        <v>304</v>
      </c>
      <c r="E27" s="68" t="s">
        <v>320</v>
      </c>
      <c r="F27" s="32">
        <v>6</v>
      </c>
      <c r="G27" s="37" t="s">
        <v>636</v>
      </c>
      <c r="H27" s="32">
        <v>3</v>
      </c>
      <c r="I27" s="26" t="s">
        <v>655</v>
      </c>
      <c r="J27" s="77" t="s">
        <v>657</v>
      </c>
      <c r="K27" s="32">
        <v>7</v>
      </c>
      <c r="L27" s="37" t="s">
        <v>639</v>
      </c>
      <c r="M27" s="71">
        <f t="shared" si="0"/>
        <v>126</v>
      </c>
      <c r="N27" s="71">
        <f t="shared" si="2"/>
        <v>6</v>
      </c>
      <c r="O27" s="71">
        <v>1</v>
      </c>
      <c r="P27" s="71">
        <f t="shared" si="3"/>
        <v>7</v>
      </c>
      <c r="Q27" s="71">
        <f t="shared" si="1"/>
        <v>42</v>
      </c>
    </row>
    <row r="28" spans="1:17" ht="48.6">
      <c r="A28" s="69" t="s">
        <v>350</v>
      </c>
      <c r="B28" s="43" t="s">
        <v>577</v>
      </c>
      <c r="C28" s="27" t="s">
        <v>601</v>
      </c>
      <c r="D28" s="27" t="s">
        <v>299</v>
      </c>
      <c r="E28" s="68" t="s">
        <v>602</v>
      </c>
      <c r="F28" s="32">
        <v>2</v>
      </c>
      <c r="G28" s="37" t="s">
        <v>635</v>
      </c>
      <c r="H28" s="32">
        <v>5</v>
      </c>
      <c r="I28" s="26" t="s">
        <v>655</v>
      </c>
      <c r="J28" s="77" t="s">
        <v>659</v>
      </c>
      <c r="K28" s="32">
        <v>6</v>
      </c>
      <c r="L28" s="37" t="s">
        <v>640</v>
      </c>
      <c r="M28" s="71">
        <f t="shared" si="0"/>
        <v>60</v>
      </c>
      <c r="N28" s="71">
        <f t="shared" si="2"/>
        <v>2</v>
      </c>
      <c r="O28" s="71">
        <f t="shared" ref="O28:O79" si="4">IF(H28="","",H28)</f>
        <v>5</v>
      </c>
      <c r="P28" s="71">
        <f t="shared" si="3"/>
        <v>6</v>
      </c>
      <c r="Q28" s="71">
        <f t="shared" si="1"/>
        <v>60</v>
      </c>
    </row>
    <row r="29" spans="1:17" ht="32.4">
      <c r="A29" s="69" t="s">
        <v>576</v>
      </c>
      <c r="B29" s="43" t="s">
        <v>572</v>
      </c>
      <c r="C29" s="27" t="s">
        <v>603</v>
      </c>
      <c r="D29" s="27" t="s">
        <v>314</v>
      </c>
      <c r="E29" s="68" t="s">
        <v>604</v>
      </c>
      <c r="F29" s="32">
        <v>4</v>
      </c>
      <c r="G29" s="37" t="s">
        <v>635</v>
      </c>
      <c r="H29" s="32">
        <v>2</v>
      </c>
      <c r="I29" s="26" t="s">
        <v>671</v>
      </c>
      <c r="J29" s="77" t="s">
        <v>657</v>
      </c>
      <c r="K29" s="32">
        <v>7</v>
      </c>
      <c r="L29" s="37" t="s">
        <v>640</v>
      </c>
      <c r="M29" s="71">
        <f t="shared" si="0"/>
        <v>56</v>
      </c>
      <c r="N29" s="71">
        <f t="shared" si="2"/>
        <v>4</v>
      </c>
      <c r="O29" s="71">
        <v>1</v>
      </c>
      <c r="P29" s="71">
        <f t="shared" si="3"/>
        <v>7</v>
      </c>
      <c r="Q29" s="71">
        <f t="shared" si="1"/>
        <v>28</v>
      </c>
    </row>
    <row r="30" spans="1:17" ht="32.4">
      <c r="A30" s="69" t="s">
        <v>575</v>
      </c>
      <c r="B30" s="43" t="s">
        <v>571</v>
      </c>
      <c r="C30" s="27" t="s">
        <v>603</v>
      </c>
      <c r="D30" s="27" t="s">
        <v>314</v>
      </c>
      <c r="E30" s="68" t="s">
        <v>604</v>
      </c>
      <c r="F30" s="32">
        <v>4</v>
      </c>
      <c r="G30" s="37" t="s">
        <v>635</v>
      </c>
      <c r="H30" s="32">
        <v>2</v>
      </c>
      <c r="I30" s="26" t="s">
        <v>671</v>
      </c>
      <c r="J30" s="77" t="s">
        <v>657</v>
      </c>
      <c r="K30" s="32">
        <v>7</v>
      </c>
      <c r="L30" s="37" t="s">
        <v>640</v>
      </c>
      <c r="M30" s="71">
        <f t="shared" si="0"/>
        <v>56</v>
      </c>
      <c r="N30" s="71">
        <f t="shared" si="2"/>
        <v>4</v>
      </c>
      <c r="O30" s="71">
        <v>1</v>
      </c>
      <c r="P30" s="71">
        <f t="shared" si="3"/>
        <v>7</v>
      </c>
      <c r="Q30" s="71">
        <f t="shared" si="1"/>
        <v>28</v>
      </c>
    </row>
    <row r="31" spans="1:17" ht="32.4">
      <c r="A31" s="69" t="s">
        <v>351</v>
      </c>
      <c r="B31" s="43" t="s">
        <v>488</v>
      </c>
      <c r="C31" s="68" t="s">
        <v>482</v>
      </c>
      <c r="D31" s="27" t="s">
        <v>310</v>
      </c>
      <c r="E31" s="68" t="s">
        <v>323</v>
      </c>
      <c r="F31" s="32">
        <v>8</v>
      </c>
      <c r="G31" s="37" t="s">
        <v>628</v>
      </c>
      <c r="H31" s="32">
        <v>2</v>
      </c>
      <c r="I31" s="26" t="s">
        <v>655</v>
      </c>
      <c r="J31" s="77" t="s">
        <v>663</v>
      </c>
      <c r="K31" s="32">
        <v>10</v>
      </c>
      <c r="L31" s="37" t="s">
        <v>641</v>
      </c>
      <c r="M31" s="71">
        <f t="shared" si="0"/>
        <v>160</v>
      </c>
      <c r="N31" s="71">
        <f t="shared" si="2"/>
        <v>8</v>
      </c>
      <c r="O31" s="71">
        <v>1</v>
      </c>
      <c r="P31" s="71">
        <v>5</v>
      </c>
      <c r="Q31" s="71">
        <f t="shared" si="1"/>
        <v>40</v>
      </c>
    </row>
    <row r="32" spans="1:17" ht="32.4">
      <c r="A32" s="69" t="s">
        <v>352</v>
      </c>
      <c r="B32" s="43" t="s">
        <v>489</v>
      </c>
      <c r="C32" s="27" t="s">
        <v>585</v>
      </c>
      <c r="D32" s="27" t="s">
        <v>312</v>
      </c>
      <c r="E32" s="68" t="s">
        <v>586</v>
      </c>
      <c r="F32" s="32">
        <v>4</v>
      </c>
      <c r="G32" s="37" t="s">
        <v>629</v>
      </c>
      <c r="H32" s="32">
        <v>6</v>
      </c>
      <c r="I32" s="26" t="s">
        <v>671</v>
      </c>
      <c r="J32" s="77" t="s">
        <v>669</v>
      </c>
      <c r="K32" s="32">
        <v>10</v>
      </c>
      <c r="L32" s="37" t="s">
        <v>641</v>
      </c>
      <c r="M32" s="71">
        <f t="shared" si="0"/>
        <v>240</v>
      </c>
      <c r="N32" s="71">
        <f t="shared" si="2"/>
        <v>4</v>
      </c>
      <c r="O32" s="71">
        <v>3</v>
      </c>
      <c r="P32" s="71">
        <v>5</v>
      </c>
      <c r="Q32" s="71">
        <f t="shared" si="1"/>
        <v>60</v>
      </c>
    </row>
    <row r="33" spans="1:17" ht="32.4">
      <c r="A33" s="69" t="s">
        <v>353</v>
      </c>
      <c r="B33" s="43" t="s">
        <v>490</v>
      </c>
      <c r="C33" s="68" t="s">
        <v>482</v>
      </c>
      <c r="D33" s="27" t="s">
        <v>310</v>
      </c>
      <c r="E33" s="68" t="s">
        <v>323</v>
      </c>
      <c r="F33" s="32">
        <v>8</v>
      </c>
      <c r="G33" s="37" t="s">
        <v>628</v>
      </c>
      <c r="H33" s="32">
        <v>2</v>
      </c>
      <c r="I33" s="26" t="s">
        <v>655</v>
      </c>
      <c r="J33" s="77" t="s">
        <v>663</v>
      </c>
      <c r="K33" s="32">
        <v>10</v>
      </c>
      <c r="L33" s="37" t="s">
        <v>641</v>
      </c>
      <c r="M33" s="71">
        <f t="shared" si="0"/>
        <v>160</v>
      </c>
      <c r="N33" s="71">
        <f t="shared" si="2"/>
        <v>8</v>
      </c>
      <c r="O33" s="71">
        <v>1</v>
      </c>
      <c r="P33" s="71">
        <v>5</v>
      </c>
      <c r="Q33" s="71">
        <f t="shared" si="1"/>
        <v>40</v>
      </c>
    </row>
    <row r="34" spans="1:17" ht="32.4">
      <c r="A34" s="69" t="s">
        <v>354</v>
      </c>
      <c r="B34" s="43" t="s">
        <v>570</v>
      </c>
      <c r="C34" s="27" t="s">
        <v>588</v>
      </c>
      <c r="D34" s="27" t="s">
        <v>312</v>
      </c>
      <c r="E34" s="68" t="s">
        <v>587</v>
      </c>
      <c r="F34" s="32">
        <v>4</v>
      </c>
      <c r="G34" s="37" t="s">
        <v>629</v>
      </c>
      <c r="H34" s="32">
        <v>6</v>
      </c>
      <c r="I34" s="26" t="s">
        <v>671</v>
      </c>
      <c r="J34" s="77" t="s">
        <v>669</v>
      </c>
      <c r="K34" s="32">
        <v>10</v>
      </c>
      <c r="L34" s="37" t="s">
        <v>641</v>
      </c>
      <c r="M34" s="71">
        <f t="shared" si="0"/>
        <v>240</v>
      </c>
      <c r="N34" s="71">
        <f t="shared" si="2"/>
        <v>4</v>
      </c>
      <c r="O34" s="71">
        <v>3</v>
      </c>
      <c r="P34" s="71">
        <v>5</v>
      </c>
      <c r="Q34" s="71">
        <f t="shared" si="1"/>
        <v>60</v>
      </c>
    </row>
    <row r="35" spans="1:17" ht="32.4">
      <c r="A35" s="69" t="s">
        <v>355</v>
      </c>
      <c r="B35" s="43" t="s">
        <v>569</v>
      </c>
      <c r="C35" s="27" t="s">
        <v>480</v>
      </c>
      <c r="D35" s="27" t="s">
        <v>303</v>
      </c>
      <c r="E35" s="68" t="s">
        <v>320</v>
      </c>
      <c r="F35" s="32">
        <v>4</v>
      </c>
      <c r="G35" s="37" t="s">
        <v>625</v>
      </c>
      <c r="H35" s="32">
        <v>3</v>
      </c>
      <c r="I35" s="26" t="s">
        <v>655</v>
      </c>
      <c r="J35" s="77" t="s">
        <v>661</v>
      </c>
      <c r="K35" s="32">
        <v>5</v>
      </c>
      <c r="L35" s="37" t="s">
        <v>640</v>
      </c>
      <c r="M35" s="71">
        <f t="shared" si="0"/>
        <v>60</v>
      </c>
      <c r="N35" s="71">
        <f t="shared" si="2"/>
        <v>4</v>
      </c>
      <c r="O35" s="71">
        <f t="shared" si="4"/>
        <v>3</v>
      </c>
      <c r="P35" s="71">
        <f t="shared" si="3"/>
        <v>5</v>
      </c>
      <c r="Q35" s="71">
        <f t="shared" si="1"/>
        <v>60</v>
      </c>
    </row>
    <row r="36" spans="1:17" ht="32.4">
      <c r="A36" s="69" t="s">
        <v>356</v>
      </c>
      <c r="B36" s="43" t="s">
        <v>550</v>
      </c>
      <c r="C36" s="27" t="s">
        <v>509</v>
      </c>
      <c r="D36" s="27" t="s">
        <v>299</v>
      </c>
      <c r="E36" s="68" t="s">
        <v>323</v>
      </c>
      <c r="F36" s="32">
        <v>8</v>
      </c>
      <c r="G36" s="37" t="s">
        <v>625</v>
      </c>
      <c r="H36" s="32">
        <v>4</v>
      </c>
      <c r="I36" s="26" t="s">
        <v>671</v>
      </c>
      <c r="J36" s="77" t="s">
        <v>665</v>
      </c>
      <c r="K36" s="32">
        <v>5</v>
      </c>
      <c r="L36" s="37" t="s">
        <v>640</v>
      </c>
      <c r="M36" s="71">
        <f t="shared" si="0"/>
        <v>160</v>
      </c>
      <c r="N36" s="71">
        <f t="shared" si="2"/>
        <v>8</v>
      </c>
      <c r="O36" s="71">
        <v>2</v>
      </c>
      <c r="P36" s="71">
        <f t="shared" si="3"/>
        <v>5</v>
      </c>
      <c r="Q36" s="71">
        <f t="shared" si="1"/>
        <v>80</v>
      </c>
    </row>
    <row r="37" spans="1:17" ht="32.4">
      <c r="A37" s="69" t="s">
        <v>357</v>
      </c>
      <c r="B37" s="43" t="s">
        <v>568</v>
      </c>
      <c r="C37" s="27" t="s">
        <v>504</v>
      </c>
      <c r="D37" s="27" t="s">
        <v>299</v>
      </c>
      <c r="E37" s="68" t="s">
        <v>320</v>
      </c>
      <c r="F37" s="32">
        <v>4</v>
      </c>
      <c r="G37" s="37" t="s">
        <v>629</v>
      </c>
      <c r="H37" s="32">
        <v>3</v>
      </c>
      <c r="I37" s="26" t="s">
        <v>671</v>
      </c>
      <c r="J37" s="77" t="s">
        <v>657</v>
      </c>
      <c r="K37" s="32">
        <v>2</v>
      </c>
      <c r="L37" s="37" t="s">
        <v>640</v>
      </c>
      <c r="M37" s="71">
        <f t="shared" si="0"/>
        <v>24</v>
      </c>
      <c r="N37" s="71">
        <f t="shared" si="2"/>
        <v>4</v>
      </c>
      <c r="O37" s="71">
        <v>1</v>
      </c>
      <c r="P37" s="71">
        <f t="shared" si="3"/>
        <v>2</v>
      </c>
      <c r="Q37" s="71">
        <f t="shared" si="1"/>
        <v>8</v>
      </c>
    </row>
    <row r="38" spans="1:17" ht="32.4">
      <c r="A38" s="69" t="s">
        <v>358</v>
      </c>
      <c r="B38" s="43" t="s">
        <v>567</v>
      </c>
      <c r="C38" s="27" t="s">
        <v>480</v>
      </c>
      <c r="D38" s="27" t="s">
        <v>303</v>
      </c>
      <c r="E38" s="68" t="s">
        <v>320</v>
      </c>
      <c r="F38" s="32">
        <v>4</v>
      </c>
      <c r="G38" s="37" t="s">
        <v>625</v>
      </c>
      <c r="H38" s="32">
        <v>3</v>
      </c>
      <c r="I38" s="26" t="s">
        <v>655</v>
      </c>
      <c r="J38" s="77" t="s">
        <v>659</v>
      </c>
      <c r="K38" s="32">
        <v>5</v>
      </c>
      <c r="L38" s="37" t="s">
        <v>640</v>
      </c>
      <c r="M38" s="71">
        <f t="shared" si="0"/>
        <v>60</v>
      </c>
      <c r="N38" s="71">
        <f t="shared" si="2"/>
        <v>4</v>
      </c>
      <c r="O38" s="71">
        <v>1</v>
      </c>
      <c r="P38" s="71">
        <f t="shared" si="3"/>
        <v>5</v>
      </c>
      <c r="Q38" s="71">
        <f t="shared" si="1"/>
        <v>20</v>
      </c>
    </row>
    <row r="39" spans="1:17" ht="32.4">
      <c r="A39" s="69" t="s">
        <v>359</v>
      </c>
      <c r="B39" s="43" t="s">
        <v>529</v>
      </c>
      <c r="C39" s="27" t="s">
        <v>469</v>
      </c>
      <c r="D39" s="27" t="s">
        <v>303</v>
      </c>
      <c r="E39" s="68" t="s">
        <v>320</v>
      </c>
      <c r="F39" s="32">
        <v>8</v>
      </c>
      <c r="G39" s="37" t="s">
        <v>625</v>
      </c>
      <c r="H39" s="32">
        <v>3</v>
      </c>
      <c r="I39" s="26" t="s">
        <v>655</v>
      </c>
      <c r="J39" s="77" t="s">
        <v>659</v>
      </c>
      <c r="K39" s="32">
        <v>5</v>
      </c>
      <c r="L39" s="37" t="s">
        <v>640</v>
      </c>
      <c r="M39" s="71">
        <f t="shared" si="0"/>
        <v>120</v>
      </c>
      <c r="N39" s="71">
        <f t="shared" si="2"/>
        <v>8</v>
      </c>
      <c r="O39" s="71">
        <v>1</v>
      </c>
      <c r="P39" s="71">
        <f t="shared" si="3"/>
        <v>5</v>
      </c>
      <c r="Q39" s="71">
        <f t="shared" si="1"/>
        <v>40</v>
      </c>
    </row>
    <row r="40" spans="1:17" ht="32.4">
      <c r="A40" s="69" t="s">
        <v>360</v>
      </c>
      <c r="B40" s="43" t="s">
        <v>528</v>
      </c>
      <c r="C40" s="27" t="s">
        <v>476</v>
      </c>
      <c r="D40" s="27" t="s">
        <v>303</v>
      </c>
      <c r="E40" s="68" t="s">
        <v>320</v>
      </c>
      <c r="F40" s="32">
        <v>8</v>
      </c>
      <c r="G40" s="37" t="s">
        <v>625</v>
      </c>
      <c r="H40" s="32">
        <v>3</v>
      </c>
      <c r="I40" s="26" t="s">
        <v>655</v>
      </c>
      <c r="J40" s="77" t="s">
        <v>661</v>
      </c>
      <c r="K40" s="32">
        <v>3</v>
      </c>
      <c r="L40" s="37" t="s">
        <v>640</v>
      </c>
      <c r="M40" s="71">
        <f t="shared" si="0"/>
        <v>72</v>
      </c>
      <c r="N40" s="71">
        <f t="shared" si="2"/>
        <v>8</v>
      </c>
      <c r="O40" s="71">
        <v>1</v>
      </c>
      <c r="P40" s="71">
        <f t="shared" si="3"/>
        <v>3</v>
      </c>
      <c r="Q40" s="71">
        <f t="shared" si="1"/>
        <v>24</v>
      </c>
    </row>
    <row r="41" spans="1:17" ht="32.4">
      <c r="A41" s="69" t="s">
        <v>361</v>
      </c>
      <c r="B41" s="43" t="s">
        <v>527</v>
      </c>
      <c r="C41" s="27" t="s">
        <v>478</v>
      </c>
      <c r="D41" s="27" t="s">
        <v>303</v>
      </c>
      <c r="E41" s="68" t="s">
        <v>320</v>
      </c>
      <c r="F41" s="32">
        <v>4</v>
      </c>
      <c r="G41" s="37" t="s">
        <v>625</v>
      </c>
      <c r="H41" s="32">
        <v>3</v>
      </c>
      <c r="I41" s="26" t="s">
        <v>655</v>
      </c>
      <c r="J41" s="77" t="s">
        <v>661</v>
      </c>
      <c r="K41" s="32">
        <v>3</v>
      </c>
      <c r="L41" s="37" t="s">
        <v>640</v>
      </c>
      <c r="M41" s="71">
        <f t="shared" si="0"/>
        <v>36</v>
      </c>
      <c r="N41" s="71">
        <f t="shared" si="2"/>
        <v>4</v>
      </c>
      <c r="O41" s="71">
        <v>1</v>
      </c>
      <c r="P41" s="71">
        <f t="shared" si="3"/>
        <v>3</v>
      </c>
      <c r="Q41" s="71">
        <f t="shared" si="1"/>
        <v>12</v>
      </c>
    </row>
    <row r="42" spans="1:17" ht="32.4">
      <c r="A42" s="69" t="s">
        <v>362</v>
      </c>
      <c r="B42" s="43" t="s">
        <v>566</v>
      </c>
      <c r="C42" s="27" t="s">
        <v>585</v>
      </c>
      <c r="D42" s="27" t="s">
        <v>299</v>
      </c>
      <c r="E42" s="68" t="s">
        <v>589</v>
      </c>
      <c r="F42" s="32">
        <v>3</v>
      </c>
      <c r="G42" s="37" t="s">
        <v>630</v>
      </c>
      <c r="H42" s="32">
        <v>4</v>
      </c>
      <c r="I42" s="26" t="s">
        <v>655</v>
      </c>
      <c r="J42" s="77" t="s">
        <v>659</v>
      </c>
      <c r="K42" s="32">
        <v>5</v>
      </c>
      <c r="L42" s="37" t="s">
        <v>640</v>
      </c>
      <c r="M42" s="71">
        <f t="shared" si="0"/>
        <v>60</v>
      </c>
      <c r="N42" s="71">
        <f t="shared" si="2"/>
        <v>3</v>
      </c>
      <c r="O42" s="71">
        <v>1</v>
      </c>
      <c r="P42" s="71">
        <f t="shared" si="3"/>
        <v>5</v>
      </c>
      <c r="Q42" s="71">
        <f t="shared" si="1"/>
        <v>15</v>
      </c>
    </row>
    <row r="43" spans="1:17" ht="32.4">
      <c r="A43" s="69" t="s">
        <v>363</v>
      </c>
      <c r="B43" s="43" t="s">
        <v>500</v>
      </c>
      <c r="C43" s="27" t="s">
        <v>502</v>
      </c>
      <c r="D43" s="27" t="s">
        <v>299</v>
      </c>
      <c r="E43" s="68" t="s">
        <v>320</v>
      </c>
      <c r="F43" s="32">
        <v>4</v>
      </c>
      <c r="G43" s="37" t="s">
        <v>625</v>
      </c>
      <c r="H43" s="32">
        <v>3</v>
      </c>
      <c r="I43" s="26" t="s">
        <v>655</v>
      </c>
      <c r="J43" s="77" t="s">
        <v>661</v>
      </c>
      <c r="K43" s="32">
        <v>3</v>
      </c>
      <c r="L43" s="37" t="s">
        <v>640</v>
      </c>
      <c r="M43" s="71">
        <f t="shared" si="0"/>
        <v>36</v>
      </c>
      <c r="N43" s="71">
        <f t="shared" si="2"/>
        <v>4</v>
      </c>
      <c r="O43" s="71">
        <v>2</v>
      </c>
      <c r="P43" s="71">
        <f t="shared" si="3"/>
        <v>3</v>
      </c>
      <c r="Q43" s="71">
        <f t="shared" si="1"/>
        <v>24</v>
      </c>
    </row>
    <row r="44" spans="1:17" ht="32.4">
      <c r="A44" s="69" t="s">
        <v>364</v>
      </c>
      <c r="B44" s="43" t="s">
        <v>501</v>
      </c>
      <c r="C44" s="27" t="s">
        <v>503</v>
      </c>
      <c r="D44" s="27" t="s">
        <v>303</v>
      </c>
      <c r="E44" s="68" t="s">
        <v>323</v>
      </c>
      <c r="F44" s="32">
        <v>8</v>
      </c>
      <c r="G44" s="37" t="s">
        <v>625</v>
      </c>
      <c r="H44" s="32">
        <v>3</v>
      </c>
      <c r="I44" s="26" t="s">
        <v>655</v>
      </c>
      <c r="J44" s="77" t="s">
        <v>659</v>
      </c>
      <c r="K44" s="32">
        <v>3</v>
      </c>
      <c r="L44" s="37" t="s">
        <v>640</v>
      </c>
      <c r="M44" s="71">
        <f t="shared" si="0"/>
        <v>72</v>
      </c>
      <c r="N44" s="71">
        <f t="shared" si="2"/>
        <v>8</v>
      </c>
      <c r="O44" s="71">
        <v>2</v>
      </c>
      <c r="P44" s="71">
        <f t="shared" si="3"/>
        <v>3</v>
      </c>
      <c r="Q44" s="71">
        <f t="shared" si="1"/>
        <v>48</v>
      </c>
    </row>
    <row r="45" spans="1:17" ht="32.4">
      <c r="A45" s="69" t="s">
        <v>365</v>
      </c>
      <c r="B45" s="43" t="s">
        <v>532</v>
      </c>
      <c r="C45" s="27" t="s">
        <v>504</v>
      </c>
      <c r="D45" s="27" t="s">
        <v>299</v>
      </c>
      <c r="E45" s="68" t="s">
        <v>320</v>
      </c>
      <c r="F45" s="32">
        <v>4</v>
      </c>
      <c r="G45" s="37" t="s">
        <v>629</v>
      </c>
      <c r="H45" s="32">
        <v>3</v>
      </c>
      <c r="I45" s="26" t="s">
        <v>671</v>
      </c>
      <c r="J45" s="77" t="s">
        <v>657</v>
      </c>
      <c r="K45" s="32">
        <v>2</v>
      </c>
      <c r="L45" s="37" t="s">
        <v>640</v>
      </c>
      <c r="M45" s="71">
        <f t="shared" si="0"/>
        <v>24</v>
      </c>
      <c r="N45" s="71">
        <f t="shared" si="2"/>
        <v>4</v>
      </c>
      <c r="O45" s="71">
        <v>2</v>
      </c>
      <c r="P45" s="71">
        <f t="shared" si="3"/>
        <v>2</v>
      </c>
      <c r="Q45" s="71">
        <f t="shared" si="1"/>
        <v>16</v>
      </c>
    </row>
    <row r="46" spans="1:17" ht="32.4">
      <c r="A46" s="69" t="s">
        <v>366</v>
      </c>
      <c r="B46" s="43" t="s">
        <v>500</v>
      </c>
      <c r="C46" s="27" t="s">
        <v>502</v>
      </c>
      <c r="D46" s="27" t="s">
        <v>299</v>
      </c>
      <c r="E46" s="68" t="s">
        <v>320</v>
      </c>
      <c r="F46" s="32">
        <v>4</v>
      </c>
      <c r="G46" s="37" t="s">
        <v>625</v>
      </c>
      <c r="H46" s="32">
        <v>3</v>
      </c>
      <c r="I46" s="26" t="s">
        <v>655</v>
      </c>
      <c r="J46" s="77" t="s">
        <v>661</v>
      </c>
      <c r="K46" s="32">
        <v>3</v>
      </c>
      <c r="L46" s="37" t="s">
        <v>640</v>
      </c>
      <c r="M46" s="71">
        <f t="shared" si="0"/>
        <v>36</v>
      </c>
      <c r="N46" s="71">
        <f t="shared" si="2"/>
        <v>4</v>
      </c>
      <c r="O46" s="71">
        <v>2</v>
      </c>
      <c r="P46" s="71">
        <f t="shared" si="3"/>
        <v>3</v>
      </c>
      <c r="Q46" s="71">
        <f t="shared" si="1"/>
        <v>24</v>
      </c>
    </row>
    <row r="47" spans="1:17" ht="32.4">
      <c r="A47" s="69" t="s">
        <v>367</v>
      </c>
      <c r="B47" s="43" t="s">
        <v>501</v>
      </c>
      <c r="C47" s="27" t="s">
        <v>503</v>
      </c>
      <c r="D47" s="27" t="s">
        <v>303</v>
      </c>
      <c r="E47" s="68" t="s">
        <v>323</v>
      </c>
      <c r="F47" s="32">
        <v>8</v>
      </c>
      <c r="G47" s="37" t="s">
        <v>625</v>
      </c>
      <c r="H47" s="32">
        <v>3</v>
      </c>
      <c r="I47" s="26" t="s">
        <v>655</v>
      </c>
      <c r="J47" s="77" t="s">
        <v>659</v>
      </c>
      <c r="K47" s="32">
        <v>3</v>
      </c>
      <c r="L47" s="37" t="s">
        <v>640</v>
      </c>
      <c r="M47" s="71">
        <f t="shared" si="0"/>
        <v>72</v>
      </c>
      <c r="N47" s="71">
        <f t="shared" si="2"/>
        <v>8</v>
      </c>
      <c r="O47" s="71">
        <v>2</v>
      </c>
      <c r="P47" s="71">
        <f t="shared" si="3"/>
        <v>3</v>
      </c>
      <c r="Q47" s="71">
        <f t="shared" si="1"/>
        <v>48</v>
      </c>
    </row>
    <row r="48" spans="1:17" ht="32.4">
      <c r="A48" s="69" t="s">
        <v>368</v>
      </c>
      <c r="B48" s="43" t="s">
        <v>532</v>
      </c>
      <c r="C48" s="27" t="s">
        <v>504</v>
      </c>
      <c r="D48" s="27" t="s">
        <v>299</v>
      </c>
      <c r="E48" s="68" t="s">
        <v>320</v>
      </c>
      <c r="F48" s="32">
        <v>4</v>
      </c>
      <c r="G48" s="37" t="s">
        <v>629</v>
      </c>
      <c r="H48" s="32">
        <v>3</v>
      </c>
      <c r="I48" s="26" t="s">
        <v>671</v>
      </c>
      <c r="J48" s="77" t="s">
        <v>657</v>
      </c>
      <c r="K48" s="32">
        <v>2</v>
      </c>
      <c r="L48" s="37" t="s">
        <v>640</v>
      </c>
      <c r="M48" s="71">
        <f t="shared" si="0"/>
        <v>24</v>
      </c>
      <c r="N48" s="71">
        <f t="shared" si="2"/>
        <v>4</v>
      </c>
      <c r="O48" s="71">
        <v>2</v>
      </c>
      <c r="P48" s="71">
        <f t="shared" si="3"/>
        <v>2</v>
      </c>
      <c r="Q48" s="71">
        <f t="shared" si="1"/>
        <v>16</v>
      </c>
    </row>
    <row r="49" spans="1:17" ht="32.4">
      <c r="A49" s="69" t="s">
        <v>369</v>
      </c>
      <c r="B49" s="43" t="s">
        <v>564</v>
      </c>
      <c r="C49" s="27" t="s">
        <v>507</v>
      </c>
      <c r="D49" s="27" t="s">
        <v>303</v>
      </c>
      <c r="E49" s="68" t="s">
        <v>508</v>
      </c>
      <c r="F49" s="32">
        <v>7</v>
      </c>
      <c r="G49" s="37" t="s">
        <v>630</v>
      </c>
      <c r="H49" s="32">
        <v>4</v>
      </c>
      <c r="I49" s="26" t="s">
        <v>655</v>
      </c>
      <c r="J49" s="77" t="s">
        <v>665</v>
      </c>
      <c r="K49" s="32">
        <v>5</v>
      </c>
      <c r="L49" s="37" t="s">
        <v>640</v>
      </c>
      <c r="M49" s="71">
        <f t="shared" si="0"/>
        <v>140</v>
      </c>
      <c r="N49" s="71">
        <f t="shared" si="2"/>
        <v>7</v>
      </c>
      <c r="O49" s="71">
        <v>2</v>
      </c>
      <c r="P49" s="71">
        <f t="shared" si="3"/>
        <v>5</v>
      </c>
      <c r="Q49" s="71">
        <f t="shared" si="1"/>
        <v>70</v>
      </c>
    </row>
    <row r="50" spans="1:17" ht="32.4">
      <c r="A50" s="69" t="s">
        <v>370</v>
      </c>
      <c r="B50" s="43" t="s">
        <v>565</v>
      </c>
      <c r="C50" s="27" t="s">
        <v>507</v>
      </c>
      <c r="D50" s="27" t="s">
        <v>303</v>
      </c>
      <c r="E50" s="68" t="s">
        <v>508</v>
      </c>
      <c r="F50" s="32">
        <v>7</v>
      </c>
      <c r="G50" s="37" t="s">
        <v>630</v>
      </c>
      <c r="H50" s="32">
        <v>4</v>
      </c>
      <c r="I50" s="26" t="s">
        <v>655</v>
      </c>
      <c r="J50" s="77" t="s">
        <v>665</v>
      </c>
      <c r="K50" s="32">
        <v>5</v>
      </c>
      <c r="L50" s="37" t="s">
        <v>640</v>
      </c>
      <c r="M50" s="71">
        <f t="shared" si="0"/>
        <v>140</v>
      </c>
      <c r="N50" s="71">
        <f t="shared" si="2"/>
        <v>7</v>
      </c>
      <c r="O50" s="71">
        <v>2</v>
      </c>
      <c r="P50" s="71">
        <f t="shared" si="3"/>
        <v>5</v>
      </c>
      <c r="Q50" s="71">
        <f t="shared" si="1"/>
        <v>70</v>
      </c>
    </row>
    <row r="51" spans="1:17" ht="32.4">
      <c r="A51" s="69" t="s">
        <v>371</v>
      </c>
      <c r="B51" s="43" t="s">
        <v>564</v>
      </c>
      <c r="C51" s="27" t="s">
        <v>507</v>
      </c>
      <c r="D51" s="27" t="s">
        <v>303</v>
      </c>
      <c r="E51" s="68" t="s">
        <v>508</v>
      </c>
      <c r="F51" s="32">
        <v>7</v>
      </c>
      <c r="G51" s="37" t="s">
        <v>630</v>
      </c>
      <c r="H51" s="32">
        <v>4</v>
      </c>
      <c r="I51" s="26" t="s">
        <v>655</v>
      </c>
      <c r="J51" s="77" t="s">
        <v>665</v>
      </c>
      <c r="K51" s="32">
        <v>5</v>
      </c>
      <c r="L51" s="37" t="s">
        <v>640</v>
      </c>
      <c r="M51" s="71">
        <f t="shared" si="0"/>
        <v>140</v>
      </c>
      <c r="N51" s="71">
        <f t="shared" si="2"/>
        <v>7</v>
      </c>
      <c r="O51" s="71">
        <v>2</v>
      </c>
      <c r="P51" s="71">
        <f t="shared" si="3"/>
        <v>5</v>
      </c>
      <c r="Q51" s="71">
        <f t="shared" si="1"/>
        <v>70</v>
      </c>
    </row>
    <row r="52" spans="1:17" ht="32.4">
      <c r="A52" s="69" t="s">
        <v>356</v>
      </c>
      <c r="B52" s="43" t="s">
        <v>491</v>
      </c>
      <c r="C52" s="27" t="s">
        <v>509</v>
      </c>
      <c r="D52" s="27" t="s">
        <v>299</v>
      </c>
      <c r="E52" s="68" t="s">
        <v>323</v>
      </c>
      <c r="F52" s="32">
        <v>8</v>
      </c>
      <c r="G52" s="37" t="s">
        <v>625</v>
      </c>
      <c r="H52" s="32">
        <v>4</v>
      </c>
      <c r="I52" s="26" t="s">
        <v>671</v>
      </c>
      <c r="J52" s="77" t="s">
        <v>665</v>
      </c>
      <c r="K52" s="32">
        <v>5</v>
      </c>
      <c r="L52" s="37" t="s">
        <v>640</v>
      </c>
      <c r="M52" s="71">
        <f t="shared" si="0"/>
        <v>160</v>
      </c>
      <c r="N52" s="71">
        <f t="shared" si="2"/>
        <v>8</v>
      </c>
      <c r="O52" s="71">
        <v>2</v>
      </c>
      <c r="P52" s="71">
        <f t="shared" si="3"/>
        <v>5</v>
      </c>
      <c r="Q52" s="71">
        <f t="shared" si="1"/>
        <v>80</v>
      </c>
    </row>
    <row r="53" spans="1:17" ht="32.4">
      <c r="A53" s="69" t="s">
        <v>372</v>
      </c>
      <c r="B53" s="43" t="s">
        <v>607</v>
      </c>
      <c r="C53" s="27" t="s">
        <v>606</v>
      </c>
      <c r="D53" s="27" t="s">
        <v>307</v>
      </c>
      <c r="E53" s="68" t="s">
        <v>320</v>
      </c>
      <c r="F53" s="32">
        <v>8</v>
      </c>
      <c r="G53" s="37" t="s">
        <v>625</v>
      </c>
      <c r="H53" s="32">
        <v>4</v>
      </c>
      <c r="I53" s="26" t="s">
        <v>671</v>
      </c>
      <c r="J53" s="77" t="s">
        <v>659</v>
      </c>
      <c r="K53" s="32">
        <v>5</v>
      </c>
      <c r="L53" s="37" t="s">
        <v>640</v>
      </c>
      <c r="M53" s="71">
        <f t="shared" si="0"/>
        <v>160</v>
      </c>
      <c r="N53" s="71">
        <f t="shared" si="2"/>
        <v>8</v>
      </c>
      <c r="O53" s="71">
        <v>2</v>
      </c>
      <c r="P53" s="71">
        <f t="shared" si="3"/>
        <v>5</v>
      </c>
      <c r="Q53" s="71">
        <f t="shared" si="1"/>
        <v>80</v>
      </c>
    </row>
    <row r="54" spans="1:17" ht="32.4">
      <c r="A54" s="69" t="s">
        <v>373</v>
      </c>
      <c r="B54" s="43" t="s">
        <v>492</v>
      </c>
      <c r="C54" s="27" t="s">
        <v>472</v>
      </c>
      <c r="D54" s="27" t="s">
        <v>308</v>
      </c>
      <c r="E54" s="68" t="s">
        <v>321</v>
      </c>
      <c r="F54" s="32">
        <v>7</v>
      </c>
      <c r="G54" s="37" t="s">
        <v>625</v>
      </c>
      <c r="H54" s="32">
        <v>2</v>
      </c>
      <c r="I54" s="26" t="s">
        <v>671</v>
      </c>
      <c r="J54" s="77" t="s">
        <v>659</v>
      </c>
      <c r="K54" s="32">
        <v>7</v>
      </c>
      <c r="L54" s="37" t="s">
        <v>640</v>
      </c>
      <c r="M54" s="71">
        <f t="shared" si="0"/>
        <v>98</v>
      </c>
      <c r="N54" s="71">
        <f t="shared" si="2"/>
        <v>7</v>
      </c>
      <c r="O54" s="71">
        <v>1</v>
      </c>
      <c r="P54" s="71">
        <f t="shared" si="3"/>
        <v>7</v>
      </c>
      <c r="Q54" s="71">
        <f t="shared" si="1"/>
        <v>49</v>
      </c>
    </row>
    <row r="55" spans="1:17" ht="32.4">
      <c r="A55" s="69" t="s">
        <v>374</v>
      </c>
      <c r="B55" s="43" t="s">
        <v>493</v>
      </c>
      <c r="C55" s="27" t="s">
        <v>475</v>
      </c>
      <c r="D55" s="27" t="s">
        <v>305</v>
      </c>
      <c r="E55" s="68" t="s">
        <v>322</v>
      </c>
      <c r="F55" s="32">
        <v>4</v>
      </c>
      <c r="G55" s="37" t="s">
        <v>625</v>
      </c>
      <c r="H55" s="32">
        <v>2</v>
      </c>
      <c r="I55" s="26" t="s">
        <v>671</v>
      </c>
      <c r="J55" s="77" t="s">
        <v>657</v>
      </c>
      <c r="K55" s="32">
        <v>7</v>
      </c>
      <c r="L55" s="37" t="s">
        <v>640</v>
      </c>
      <c r="M55" s="71">
        <f t="shared" si="0"/>
        <v>56</v>
      </c>
      <c r="N55" s="71">
        <f t="shared" si="2"/>
        <v>4</v>
      </c>
      <c r="O55" s="71">
        <v>1</v>
      </c>
      <c r="P55" s="71">
        <f t="shared" si="3"/>
        <v>7</v>
      </c>
      <c r="Q55" s="71">
        <f t="shared" si="1"/>
        <v>28</v>
      </c>
    </row>
    <row r="56" spans="1:17" ht="32.4">
      <c r="A56" s="69" t="s">
        <v>375</v>
      </c>
      <c r="B56" s="43" t="s">
        <v>563</v>
      </c>
      <c r="C56" s="68" t="s">
        <v>482</v>
      </c>
      <c r="D56" s="27" t="s">
        <v>310</v>
      </c>
      <c r="E56" s="68" t="s">
        <v>323</v>
      </c>
      <c r="F56" s="32">
        <v>8</v>
      </c>
      <c r="G56" s="37" t="s">
        <v>628</v>
      </c>
      <c r="H56" s="32">
        <v>3</v>
      </c>
      <c r="I56" s="26" t="s">
        <v>655</v>
      </c>
      <c r="J56" s="77" t="s">
        <v>661</v>
      </c>
      <c r="K56" s="32">
        <v>8</v>
      </c>
      <c r="L56" s="37" t="s">
        <v>640</v>
      </c>
      <c r="M56" s="71">
        <f t="shared" si="0"/>
        <v>192</v>
      </c>
      <c r="N56" s="71">
        <f t="shared" si="2"/>
        <v>8</v>
      </c>
      <c r="O56" s="71">
        <v>1</v>
      </c>
      <c r="P56" s="71">
        <f t="shared" si="3"/>
        <v>8</v>
      </c>
      <c r="Q56" s="71">
        <f t="shared" si="1"/>
        <v>64</v>
      </c>
    </row>
    <row r="57" spans="1:17" ht="32.4">
      <c r="A57" s="69" t="s">
        <v>376</v>
      </c>
      <c r="B57" s="43" t="s">
        <v>562</v>
      </c>
      <c r="C57" s="27" t="s">
        <v>509</v>
      </c>
      <c r="D57" s="27" t="s">
        <v>299</v>
      </c>
      <c r="E57" s="68" t="s">
        <v>508</v>
      </c>
      <c r="F57" s="32">
        <v>7</v>
      </c>
      <c r="G57" s="37" t="s">
        <v>636</v>
      </c>
      <c r="H57" s="32">
        <v>1</v>
      </c>
      <c r="I57" s="26" t="s">
        <v>655</v>
      </c>
      <c r="J57" s="77" t="s">
        <v>657</v>
      </c>
      <c r="K57" s="32">
        <v>3</v>
      </c>
      <c r="L57" s="37" t="s">
        <v>640</v>
      </c>
      <c r="M57" s="71">
        <f t="shared" si="0"/>
        <v>21</v>
      </c>
      <c r="N57" s="71">
        <f t="shared" si="2"/>
        <v>7</v>
      </c>
      <c r="O57" s="71">
        <f t="shared" si="4"/>
        <v>1</v>
      </c>
      <c r="P57" s="71">
        <f t="shared" si="3"/>
        <v>3</v>
      </c>
      <c r="Q57" s="71">
        <f t="shared" si="1"/>
        <v>21</v>
      </c>
    </row>
    <row r="58" spans="1:17" ht="32.4">
      <c r="A58" s="69" t="s">
        <v>377</v>
      </c>
      <c r="B58" s="43" t="s">
        <v>561</v>
      </c>
      <c r="C58" s="27" t="s">
        <v>623</v>
      </c>
      <c r="D58" s="27" t="s">
        <v>299</v>
      </c>
      <c r="E58" s="68" t="s">
        <v>323</v>
      </c>
      <c r="F58" s="32">
        <v>8</v>
      </c>
      <c r="G58" s="37" t="s">
        <v>636</v>
      </c>
      <c r="H58" s="32">
        <v>1</v>
      </c>
      <c r="I58" s="26" t="s">
        <v>655</v>
      </c>
      <c r="J58" s="77" t="s">
        <v>657</v>
      </c>
      <c r="K58" s="32">
        <v>2</v>
      </c>
      <c r="L58" s="37" t="s">
        <v>640</v>
      </c>
      <c r="M58" s="71">
        <f t="shared" si="0"/>
        <v>16</v>
      </c>
      <c r="N58" s="71">
        <f t="shared" si="2"/>
        <v>8</v>
      </c>
      <c r="O58" s="71">
        <f t="shared" si="4"/>
        <v>1</v>
      </c>
      <c r="P58" s="71">
        <f t="shared" si="3"/>
        <v>2</v>
      </c>
      <c r="Q58" s="71">
        <f t="shared" si="1"/>
        <v>16</v>
      </c>
    </row>
    <row r="59" spans="1:17" ht="32.4">
      <c r="A59" s="69" t="s">
        <v>378</v>
      </c>
      <c r="B59" s="43" t="s">
        <v>556</v>
      </c>
      <c r="C59" s="27" t="s">
        <v>472</v>
      </c>
      <c r="D59" s="27" t="s">
        <v>308</v>
      </c>
      <c r="E59" s="68" t="s">
        <v>321</v>
      </c>
      <c r="F59" s="32">
        <v>7</v>
      </c>
      <c r="G59" s="37" t="s">
        <v>630</v>
      </c>
      <c r="H59" s="32">
        <v>1</v>
      </c>
      <c r="I59" s="26" t="s">
        <v>671</v>
      </c>
      <c r="J59" s="77" t="s">
        <v>659</v>
      </c>
      <c r="K59" s="32">
        <v>5</v>
      </c>
      <c r="L59" s="37" t="s">
        <v>640</v>
      </c>
      <c r="M59" s="71">
        <f t="shared" si="0"/>
        <v>35</v>
      </c>
      <c r="N59" s="71">
        <f t="shared" si="2"/>
        <v>7</v>
      </c>
      <c r="O59" s="71">
        <f t="shared" si="4"/>
        <v>1</v>
      </c>
      <c r="P59" s="71">
        <f t="shared" si="3"/>
        <v>5</v>
      </c>
      <c r="Q59" s="71">
        <f t="shared" si="1"/>
        <v>35</v>
      </c>
    </row>
    <row r="60" spans="1:17" ht="32.4">
      <c r="A60" s="69" t="s">
        <v>379</v>
      </c>
      <c r="B60" s="43" t="s">
        <v>560</v>
      </c>
      <c r="C60" s="27" t="s">
        <v>509</v>
      </c>
      <c r="D60" s="27" t="s">
        <v>299</v>
      </c>
      <c r="E60" s="68" t="s">
        <v>508</v>
      </c>
      <c r="F60" s="32">
        <v>7</v>
      </c>
      <c r="G60" s="37" t="s">
        <v>636</v>
      </c>
      <c r="H60" s="32">
        <v>1</v>
      </c>
      <c r="I60" s="26" t="s">
        <v>655</v>
      </c>
      <c r="J60" s="77" t="s">
        <v>657</v>
      </c>
      <c r="K60" s="32">
        <v>3</v>
      </c>
      <c r="L60" s="37" t="s">
        <v>640</v>
      </c>
      <c r="M60" s="71">
        <f t="shared" si="0"/>
        <v>21</v>
      </c>
      <c r="N60" s="71">
        <f t="shared" si="2"/>
        <v>7</v>
      </c>
      <c r="O60" s="71">
        <f t="shared" si="4"/>
        <v>1</v>
      </c>
      <c r="P60" s="71">
        <f t="shared" si="3"/>
        <v>3</v>
      </c>
      <c r="Q60" s="71">
        <f t="shared" si="1"/>
        <v>21</v>
      </c>
    </row>
    <row r="61" spans="1:17" ht="32.4">
      <c r="A61" s="69" t="s">
        <v>380</v>
      </c>
      <c r="B61" s="43" t="s">
        <v>559</v>
      </c>
      <c r="C61" s="27" t="s">
        <v>623</v>
      </c>
      <c r="D61" s="27" t="s">
        <v>299</v>
      </c>
      <c r="E61" s="68" t="s">
        <v>323</v>
      </c>
      <c r="F61" s="32">
        <v>8</v>
      </c>
      <c r="G61" s="37" t="s">
        <v>634</v>
      </c>
      <c r="H61" s="32">
        <v>1</v>
      </c>
      <c r="I61" s="26" t="s">
        <v>655</v>
      </c>
      <c r="J61" s="77" t="s">
        <v>657</v>
      </c>
      <c r="K61" s="32">
        <v>2</v>
      </c>
      <c r="L61" s="37" t="s">
        <v>640</v>
      </c>
      <c r="M61" s="71">
        <f t="shared" si="0"/>
        <v>16</v>
      </c>
      <c r="N61" s="71">
        <f t="shared" si="2"/>
        <v>8</v>
      </c>
      <c r="O61" s="71">
        <f t="shared" si="4"/>
        <v>1</v>
      </c>
      <c r="P61" s="71">
        <f t="shared" si="3"/>
        <v>2</v>
      </c>
      <c r="Q61" s="71">
        <f t="shared" si="1"/>
        <v>16</v>
      </c>
    </row>
    <row r="62" spans="1:17" ht="32.4">
      <c r="A62" s="69" t="s">
        <v>381</v>
      </c>
      <c r="B62" s="43" t="s">
        <v>558</v>
      </c>
      <c r="C62" s="27" t="s">
        <v>507</v>
      </c>
      <c r="D62" s="27" t="s">
        <v>303</v>
      </c>
      <c r="E62" s="68" t="s">
        <v>508</v>
      </c>
      <c r="F62" s="32">
        <v>7</v>
      </c>
      <c r="G62" s="37" t="s">
        <v>631</v>
      </c>
      <c r="H62" s="32">
        <v>4</v>
      </c>
      <c r="I62" s="26" t="s">
        <v>655</v>
      </c>
      <c r="J62" s="77" t="s">
        <v>659</v>
      </c>
      <c r="K62" s="32">
        <v>5</v>
      </c>
      <c r="L62" s="37" t="s">
        <v>640</v>
      </c>
      <c r="M62" s="71">
        <f t="shared" si="0"/>
        <v>140</v>
      </c>
      <c r="N62" s="71">
        <f t="shared" si="2"/>
        <v>7</v>
      </c>
      <c r="O62" s="71">
        <v>2</v>
      </c>
      <c r="P62" s="71">
        <f t="shared" si="3"/>
        <v>5</v>
      </c>
      <c r="Q62" s="71">
        <f t="shared" si="1"/>
        <v>70</v>
      </c>
    </row>
    <row r="63" spans="1:17" ht="32.4">
      <c r="A63" s="69" t="s">
        <v>382</v>
      </c>
      <c r="B63" s="43" t="s">
        <v>510</v>
      </c>
      <c r="C63" s="27" t="s">
        <v>597</v>
      </c>
      <c r="D63" s="27" t="s">
        <v>305</v>
      </c>
      <c r="E63" s="68" t="s">
        <v>322</v>
      </c>
      <c r="F63" s="32">
        <v>4</v>
      </c>
      <c r="G63" s="37" t="s">
        <v>635</v>
      </c>
      <c r="H63" s="32">
        <v>4</v>
      </c>
      <c r="I63" s="26" t="s">
        <v>671</v>
      </c>
      <c r="J63" s="77" t="s">
        <v>667</v>
      </c>
      <c r="K63" s="32">
        <v>10</v>
      </c>
      <c r="L63" s="37" t="s">
        <v>640</v>
      </c>
      <c r="M63" s="71">
        <f t="shared" si="0"/>
        <v>160</v>
      </c>
      <c r="N63" s="71">
        <f t="shared" si="2"/>
        <v>4</v>
      </c>
      <c r="O63" s="71">
        <v>2</v>
      </c>
      <c r="P63" s="71">
        <f t="shared" si="3"/>
        <v>10</v>
      </c>
      <c r="Q63" s="71">
        <f t="shared" si="1"/>
        <v>80</v>
      </c>
    </row>
    <row r="64" spans="1:17" ht="32.4">
      <c r="A64" s="69" t="s">
        <v>383</v>
      </c>
      <c r="B64" s="43" t="s">
        <v>557</v>
      </c>
      <c r="C64" s="27" t="s">
        <v>509</v>
      </c>
      <c r="D64" s="27" t="s">
        <v>299</v>
      </c>
      <c r="E64" s="68" t="s">
        <v>323</v>
      </c>
      <c r="F64" s="32">
        <v>8</v>
      </c>
      <c r="G64" s="37" t="s">
        <v>625</v>
      </c>
      <c r="H64" s="32">
        <v>4</v>
      </c>
      <c r="I64" s="26" t="s">
        <v>671</v>
      </c>
      <c r="J64" s="77" t="s">
        <v>665</v>
      </c>
      <c r="K64" s="32">
        <v>5</v>
      </c>
      <c r="L64" s="37" t="s">
        <v>640</v>
      </c>
      <c r="M64" s="71">
        <f t="shared" si="0"/>
        <v>160</v>
      </c>
      <c r="N64" s="71">
        <f t="shared" si="2"/>
        <v>8</v>
      </c>
      <c r="O64" s="71">
        <v>2</v>
      </c>
      <c r="P64" s="71">
        <f t="shared" si="3"/>
        <v>5</v>
      </c>
      <c r="Q64" s="71">
        <f t="shared" si="1"/>
        <v>80</v>
      </c>
    </row>
    <row r="65" spans="1:17" ht="32.4">
      <c r="A65" s="69" t="s">
        <v>384</v>
      </c>
      <c r="B65" s="43" t="s">
        <v>529</v>
      </c>
      <c r="C65" s="27" t="s">
        <v>469</v>
      </c>
      <c r="D65" s="27" t="s">
        <v>303</v>
      </c>
      <c r="E65" s="68" t="s">
        <v>320</v>
      </c>
      <c r="F65" s="32">
        <v>8</v>
      </c>
      <c r="G65" s="37" t="s">
        <v>625</v>
      </c>
      <c r="H65" s="32">
        <v>3</v>
      </c>
      <c r="I65" s="26" t="s">
        <v>655</v>
      </c>
      <c r="J65" s="77" t="s">
        <v>659</v>
      </c>
      <c r="K65" s="32">
        <v>5</v>
      </c>
      <c r="L65" s="37" t="s">
        <v>640</v>
      </c>
      <c r="M65" s="71">
        <f t="shared" si="0"/>
        <v>120</v>
      </c>
      <c r="N65" s="71">
        <f t="shared" si="2"/>
        <v>8</v>
      </c>
      <c r="O65" s="71">
        <v>2</v>
      </c>
      <c r="P65" s="71">
        <f t="shared" si="3"/>
        <v>5</v>
      </c>
      <c r="Q65" s="71">
        <f t="shared" si="1"/>
        <v>80</v>
      </c>
    </row>
    <row r="66" spans="1:17" ht="32.4">
      <c r="A66" s="69" t="s">
        <v>385</v>
      </c>
      <c r="B66" s="43" t="s">
        <v>528</v>
      </c>
      <c r="C66" s="27" t="s">
        <v>476</v>
      </c>
      <c r="D66" s="27" t="s">
        <v>303</v>
      </c>
      <c r="E66" s="68" t="s">
        <v>320</v>
      </c>
      <c r="F66" s="32">
        <v>8</v>
      </c>
      <c r="G66" s="37" t="s">
        <v>625</v>
      </c>
      <c r="H66" s="32">
        <v>3</v>
      </c>
      <c r="I66" s="26" t="s">
        <v>655</v>
      </c>
      <c r="J66" s="77" t="s">
        <v>661</v>
      </c>
      <c r="K66" s="32">
        <v>3</v>
      </c>
      <c r="L66" s="37" t="s">
        <v>640</v>
      </c>
      <c r="M66" s="71">
        <f t="shared" si="0"/>
        <v>72</v>
      </c>
      <c r="N66" s="71">
        <f t="shared" si="2"/>
        <v>8</v>
      </c>
      <c r="O66" s="71">
        <v>2</v>
      </c>
      <c r="P66" s="71">
        <f t="shared" si="3"/>
        <v>3</v>
      </c>
      <c r="Q66" s="71">
        <f t="shared" si="1"/>
        <v>48</v>
      </c>
    </row>
    <row r="67" spans="1:17" ht="32.4">
      <c r="A67" s="69" t="s">
        <v>386</v>
      </c>
      <c r="B67" s="43" t="s">
        <v>527</v>
      </c>
      <c r="C67" s="27" t="s">
        <v>478</v>
      </c>
      <c r="D67" s="27" t="s">
        <v>303</v>
      </c>
      <c r="E67" s="68" t="s">
        <v>320</v>
      </c>
      <c r="F67" s="32">
        <v>4</v>
      </c>
      <c r="G67" s="37" t="s">
        <v>625</v>
      </c>
      <c r="H67" s="32">
        <v>3</v>
      </c>
      <c r="I67" s="26" t="s">
        <v>655</v>
      </c>
      <c r="J67" s="77" t="s">
        <v>661</v>
      </c>
      <c r="K67" s="32">
        <v>3</v>
      </c>
      <c r="L67" s="37" t="s">
        <v>640</v>
      </c>
      <c r="M67" s="71">
        <f t="shared" ref="M67:M130" si="5">F67*H67*K67</f>
        <v>36</v>
      </c>
      <c r="N67" s="71">
        <f t="shared" si="2"/>
        <v>4</v>
      </c>
      <c r="O67" s="71">
        <v>2</v>
      </c>
      <c r="P67" s="71">
        <f t="shared" si="3"/>
        <v>3</v>
      </c>
      <c r="Q67" s="71">
        <f t="shared" ref="Q67:Q130" si="6">N67*O67*P67</f>
        <v>24</v>
      </c>
    </row>
    <row r="68" spans="1:17" ht="32.4">
      <c r="A68" s="69" t="s">
        <v>387</v>
      </c>
      <c r="B68" s="43" t="s">
        <v>557</v>
      </c>
      <c r="C68" s="27" t="s">
        <v>509</v>
      </c>
      <c r="D68" s="27" t="s">
        <v>299</v>
      </c>
      <c r="E68" s="68" t="s">
        <v>323</v>
      </c>
      <c r="F68" s="32">
        <v>8</v>
      </c>
      <c r="G68" s="37" t="s">
        <v>625</v>
      </c>
      <c r="H68" s="32">
        <v>4</v>
      </c>
      <c r="I68" s="26" t="s">
        <v>671</v>
      </c>
      <c r="J68" s="77" t="s">
        <v>665</v>
      </c>
      <c r="K68" s="32">
        <v>5</v>
      </c>
      <c r="L68" s="37" t="s">
        <v>640</v>
      </c>
      <c r="M68" s="71">
        <f t="shared" si="5"/>
        <v>160</v>
      </c>
      <c r="N68" s="71">
        <f t="shared" si="2"/>
        <v>8</v>
      </c>
      <c r="O68" s="71">
        <v>3</v>
      </c>
      <c r="P68" s="71">
        <f t="shared" si="3"/>
        <v>5</v>
      </c>
      <c r="Q68" s="71">
        <f t="shared" si="6"/>
        <v>120</v>
      </c>
    </row>
    <row r="69" spans="1:17" ht="32.4">
      <c r="A69" s="69" t="s">
        <v>388</v>
      </c>
      <c r="B69" s="43" t="s">
        <v>556</v>
      </c>
      <c r="C69" s="27" t="s">
        <v>472</v>
      </c>
      <c r="D69" s="27" t="s">
        <v>308</v>
      </c>
      <c r="E69" s="68" t="s">
        <v>321</v>
      </c>
      <c r="F69" s="32">
        <v>7</v>
      </c>
      <c r="G69" s="37" t="s">
        <v>625</v>
      </c>
      <c r="H69" s="32">
        <v>1</v>
      </c>
      <c r="I69" s="26" t="s">
        <v>671</v>
      </c>
      <c r="J69" s="77" t="s">
        <v>659</v>
      </c>
      <c r="K69" s="32">
        <v>5</v>
      </c>
      <c r="L69" s="37" t="s">
        <v>640</v>
      </c>
      <c r="M69" s="71">
        <f t="shared" si="5"/>
        <v>35</v>
      </c>
      <c r="N69" s="71">
        <f t="shared" si="2"/>
        <v>7</v>
      </c>
      <c r="O69" s="71">
        <f t="shared" si="4"/>
        <v>1</v>
      </c>
      <c r="P69" s="71">
        <f t="shared" si="3"/>
        <v>5</v>
      </c>
      <c r="Q69" s="71">
        <f t="shared" si="6"/>
        <v>35</v>
      </c>
    </row>
    <row r="70" spans="1:17" ht="32.4">
      <c r="A70" s="69" t="s">
        <v>389</v>
      </c>
      <c r="B70" s="43" t="s">
        <v>555</v>
      </c>
      <c r="C70" s="27" t="s">
        <v>622</v>
      </c>
      <c r="D70" s="27" t="s">
        <v>299</v>
      </c>
      <c r="E70" s="68" t="s">
        <v>599</v>
      </c>
      <c r="F70" s="32">
        <v>6</v>
      </c>
      <c r="G70" s="37" t="s">
        <v>636</v>
      </c>
      <c r="H70" s="32">
        <v>3</v>
      </c>
      <c r="I70" s="26" t="s">
        <v>655</v>
      </c>
      <c r="J70" s="77" t="s">
        <v>657</v>
      </c>
      <c r="K70" s="32">
        <v>3</v>
      </c>
      <c r="L70" s="37" t="s">
        <v>640</v>
      </c>
      <c r="M70" s="71">
        <f t="shared" si="5"/>
        <v>54</v>
      </c>
      <c r="N70" s="71">
        <f t="shared" si="2"/>
        <v>6</v>
      </c>
      <c r="O70" s="71">
        <v>2</v>
      </c>
      <c r="P70" s="71">
        <f t="shared" si="3"/>
        <v>3</v>
      </c>
      <c r="Q70" s="71">
        <f t="shared" si="6"/>
        <v>36</v>
      </c>
    </row>
    <row r="71" spans="1:17" ht="32.4">
      <c r="A71" s="69" t="s">
        <v>390</v>
      </c>
      <c r="B71" s="43" t="s">
        <v>554</v>
      </c>
      <c r="C71" s="27" t="s">
        <v>322</v>
      </c>
      <c r="D71" s="27" t="s">
        <v>304</v>
      </c>
      <c r="E71" s="68" t="s">
        <v>320</v>
      </c>
      <c r="F71" s="32">
        <v>6</v>
      </c>
      <c r="G71" s="37" t="s">
        <v>636</v>
      </c>
      <c r="H71" s="32">
        <v>3</v>
      </c>
      <c r="I71" s="26" t="s">
        <v>655</v>
      </c>
      <c r="J71" s="77" t="s">
        <v>657</v>
      </c>
      <c r="K71" s="32">
        <v>7</v>
      </c>
      <c r="L71" s="37" t="s">
        <v>640</v>
      </c>
      <c r="M71" s="71">
        <f t="shared" si="5"/>
        <v>126</v>
      </c>
      <c r="N71" s="71">
        <f t="shared" si="2"/>
        <v>6</v>
      </c>
      <c r="O71" s="71">
        <v>2</v>
      </c>
      <c r="P71" s="71">
        <f t="shared" si="3"/>
        <v>7</v>
      </c>
      <c r="Q71" s="71">
        <f t="shared" si="6"/>
        <v>84</v>
      </c>
    </row>
    <row r="72" spans="1:17" ht="48.6">
      <c r="A72" s="69" t="s">
        <v>391</v>
      </c>
      <c r="B72" s="43" t="s">
        <v>577</v>
      </c>
      <c r="C72" s="27" t="s">
        <v>601</v>
      </c>
      <c r="D72" s="27" t="s">
        <v>299</v>
      </c>
      <c r="E72" s="68" t="s">
        <v>602</v>
      </c>
      <c r="F72" s="32">
        <v>2</v>
      </c>
      <c r="G72" s="37" t="s">
        <v>636</v>
      </c>
      <c r="H72" s="32">
        <v>5</v>
      </c>
      <c r="I72" s="26" t="s">
        <v>671</v>
      </c>
      <c r="J72" s="77" t="s">
        <v>659</v>
      </c>
      <c r="K72" s="32">
        <v>6</v>
      </c>
      <c r="L72" s="37" t="s">
        <v>640</v>
      </c>
      <c r="M72" s="71">
        <f t="shared" si="5"/>
        <v>60</v>
      </c>
      <c r="N72" s="71">
        <f t="shared" si="2"/>
        <v>2</v>
      </c>
      <c r="O72" s="71">
        <v>3</v>
      </c>
      <c r="P72" s="71">
        <f t="shared" si="3"/>
        <v>6</v>
      </c>
      <c r="Q72" s="71">
        <f t="shared" si="6"/>
        <v>36</v>
      </c>
    </row>
    <row r="73" spans="1:17" ht="48.6">
      <c r="A73" s="69" t="s">
        <v>392</v>
      </c>
      <c r="B73" s="43" t="s">
        <v>577</v>
      </c>
      <c r="C73" s="27" t="s">
        <v>601</v>
      </c>
      <c r="D73" s="27" t="s">
        <v>299</v>
      </c>
      <c r="E73" s="68" t="s">
        <v>602</v>
      </c>
      <c r="F73" s="32">
        <v>2</v>
      </c>
      <c r="G73" s="37" t="s">
        <v>636</v>
      </c>
      <c r="H73" s="32">
        <v>5</v>
      </c>
      <c r="I73" s="26" t="s">
        <v>671</v>
      </c>
      <c r="J73" s="77" t="s">
        <v>659</v>
      </c>
      <c r="K73" s="32">
        <v>6</v>
      </c>
      <c r="L73" s="37" t="s">
        <v>640</v>
      </c>
      <c r="M73" s="71">
        <f t="shared" si="5"/>
        <v>60</v>
      </c>
      <c r="N73" s="71">
        <f t="shared" si="2"/>
        <v>2</v>
      </c>
      <c r="O73" s="71">
        <v>2</v>
      </c>
      <c r="P73" s="71">
        <f t="shared" si="3"/>
        <v>6</v>
      </c>
      <c r="Q73" s="71">
        <f t="shared" si="6"/>
        <v>24</v>
      </c>
    </row>
    <row r="74" spans="1:17" ht="32.4">
      <c r="A74" s="69" t="s">
        <v>393</v>
      </c>
      <c r="B74" s="43" t="s">
        <v>553</v>
      </c>
      <c r="C74" s="27" t="s">
        <v>611</v>
      </c>
      <c r="D74" s="27" t="s">
        <v>299</v>
      </c>
      <c r="E74" s="68" t="s">
        <v>320</v>
      </c>
      <c r="F74" s="32">
        <v>6</v>
      </c>
      <c r="G74" s="37" t="s">
        <v>625</v>
      </c>
      <c r="H74" s="32">
        <v>3</v>
      </c>
      <c r="I74" s="26" t="s">
        <v>655</v>
      </c>
      <c r="J74" s="77" t="s">
        <v>661</v>
      </c>
      <c r="K74" s="32">
        <v>3</v>
      </c>
      <c r="L74" s="37" t="s">
        <v>640</v>
      </c>
      <c r="M74" s="71">
        <f t="shared" si="5"/>
        <v>54</v>
      </c>
      <c r="N74" s="71">
        <f t="shared" si="2"/>
        <v>6</v>
      </c>
      <c r="O74" s="71">
        <f t="shared" si="4"/>
        <v>3</v>
      </c>
      <c r="P74" s="71">
        <f t="shared" si="3"/>
        <v>3</v>
      </c>
      <c r="Q74" s="71">
        <f t="shared" si="6"/>
        <v>54</v>
      </c>
    </row>
    <row r="75" spans="1:17" ht="32.4">
      <c r="A75" s="69" t="s">
        <v>394</v>
      </c>
      <c r="B75" s="43" t="s">
        <v>552</v>
      </c>
      <c r="C75" s="27" t="s">
        <v>509</v>
      </c>
      <c r="D75" s="27" t="s">
        <v>299</v>
      </c>
      <c r="E75" s="68" t="s">
        <v>323</v>
      </c>
      <c r="F75" s="32">
        <v>8</v>
      </c>
      <c r="G75" s="37" t="s">
        <v>625</v>
      </c>
      <c r="H75" s="32">
        <v>3</v>
      </c>
      <c r="I75" s="26" t="s">
        <v>655</v>
      </c>
      <c r="J75" s="77" t="s">
        <v>661</v>
      </c>
      <c r="K75" s="32">
        <v>5</v>
      </c>
      <c r="L75" s="37" t="s">
        <v>640</v>
      </c>
      <c r="M75" s="71">
        <f t="shared" si="5"/>
        <v>120</v>
      </c>
      <c r="N75" s="71">
        <f t="shared" si="2"/>
        <v>8</v>
      </c>
      <c r="O75" s="71">
        <v>2</v>
      </c>
      <c r="P75" s="71">
        <f t="shared" si="3"/>
        <v>5</v>
      </c>
      <c r="Q75" s="71">
        <f t="shared" si="6"/>
        <v>80</v>
      </c>
    </row>
    <row r="76" spans="1:17" ht="32.4">
      <c r="A76" s="69" t="s">
        <v>395</v>
      </c>
      <c r="B76" s="43" t="s">
        <v>527</v>
      </c>
      <c r="C76" s="27" t="s">
        <v>478</v>
      </c>
      <c r="D76" s="27" t="s">
        <v>303</v>
      </c>
      <c r="E76" s="68" t="s">
        <v>320</v>
      </c>
      <c r="F76" s="32">
        <v>4</v>
      </c>
      <c r="G76" s="37" t="s">
        <v>625</v>
      </c>
      <c r="H76" s="32">
        <v>3</v>
      </c>
      <c r="I76" s="26" t="s">
        <v>655</v>
      </c>
      <c r="J76" s="77" t="s">
        <v>661</v>
      </c>
      <c r="K76" s="32">
        <v>3</v>
      </c>
      <c r="L76" s="37" t="s">
        <v>640</v>
      </c>
      <c r="M76" s="71">
        <f t="shared" si="5"/>
        <v>36</v>
      </c>
      <c r="N76" s="71">
        <f t="shared" si="2"/>
        <v>4</v>
      </c>
      <c r="O76" s="71">
        <v>2</v>
      </c>
      <c r="P76" s="71">
        <f t="shared" si="3"/>
        <v>3</v>
      </c>
      <c r="Q76" s="71">
        <f t="shared" si="6"/>
        <v>24</v>
      </c>
    </row>
    <row r="77" spans="1:17" ht="32.4">
      <c r="A77" s="69" t="s">
        <v>396</v>
      </c>
      <c r="B77" s="43" t="s">
        <v>550</v>
      </c>
      <c r="C77" s="27" t="s">
        <v>509</v>
      </c>
      <c r="D77" s="27" t="s">
        <v>299</v>
      </c>
      <c r="E77" s="68" t="s">
        <v>323</v>
      </c>
      <c r="F77" s="32">
        <v>8</v>
      </c>
      <c r="G77" s="37" t="s">
        <v>625</v>
      </c>
      <c r="H77" s="32">
        <v>4</v>
      </c>
      <c r="I77" s="26" t="s">
        <v>671</v>
      </c>
      <c r="J77" s="77" t="s">
        <v>665</v>
      </c>
      <c r="K77" s="32">
        <v>5</v>
      </c>
      <c r="L77" s="37" t="s">
        <v>640</v>
      </c>
      <c r="M77" s="71">
        <f t="shared" si="5"/>
        <v>160</v>
      </c>
      <c r="N77" s="71">
        <f t="shared" si="2"/>
        <v>8</v>
      </c>
      <c r="O77" s="71">
        <v>2</v>
      </c>
      <c r="P77" s="71">
        <f t="shared" si="3"/>
        <v>5</v>
      </c>
      <c r="Q77" s="71">
        <f t="shared" si="6"/>
        <v>80</v>
      </c>
    </row>
    <row r="78" spans="1:17" ht="32.4">
      <c r="A78" s="69" t="s">
        <v>397</v>
      </c>
      <c r="B78" s="43" t="s">
        <v>549</v>
      </c>
      <c r="C78" s="27" t="s">
        <v>608</v>
      </c>
      <c r="D78" s="27" t="s">
        <v>299</v>
      </c>
      <c r="E78" s="68" t="s">
        <v>609</v>
      </c>
      <c r="F78" s="32">
        <v>4</v>
      </c>
      <c r="G78" s="37" t="s">
        <v>627</v>
      </c>
      <c r="H78" s="32">
        <v>4</v>
      </c>
      <c r="I78" s="26" t="s">
        <v>671</v>
      </c>
      <c r="J78" s="77" t="s">
        <v>674</v>
      </c>
      <c r="K78" s="32">
        <v>10</v>
      </c>
      <c r="L78" s="37" t="s">
        <v>640</v>
      </c>
      <c r="M78" s="71">
        <f t="shared" si="5"/>
        <v>160</v>
      </c>
      <c r="N78" s="71">
        <f t="shared" si="2"/>
        <v>4</v>
      </c>
      <c r="O78" s="71">
        <v>2</v>
      </c>
      <c r="P78" s="71">
        <v>6</v>
      </c>
      <c r="Q78" s="71">
        <f t="shared" si="6"/>
        <v>48</v>
      </c>
    </row>
    <row r="79" spans="1:17" ht="32.4">
      <c r="A79" s="69" t="s">
        <v>398</v>
      </c>
      <c r="B79" s="43" t="s">
        <v>551</v>
      </c>
      <c r="C79" s="27" t="s">
        <v>621</v>
      </c>
      <c r="D79" s="27" t="s">
        <v>315</v>
      </c>
      <c r="E79" s="68" t="s">
        <v>596</v>
      </c>
      <c r="F79" s="32">
        <v>2</v>
      </c>
      <c r="G79" s="37" t="s">
        <v>636</v>
      </c>
      <c r="H79" s="32">
        <v>1</v>
      </c>
      <c r="I79" s="26" t="s">
        <v>655</v>
      </c>
      <c r="J79" s="77" t="s">
        <v>661</v>
      </c>
      <c r="K79" s="32">
        <v>8</v>
      </c>
      <c r="L79" s="37" t="s">
        <v>640</v>
      </c>
      <c r="M79" s="71">
        <f t="shared" si="5"/>
        <v>16</v>
      </c>
      <c r="N79" s="71">
        <f t="shared" si="2"/>
        <v>2</v>
      </c>
      <c r="O79" s="71">
        <f t="shared" si="4"/>
        <v>1</v>
      </c>
      <c r="P79" s="71">
        <f t="shared" si="3"/>
        <v>8</v>
      </c>
      <c r="Q79" s="71">
        <f t="shared" si="6"/>
        <v>16</v>
      </c>
    </row>
    <row r="80" spans="1:17" ht="32.4">
      <c r="A80" s="69" t="s">
        <v>399</v>
      </c>
      <c r="B80" s="43" t="s">
        <v>529</v>
      </c>
      <c r="C80" s="27" t="s">
        <v>469</v>
      </c>
      <c r="D80" s="27" t="s">
        <v>303</v>
      </c>
      <c r="E80" s="68" t="s">
        <v>320</v>
      </c>
      <c r="F80" s="32">
        <v>8</v>
      </c>
      <c r="G80" s="37" t="s">
        <v>625</v>
      </c>
      <c r="H80" s="32">
        <v>3</v>
      </c>
      <c r="I80" s="26" t="s">
        <v>655</v>
      </c>
      <c r="J80" s="77" t="s">
        <v>659</v>
      </c>
      <c r="K80" s="32">
        <v>5</v>
      </c>
      <c r="L80" s="37" t="s">
        <v>640</v>
      </c>
      <c r="M80" s="71">
        <f t="shared" si="5"/>
        <v>120</v>
      </c>
      <c r="N80" s="71">
        <f t="shared" si="2"/>
        <v>8</v>
      </c>
      <c r="O80" s="71">
        <v>2</v>
      </c>
      <c r="P80" s="71">
        <f t="shared" si="3"/>
        <v>5</v>
      </c>
      <c r="Q80" s="71">
        <f t="shared" si="6"/>
        <v>80</v>
      </c>
    </row>
    <row r="81" spans="1:17" ht="32.4">
      <c r="A81" s="69" t="s">
        <v>400</v>
      </c>
      <c r="B81" s="43" t="s">
        <v>528</v>
      </c>
      <c r="C81" s="27" t="s">
        <v>476</v>
      </c>
      <c r="D81" s="27" t="s">
        <v>303</v>
      </c>
      <c r="E81" s="68" t="s">
        <v>320</v>
      </c>
      <c r="F81" s="32">
        <v>8</v>
      </c>
      <c r="G81" s="37" t="s">
        <v>625</v>
      </c>
      <c r="H81" s="32">
        <v>3</v>
      </c>
      <c r="I81" s="26" t="s">
        <v>655</v>
      </c>
      <c r="J81" s="77" t="s">
        <v>661</v>
      </c>
      <c r="K81" s="32">
        <v>3</v>
      </c>
      <c r="L81" s="37" t="s">
        <v>640</v>
      </c>
      <c r="M81" s="71">
        <f t="shared" si="5"/>
        <v>72</v>
      </c>
      <c r="N81" s="71">
        <f t="shared" si="2"/>
        <v>8</v>
      </c>
      <c r="O81" s="71">
        <v>2</v>
      </c>
      <c r="P81" s="71">
        <f t="shared" si="3"/>
        <v>3</v>
      </c>
      <c r="Q81" s="71">
        <f t="shared" si="6"/>
        <v>48</v>
      </c>
    </row>
    <row r="82" spans="1:17" ht="32.4">
      <c r="A82" s="69" t="s">
        <v>401</v>
      </c>
      <c r="B82" s="43" t="s">
        <v>527</v>
      </c>
      <c r="C82" s="27" t="s">
        <v>478</v>
      </c>
      <c r="D82" s="27" t="s">
        <v>303</v>
      </c>
      <c r="E82" s="68" t="s">
        <v>320</v>
      </c>
      <c r="F82" s="32">
        <v>4</v>
      </c>
      <c r="G82" s="37" t="s">
        <v>625</v>
      </c>
      <c r="H82" s="32">
        <v>3</v>
      </c>
      <c r="I82" s="26" t="s">
        <v>655</v>
      </c>
      <c r="J82" s="77" t="s">
        <v>661</v>
      </c>
      <c r="K82" s="32">
        <v>3</v>
      </c>
      <c r="L82" s="37" t="s">
        <v>640</v>
      </c>
      <c r="M82" s="71">
        <f t="shared" si="5"/>
        <v>36</v>
      </c>
      <c r="N82" s="71">
        <f t="shared" ref="N82:N145" si="7">IF(F82="","",F82)</f>
        <v>4</v>
      </c>
      <c r="O82" s="71">
        <v>2</v>
      </c>
      <c r="P82" s="71">
        <f t="shared" ref="P82:P145" si="8">IF(K82="","",K82)</f>
        <v>3</v>
      </c>
      <c r="Q82" s="71">
        <f t="shared" si="6"/>
        <v>24</v>
      </c>
    </row>
    <row r="83" spans="1:17" ht="32.4">
      <c r="A83" s="69" t="s">
        <v>402</v>
      </c>
      <c r="B83" s="43" t="s">
        <v>529</v>
      </c>
      <c r="C83" s="27" t="s">
        <v>469</v>
      </c>
      <c r="D83" s="27" t="s">
        <v>303</v>
      </c>
      <c r="E83" s="68" t="s">
        <v>320</v>
      </c>
      <c r="F83" s="32">
        <v>8</v>
      </c>
      <c r="G83" s="37" t="s">
        <v>625</v>
      </c>
      <c r="H83" s="32">
        <v>3</v>
      </c>
      <c r="I83" s="26" t="s">
        <v>655</v>
      </c>
      <c r="J83" s="77" t="s">
        <v>659</v>
      </c>
      <c r="K83" s="32">
        <v>5</v>
      </c>
      <c r="L83" s="37" t="s">
        <v>640</v>
      </c>
      <c r="M83" s="71">
        <f t="shared" si="5"/>
        <v>120</v>
      </c>
      <c r="N83" s="71">
        <f t="shared" si="7"/>
        <v>8</v>
      </c>
      <c r="O83" s="71">
        <v>2</v>
      </c>
      <c r="P83" s="71">
        <f t="shared" si="8"/>
        <v>5</v>
      </c>
      <c r="Q83" s="71">
        <f t="shared" si="6"/>
        <v>80</v>
      </c>
    </row>
    <row r="84" spans="1:17" ht="32.4">
      <c r="A84" s="69" t="s">
        <v>403</v>
      </c>
      <c r="B84" s="43" t="s">
        <v>528</v>
      </c>
      <c r="C84" s="27" t="s">
        <v>476</v>
      </c>
      <c r="D84" s="27" t="s">
        <v>303</v>
      </c>
      <c r="E84" s="68" t="s">
        <v>320</v>
      </c>
      <c r="F84" s="32">
        <v>8</v>
      </c>
      <c r="G84" s="37" t="s">
        <v>625</v>
      </c>
      <c r="H84" s="32">
        <v>3</v>
      </c>
      <c r="I84" s="26" t="s">
        <v>655</v>
      </c>
      <c r="J84" s="77" t="s">
        <v>661</v>
      </c>
      <c r="K84" s="32">
        <v>3</v>
      </c>
      <c r="L84" s="37" t="s">
        <v>640</v>
      </c>
      <c r="M84" s="71">
        <f t="shared" si="5"/>
        <v>72</v>
      </c>
      <c r="N84" s="71">
        <f t="shared" si="7"/>
        <v>8</v>
      </c>
      <c r="O84" s="71">
        <v>2</v>
      </c>
      <c r="P84" s="71">
        <f t="shared" si="8"/>
        <v>3</v>
      </c>
      <c r="Q84" s="71">
        <f t="shared" si="6"/>
        <v>48</v>
      </c>
    </row>
    <row r="85" spans="1:17" ht="32.4">
      <c r="A85" s="69" t="s">
        <v>404</v>
      </c>
      <c r="B85" s="43" t="s">
        <v>527</v>
      </c>
      <c r="C85" s="27" t="s">
        <v>478</v>
      </c>
      <c r="D85" s="27" t="s">
        <v>303</v>
      </c>
      <c r="E85" s="68" t="s">
        <v>320</v>
      </c>
      <c r="F85" s="32">
        <v>4</v>
      </c>
      <c r="G85" s="37" t="s">
        <v>625</v>
      </c>
      <c r="H85" s="32">
        <v>3</v>
      </c>
      <c r="I85" s="26" t="s">
        <v>655</v>
      </c>
      <c r="J85" s="77" t="s">
        <v>661</v>
      </c>
      <c r="K85" s="32">
        <v>3</v>
      </c>
      <c r="L85" s="37" t="s">
        <v>640</v>
      </c>
      <c r="M85" s="71">
        <f t="shared" si="5"/>
        <v>36</v>
      </c>
      <c r="N85" s="71">
        <f t="shared" si="7"/>
        <v>4</v>
      </c>
      <c r="O85" s="71">
        <v>2</v>
      </c>
      <c r="P85" s="71">
        <f t="shared" si="8"/>
        <v>3</v>
      </c>
      <c r="Q85" s="71">
        <f t="shared" si="6"/>
        <v>24</v>
      </c>
    </row>
    <row r="86" spans="1:17" ht="32.4">
      <c r="A86" s="69" t="s">
        <v>582</v>
      </c>
      <c r="B86" s="43" t="s">
        <v>579</v>
      </c>
      <c r="C86" s="68" t="s">
        <v>482</v>
      </c>
      <c r="D86" s="27" t="s">
        <v>299</v>
      </c>
      <c r="E86" s="68" t="s">
        <v>586</v>
      </c>
      <c r="F86" s="32">
        <v>4</v>
      </c>
      <c r="G86" s="37" t="s">
        <v>629</v>
      </c>
      <c r="H86" s="32">
        <v>6</v>
      </c>
      <c r="I86" s="26" t="s">
        <v>671</v>
      </c>
      <c r="J86" s="77" t="s">
        <v>667</v>
      </c>
      <c r="K86" s="32">
        <v>10</v>
      </c>
      <c r="L86" s="37" t="s">
        <v>641</v>
      </c>
      <c r="M86" s="71">
        <f t="shared" si="5"/>
        <v>240</v>
      </c>
      <c r="N86" s="71">
        <f t="shared" si="7"/>
        <v>4</v>
      </c>
      <c r="O86" s="71">
        <v>2</v>
      </c>
      <c r="P86" s="71">
        <v>5</v>
      </c>
      <c r="Q86" s="71">
        <f t="shared" si="6"/>
        <v>40</v>
      </c>
    </row>
    <row r="87" spans="1:17" ht="32.4">
      <c r="A87" s="69" t="s">
        <v>581</v>
      </c>
      <c r="B87" s="43" t="s">
        <v>580</v>
      </c>
      <c r="C87" s="68" t="s">
        <v>482</v>
      </c>
      <c r="D87" s="27" t="s">
        <v>299</v>
      </c>
      <c r="E87" s="68" t="s">
        <v>323</v>
      </c>
      <c r="F87" s="32">
        <v>8</v>
      </c>
      <c r="G87" s="37" t="s">
        <v>628</v>
      </c>
      <c r="H87" s="32">
        <v>2</v>
      </c>
      <c r="I87" s="26" t="s">
        <v>655</v>
      </c>
      <c r="J87" s="77" t="s">
        <v>667</v>
      </c>
      <c r="K87" s="32">
        <v>10</v>
      </c>
      <c r="L87" s="37" t="s">
        <v>641</v>
      </c>
      <c r="M87" s="71">
        <f t="shared" si="5"/>
        <v>160</v>
      </c>
      <c r="N87" s="71">
        <f t="shared" si="7"/>
        <v>8</v>
      </c>
      <c r="O87" s="71">
        <v>1</v>
      </c>
      <c r="P87" s="71">
        <v>5</v>
      </c>
      <c r="Q87" s="71">
        <f t="shared" si="6"/>
        <v>40</v>
      </c>
    </row>
    <row r="88" spans="1:17" ht="32.4">
      <c r="A88" s="69" t="s">
        <v>405</v>
      </c>
      <c r="B88" s="43" t="s">
        <v>548</v>
      </c>
      <c r="C88" s="27" t="s">
        <v>509</v>
      </c>
      <c r="D88" s="27" t="s">
        <v>299</v>
      </c>
      <c r="E88" s="68" t="s">
        <v>323</v>
      </c>
      <c r="F88" s="32">
        <v>8</v>
      </c>
      <c r="G88" s="37" t="s">
        <v>625</v>
      </c>
      <c r="H88" s="32">
        <v>4</v>
      </c>
      <c r="I88" s="26" t="s">
        <v>671</v>
      </c>
      <c r="J88" s="77" t="s">
        <v>665</v>
      </c>
      <c r="K88" s="32">
        <v>5</v>
      </c>
      <c r="L88" s="37" t="s">
        <v>640</v>
      </c>
      <c r="M88" s="71">
        <f t="shared" si="5"/>
        <v>160</v>
      </c>
      <c r="N88" s="71">
        <f t="shared" si="7"/>
        <v>8</v>
      </c>
      <c r="O88" s="71">
        <v>2</v>
      </c>
      <c r="P88" s="71">
        <f t="shared" si="8"/>
        <v>5</v>
      </c>
      <c r="Q88" s="71">
        <f t="shared" si="6"/>
        <v>80</v>
      </c>
    </row>
    <row r="89" spans="1:17" ht="32.4">
      <c r="A89" s="69" t="s">
        <v>406</v>
      </c>
      <c r="B89" s="43" t="s">
        <v>547</v>
      </c>
      <c r="C89" s="27" t="s">
        <v>509</v>
      </c>
      <c r="D89" s="27" t="s">
        <v>299</v>
      </c>
      <c r="E89" s="68" t="s">
        <v>508</v>
      </c>
      <c r="F89" s="32">
        <v>7</v>
      </c>
      <c r="G89" s="37" t="s">
        <v>630</v>
      </c>
      <c r="H89" s="32">
        <v>4</v>
      </c>
      <c r="I89" s="26" t="s">
        <v>655</v>
      </c>
      <c r="J89" s="77" t="s">
        <v>674</v>
      </c>
      <c r="K89" s="32">
        <v>6</v>
      </c>
      <c r="L89" s="37" t="s">
        <v>640</v>
      </c>
      <c r="M89" s="71">
        <f t="shared" si="5"/>
        <v>168</v>
      </c>
      <c r="N89" s="71">
        <f t="shared" si="7"/>
        <v>7</v>
      </c>
      <c r="O89" s="71">
        <v>2</v>
      </c>
      <c r="P89" s="71">
        <f t="shared" si="8"/>
        <v>6</v>
      </c>
      <c r="Q89" s="71">
        <f t="shared" si="6"/>
        <v>84</v>
      </c>
    </row>
    <row r="90" spans="1:17" ht="32.4">
      <c r="A90" s="69" t="s">
        <v>407</v>
      </c>
      <c r="B90" s="43" t="s">
        <v>546</v>
      </c>
      <c r="C90" s="27" t="s">
        <v>509</v>
      </c>
      <c r="D90" s="27" t="s">
        <v>299</v>
      </c>
      <c r="E90" s="68" t="s">
        <v>508</v>
      </c>
      <c r="F90" s="32">
        <v>7</v>
      </c>
      <c r="G90" s="37" t="s">
        <v>630</v>
      </c>
      <c r="H90" s="32">
        <v>4</v>
      </c>
      <c r="I90" s="26" t="s">
        <v>655</v>
      </c>
      <c r="J90" s="77" t="s">
        <v>665</v>
      </c>
      <c r="K90" s="32">
        <v>5</v>
      </c>
      <c r="L90" s="37" t="s">
        <v>640</v>
      </c>
      <c r="M90" s="71">
        <f t="shared" si="5"/>
        <v>140</v>
      </c>
      <c r="N90" s="71">
        <f t="shared" si="7"/>
        <v>7</v>
      </c>
      <c r="O90" s="71">
        <v>2</v>
      </c>
      <c r="P90" s="71">
        <f t="shared" si="8"/>
        <v>5</v>
      </c>
      <c r="Q90" s="71">
        <f t="shared" si="6"/>
        <v>70</v>
      </c>
    </row>
    <row r="91" spans="1:17" ht="32.4">
      <c r="A91" s="69" t="s">
        <v>408</v>
      </c>
      <c r="B91" s="43" t="s">
        <v>471</v>
      </c>
      <c r="C91" s="27" t="s">
        <v>606</v>
      </c>
      <c r="D91" s="27" t="s">
        <v>307</v>
      </c>
      <c r="E91" s="68" t="s">
        <v>320</v>
      </c>
      <c r="F91" s="32">
        <v>8</v>
      </c>
      <c r="G91" s="37" t="s">
        <v>625</v>
      </c>
      <c r="H91" s="32">
        <v>4</v>
      </c>
      <c r="I91" s="26" t="s">
        <v>671</v>
      </c>
      <c r="J91" s="77" t="s">
        <v>665</v>
      </c>
      <c r="K91" s="32">
        <v>5</v>
      </c>
      <c r="L91" s="37" t="s">
        <v>640</v>
      </c>
      <c r="M91" s="71">
        <f t="shared" si="5"/>
        <v>160</v>
      </c>
      <c r="N91" s="71">
        <f t="shared" si="7"/>
        <v>8</v>
      </c>
      <c r="O91" s="71">
        <v>2</v>
      </c>
      <c r="P91" s="71">
        <f t="shared" si="8"/>
        <v>5</v>
      </c>
      <c r="Q91" s="71">
        <f t="shared" si="6"/>
        <v>80</v>
      </c>
    </row>
    <row r="92" spans="1:17" ht="32.4">
      <c r="A92" s="69" t="s">
        <v>409</v>
      </c>
      <c r="B92" s="43" t="s">
        <v>473</v>
      </c>
      <c r="C92" s="27" t="s">
        <v>472</v>
      </c>
      <c r="D92" s="27" t="s">
        <v>308</v>
      </c>
      <c r="E92" s="68" t="s">
        <v>321</v>
      </c>
      <c r="F92" s="32">
        <v>7</v>
      </c>
      <c r="G92" s="37" t="s">
        <v>625</v>
      </c>
      <c r="H92" s="32">
        <v>1</v>
      </c>
      <c r="I92" s="26" t="s">
        <v>671</v>
      </c>
      <c r="J92" s="77" t="s">
        <v>659</v>
      </c>
      <c r="K92" s="32">
        <v>7</v>
      </c>
      <c r="L92" s="37" t="s">
        <v>640</v>
      </c>
      <c r="M92" s="71">
        <f t="shared" si="5"/>
        <v>49</v>
      </c>
      <c r="N92" s="71">
        <f t="shared" si="7"/>
        <v>7</v>
      </c>
      <c r="O92" s="71">
        <f t="shared" ref="O92:O110" si="9">IF(H92="","",H92)</f>
        <v>1</v>
      </c>
      <c r="P92" s="71">
        <v>5</v>
      </c>
      <c r="Q92" s="71">
        <f t="shared" si="6"/>
        <v>35</v>
      </c>
    </row>
    <row r="93" spans="1:17" ht="32.4">
      <c r="A93" s="69" t="s">
        <v>410</v>
      </c>
      <c r="B93" s="43" t="s">
        <v>545</v>
      </c>
      <c r="C93" s="27" t="s">
        <v>598</v>
      </c>
      <c r="D93" s="27" t="s">
        <v>299</v>
      </c>
      <c r="E93" s="68" t="s">
        <v>599</v>
      </c>
      <c r="F93" s="32">
        <v>6</v>
      </c>
      <c r="G93" s="37" t="s">
        <v>625</v>
      </c>
      <c r="H93" s="32">
        <v>2</v>
      </c>
      <c r="I93" s="26" t="s">
        <v>671</v>
      </c>
      <c r="J93" s="77" t="s">
        <v>659</v>
      </c>
      <c r="K93" s="32">
        <v>3</v>
      </c>
      <c r="L93" s="37" t="s">
        <v>640</v>
      </c>
      <c r="M93" s="71">
        <f t="shared" si="5"/>
        <v>36</v>
      </c>
      <c r="N93" s="71">
        <f t="shared" si="7"/>
        <v>6</v>
      </c>
      <c r="O93" s="71">
        <v>1</v>
      </c>
      <c r="P93" s="71">
        <f t="shared" si="8"/>
        <v>3</v>
      </c>
      <c r="Q93" s="71">
        <f t="shared" si="6"/>
        <v>18</v>
      </c>
    </row>
    <row r="94" spans="1:17" ht="32.4">
      <c r="A94" s="69" t="s">
        <v>411</v>
      </c>
      <c r="B94" s="43" t="s">
        <v>471</v>
      </c>
      <c r="C94" s="27" t="s">
        <v>606</v>
      </c>
      <c r="D94" s="27" t="s">
        <v>307</v>
      </c>
      <c r="E94" s="68" t="s">
        <v>320</v>
      </c>
      <c r="F94" s="32">
        <v>8</v>
      </c>
      <c r="G94" s="37" t="s">
        <v>625</v>
      </c>
      <c r="H94" s="32">
        <v>4</v>
      </c>
      <c r="I94" s="26" t="s">
        <v>671</v>
      </c>
      <c r="J94" s="77" t="s">
        <v>659</v>
      </c>
      <c r="K94" s="32">
        <v>5</v>
      </c>
      <c r="L94" s="37" t="s">
        <v>640</v>
      </c>
      <c r="M94" s="71">
        <f t="shared" si="5"/>
        <v>160</v>
      </c>
      <c r="N94" s="71">
        <f t="shared" si="7"/>
        <v>8</v>
      </c>
      <c r="O94" s="71">
        <v>2</v>
      </c>
      <c r="P94" s="71">
        <f t="shared" si="8"/>
        <v>5</v>
      </c>
      <c r="Q94" s="71">
        <f t="shared" si="6"/>
        <v>80</v>
      </c>
    </row>
    <row r="95" spans="1:17" ht="32.4">
      <c r="A95" s="69" t="s">
        <v>412</v>
      </c>
      <c r="B95" s="43" t="s">
        <v>473</v>
      </c>
      <c r="C95" s="27" t="s">
        <v>472</v>
      </c>
      <c r="D95" s="27" t="s">
        <v>308</v>
      </c>
      <c r="E95" s="68" t="s">
        <v>321</v>
      </c>
      <c r="F95" s="32">
        <v>7</v>
      </c>
      <c r="G95" s="37" t="s">
        <v>625</v>
      </c>
      <c r="H95" s="32">
        <v>1</v>
      </c>
      <c r="I95" s="26" t="s">
        <v>671</v>
      </c>
      <c r="J95" s="77" t="s">
        <v>659</v>
      </c>
      <c r="K95" s="32">
        <v>5</v>
      </c>
      <c r="L95" s="37" t="s">
        <v>640</v>
      </c>
      <c r="M95" s="71">
        <f t="shared" si="5"/>
        <v>35</v>
      </c>
      <c r="N95" s="71">
        <f t="shared" si="7"/>
        <v>7</v>
      </c>
      <c r="O95" s="71">
        <f t="shared" si="9"/>
        <v>1</v>
      </c>
      <c r="P95" s="71">
        <f t="shared" si="8"/>
        <v>5</v>
      </c>
      <c r="Q95" s="71">
        <f t="shared" si="6"/>
        <v>35</v>
      </c>
    </row>
    <row r="96" spans="1:17" ht="32.4">
      <c r="A96" s="69" t="s">
        <v>413</v>
      </c>
      <c r="B96" s="43" t="s">
        <v>527</v>
      </c>
      <c r="C96" s="27" t="s">
        <v>478</v>
      </c>
      <c r="D96" s="27" t="s">
        <v>303</v>
      </c>
      <c r="E96" s="68" t="s">
        <v>320</v>
      </c>
      <c r="F96" s="32">
        <v>4</v>
      </c>
      <c r="G96" s="37" t="s">
        <v>625</v>
      </c>
      <c r="H96" s="32">
        <v>3</v>
      </c>
      <c r="I96" s="26" t="s">
        <v>655</v>
      </c>
      <c r="J96" s="77" t="s">
        <v>661</v>
      </c>
      <c r="K96" s="32">
        <v>3</v>
      </c>
      <c r="L96" s="37" t="s">
        <v>640</v>
      </c>
      <c r="M96" s="71">
        <f t="shared" si="5"/>
        <v>36</v>
      </c>
      <c r="N96" s="71">
        <f t="shared" si="7"/>
        <v>4</v>
      </c>
      <c r="O96" s="71">
        <v>2</v>
      </c>
      <c r="P96" s="71">
        <f t="shared" si="8"/>
        <v>3</v>
      </c>
      <c r="Q96" s="71">
        <f t="shared" si="6"/>
        <v>24</v>
      </c>
    </row>
    <row r="97" spans="1:17" ht="32.4">
      <c r="A97" s="69" t="s">
        <v>414</v>
      </c>
      <c r="B97" s="43" t="s">
        <v>494</v>
      </c>
      <c r="C97" s="27" t="s">
        <v>585</v>
      </c>
      <c r="D97" s="27" t="s">
        <v>299</v>
      </c>
      <c r="E97" s="68" t="s">
        <v>589</v>
      </c>
      <c r="F97" s="32">
        <v>3</v>
      </c>
      <c r="G97" s="37" t="s">
        <v>630</v>
      </c>
      <c r="H97" s="32">
        <v>4</v>
      </c>
      <c r="I97" s="26" t="s">
        <v>655</v>
      </c>
      <c r="J97" s="77" t="s">
        <v>665</v>
      </c>
      <c r="K97" s="32">
        <v>5</v>
      </c>
      <c r="L97" s="37" t="s">
        <v>640</v>
      </c>
      <c r="M97" s="71">
        <f t="shared" si="5"/>
        <v>60</v>
      </c>
      <c r="N97" s="71">
        <f t="shared" si="7"/>
        <v>3</v>
      </c>
      <c r="O97" s="71">
        <v>3</v>
      </c>
      <c r="P97" s="71">
        <f t="shared" si="8"/>
        <v>5</v>
      </c>
      <c r="Q97" s="71">
        <f t="shared" si="6"/>
        <v>45</v>
      </c>
    </row>
    <row r="98" spans="1:17" ht="32.4">
      <c r="A98" s="69" t="s">
        <v>415</v>
      </c>
      <c r="B98" s="43" t="s">
        <v>544</v>
      </c>
      <c r="C98" s="27" t="s">
        <v>507</v>
      </c>
      <c r="D98" s="27" t="s">
        <v>303</v>
      </c>
      <c r="E98" s="68" t="s">
        <v>508</v>
      </c>
      <c r="F98" s="32">
        <v>7</v>
      </c>
      <c r="G98" s="37" t="s">
        <v>625</v>
      </c>
      <c r="H98" s="32">
        <v>4</v>
      </c>
      <c r="I98" s="26" t="s">
        <v>671</v>
      </c>
      <c r="J98" s="77" t="s">
        <v>667</v>
      </c>
      <c r="K98" s="32">
        <v>5</v>
      </c>
      <c r="L98" s="37" t="s">
        <v>640</v>
      </c>
      <c r="M98" s="71">
        <f t="shared" si="5"/>
        <v>140</v>
      </c>
      <c r="N98" s="71">
        <f t="shared" si="7"/>
        <v>7</v>
      </c>
      <c r="O98" s="71">
        <v>2</v>
      </c>
      <c r="P98" s="71">
        <f t="shared" si="8"/>
        <v>5</v>
      </c>
      <c r="Q98" s="71">
        <f t="shared" si="6"/>
        <v>70</v>
      </c>
    </row>
    <row r="99" spans="1:17" ht="32.4">
      <c r="A99" s="69" t="s">
        <v>416</v>
      </c>
      <c r="B99" s="43" t="s">
        <v>543</v>
      </c>
      <c r="C99" s="27" t="s">
        <v>612</v>
      </c>
      <c r="D99" s="27" t="s">
        <v>299</v>
      </c>
      <c r="E99" s="68" t="s">
        <v>592</v>
      </c>
      <c r="F99" s="32">
        <v>2</v>
      </c>
      <c r="G99" s="37" t="s">
        <v>636</v>
      </c>
      <c r="H99" s="32">
        <v>2</v>
      </c>
      <c r="I99" s="26" t="s">
        <v>655</v>
      </c>
      <c r="J99" s="77" t="s">
        <v>659</v>
      </c>
      <c r="K99" s="32">
        <v>3</v>
      </c>
      <c r="L99" s="37" t="s">
        <v>640</v>
      </c>
      <c r="M99" s="71">
        <f t="shared" si="5"/>
        <v>12</v>
      </c>
      <c r="N99" s="71">
        <f t="shared" si="7"/>
        <v>2</v>
      </c>
      <c r="O99" s="71">
        <v>1</v>
      </c>
      <c r="P99" s="71">
        <f t="shared" si="8"/>
        <v>3</v>
      </c>
      <c r="Q99" s="71">
        <f t="shared" si="6"/>
        <v>6</v>
      </c>
    </row>
    <row r="100" spans="1:17" ht="32.4">
      <c r="A100" s="69" t="s">
        <v>417</v>
      </c>
      <c r="B100" s="43" t="s">
        <v>542</v>
      </c>
      <c r="C100" s="27" t="s">
        <v>623</v>
      </c>
      <c r="D100" s="27" t="s">
        <v>305</v>
      </c>
      <c r="E100" s="68" t="s">
        <v>323</v>
      </c>
      <c r="F100" s="32">
        <v>8</v>
      </c>
      <c r="G100" s="37" t="s">
        <v>634</v>
      </c>
      <c r="H100" s="32">
        <v>1</v>
      </c>
      <c r="I100" s="26" t="s">
        <v>655</v>
      </c>
      <c r="J100" s="77" t="s">
        <v>657</v>
      </c>
      <c r="K100" s="32">
        <v>7</v>
      </c>
      <c r="L100" s="37" t="s">
        <v>640</v>
      </c>
      <c r="M100" s="71">
        <f t="shared" si="5"/>
        <v>56</v>
      </c>
      <c r="N100" s="71">
        <f t="shared" si="7"/>
        <v>8</v>
      </c>
      <c r="O100" s="71">
        <f t="shared" si="9"/>
        <v>1</v>
      </c>
      <c r="P100" s="71">
        <v>4</v>
      </c>
      <c r="Q100" s="71">
        <f t="shared" si="6"/>
        <v>32</v>
      </c>
    </row>
    <row r="101" spans="1:17" ht="32.4">
      <c r="A101" s="69" t="s">
        <v>418</v>
      </c>
      <c r="B101" s="43" t="s">
        <v>529</v>
      </c>
      <c r="C101" s="27" t="s">
        <v>469</v>
      </c>
      <c r="D101" s="27" t="s">
        <v>303</v>
      </c>
      <c r="E101" s="68" t="s">
        <v>320</v>
      </c>
      <c r="F101" s="32">
        <v>8</v>
      </c>
      <c r="G101" s="37" t="s">
        <v>625</v>
      </c>
      <c r="H101" s="32">
        <v>3</v>
      </c>
      <c r="I101" s="26" t="s">
        <v>655</v>
      </c>
      <c r="J101" s="77" t="s">
        <v>659</v>
      </c>
      <c r="K101" s="32">
        <v>5</v>
      </c>
      <c r="L101" s="37" t="s">
        <v>640</v>
      </c>
      <c r="M101" s="71">
        <f t="shared" si="5"/>
        <v>120</v>
      </c>
      <c r="N101" s="71">
        <f t="shared" si="7"/>
        <v>8</v>
      </c>
      <c r="O101" s="71">
        <v>2</v>
      </c>
      <c r="P101" s="71">
        <f t="shared" si="8"/>
        <v>5</v>
      </c>
      <c r="Q101" s="71">
        <f t="shared" si="6"/>
        <v>80</v>
      </c>
    </row>
    <row r="102" spans="1:17" ht="32.4">
      <c r="A102" s="69" t="s">
        <v>419</v>
      </c>
      <c r="B102" s="43" t="s">
        <v>528</v>
      </c>
      <c r="C102" s="27" t="s">
        <v>476</v>
      </c>
      <c r="D102" s="27" t="s">
        <v>303</v>
      </c>
      <c r="E102" s="68" t="s">
        <v>320</v>
      </c>
      <c r="F102" s="32">
        <v>8</v>
      </c>
      <c r="G102" s="37" t="s">
        <v>625</v>
      </c>
      <c r="H102" s="32">
        <v>3</v>
      </c>
      <c r="I102" s="26" t="s">
        <v>655</v>
      </c>
      <c r="J102" s="77" t="s">
        <v>661</v>
      </c>
      <c r="K102" s="32">
        <v>3</v>
      </c>
      <c r="L102" s="37" t="s">
        <v>640</v>
      </c>
      <c r="M102" s="71">
        <f t="shared" si="5"/>
        <v>72</v>
      </c>
      <c r="N102" s="71">
        <f t="shared" si="7"/>
        <v>8</v>
      </c>
      <c r="O102" s="71">
        <v>2</v>
      </c>
      <c r="P102" s="71">
        <f t="shared" si="8"/>
        <v>3</v>
      </c>
      <c r="Q102" s="71">
        <f t="shared" si="6"/>
        <v>48</v>
      </c>
    </row>
    <row r="103" spans="1:17" ht="32.4">
      <c r="A103" s="69" t="s">
        <v>420</v>
      </c>
      <c r="B103" s="43" t="s">
        <v>527</v>
      </c>
      <c r="C103" s="27" t="s">
        <v>478</v>
      </c>
      <c r="D103" s="27" t="s">
        <v>303</v>
      </c>
      <c r="E103" s="68" t="s">
        <v>320</v>
      </c>
      <c r="F103" s="32">
        <v>4</v>
      </c>
      <c r="G103" s="37" t="s">
        <v>625</v>
      </c>
      <c r="H103" s="32">
        <v>3</v>
      </c>
      <c r="I103" s="26" t="s">
        <v>655</v>
      </c>
      <c r="J103" s="77" t="s">
        <v>661</v>
      </c>
      <c r="K103" s="32">
        <v>3</v>
      </c>
      <c r="L103" s="37" t="s">
        <v>640</v>
      </c>
      <c r="M103" s="71">
        <f t="shared" si="5"/>
        <v>36</v>
      </c>
      <c r="N103" s="71">
        <f t="shared" si="7"/>
        <v>4</v>
      </c>
      <c r="O103" s="71">
        <v>2</v>
      </c>
      <c r="P103" s="71">
        <f t="shared" si="8"/>
        <v>3</v>
      </c>
      <c r="Q103" s="71">
        <f t="shared" si="6"/>
        <v>24</v>
      </c>
    </row>
    <row r="104" spans="1:17" ht="32.4">
      <c r="A104" s="69" t="s">
        <v>421</v>
      </c>
      <c r="B104" s="43" t="s">
        <v>541</v>
      </c>
      <c r="C104" s="27" t="s">
        <v>603</v>
      </c>
      <c r="D104" s="27" t="s">
        <v>314</v>
      </c>
      <c r="E104" s="68" t="s">
        <v>604</v>
      </c>
      <c r="F104" s="32">
        <v>2</v>
      </c>
      <c r="G104" s="37" t="s">
        <v>625</v>
      </c>
      <c r="H104" s="32">
        <v>2</v>
      </c>
      <c r="I104" s="26" t="s">
        <v>671</v>
      </c>
      <c r="J104" s="77" t="s">
        <v>667</v>
      </c>
      <c r="K104" s="32">
        <v>8</v>
      </c>
      <c r="L104" s="37" t="s">
        <v>640</v>
      </c>
      <c r="M104" s="71">
        <f t="shared" si="5"/>
        <v>32</v>
      </c>
      <c r="N104" s="71">
        <f t="shared" si="7"/>
        <v>2</v>
      </c>
      <c r="O104" s="71">
        <v>1</v>
      </c>
      <c r="P104" s="71">
        <f t="shared" si="8"/>
        <v>8</v>
      </c>
      <c r="Q104" s="71">
        <f t="shared" si="6"/>
        <v>16</v>
      </c>
    </row>
    <row r="105" spans="1:17" ht="32.4">
      <c r="A105" s="69" t="s">
        <v>422</v>
      </c>
      <c r="B105" s="43" t="s">
        <v>540</v>
      </c>
      <c r="C105" s="27" t="s">
        <v>509</v>
      </c>
      <c r="D105" s="27" t="s">
        <v>299</v>
      </c>
      <c r="E105" s="68" t="s">
        <v>323</v>
      </c>
      <c r="F105" s="32">
        <v>8</v>
      </c>
      <c r="G105" s="37" t="s">
        <v>636</v>
      </c>
      <c r="H105" s="32">
        <v>3</v>
      </c>
      <c r="I105" s="26" t="s">
        <v>671</v>
      </c>
      <c r="J105" s="77" t="s">
        <v>657</v>
      </c>
      <c r="K105" s="32">
        <v>2</v>
      </c>
      <c r="L105" s="37" t="s">
        <v>640</v>
      </c>
      <c r="M105" s="71">
        <f t="shared" si="5"/>
        <v>48</v>
      </c>
      <c r="N105" s="71">
        <f t="shared" si="7"/>
        <v>8</v>
      </c>
      <c r="O105" s="71">
        <v>2</v>
      </c>
      <c r="P105" s="71">
        <f t="shared" si="8"/>
        <v>2</v>
      </c>
      <c r="Q105" s="71">
        <f t="shared" si="6"/>
        <v>32</v>
      </c>
    </row>
    <row r="106" spans="1:17" ht="32.4">
      <c r="A106" s="69" t="s">
        <v>423</v>
      </c>
      <c r="B106" s="43" t="s">
        <v>539</v>
      </c>
      <c r="C106" s="27" t="s">
        <v>614</v>
      </c>
      <c r="D106" s="27" t="s">
        <v>316</v>
      </c>
      <c r="E106" s="68" t="s">
        <v>615</v>
      </c>
      <c r="F106" s="32">
        <v>1</v>
      </c>
      <c r="G106" s="37" t="s">
        <v>636</v>
      </c>
      <c r="H106" s="32">
        <v>2</v>
      </c>
      <c r="I106" s="26" t="s">
        <v>655</v>
      </c>
      <c r="J106" s="77" t="s">
        <v>657</v>
      </c>
      <c r="K106" s="32">
        <v>2</v>
      </c>
      <c r="L106" s="37" t="s">
        <v>640</v>
      </c>
      <c r="M106" s="71">
        <f t="shared" si="5"/>
        <v>4</v>
      </c>
      <c r="N106" s="71">
        <f t="shared" si="7"/>
        <v>1</v>
      </c>
      <c r="O106" s="71">
        <v>1</v>
      </c>
      <c r="P106" s="71">
        <f t="shared" si="8"/>
        <v>2</v>
      </c>
      <c r="Q106" s="71">
        <f t="shared" si="6"/>
        <v>2</v>
      </c>
    </row>
    <row r="107" spans="1:17" ht="32.4">
      <c r="A107" s="69" t="s">
        <v>424</v>
      </c>
      <c r="B107" s="43" t="s">
        <v>538</v>
      </c>
      <c r="C107" s="27" t="s">
        <v>605</v>
      </c>
      <c r="D107" s="27" t="s">
        <v>314</v>
      </c>
      <c r="E107" s="68" t="s">
        <v>604</v>
      </c>
      <c r="F107" s="32">
        <v>2</v>
      </c>
      <c r="G107" s="37" t="s">
        <v>636</v>
      </c>
      <c r="H107" s="32">
        <v>2</v>
      </c>
      <c r="I107" s="26" t="s">
        <v>655</v>
      </c>
      <c r="J107" s="77" t="s">
        <v>657</v>
      </c>
      <c r="K107" s="32">
        <v>4</v>
      </c>
      <c r="L107" s="37" t="s">
        <v>640</v>
      </c>
      <c r="M107" s="71">
        <f t="shared" si="5"/>
        <v>16</v>
      </c>
      <c r="N107" s="71">
        <f t="shared" si="7"/>
        <v>2</v>
      </c>
      <c r="O107" s="71">
        <v>1</v>
      </c>
      <c r="P107" s="71">
        <f t="shared" si="8"/>
        <v>4</v>
      </c>
      <c r="Q107" s="71">
        <f t="shared" si="6"/>
        <v>8</v>
      </c>
    </row>
    <row r="108" spans="1:17" ht="32.4">
      <c r="A108" s="69" t="s">
        <v>425</v>
      </c>
      <c r="B108" s="43" t="s">
        <v>537</v>
      </c>
      <c r="C108" s="27" t="s">
        <v>509</v>
      </c>
      <c r="D108" s="27" t="s">
        <v>299</v>
      </c>
      <c r="E108" s="68" t="s">
        <v>323</v>
      </c>
      <c r="F108" s="32">
        <v>8</v>
      </c>
      <c r="G108" s="37" t="s">
        <v>625</v>
      </c>
      <c r="H108" s="32">
        <v>4</v>
      </c>
      <c r="I108" s="26" t="s">
        <v>671</v>
      </c>
      <c r="J108" s="77" t="s">
        <v>665</v>
      </c>
      <c r="K108" s="32">
        <v>5</v>
      </c>
      <c r="L108" s="37" t="s">
        <v>640</v>
      </c>
      <c r="M108" s="71">
        <f t="shared" si="5"/>
        <v>160</v>
      </c>
      <c r="N108" s="71">
        <f t="shared" si="7"/>
        <v>8</v>
      </c>
      <c r="O108" s="71">
        <v>2</v>
      </c>
      <c r="P108" s="71">
        <f t="shared" si="8"/>
        <v>5</v>
      </c>
      <c r="Q108" s="71">
        <f t="shared" si="6"/>
        <v>80</v>
      </c>
    </row>
    <row r="109" spans="1:17" ht="32.4">
      <c r="A109" s="69" t="s">
        <v>426</v>
      </c>
      <c r="B109" s="43" t="s">
        <v>536</v>
      </c>
      <c r="C109" s="27" t="s">
        <v>509</v>
      </c>
      <c r="D109" s="27" t="s">
        <v>299</v>
      </c>
      <c r="E109" s="68" t="s">
        <v>323</v>
      </c>
      <c r="F109" s="32">
        <v>8</v>
      </c>
      <c r="G109" s="37" t="s">
        <v>625</v>
      </c>
      <c r="H109" s="32">
        <v>4</v>
      </c>
      <c r="I109" s="26" t="s">
        <v>671</v>
      </c>
      <c r="J109" s="77" t="s">
        <v>659</v>
      </c>
      <c r="K109" s="32">
        <v>5</v>
      </c>
      <c r="L109" s="37" t="s">
        <v>640</v>
      </c>
      <c r="M109" s="71">
        <f t="shared" si="5"/>
        <v>160</v>
      </c>
      <c r="N109" s="71">
        <f t="shared" si="7"/>
        <v>8</v>
      </c>
      <c r="O109" s="71">
        <v>2</v>
      </c>
      <c r="P109" s="71">
        <f t="shared" si="8"/>
        <v>5</v>
      </c>
      <c r="Q109" s="71">
        <f t="shared" si="6"/>
        <v>80</v>
      </c>
    </row>
    <row r="110" spans="1:17" ht="32.4">
      <c r="A110" s="69" t="s">
        <v>427</v>
      </c>
      <c r="B110" s="43" t="s">
        <v>535</v>
      </c>
      <c r="C110" s="27" t="s">
        <v>620</v>
      </c>
      <c r="D110" s="27" t="s">
        <v>299</v>
      </c>
      <c r="E110" s="68" t="s">
        <v>320</v>
      </c>
      <c r="F110" s="32">
        <v>8</v>
      </c>
      <c r="G110" s="37" t="s">
        <v>636</v>
      </c>
      <c r="H110" s="32">
        <v>2</v>
      </c>
      <c r="I110" s="26" t="s">
        <v>655</v>
      </c>
      <c r="J110" s="77" t="s">
        <v>657</v>
      </c>
      <c r="K110" s="32">
        <v>3</v>
      </c>
      <c r="L110" s="37" t="s">
        <v>640</v>
      </c>
      <c r="M110" s="71">
        <f t="shared" si="5"/>
        <v>48</v>
      </c>
      <c r="N110" s="71">
        <f t="shared" si="7"/>
        <v>8</v>
      </c>
      <c r="O110" s="71">
        <f t="shared" si="9"/>
        <v>2</v>
      </c>
      <c r="P110" s="71">
        <f t="shared" si="8"/>
        <v>3</v>
      </c>
      <c r="Q110" s="71">
        <f t="shared" si="6"/>
        <v>48</v>
      </c>
    </row>
    <row r="111" spans="1:17" ht="32.4">
      <c r="A111" s="69" t="s">
        <v>428</v>
      </c>
      <c r="B111" s="43" t="s">
        <v>471</v>
      </c>
      <c r="C111" s="27" t="s">
        <v>606</v>
      </c>
      <c r="D111" s="27" t="s">
        <v>307</v>
      </c>
      <c r="E111" s="68" t="s">
        <v>320</v>
      </c>
      <c r="F111" s="32">
        <v>8</v>
      </c>
      <c r="G111" s="37" t="s">
        <v>625</v>
      </c>
      <c r="H111" s="32">
        <v>4</v>
      </c>
      <c r="I111" s="26" t="s">
        <v>671</v>
      </c>
      <c r="J111" s="77" t="s">
        <v>659</v>
      </c>
      <c r="K111" s="32">
        <v>5</v>
      </c>
      <c r="L111" s="37" t="s">
        <v>640</v>
      </c>
      <c r="M111" s="71">
        <f t="shared" si="5"/>
        <v>160</v>
      </c>
      <c r="N111" s="71">
        <f t="shared" si="7"/>
        <v>8</v>
      </c>
      <c r="O111" s="71">
        <v>2</v>
      </c>
      <c r="P111" s="71">
        <f t="shared" si="8"/>
        <v>5</v>
      </c>
      <c r="Q111" s="71">
        <f t="shared" si="6"/>
        <v>80</v>
      </c>
    </row>
    <row r="112" spans="1:17" ht="32.4">
      <c r="A112" s="69" t="s">
        <v>429</v>
      </c>
      <c r="B112" s="43" t="s">
        <v>473</v>
      </c>
      <c r="C112" s="27" t="s">
        <v>472</v>
      </c>
      <c r="D112" s="27" t="s">
        <v>308</v>
      </c>
      <c r="E112" s="68" t="s">
        <v>321</v>
      </c>
      <c r="F112" s="32">
        <v>7</v>
      </c>
      <c r="G112" s="37" t="s">
        <v>625</v>
      </c>
      <c r="H112" s="32">
        <v>2</v>
      </c>
      <c r="I112" s="26" t="s">
        <v>671</v>
      </c>
      <c r="J112" s="77" t="s">
        <v>659</v>
      </c>
      <c r="K112" s="32">
        <v>7</v>
      </c>
      <c r="L112" s="37" t="s">
        <v>640</v>
      </c>
      <c r="M112" s="71">
        <f t="shared" si="5"/>
        <v>98</v>
      </c>
      <c r="N112" s="71">
        <f t="shared" si="7"/>
        <v>7</v>
      </c>
      <c r="O112" s="71">
        <v>1</v>
      </c>
      <c r="P112" s="71">
        <f t="shared" si="8"/>
        <v>7</v>
      </c>
      <c r="Q112" s="71">
        <f t="shared" si="6"/>
        <v>49</v>
      </c>
    </row>
    <row r="113" spans="1:17" ht="32.4">
      <c r="A113" s="69" t="s">
        <v>430</v>
      </c>
      <c r="B113" s="43" t="s">
        <v>474</v>
      </c>
      <c r="C113" s="27" t="s">
        <v>475</v>
      </c>
      <c r="D113" s="27" t="s">
        <v>305</v>
      </c>
      <c r="E113" s="68" t="s">
        <v>322</v>
      </c>
      <c r="F113" s="32">
        <v>4</v>
      </c>
      <c r="G113" s="37" t="s">
        <v>625</v>
      </c>
      <c r="H113" s="32">
        <v>2</v>
      </c>
      <c r="I113" s="26" t="s">
        <v>671</v>
      </c>
      <c r="J113" s="77" t="s">
        <v>657</v>
      </c>
      <c r="K113" s="32">
        <v>1</v>
      </c>
      <c r="L113" s="37" t="s">
        <v>640</v>
      </c>
      <c r="M113" s="71">
        <f t="shared" si="5"/>
        <v>8</v>
      </c>
      <c r="N113" s="71">
        <f t="shared" si="7"/>
        <v>4</v>
      </c>
      <c r="O113" s="71">
        <v>1</v>
      </c>
      <c r="P113" s="71">
        <f t="shared" si="8"/>
        <v>1</v>
      </c>
      <c r="Q113" s="71">
        <f t="shared" si="6"/>
        <v>4</v>
      </c>
    </row>
    <row r="114" spans="1:17" ht="32.4">
      <c r="A114" s="69" t="s">
        <v>431</v>
      </c>
      <c r="B114" s="43" t="s">
        <v>534</v>
      </c>
      <c r="C114" s="68" t="s">
        <v>482</v>
      </c>
      <c r="D114" s="27" t="s">
        <v>310</v>
      </c>
      <c r="E114" s="68" t="s">
        <v>323</v>
      </c>
      <c r="F114" s="32">
        <v>8</v>
      </c>
      <c r="G114" s="37" t="s">
        <v>628</v>
      </c>
      <c r="H114" s="32">
        <v>3</v>
      </c>
      <c r="I114" s="26" t="s">
        <v>655</v>
      </c>
      <c r="J114" s="77" t="s">
        <v>669</v>
      </c>
      <c r="K114" s="32">
        <v>8</v>
      </c>
      <c r="L114" s="37" t="s">
        <v>641</v>
      </c>
      <c r="M114" s="71">
        <f t="shared" si="5"/>
        <v>192</v>
      </c>
      <c r="N114" s="71">
        <f t="shared" si="7"/>
        <v>8</v>
      </c>
      <c r="O114" s="71">
        <v>1</v>
      </c>
      <c r="P114" s="71">
        <f t="shared" si="8"/>
        <v>8</v>
      </c>
      <c r="Q114" s="71">
        <f t="shared" si="6"/>
        <v>64</v>
      </c>
    </row>
    <row r="115" spans="1:17" ht="32.4">
      <c r="A115" s="69" t="s">
        <v>432</v>
      </c>
      <c r="B115" s="43" t="s">
        <v>529</v>
      </c>
      <c r="C115" s="27" t="s">
        <v>469</v>
      </c>
      <c r="D115" s="27" t="s">
        <v>303</v>
      </c>
      <c r="E115" s="68" t="s">
        <v>320</v>
      </c>
      <c r="F115" s="32">
        <v>8</v>
      </c>
      <c r="G115" s="37" t="s">
        <v>625</v>
      </c>
      <c r="H115" s="32">
        <v>3</v>
      </c>
      <c r="I115" s="26" t="s">
        <v>655</v>
      </c>
      <c r="J115" s="77" t="s">
        <v>659</v>
      </c>
      <c r="K115" s="32">
        <v>5</v>
      </c>
      <c r="L115" s="37" t="s">
        <v>640</v>
      </c>
      <c r="M115" s="71">
        <f t="shared" si="5"/>
        <v>120</v>
      </c>
      <c r="N115" s="71">
        <f t="shared" si="7"/>
        <v>8</v>
      </c>
      <c r="O115" s="71">
        <v>2</v>
      </c>
      <c r="P115" s="71">
        <f t="shared" si="8"/>
        <v>5</v>
      </c>
      <c r="Q115" s="71">
        <f t="shared" si="6"/>
        <v>80</v>
      </c>
    </row>
    <row r="116" spans="1:17" ht="32.4">
      <c r="A116" s="69" t="s">
        <v>433</v>
      </c>
      <c r="B116" s="43" t="s">
        <v>528</v>
      </c>
      <c r="C116" s="27" t="s">
        <v>476</v>
      </c>
      <c r="D116" s="27" t="s">
        <v>303</v>
      </c>
      <c r="E116" s="68" t="s">
        <v>320</v>
      </c>
      <c r="F116" s="32">
        <v>8</v>
      </c>
      <c r="G116" s="37" t="s">
        <v>625</v>
      </c>
      <c r="H116" s="32">
        <v>3</v>
      </c>
      <c r="I116" s="26" t="s">
        <v>655</v>
      </c>
      <c r="J116" s="77" t="s">
        <v>661</v>
      </c>
      <c r="K116" s="32">
        <v>3</v>
      </c>
      <c r="L116" s="37" t="s">
        <v>640</v>
      </c>
      <c r="M116" s="71">
        <f t="shared" si="5"/>
        <v>72</v>
      </c>
      <c r="N116" s="71">
        <f t="shared" si="7"/>
        <v>8</v>
      </c>
      <c r="O116" s="71">
        <v>2</v>
      </c>
      <c r="P116" s="71">
        <f t="shared" si="8"/>
        <v>3</v>
      </c>
      <c r="Q116" s="71">
        <f t="shared" si="6"/>
        <v>48</v>
      </c>
    </row>
    <row r="117" spans="1:17" ht="32.4">
      <c r="A117" s="69" t="s">
        <v>434</v>
      </c>
      <c r="B117" s="43" t="s">
        <v>527</v>
      </c>
      <c r="C117" s="27" t="s">
        <v>478</v>
      </c>
      <c r="D117" s="27" t="s">
        <v>303</v>
      </c>
      <c r="E117" s="68" t="s">
        <v>320</v>
      </c>
      <c r="F117" s="32">
        <v>4</v>
      </c>
      <c r="G117" s="37" t="s">
        <v>625</v>
      </c>
      <c r="H117" s="32">
        <v>3</v>
      </c>
      <c r="I117" s="26" t="s">
        <v>655</v>
      </c>
      <c r="J117" s="77" t="s">
        <v>661</v>
      </c>
      <c r="K117" s="32">
        <v>3</v>
      </c>
      <c r="L117" s="37" t="s">
        <v>640</v>
      </c>
      <c r="M117" s="71">
        <f t="shared" si="5"/>
        <v>36</v>
      </c>
      <c r="N117" s="71">
        <f t="shared" si="7"/>
        <v>4</v>
      </c>
      <c r="O117" s="71">
        <f>IF(H117="","",H117-1)</f>
        <v>2</v>
      </c>
      <c r="P117" s="71">
        <f t="shared" si="8"/>
        <v>3</v>
      </c>
      <c r="Q117" s="71">
        <f t="shared" si="6"/>
        <v>24</v>
      </c>
    </row>
    <row r="118" spans="1:17" ht="32.4">
      <c r="A118" s="69" t="s">
        <v>435</v>
      </c>
      <c r="B118" s="43" t="s">
        <v>533</v>
      </c>
      <c r="C118" s="27" t="s">
        <v>617</v>
      </c>
      <c r="D118" s="27" t="s">
        <v>315</v>
      </c>
      <c r="E118" s="68" t="s">
        <v>586</v>
      </c>
      <c r="F118" s="32">
        <v>4</v>
      </c>
      <c r="G118" s="37" t="s">
        <v>625</v>
      </c>
      <c r="H118" s="32">
        <v>4</v>
      </c>
      <c r="I118" s="26" t="s">
        <v>655</v>
      </c>
      <c r="J118" s="77" t="s">
        <v>665</v>
      </c>
      <c r="K118" s="32">
        <v>8</v>
      </c>
      <c r="L118" s="37" t="s">
        <v>640</v>
      </c>
      <c r="M118" s="71">
        <f t="shared" si="5"/>
        <v>128</v>
      </c>
      <c r="N118" s="71">
        <f t="shared" si="7"/>
        <v>4</v>
      </c>
      <c r="O118" s="71">
        <v>2</v>
      </c>
      <c r="P118" s="71">
        <f t="shared" si="8"/>
        <v>8</v>
      </c>
      <c r="Q118" s="71">
        <f t="shared" si="6"/>
        <v>64</v>
      </c>
    </row>
    <row r="119" spans="1:17" ht="32.4">
      <c r="A119" s="69" t="s">
        <v>436</v>
      </c>
      <c r="B119" s="43" t="s">
        <v>500</v>
      </c>
      <c r="C119" s="27" t="s">
        <v>502</v>
      </c>
      <c r="D119" s="27" t="s">
        <v>299</v>
      </c>
      <c r="E119" s="68" t="s">
        <v>320</v>
      </c>
      <c r="F119" s="32">
        <v>4</v>
      </c>
      <c r="G119" s="37" t="s">
        <v>625</v>
      </c>
      <c r="H119" s="32">
        <v>3</v>
      </c>
      <c r="I119" s="26" t="s">
        <v>655</v>
      </c>
      <c r="J119" s="77" t="s">
        <v>661</v>
      </c>
      <c r="K119" s="32">
        <v>3</v>
      </c>
      <c r="L119" s="37" t="s">
        <v>640</v>
      </c>
      <c r="M119" s="71">
        <f t="shared" si="5"/>
        <v>36</v>
      </c>
      <c r="N119" s="71">
        <f t="shared" si="7"/>
        <v>4</v>
      </c>
      <c r="O119" s="71">
        <f t="shared" ref="O119:O146" si="10">IF(H119="","",H119-1)</f>
        <v>2</v>
      </c>
      <c r="P119" s="71">
        <f t="shared" si="8"/>
        <v>3</v>
      </c>
      <c r="Q119" s="71">
        <f t="shared" si="6"/>
        <v>24</v>
      </c>
    </row>
    <row r="120" spans="1:17" ht="32.4">
      <c r="A120" s="69" t="s">
        <v>437</v>
      </c>
      <c r="B120" s="43" t="s">
        <v>501</v>
      </c>
      <c r="C120" s="27" t="s">
        <v>503</v>
      </c>
      <c r="D120" s="27" t="s">
        <v>303</v>
      </c>
      <c r="E120" s="68" t="s">
        <v>323</v>
      </c>
      <c r="F120" s="32">
        <v>8</v>
      </c>
      <c r="G120" s="37" t="s">
        <v>625</v>
      </c>
      <c r="H120" s="32">
        <v>3</v>
      </c>
      <c r="I120" s="26" t="s">
        <v>655</v>
      </c>
      <c r="J120" s="77" t="s">
        <v>661</v>
      </c>
      <c r="K120" s="32">
        <v>3</v>
      </c>
      <c r="L120" s="37" t="s">
        <v>640</v>
      </c>
      <c r="M120" s="71">
        <f t="shared" si="5"/>
        <v>72</v>
      </c>
      <c r="N120" s="71">
        <f t="shared" si="7"/>
        <v>8</v>
      </c>
      <c r="O120" s="71">
        <f t="shared" si="10"/>
        <v>2</v>
      </c>
      <c r="P120" s="71">
        <f t="shared" si="8"/>
        <v>3</v>
      </c>
      <c r="Q120" s="71">
        <f t="shared" si="6"/>
        <v>48</v>
      </c>
    </row>
    <row r="121" spans="1:17" ht="32.4">
      <c r="A121" s="69" t="s">
        <v>438</v>
      </c>
      <c r="B121" s="43" t="s">
        <v>532</v>
      </c>
      <c r="C121" s="27" t="s">
        <v>504</v>
      </c>
      <c r="D121" s="27" t="s">
        <v>299</v>
      </c>
      <c r="E121" s="68" t="s">
        <v>320</v>
      </c>
      <c r="F121" s="32">
        <v>4</v>
      </c>
      <c r="G121" s="37" t="s">
        <v>629</v>
      </c>
      <c r="H121" s="32">
        <v>2</v>
      </c>
      <c r="I121" s="26" t="s">
        <v>671</v>
      </c>
      <c r="J121" s="77" t="s">
        <v>657</v>
      </c>
      <c r="K121" s="32">
        <v>2</v>
      </c>
      <c r="L121" s="37" t="s">
        <v>640</v>
      </c>
      <c r="M121" s="71">
        <f t="shared" si="5"/>
        <v>16</v>
      </c>
      <c r="N121" s="71">
        <f t="shared" si="7"/>
        <v>4</v>
      </c>
      <c r="O121" s="71">
        <f t="shared" si="10"/>
        <v>1</v>
      </c>
      <c r="P121" s="71">
        <f t="shared" si="8"/>
        <v>2</v>
      </c>
      <c r="Q121" s="71">
        <f t="shared" si="6"/>
        <v>8</v>
      </c>
    </row>
    <row r="122" spans="1:17" ht="32.4">
      <c r="A122" s="69" t="s">
        <v>439</v>
      </c>
      <c r="B122" s="43" t="s">
        <v>471</v>
      </c>
      <c r="C122" s="27" t="s">
        <v>606</v>
      </c>
      <c r="D122" s="27" t="s">
        <v>307</v>
      </c>
      <c r="E122" s="68" t="s">
        <v>320</v>
      </c>
      <c r="F122" s="32">
        <v>8</v>
      </c>
      <c r="G122" s="37" t="s">
        <v>625</v>
      </c>
      <c r="H122" s="32">
        <v>4</v>
      </c>
      <c r="I122" s="26" t="s">
        <v>671</v>
      </c>
      <c r="J122" s="77" t="s">
        <v>659</v>
      </c>
      <c r="K122" s="32">
        <v>5</v>
      </c>
      <c r="L122" s="37" t="s">
        <v>640</v>
      </c>
      <c r="M122" s="71">
        <f t="shared" si="5"/>
        <v>160</v>
      </c>
      <c r="N122" s="71">
        <f t="shared" si="7"/>
        <v>8</v>
      </c>
      <c r="O122" s="71">
        <v>2</v>
      </c>
      <c r="P122" s="71">
        <f t="shared" si="8"/>
        <v>5</v>
      </c>
      <c r="Q122" s="71">
        <f t="shared" si="6"/>
        <v>80</v>
      </c>
    </row>
    <row r="123" spans="1:17" ht="32.4">
      <c r="A123" s="69" t="s">
        <v>440</v>
      </c>
      <c r="B123" s="43" t="s">
        <v>473</v>
      </c>
      <c r="C123" s="27" t="s">
        <v>472</v>
      </c>
      <c r="D123" s="27" t="s">
        <v>308</v>
      </c>
      <c r="E123" s="68" t="s">
        <v>321</v>
      </c>
      <c r="F123" s="32">
        <v>7</v>
      </c>
      <c r="G123" s="37" t="s">
        <v>625</v>
      </c>
      <c r="H123" s="32">
        <v>2</v>
      </c>
      <c r="I123" s="26" t="s">
        <v>671</v>
      </c>
      <c r="J123" s="77" t="s">
        <v>659</v>
      </c>
      <c r="K123" s="32">
        <v>7</v>
      </c>
      <c r="L123" s="37" t="s">
        <v>640</v>
      </c>
      <c r="M123" s="71">
        <f t="shared" si="5"/>
        <v>98</v>
      </c>
      <c r="N123" s="71">
        <f t="shared" si="7"/>
        <v>7</v>
      </c>
      <c r="O123" s="71">
        <v>1</v>
      </c>
      <c r="P123" s="71">
        <f t="shared" si="8"/>
        <v>7</v>
      </c>
      <c r="Q123" s="71">
        <f t="shared" si="6"/>
        <v>49</v>
      </c>
    </row>
    <row r="124" spans="1:17" ht="32.4">
      <c r="A124" s="69" t="s">
        <v>441</v>
      </c>
      <c r="B124" s="43" t="s">
        <v>531</v>
      </c>
      <c r="C124" s="27" t="s">
        <v>588</v>
      </c>
      <c r="D124" s="27" t="s">
        <v>317</v>
      </c>
      <c r="E124" s="68" t="s">
        <v>587</v>
      </c>
      <c r="F124" s="32">
        <v>4</v>
      </c>
      <c r="G124" s="37" t="s">
        <v>632</v>
      </c>
      <c r="H124" s="32">
        <v>4</v>
      </c>
      <c r="I124" s="26" t="s">
        <v>655</v>
      </c>
      <c r="J124" s="77" t="s">
        <v>669</v>
      </c>
      <c r="K124" s="32">
        <v>10</v>
      </c>
      <c r="L124" s="37" t="s">
        <v>641</v>
      </c>
      <c r="M124" s="71">
        <f t="shared" si="5"/>
        <v>160</v>
      </c>
      <c r="N124" s="71">
        <f t="shared" si="7"/>
        <v>4</v>
      </c>
      <c r="O124" s="71">
        <f t="shared" si="10"/>
        <v>3</v>
      </c>
      <c r="P124" s="71">
        <v>5</v>
      </c>
      <c r="Q124" s="71">
        <f t="shared" si="6"/>
        <v>60</v>
      </c>
    </row>
    <row r="125" spans="1:17" ht="32.4">
      <c r="A125" s="69" t="s">
        <v>442</v>
      </c>
      <c r="B125" s="43" t="s">
        <v>530</v>
      </c>
      <c r="C125" s="68" t="s">
        <v>482</v>
      </c>
      <c r="D125" s="27" t="s">
        <v>310</v>
      </c>
      <c r="E125" s="68" t="s">
        <v>323</v>
      </c>
      <c r="F125" s="32">
        <v>8</v>
      </c>
      <c r="G125" s="37" t="s">
        <v>628</v>
      </c>
      <c r="H125" s="32">
        <v>3</v>
      </c>
      <c r="I125" s="26" t="s">
        <v>655</v>
      </c>
      <c r="J125" s="77" t="s">
        <v>669</v>
      </c>
      <c r="K125" s="32">
        <v>10</v>
      </c>
      <c r="L125" s="37" t="s">
        <v>641</v>
      </c>
      <c r="M125" s="71">
        <f t="shared" si="5"/>
        <v>240</v>
      </c>
      <c r="N125" s="71">
        <f t="shared" si="7"/>
        <v>8</v>
      </c>
      <c r="O125" s="71">
        <v>1</v>
      </c>
      <c r="P125" s="71">
        <v>5</v>
      </c>
      <c r="Q125" s="71">
        <f t="shared" si="6"/>
        <v>40</v>
      </c>
    </row>
    <row r="126" spans="1:17" ht="32.4">
      <c r="A126" s="69" t="s">
        <v>443</v>
      </c>
      <c r="B126" s="43" t="s">
        <v>529</v>
      </c>
      <c r="C126" s="27" t="s">
        <v>469</v>
      </c>
      <c r="D126" s="27" t="s">
        <v>303</v>
      </c>
      <c r="E126" s="68" t="s">
        <v>320</v>
      </c>
      <c r="F126" s="32">
        <v>8</v>
      </c>
      <c r="G126" s="37" t="s">
        <v>625</v>
      </c>
      <c r="H126" s="32">
        <v>3</v>
      </c>
      <c r="I126" s="26" t="s">
        <v>655</v>
      </c>
      <c r="J126" s="77" t="s">
        <v>659</v>
      </c>
      <c r="K126" s="32">
        <v>5</v>
      </c>
      <c r="L126" s="37" t="s">
        <v>640</v>
      </c>
      <c r="M126" s="71">
        <f t="shared" si="5"/>
        <v>120</v>
      </c>
      <c r="N126" s="71">
        <f t="shared" si="7"/>
        <v>8</v>
      </c>
      <c r="O126" s="71">
        <f t="shared" si="10"/>
        <v>2</v>
      </c>
      <c r="P126" s="71">
        <f t="shared" si="8"/>
        <v>5</v>
      </c>
      <c r="Q126" s="71">
        <f t="shared" si="6"/>
        <v>80</v>
      </c>
    </row>
    <row r="127" spans="1:17" ht="32.4">
      <c r="A127" s="69" t="s">
        <v>444</v>
      </c>
      <c r="B127" s="43" t="s">
        <v>528</v>
      </c>
      <c r="C127" s="27" t="s">
        <v>476</v>
      </c>
      <c r="D127" s="27" t="s">
        <v>303</v>
      </c>
      <c r="E127" s="68" t="s">
        <v>320</v>
      </c>
      <c r="F127" s="32">
        <v>8</v>
      </c>
      <c r="G127" s="37" t="s">
        <v>625</v>
      </c>
      <c r="H127" s="32">
        <v>3</v>
      </c>
      <c r="I127" s="26" t="s">
        <v>655</v>
      </c>
      <c r="J127" s="77" t="s">
        <v>661</v>
      </c>
      <c r="K127" s="32">
        <v>3</v>
      </c>
      <c r="L127" s="37" t="s">
        <v>640</v>
      </c>
      <c r="M127" s="71">
        <f t="shared" si="5"/>
        <v>72</v>
      </c>
      <c r="N127" s="71">
        <f t="shared" si="7"/>
        <v>8</v>
      </c>
      <c r="O127" s="71">
        <f t="shared" si="10"/>
        <v>2</v>
      </c>
      <c r="P127" s="71">
        <f t="shared" si="8"/>
        <v>3</v>
      </c>
      <c r="Q127" s="71">
        <f t="shared" si="6"/>
        <v>48</v>
      </c>
    </row>
    <row r="128" spans="1:17" ht="32.4">
      <c r="A128" s="69" t="s">
        <v>445</v>
      </c>
      <c r="B128" s="43" t="s">
        <v>527</v>
      </c>
      <c r="C128" s="27" t="s">
        <v>478</v>
      </c>
      <c r="D128" s="27" t="s">
        <v>303</v>
      </c>
      <c r="E128" s="68" t="s">
        <v>320</v>
      </c>
      <c r="F128" s="32">
        <v>4</v>
      </c>
      <c r="G128" s="37" t="s">
        <v>625</v>
      </c>
      <c r="H128" s="32">
        <v>3</v>
      </c>
      <c r="I128" s="26" t="s">
        <v>655</v>
      </c>
      <c r="J128" s="77" t="s">
        <v>661</v>
      </c>
      <c r="K128" s="32">
        <v>3</v>
      </c>
      <c r="L128" s="37" t="s">
        <v>640</v>
      </c>
      <c r="M128" s="71">
        <f t="shared" si="5"/>
        <v>36</v>
      </c>
      <c r="N128" s="71">
        <f t="shared" si="7"/>
        <v>4</v>
      </c>
      <c r="O128" s="71">
        <f t="shared" si="10"/>
        <v>2</v>
      </c>
      <c r="P128" s="71">
        <f t="shared" si="8"/>
        <v>3</v>
      </c>
      <c r="Q128" s="71">
        <f t="shared" si="6"/>
        <v>24</v>
      </c>
    </row>
    <row r="129" spans="1:17" ht="32.4">
      <c r="A129" s="69" t="s">
        <v>446</v>
      </c>
      <c r="B129" s="43" t="s">
        <v>526</v>
      </c>
      <c r="C129" s="27" t="s">
        <v>618</v>
      </c>
      <c r="D129" s="27" t="s">
        <v>318</v>
      </c>
      <c r="E129" s="68" t="s">
        <v>619</v>
      </c>
      <c r="F129" s="32">
        <v>7</v>
      </c>
      <c r="G129" s="37" t="s">
        <v>625</v>
      </c>
      <c r="H129" s="32">
        <v>3</v>
      </c>
      <c r="I129" s="26" t="s">
        <v>671</v>
      </c>
      <c r="J129" s="77" t="s">
        <v>661</v>
      </c>
      <c r="K129" s="32">
        <v>8</v>
      </c>
      <c r="L129" s="37" t="s">
        <v>640</v>
      </c>
      <c r="M129" s="71">
        <f t="shared" si="5"/>
        <v>168</v>
      </c>
      <c r="N129" s="71">
        <f t="shared" si="7"/>
        <v>7</v>
      </c>
      <c r="O129" s="71">
        <v>1</v>
      </c>
      <c r="P129" s="71">
        <f t="shared" si="8"/>
        <v>8</v>
      </c>
      <c r="Q129" s="71">
        <f t="shared" si="6"/>
        <v>56</v>
      </c>
    </row>
    <row r="130" spans="1:17" ht="32.4">
      <c r="A130" s="69" t="s">
        <v>447</v>
      </c>
      <c r="B130" s="43" t="s">
        <v>495</v>
      </c>
      <c r="C130" s="27" t="s">
        <v>618</v>
      </c>
      <c r="D130" s="27" t="s">
        <v>318</v>
      </c>
      <c r="E130" s="68" t="s">
        <v>619</v>
      </c>
      <c r="F130" s="32">
        <v>7</v>
      </c>
      <c r="G130" s="37" t="s">
        <v>636</v>
      </c>
      <c r="H130" s="32">
        <v>2</v>
      </c>
      <c r="I130" s="26" t="s">
        <v>671</v>
      </c>
      <c r="J130" s="77" t="s">
        <v>667</v>
      </c>
      <c r="K130" s="32">
        <v>8</v>
      </c>
      <c r="L130" s="37" t="s">
        <v>640</v>
      </c>
      <c r="M130" s="71">
        <f t="shared" si="5"/>
        <v>112</v>
      </c>
      <c r="N130" s="71">
        <f t="shared" si="7"/>
        <v>7</v>
      </c>
      <c r="O130" s="71">
        <f t="shared" si="10"/>
        <v>1</v>
      </c>
      <c r="P130" s="71">
        <f t="shared" si="8"/>
        <v>8</v>
      </c>
      <c r="Q130" s="71">
        <f t="shared" si="6"/>
        <v>56</v>
      </c>
    </row>
    <row r="131" spans="1:17" ht="32.4">
      <c r="A131" s="69" t="s">
        <v>448</v>
      </c>
      <c r="B131" s="43" t="s">
        <v>525</v>
      </c>
      <c r="C131" s="27" t="s">
        <v>605</v>
      </c>
      <c r="D131" s="27" t="s">
        <v>314</v>
      </c>
      <c r="E131" s="68" t="s">
        <v>604</v>
      </c>
      <c r="F131" s="32">
        <v>2</v>
      </c>
      <c r="G131" s="37" t="s">
        <v>636</v>
      </c>
      <c r="H131" s="32">
        <v>2</v>
      </c>
      <c r="I131" s="26" t="s">
        <v>671</v>
      </c>
      <c r="J131" s="77" t="s">
        <v>657</v>
      </c>
      <c r="K131" s="32">
        <v>4</v>
      </c>
      <c r="L131" s="37" t="s">
        <v>640</v>
      </c>
      <c r="M131" s="71">
        <f t="shared" ref="M131:M150" si="11">F131*H131*K131</f>
        <v>16</v>
      </c>
      <c r="N131" s="71">
        <f t="shared" si="7"/>
        <v>2</v>
      </c>
      <c r="O131" s="71">
        <f t="shared" si="10"/>
        <v>1</v>
      </c>
      <c r="P131" s="71">
        <f t="shared" si="8"/>
        <v>4</v>
      </c>
      <c r="Q131" s="71">
        <f t="shared" ref="Q131:Q150" si="12">N131*O131*P131</f>
        <v>8</v>
      </c>
    </row>
    <row r="132" spans="1:17" ht="32.4">
      <c r="A132" s="69" t="s">
        <v>449</v>
      </c>
      <c r="B132" s="43" t="s">
        <v>524</v>
      </c>
      <c r="C132" s="68" t="s">
        <v>620</v>
      </c>
      <c r="D132" s="27" t="s">
        <v>303</v>
      </c>
      <c r="E132" s="68" t="s">
        <v>320</v>
      </c>
      <c r="F132" s="32">
        <v>8</v>
      </c>
      <c r="G132" s="37" t="s">
        <v>629</v>
      </c>
      <c r="H132" s="32">
        <v>4</v>
      </c>
      <c r="I132" s="26" t="s">
        <v>671</v>
      </c>
      <c r="J132" s="77" t="s">
        <v>667</v>
      </c>
      <c r="K132" s="32">
        <v>10</v>
      </c>
      <c r="L132" s="37" t="s">
        <v>641</v>
      </c>
      <c r="M132" s="71">
        <f t="shared" si="11"/>
        <v>320</v>
      </c>
      <c r="N132" s="71">
        <f t="shared" si="7"/>
        <v>8</v>
      </c>
      <c r="O132" s="71">
        <v>1</v>
      </c>
      <c r="P132" s="71">
        <v>5</v>
      </c>
      <c r="Q132" s="71">
        <f t="shared" si="12"/>
        <v>40</v>
      </c>
    </row>
    <row r="133" spans="1:17" ht="32.4">
      <c r="A133" s="69" t="s">
        <v>450</v>
      </c>
      <c r="B133" s="43" t="s">
        <v>523</v>
      </c>
      <c r="C133" s="68" t="s">
        <v>482</v>
      </c>
      <c r="D133" s="27" t="s">
        <v>310</v>
      </c>
      <c r="E133" s="68" t="s">
        <v>323</v>
      </c>
      <c r="F133" s="32">
        <v>8</v>
      </c>
      <c r="G133" s="37" t="s">
        <v>628</v>
      </c>
      <c r="H133" s="32">
        <v>3</v>
      </c>
      <c r="I133" s="26" t="s">
        <v>655</v>
      </c>
      <c r="J133" s="77" t="s">
        <v>661</v>
      </c>
      <c r="K133" s="32">
        <v>10</v>
      </c>
      <c r="L133" s="37" t="s">
        <v>641</v>
      </c>
      <c r="M133" s="71">
        <f t="shared" si="11"/>
        <v>240</v>
      </c>
      <c r="N133" s="71">
        <f t="shared" si="7"/>
        <v>8</v>
      </c>
      <c r="O133" s="71">
        <v>1</v>
      </c>
      <c r="P133" s="71">
        <v>5</v>
      </c>
      <c r="Q133" s="71">
        <f t="shared" si="12"/>
        <v>40</v>
      </c>
    </row>
    <row r="134" spans="1:17" ht="32.4">
      <c r="A134" s="69" t="s">
        <v>451</v>
      </c>
      <c r="B134" s="43" t="s">
        <v>496</v>
      </c>
      <c r="C134" s="27" t="s">
        <v>606</v>
      </c>
      <c r="D134" s="27" t="s">
        <v>305</v>
      </c>
      <c r="E134" s="68" t="s">
        <v>320</v>
      </c>
      <c r="F134" s="32">
        <v>8</v>
      </c>
      <c r="G134" s="37" t="s">
        <v>626</v>
      </c>
      <c r="H134" s="32">
        <v>4</v>
      </c>
      <c r="I134" s="26" t="s">
        <v>671</v>
      </c>
      <c r="J134" s="77" t="s">
        <v>659</v>
      </c>
      <c r="K134" s="32">
        <v>5</v>
      </c>
      <c r="L134" s="37" t="s">
        <v>640</v>
      </c>
      <c r="M134" s="71">
        <f t="shared" si="11"/>
        <v>160</v>
      </c>
      <c r="N134" s="71">
        <f t="shared" si="7"/>
        <v>8</v>
      </c>
      <c r="O134" s="71">
        <v>2</v>
      </c>
      <c r="P134" s="71">
        <f t="shared" si="8"/>
        <v>5</v>
      </c>
      <c r="Q134" s="71">
        <f t="shared" si="12"/>
        <v>80</v>
      </c>
    </row>
    <row r="135" spans="1:17" ht="32.4">
      <c r="A135" s="69" t="s">
        <v>452</v>
      </c>
      <c r="B135" s="43" t="s">
        <v>497</v>
      </c>
      <c r="C135" s="27" t="s">
        <v>610</v>
      </c>
      <c r="D135" s="27" t="s">
        <v>305</v>
      </c>
      <c r="E135" s="68" t="s">
        <v>321</v>
      </c>
      <c r="F135" s="32">
        <v>7</v>
      </c>
      <c r="G135" s="37" t="s">
        <v>637</v>
      </c>
      <c r="H135" s="32">
        <v>2</v>
      </c>
      <c r="I135" s="26" t="s">
        <v>671</v>
      </c>
      <c r="J135" s="77" t="s">
        <v>659</v>
      </c>
      <c r="K135" s="32">
        <v>5</v>
      </c>
      <c r="L135" s="37" t="s">
        <v>640</v>
      </c>
      <c r="M135" s="71">
        <f t="shared" si="11"/>
        <v>70</v>
      </c>
      <c r="N135" s="71">
        <f t="shared" si="7"/>
        <v>7</v>
      </c>
      <c r="O135" s="71">
        <f t="shared" si="10"/>
        <v>1</v>
      </c>
      <c r="P135" s="71">
        <f t="shared" si="8"/>
        <v>5</v>
      </c>
      <c r="Q135" s="71">
        <f t="shared" si="12"/>
        <v>35</v>
      </c>
    </row>
    <row r="136" spans="1:17" ht="32.4">
      <c r="A136" s="69" t="s">
        <v>453</v>
      </c>
      <c r="B136" s="43" t="s">
        <v>522</v>
      </c>
      <c r="C136" s="27" t="s">
        <v>616</v>
      </c>
      <c r="D136" s="27" t="s">
        <v>308</v>
      </c>
      <c r="E136" s="68" t="s">
        <v>321</v>
      </c>
      <c r="F136" s="32">
        <v>7</v>
      </c>
      <c r="G136" s="37" t="s">
        <v>638</v>
      </c>
      <c r="H136" s="32">
        <v>4</v>
      </c>
      <c r="I136" s="26" t="s">
        <v>671</v>
      </c>
      <c r="J136" s="77" t="s">
        <v>674</v>
      </c>
      <c r="K136" s="32">
        <v>4</v>
      </c>
      <c r="L136" s="37" t="s">
        <v>640</v>
      </c>
      <c r="M136" s="71">
        <f t="shared" si="11"/>
        <v>112</v>
      </c>
      <c r="N136" s="71">
        <f t="shared" si="7"/>
        <v>7</v>
      </c>
      <c r="O136" s="71">
        <f t="shared" si="10"/>
        <v>3</v>
      </c>
      <c r="P136" s="71">
        <f t="shared" si="8"/>
        <v>4</v>
      </c>
      <c r="Q136" s="71">
        <f t="shared" si="12"/>
        <v>84</v>
      </c>
    </row>
    <row r="137" spans="1:17" ht="32.4">
      <c r="A137" s="69" t="s">
        <v>454</v>
      </c>
      <c r="B137" s="43" t="s">
        <v>498</v>
      </c>
      <c r="C137" s="27" t="s">
        <v>595</v>
      </c>
      <c r="D137" s="27" t="s">
        <v>299</v>
      </c>
      <c r="E137" s="68" t="s">
        <v>508</v>
      </c>
      <c r="F137" s="32">
        <v>6</v>
      </c>
      <c r="G137" s="37" t="s">
        <v>625</v>
      </c>
      <c r="H137" s="32">
        <v>3</v>
      </c>
      <c r="I137" s="26" t="s">
        <v>655</v>
      </c>
      <c r="J137" s="77" t="s">
        <v>661</v>
      </c>
      <c r="K137" s="32">
        <v>3</v>
      </c>
      <c r="L137" s="37" t="s">
        <v>640</v>
      </c>
      <c r="M137" s="71">
        <f t="shared" si="11"/>
        <v>54</v>
      </c>
      <c r="N137" s="71">
        <f t="shared" si="7"/>
        <v>6</v>
      </c>
      <c r="O137" s="71">
        <f t="shared" si="10"/>
        <v>2</v>
      </c>
      <c r="P137" s="71">
        <f t="shared" si="8"/>
        <v>3</v>
      </c>
      <c r="Q137" s="71">
        <f t="shared" si="12"/>
        <v>36</v>
      </c>
    </row>
    <row r="138" spans="1:17" ht="32.4">
      <c r="A138" s="69" t="s">
        <v>455</v>
      </c>
      <c r="B138" s="43" t="s">
        <v>499</v>
      </c>
      <c r="C138" s="27" t="s">
        <v>592</v>
      </c>
      <c r="D138" s="27" t="s">
        <v>299</v>
      </c>
      <c r="E138" s="68" t="s">
        <v>593</v>
      </c>
      <c r="F138" s="32">
        <v>2</v>
      </c>
      <c r="G138" s="37" t="s">
        <v>625</v>
      </c>
      <c r="H138" s="32">
        <v>3</v>
      </c>
      <c r="I138" s="26" t="s">
        <v>655</v>
      </c>
      <c r="J138" s="77" t="s">
        <v>659</v>
      </c>
      <c r="K138" s="32">
        <v>3</v>
      </c>
      <c r="L138" s="37" t="s">
        <v>640</v>
      </c>
      <c r="M138" s="71">
        <f t="shared" si="11"/>
        <v>18</v>
      </c>
      <c r="N138" s="71">
        <f t="shared" si="7"/>
        <v>2</v>
      </c>
      <c r="O138" s="71">
        <f t="shared" si="10"/>
        <v>2</v>
      </c>
      <c r="P138" s="71">
        <f t="shared" si="8"/>
        <v>3</v>
      </c>
      <c r="Q138" s="71">
        <f t="shared" si="12"/>
        <v>12</v>
      </c>
    </row>
    <row r="139" spans="1:17" ht="32.4">
      <c r="A139" s="69" t="s">
        <v>456</v>
      </c>
      <c r="B139" s="43" t="s">
        <v>521</v>
      </c>
      <c r="C139" s="27" t="s">
        <v>594</v>
      </c>
      <c r="D139" s="27" t="s">
        <v>299</v>
      </c>
      <c r="E139" s="68" t="s">
        <v>323</v>
      </c>
      <c r="F139" s="32">
        <v>8</v>
      </c>
      <c r="G139" s="37" t="s">
        <v>629</v>
      </c>
      <c r="H139" s="32">
        <v>2</v>
      </c>
      <c r="I139" s="26" t="s">
        <v>671</v>
      </c>
      <c r="J139" s="77" t="s">
        <v>657</v>
      </c>
      <c r="K139" s="32">
        <v>2</v>
      </c>
      <c r="L139" s="37" t="s">
        <v>640</v>
      </c>
      <c r="M139" s="71">
        <f t="shared" si="11"/>
        <v>32</v>
      </c>
      <c r="N139" s="71">
        <f t="shared" si="7"/>
        <v>8</v>
      </c>
      <c r="O139" s="71">
        <f t="shared" si="10"/>
        <v>1</v>
      </c>
      <c r="P139" s="71">
        <f t="shared" si="8"/>
        <v>2</v>
      </c>
      <c r="Q139" s="71">
        <f t="shared" si="12"/>
        <v>16</v>
      </c>
    </row>
    <row r="140" spans="1:17" ht="32.4">
      <c r="A140" s="69" t="s">
        <v>457</v>
      </c>
      <c r="B140" s="43" t="s">
        <v>520</v>
      </c>
      <c r="C140" s="27" t="s">
        <v>624</v>
      </c>
      <c r="D140" s="27" t="s">
        <v>299</v>
      </c>
      <c r="E140" s="68" t="s">
        <v>592</v>
      </c>
      <c r="F140" s="32">
        <v>2</v>
      </c>
      <c r="G140" s="37" t="s">
        <v>636</v>
      </c>
      <c r="H140" s="32">
        <v>2</v>
      </c>
      <c r="I140" s="26" t="s">
        <v>671</v>
      </c>
      <c r="J140" s="77" t="s">
        <v>657</v>
      </c>
      <c r="K140" s="32">
        <v>2</v>
      </c>
      <c r="L140" s="37" t="s">
        <v>640</v>
      </c>
      <c r="M140" s="71">
        <f t="shared" si="11"/>
        <v>8</v>
      </c>
      <c r="N140" s="71">
        <f t="shared" si="7"/>
        <v>2</v>
      </c>
      <c r="O140" s="71">
        <f t="shared" si="10"/>
        <v>1</v>
      </c>
      <c r="P140" s="71">
        <f t="shared" si="8"/>
        <v>2</v>
      </c>
      <c r="Q140" s="71">
        <f t="shared" si="12"/>
        <v>4</v>
      </c>
    </row>
    <row r="141" spans="1:17" ht="32.4">
      <c r="A141" s="69" t="s">
        <v>458</v>
      </c>
      <c r="B141" s="43" t="s">
        <v>519</v>
      </c>
      <c r="C141" s="27" t="s">
        <v>475</v>
      </c>
      <c r="D141" s="27" t="s">
        <v>305</v>
      </c>
      <c r="E141" s="68" t="s">
        <v>322</v>
      </c>
      <c r="F141" s="32">
        <v>4</v>
      </c>
      <c r="G141" s="37" t="s">
        <v>625</v>
      </c>
      <c r="H141" s="32">
        <v>2</v>
      </c>
      <c r="I141" s="26" t="s">
        <v>671</v>
      </c>
      <c r="J141" s="77" t="s">
        <v>659</v>
      </c>
      <c r="K141" s="32">
        <v>7</v>
      </c>
      <c r="L141" s="37" t="s">
        <v>640</v>
      </c>
      <c r="M141" s="71">
        <f t="shared" si="11"/>
        <v>56</v>
      </c>
      <c r="N141" s="71">
        <f t="shared" si="7"/>
        <v>4</v>
      </c>
      <c r="O141" s="71">
        <f t="shared" si="10"/>
        <v>1</v>
      </c>
      <c r="P141" s="71">
        <f t="shared" si="8"/>
        <v>7</v>
      </c>
      <c r="Q141" s="71">
        <f t="shared" si="12"/>
        <v>28</v>
      </c>
    </row>
    <row r="142" spans="1:17" ht="32.4">
      <c r="A142" s="69" t="s">
        <v>459</v>
      </c>
      <c r="B142" s="43" t="s">
        <v>518</v>
      </c>
      <c r="C142" s="27" t="s">
        <v>613</v>
      </c>
      <c r="D142" s="27" t="s">
        <v>299</v>
      </c>
      <c r="E142" s="68" t="s">
        <v>612</v>
      </c>
      <c r="F142" s="32">
        <v>1</v>
      </c>
      <c r="G142" s="37" t="s">
        <v>636</v>
      </c>
      <c r="H142" s="32">
        <v>2</v>
      </c>
      <c r="I142" s="26" t="s">
        <v>655</v>
      </c>
      <c r="J142" s="77" t="s">
        <v>657</v>
      </c>
      <c r="K142" s="32">
        <v>2</v>
      </c>
      <c r="L142" s="37" t="s">
        <v>640</v>
      </c>
      <c r="M142" s="71">
        <f t="shared" si="11"/>
        <v>4</v>
      </c>
      <c r="N142" s="71">
        <f t="shared" si="7"/>
        <v>1</v>
      </c>
      <c r="O142" s="71">
        <f t="shared" si="10"/>
        <v>1</v>
      </c>
      <c r="P142" s="71">
        <f t="shared" si="8"/>
        <v>2</v>
      </c>
      <c r="Q142" s="71">
        <f t="shared" si="12"/>
        <v>2</v>
      </c>
    </row>
    <row r="143" spans="1:17" ht="32.4">
      <c r="A143" s="69" t="s">
        <v>460</v>
      </c>
      <c r="B143" s="43" t="s">
        <v>517</v>
      </c>
      <c r="C143" s="27" t="s">
        <v>509</v>
      </c>
      <c r="D143" s="27" t="s">
        <v>299</v>
      </c>
      <c r="E143" s="68" t="s">
        <v>323</v>
      </c>
      <c r="F143" s="32">
        <v>8</v>
      </c>
      <c r="G143" s="37" t="s">
        <v>636</v>
      </c>
      <c r="H143" s="32">
        <v>2</v>
      </c>
      <c r="I143" s="26" t="s">
        <v>655</v>
      </c>
      <c r="J143" s="77" t="s">
        <v>657</v>
      </c>
      <c r="K143" s="32">
        <v>2</v>
      </c>
      <c r="L143" s="37" t="s">
        <v>640</v>
      </c>
      <c r="M143" s="71">
        <f t="shared" si="11"/>
        <v>32</v>
      </c>
      <c r="N143" s="71">
        <f t="shared" si="7"/>
        <v>8</v>
      </c>
      <c r="O143" s="71">
        <f t="shared" si="10"/>
        <v>1</v>
      </c>
      <c r="P143" s="71">
        <f t="shared" si="8"/>
        <v>2</v>
      </c>
      <c r="Q143" s="71">
        <f t="shared" si="12"/>
        <v>16</v>
      </c>
    </row>
    <row r="144" spans="1:17" ht="32.4">
      <c r="A144" s="69" t="s">
        <v>461</v>
      </c>
      <c r="B144" s="43" t="s">
        <v>516</v>
      </c>
      <c r="C144" s="27" t="s">
        <v>605</v>
      </c>
      <c r="D144" s="27" t="s">
        <v>314</v>
      </c>
      <c r="E144" s="68" t="s">
        <v>604</v>
      </c>
      <c r="F144" s="32">
        <v>2</v>
      </c>
      <c r="G144" s="37" t="s">
        <v>636</v>
      </c>
      <c r="H144" s="32">
        <v>2</v>
      </c>
      <c r="I144" s="26" t="s">
        <v>671</v>
      </c>
      <c r="J144" s="77" t="s">
        <v>657</v>
      </c>
      <c r="K144" s="32">
        <v>4</v>
      </c>
      <c r="L144" s="37" t="s">
        <v>640</v>
      </c>
      <c r="M144" s="71">
        <f t="shared" si="11"/>
        <v>16</v>
      </c>
      <c r="N144" s="71">
        <f t="shared" si="7"/>
        <v>2</v>
      </c>
      <c r="O144" s="71">
        <f t="shared" si="10"/>
        <v>1</v>
      </c>
      <c r="P144" s="71">
        <f t="shared" si="8"/>
        <v>4</v>
      </c>
      <c r="Q144" s="71">
        <f t="shared" si="12"/>
        <v>8</v>
      </c>
    </row>
    <row r="145" spans="1:17" ht="32.4">
      <c r="A145" s="69" t="s">
        <v>462</v>
      </c>
      <c r="B145" s="43" t="s">
        <v>515</v>
      </c>
      <c r="C145" s="27" t="s">
        <v>597</v>
      </c>
      <c r="D145" s="27" t="s">
        <v>305</v>
      </c>
      <c r="E145" s="68" t="s">
        <v>322</v>
      </c>
      <c r="F145" s="32">
        <v>4</v>
      </c>
      <c r="G145" s="37" t="s">
        <v>625</v>
      </c>
      <c r="H145" s="32">
        <v>2</v>
      </c>
      <c r="I145" s="26" t="s">
        <v>671</v>
      </c>
      <c r="J145" s="77" t="s">
        <v>667</v>
      </c>
      <c r="K145" s="32">
        <v>10</v>
      </c>
      <c r="L145" s="37" t="s">
        <v>640</v>
      </c>
      <c r="M145" s="71">
        <f t="shared" si="11"/>
        <v>80</v>
      </c>
      <c r="N145" s="71">
        <f t="shared" si="7"/>
        <v>4</v>
      </c>
      <c r="O145" s="71">
        <f t="shared" si="10"/>
        <v>1</v>
      </c>
      <c r="P145" s="71">
        <f t="shared" si="8"/>
        <v>10</v>
      </c>
      <c r="Q145" s="71">
        <f t="shared" si="12"/>
        <v>40</v>
      </c>
    </row>
    <row r="146" spans="1:17" ht="32.4">
      <c r="A146" s="69" t="s">
        <v>463</v>
      </c>
      <c r="B146" s="43" t="s">
        <v>514</v>
      </c>
      <c r="C146" s="27" t="s">
        <v>475</v>
      </c>
      <c r="D146" s="27" t="s">
        <v>305</v>
      </c>
      <c r="E146" s="68" t="s">
        <v>322</v>
      </c>
      <c r="F146" s="32">
        <v>4</v>
      </c>
      <c r="G146" s="37" t="s">
        <v>625</v>
      </c>
      <c r="H146" s="32">
        <v>2</v>
      </c>
      <c r="I146" s="26" t="s">
        <v>671</v>
      </c>
      <c r="J146" s="77" t="s">
        <v>659</v>
      </c>
      <c r="K146" s="32">
        <v>3</v>
      </c>
      <c r="L146" s="37" t="s">
        <v>640</v>
      </c>
      <c r="M146" s="71">
        <f t="shared" si="11"/>
        <v>24</v>
      </c>
      <c r="N146" s="71">
        <f t="shared" ref="N146:N150" si="13">IF(F146="","",F146)</f>
        <v>4</v>
      </c>
      <c r="O146" s="71">
        <f t="shared" si="10"/>
        <v>1</v>
      </c>
      <c r="P146" s="71">
        <f t="shared" ref="P146:P149" si="14">IF(K146="","",K146)</f>
        <v>3</v>
      </c>
      <c r="Q146" s="71">
        <f t="shared" si="12"/>
        <v>12</v>
      </c>
    </row>
    <row r="147" spans="1:17" ht="32.4">
      <c r="A147" s="69" t="s">
        <v>464</v>
      </c>
      <c r="B147" s="43" t="s">
        <v>513</v>
      </c>
      <c r="C147" s="27" t="s">
        <v>588</v>
      </c>
      <c r="D147" s="27" t="s">
        <v>319</v>
      </c>
      <c r="E147" s="68" t="s">
        <v>587</v>
      </c>
      <c r="F147" s="32">
        <v>4</v>
      </c>
      <c r="G147" s="37" t="s">
        <v>635</v>
      </c>
      <c r="H147" s="32">
        <v>4</v>
      </c>
      <c r="I147" s="26" t="s">
        <v>671</v>
      </c>
      <c r="J147" s="77" t="s">
        <v>669</v>
      </c>
      <c r="K147" s="32">
        <v>10</v>
      </c>
      <c r="L147" s="37" t="s">
        <v>640</v>
      </c>
      <c r="M147" s="71">
        <f t="shared" si="11"/>
        <v>160</v>
      </c>
      <c r="N147" s="71">
        <f t="shared" si="13"/>
        <v>4</v>
      </c>
      <c r="O147" s="71">
        <v>2</v>
      </c>
      <c r="P147" s="71">
        <v>7</v>
      </c>
      <c r="Q147" s="71">
        <f t="shared" si="12"/>
        <v>56</v>
      </c>
    </row>
    <row r="148" spans="1:17" ht="32.4">
      <c r="A148" s="69" t="s">
        <v>465</v>
      </c>
      <c r="B148" s="43" t="s">
        <v>512</v>
      </c>
      <c r="C148" s="68" t="s">
        <v>482</v>
      </c>
      <c r="D148" s="27" t="s">
        <v>310</v>
      </c>
      <c r="E148" s="68" t="s">
        <v>323</v>
      </c>
      <c r="F148" s="32">
        <v>8</v>
      </c>
      <c r="G148" s="37" t="s">
        <v>628</v>
      </c>
      <c r="H148" s="32">
        <v>3</v>
      </c>
      <c r="I148" s="26" t="s">
        <v>655</v>
      </c>
      <c r="J148" s="77" t="s">
        <v>669</v>
      </c>
      <c r="K148" s="32">
        <v>10</v>
      </c>
      <c r="L148" s="37" t="s">
        <v>641</v>
      </c>
      <c r="M148" s="71">
        <f t="shared" si="11"/>
        <v>240</v>
      </c>
      <c r="N148" s="71">
        <f t="shared" si="13"/>
        <v>8</v>
      </c>
      <c r="O148" s="71">
        <v>1</v>
      </c>
      <c r="P148" s="71">
        <v>5</v>
      </c>
      <c r="Q148" s="71">
        <f t="shared" si="12"/>
        <v>40</v>
      </c>
    </row>
    <row r="149" spans="1:17" ht="32.4">
      <c r="A149" s="69" t="s">
        <v>466</v>
      </c>
      <c r="B149" s="43" t="s">
        <v>511</v>
      </c>
      <c r="C149" s="27" t="s">
        <v>507</v>
      </c>
      <c r="D149" s="27" t="s">
        <v>303</v>
      </c>
      <c r="E149" s="68" t="s">
        <v>508</v>
      </c>
      <c r="F149" s="32">
        <v>7</v>
      </c>
      <c r="G149" s="37" t="s">
        <v>631</v>
      </c>
      <c r="H149" s="32">
        <v>4</v>
      </c>
      <c r="I149" s="26" t="s">
        <v>655</v>
      </c>
      <c r="J149" s="77" t="s">
        <v>659</v>
      </c>
      <c r="K149" s="32">
        <v>5</v>
      </c>
      <c r="L149" s="37" t="s">
        <v>640</v>
      </c>
      <c r="M149" s="71">
        <f t="shared" si="11"/>
        <v>140</v>
      </c>
      <c r="N149" s="71">
        <f t="shared" si="13"/>
        <v>7</v>
      </c>
      <c r="O149" s="71">
        <v>2</v>
      </c>
      <c r="P149" s="71">
        <f t="shared" si="14"/>
        <v>5</v>
      </c>
      <c r="Q149" s="71">
        <f t="shared" si="12"/>
        <v>70</v>
      </c>
    </row>
    <row r="150" spans="1:17" ht="32.4">
      <c r="A150" s="69" t="s">
        <v>467</v>
      </c>
      <c r="B150" s="43" t="s">
        <v>510</v>
      </c>
      <c r="C150" s="27" t="s">
        <v>597</v>
      </c>
      <c r="D150" s="27" t="s">
        <v>305</v>
      </c>
      <c r="E150" s="68" t="s">
        <v>322</v>
      </c>
      <c r="F150" s="32">
        <v>4</v>
      </c>
      <c r="G150" s="37" t="s">
        <v>635</v>
      </c>
      <c r="H150" s="32">
        <v>4</v>
      </c>
      <c r="I150" s="26" t="s">
        <v>671</v>
      </c>
      <c r="J150" s="77" t="s">
        <v>667</v>
      </c>
      <c r="K150" s="32">
        <v>10</v>
      </c>
      <c r="L150" s="37" t="s">
        <v>641</v>
      </c>
      <c r="M150" s="71">
        <f t="shared" si="11"/>
        <v>160</v>
      </c>
      <c r="N150" s="71">
        <f t="shared" si="13"/>
        <v>4</v>
      </c>
      <c r="O150" s="71">
        <v>2</v>
      </c>
      <c r="P150" s="71">
        <v>7</v>
      </c>
      <c r="Q150" s="71">
        <f t="shared" si="12"/>
        <v>56</v>
      </c>
    </row>
    <row r="151" spans="1:17">
      <c r="B151" s="43"/>
    </row>
    <row r="152" spans="1:17">
      <c r="B152" s="43"/>
    </row>
    <row r="153" spans="1:17">
      <c r="B153" s="43"/>
    </row>
    <row r="154" spans="1:17">
      <c r="B154" s="43"/>
    </row>
    <row r="155" spans="1:17">
      <c r="B155" s="43"/>
    </row>
    <row r="156" spans="1:17">
      <c r="B156" s="43"/>
    </row>
    <row r="157" spans="1:17">
      <c r="B157" s="43"/>
    </row>
    <row r="158" spans="1:17">
      <c r="B158" s="43"/>
    </row>
    <row r="159" spans="1:17">
      <c r="B159" s="43"/>
    </row>
    <row r="160" spans="1:17">
      <c r="B160" s="43"/>
    </row>
    <row r="161" spans="2:2">
      <c r="B161" s="43"/>
    </row>
    <row r="162" spans="2:2">
      <c r="B162" s="43"/>
    </row>
    <row r="163" spans="2:2">
      <c r="B163" s="43"/>
    </row>
    <row r="164" spans="2:2">
      <c r="B164" s="43"/>
    </row>
    <row r="165" spans="2:2">
      <c r="B165" s="43"/>
    </row>
    <row r="166" spans="2:2">
      <c r="B166" s="43"/>
    </row>
    <row r="167" spans="2:2">
      <c r="B167" s="43"/>
    </row>
    <row r="168" spans="2:2">
      <c r="B168" s="43"/>
    </row>
    <row r="169" spans="2:2">
      <c r="B169" s="43"/>
    </row>
    <row r="170" spans="2:2">
      <c r="B170" s="43"/>
    </row>
    <row r="171" spans="2:2">
      <c r="B171" s="43"/>
    </row>
    <row r="172" spans="2:2">
      <c r="B172" s="43"/>
    </row>
    <row r="173" spans="2:2">
      <c r="B173" s="43"/>
    </row>
    <row r="174" spans="2:2">
      <c r="B174" s="43"/>
    </row>
    <row r="175" spans="2:2">
      <c r="B175" s="43"/>
    </row>
    <row r="176" spans="2:2">
      <c r="B176" s="43"/>
    </row>
    <row r="177" spans="2:2">
      <c r="B177" s="43"/>
    </row>
    <row r="178" spans="2:2">
      <c r="B178" s="43"/>
    </row>
    <row r="179" spans="2:2">
      <c r="B179" s="43"/>
    </row>
    <row r="180" spans="2:2">
      <c r="B180" s="43"/>
    </row>
    <row r="181" spans="2:2">
      <c r="B181" s="43"/>
    </row>
    <row r="182" spans="2:2">
      <c r="B182" s="43"/>
    </row>
    <row r="183" spans="2:2">
      <c r="B183" s="43"/>
    </row>
    <row r="184" spans="2:2">
      <c r="B184" s="43"/>
    </row>
    <row r="185" spans="2:2">
      <c r="B185" s="43"/>
    </row>
    <row r="186" spans="2:2">
      <c r="B186" s="43"/>
    </row>
    <row r="187" spans="2:2">
      <c r="B187" s="43"/>
    </row>
    <row r="188" spans="2:2">
      <c r="B188" s="43"/>
    </row>
    <row r="189" spans="2:2">
      <c r="B189" s="43"/>
    </row>
    <row r="190" spans="2:2">
      <c r="B190" s="43"/>
    </row>
    <row r="191" spans="2:2">
      <c r="B191" s="43"/>
    </row>
    <row r="192" spans="2:2">
      <c r="B192" s="43"/>
    </row>
    <row r="193" spans="2:2">
      <c r="B193" s="43"/>
    </row>
    <row r="194" spans="2:2">
      <c r="B194" s="43"/>
    </row>
    <row r="195" spans="2:2">
      <c r="B195" s="43"/>
    </row>
    <row r="196" spans="2:2">
      <c r="B196" s="43"/>
    </row>
    <row r="197" spans="2:2">
      <c r="B197" s="43"/>
    </row>
    <row r="198" spans="2:2">
      <c r="B198" s="43"/>
    </row>
    <row r="199" spans="2:2">
      <c r="B199" s="43"/>
    </row>
    <row r="200" spans="2:2">
      <c r="B200" s="43"/>
    </row>
    <row r="201" spans="2:2">
      <c r="B201" s="43"/>
    </row>
    <row r="202" spans="2:2">
      <c r="B202" s="43"/>
    </row>
    <row r="203" spans="2:2">
      <c r="B203" s="43"/>
    </row>
    <row r="204" spans="2:2">
      <c r="B204" s="43"/>
    </row>
    <row r="205" spans="2:2">
      <c r="B205" s="43"/>
    </row>
    <row r="206" spans="2:2">
      <c r="B206" s="43"/>
    </row>
    <row r="207" spans="2:2">
      <c r="B207" s="43"/>
    </row>
    <row r="208" spans="2:2">
      <c r="B208" s="43"/>
    </row>
    <row r="209" spans="2:2">
      <c r="B209" s="43"/>
    </row>
    <row r="210" spans="2:2">
      <c r="B210" s="43"/>
    </row>
    <row r="211" spans="2:2">
      <c r="B211" s="43"/>
    </row>
    <row r="212" spans="2:2">
      <c r="B212" s="43"/>
    </row>
    <row r="213" spans="2:2">
      <c r="B213" s="43"/>
    </row>
    <row r="214" spans="2:2">
      <c r="B214" s="43"/>
    </row>
    <row r="215" spans="2:2">
      <c r="B215" s="43"/>
    </row>
    <row r="216" spans="2:2">
      <c r="B216" s="43"/>
    </row>
    <row r="217" spans="2:2">
      <c r="B217" s="43"/>
    </row>
    <row r="218" spans="2:2">
      <c r="B218" s="43"/>
    </row>
    <row r="219" spans="2:2">
      <c r="B219" s="43"/>
    </row>
    <row r="220" spans="2:2">
      <c r="B220" s="43"/>
    </row>
    <row r="221" spans="2:2">
      <c r="B221" s="43"/>
    </row>
    <row r="222" spans="2:2">
      <c r="B222" s="43"/>
    </row>
    <row r="223" spans="2:2">
      <c r="B223" s="43"/>
    </row>
    <row r="224" spans="2:2">
      <c r="B224" s="43"/>
    </row>
    <row r="225" spans="2:2">
      <c r="B225" s="43"/>
    </row>
    <row r="226" spans="2:2">
      <c r="B226" s="43"/>
    </row>
    <row r="227" spans="2:2">
      <c r="B227" s="43"/>
    </row>
    <row r="228" spans="2:2">
      <c r="B228" s="43"/>
    </row>
    <row r="229" spans="2:2">
      <c r="B229" s="43"/>
    </row>
    <row r="230" spans="2:2">
      <c r="B230" s="43"/>
    </row>
    <row r="231" spans="2:2">
      <c r="B231" s="43"/>
    </row>
    <row r="232" spans="2:2">
      <c r="B232" s="43"/>
    </row>
    <row r="233" spans="2:2">
      <c r="B233" s="43"/>
    </row>
    <row r="234" spans="2:2">
      <c r="B234" s="43"/>
    </row>
    <row r="235" spans="2:2">
      <c r="B235" s="43"/>
    </row>
    <row r="236" spans="2:2">
      <c r="B236" s="43"/>
    </row>
    <row r="237" spans="2:2">
      <c r="B237" s="43"/>
    </row>
    <row r="238" spans="2:2">
      <c r="B238" s="43"/>
    </row>
    <row r="239" spans="2:2">
      <c r="B239" s="43"/>
    </row>
    <row r="240" spans="2:2">
      <c r="B240" s="43"/>
    </row>
    <row r="241" spans="2:2">
      <c r="B241" s="43"/>
    </row>
    <row r="242" spans="2:2">
      <c r="B242" s="43"/>
    </row>
  </sheetData>
  <autoFilter ref="A1:Q1" xr:uid="{00000000-0001-0000-0200-000000000000}"/>
  <phoneticPr fontId="12" type="noConversion"/>
  <dataValidations count="2">
    <dataValidation type="list" allowBlank="1" showInputMessage="1" showErrorMessage="1" sqref="I2:I150" xr:uid="{00000000-0002-0000-0200-000000000000}">
      <formula1>控制預防</formula1>
    </dataValidation>
    <dataValidation type="list" allowBlank="1" showInputMessage="1" showErrorMessage="1" sqref="J2:J150" xr:uid="{00000000-0002-0000-0200-000001000000}">
      <formula1>控制偵測</formula1>
    </dataValidation>
  </dataValidations>
  <pageMargins left="0.7" right="0.7" top="0.75" bottom="0.75" header="0.3" footer="0.3"/>
  <pageSetup paperSize="9" orientation="portrait" horizontalDpi="180" verticalDpi="18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>
    <pageSetUpPr fitToPage="1"/>
  </sheetPr>
  <dimension ref="A1:E11"/>
  <sheetViews>
    <sheetView workbookViewId="0">
      <pane ySplit="1" topLeftCell="A2" activePane="bottomLeft" state="frozen"/>
      <selection pane="bottomLeft" activeCell="A2" sqref="A2:E11"/>
    </sheetView>
  </sheetViews>
  <sheetFormatPr defaultColWidth="9" defaultRowHeight="16.2"/>
  <cols>
    <col min="1" max="1" width="5.44140625" style="37" bestFit="1" customWidth="1"/>
    <col min="2" max="2" width="17.21875" style="37" bestFit="1" customWidth="1"/>
    <col min="3" max="3" width="47.21875" style="37" customWidth="1"/>
    <col min="4" max="4" width="11.6640625" style="37" bestFit="1" customWidth="1"/>
    <col min="5" max="5" width="48" style="37" customWidth="1"/>
    <col min="6" max="16384" width="9" style="37"/>
  </cols>
  <sheetData>
    <row r="1" spans="1:5">
      <c r="A1" s="28" t="s">
        <v>229</v>
      </c>
      <c r="B1" s="28" t="s">
        <v>228</v>
      </c>
      <c r="C1" s="28" t="s">
        <v>251</v>
      </c>
      <c r="D1" s="28" t="s">
        <v>228</v>
      </c>
      <c r="E1" s="28" t="s">
        <v>250</v>
      </c>
    </row>
    <row r="2" spans="1:5" ht="64.8">
      <c r="A2" s="116">
        <v>10</v>
      </c>
      <c r="B2" s="116" t="s">
        <v>49</v>
      </c>
      <c r="C2" s="116" t="s">
        <v>253</v>
      </c>
      <c r="D2" s="116" t="s">
        <v>49</v>
      </c>
      <c r="E2" s="116" t="s">
        <v>252</v>
      </c>
    </row>
    <row r="3" spans="1:5" ht="64.8">
      <c r="A3" s="116">
        <v>9</v>
      </c>
      <c r="B3" s="116" t="s">
        <v>49</v>
      </c>
      <c r="C3" s="116" t="s">
        <v>255</v>
      </c>
      <c r="D3" s="116" t="s">
        <v>49</v>
      </c>
      <c r="E3" s="116" t="s">
        <v>254</v>
      </c>
    </row>
    <row r="4" spans="1:5">
      <c r="A4" s="116">
        <v>8</v>
      </c>
      <c r="B4" s="116" t="s">
        <v>48</v>
      </c>
      <c r="C4" s="116" t="s">
        <v>237</v>
      </c>
      <c r="D4" s="116" t="s">
        <v>230</v>
      </c>
      <c r="E4" s="116" t="s">
        <v>232</v>
      </c>
    </row>
    <row r="5" spans="1:5" ht="32.4">
      <c r="A5" s="116">
        <v>7</v>
      </c>
      <c r="B5" s="116" t="s">
        <v>47</v>
      </c>
      <c r="C5" s="116" t="s">
        <v>239</v>
      </c>
      <c r="D5" s="116" t="s">
        <v>231</v>
      </c>
      <c r="E5" s="116" t="s">
        <v>238</v>
      </c>
    </row>
    <row r="6" spans="1:5" ht="32.4">
      <c r="A6" s="116">
        <v>6</v>
      </c>
      <c r="B6" s="116" t="s">
        <v>45</v>
      </c>
      <c r="C6" s="116" t="s">
        <v>241</v>
      </c>
      <c r="D6" s="116" t="s">
        <v>233</v>
      </c>
      <c r="E6" s="116" t="s">
        <v>240</v>
      </c>
    </row>
    <row r="7" spans="1:5" ht="32.4">
      <c r="A7" s="116">
        <v>5</v>
      </c>
      <c r="B7" s="116" t="s">
        <v>45</v>
      </c>
      <c r="C7" s="116" t="s">
        <v>243</v>
      </c>
      <c r="D7" s="116" t="s">
        <v>234</v>
      </c>
      <c r="E7" s="116" t="s">
        <v>242</v>
      </c>
    </row>
    <row r="8" spans="1:5" ht="32.4">
      <c r="A8" s="116">
        <v>4</v>
      </c>
      <c r="B8" s="116" t="s">
        <v>45</v>
      </c>
      <c r="C8" s="116" t="s">
        <v>245</v>
      </c>
      <c r="D8" s="116" t="s">
        <v>235</v>
      </c>
      <c r="E8" s="116" t="s">
        <v>244</v>
      </c>
    </row>
    <row r="9" spans="1:5" ht="32.4">
      <c r="A9" s="116">
        <v>3</v>
      </c>
      <c r="B9" s="116" t="s">
        <v>45</v>
      </c>
      <c r="C9" s="116" t="s">
        <v>247</v>
      </c>
      <c r="D9" s="116" t="s">
        <v>235</v>
      </c>
      <c r="E9" s="116" t="s">
        <v>246</v>
      </c>
    </row>
    <row r="10" spans="1:5" ht="32.4">
      <c r="A10" s="116">
        <v>2</v>
      </c>
      <c r="B10" s="116" t="s">
        <v>44</v>
      </c>
      <c r="C10" s="116" t="s">
        <v>249</v>
      </c>
      <c r="D10" s="116" t="s">
        <v>235</v>
      </c>
      <c r="E10" s="116" t="s">
        <v>248</v>
      </c>
    </row>
    <row r="11" spans="1:5">
      <c r="A11" s="116">
        <v>1</v>
      </c>
      <c r="B11" s="116" t="s">
        <v>42</v>
      </c>
      <c r="C11" s="116" t="s">
        <v>236</v>
      </c>
      <c r="D11" s="116" t="s">
        <v>42</v>
      </c>
      <c r="E11" s="116" t="s">
        <v>236</v>
      </c>
    </row>
  </sheetData>
  <phoneticPr fontId="12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C12"/>
  <sheetViews>
    <sheetView workbookViewId="0">
      <selection sqref="A1:C11"/>
    </sheetView>
  </sheetViews>
  <sheetFormatPr defaultRowHeight="16.2"/>
  <cols>
    <col min="2" max="2" width="33.21875" customWidth="1"/>
  </cols>
  <sheetData>
    <row r="1" spans="1:3" ht="33.6" thickTop="1" thickBot="1">
      <c r="A1" s="53" t="s">
        <v>229</v>
      </c>
      <c r="B1" s="52" t="s">
        <v>257</v>
      </c>
      <c r="C1" s="51" t="s">
        <v>256</v>
      </c>
    </row>
    <row r="2" spans="1:3" ht="16.8" thickBot="1">
      <c r="A2" s="56">
        <v>10</v>
      </c>
      <c r="B2" s="55" t="s">
        <v>259</v>
      </c>
      <c r="C2" s="54" t="s">
        <v>258</v>
      </c>
    </row>
    <row r="3" spans="1:3" ht="16.8" thickBot="1">
      <c r="A3" s="56">
        <v>9</v>
      </c>
      <c r="B3" s="57" t="s">
        <v>261</v>
      </c>
      <c r="C3" s="61" t="s">
        <v>260</v>
      </c>
    </row>
    <row r="4" spans="1:3" ht="16.8" thickBot="1">
      <c r="A4" s="56">
        <v>8</v>
      </c>
      <c r="B4" s="57" t="s">
        <v>262</v>
      </c>
      <c r="C4" s="61" t="s">
        <v>260</v>
      </c>
    </row>
    <row r="5" spans="1:3" ht="16.8" thickBot="1">
      <c r="A5" s="56">
        <v>7</v>
      </c>
      <c r="B5" s="57" t="s">
        <v>263</v>
      </c>
      <c r="C5" s="61" t="s">
        <v>260</v>
      </c>
    </row>
    <row r="6" spans="1:3" ht="16.8" thickBot="1">
      <c r="A6" s="56">
        <v>6</v>
      </c>
      <c r="B6" s="57" t="s">
        <v>265</v>
      </c>
      <c r="C6" s="61" t="s">
        <v>264</v>
      </c>
    </row>
    <row r="7" spans="1:3" ht="16.8" thickBot="1">
      <c r="A7" s="56">
        <v>5</v>
      </c>
      <c r="B7" s="57" t="s">
        <v>266</v>
      </c>
      <c r="C7" s="61" t="s">
        <v>264</v>
      </c>
    </row>
    <row r="8" spans="1:3" ht="16.8" thickBot="1">
      <c r="A8" s="56">
        <v>4</v>
      </c>
      <c r="B8" s="57" t="s">
        <v>267</v>
      </c>
      <c r="C8" s="61" t="s">
        <v>264</v>
      </c>
    </row>
    <row r="9" spans="1:3" ht="16.8" thickBot="1">
      <c r="A9" s="56">
        <v>3</v>
      </c>
      <c r="B9" s="57" t="s">
        <v>269</v>
      </c>
      <c r="C9" s="61" t="s">
        <v>268</v>
      </c>
    </row>
    <row r="10" spans="1:3" ht="16.8" thickBot="1">
      <c r="A10" s="56">
        <v>2</v>
      </c>
      <c r="B10" s="55" t="s">
        <v>270</v>
      </c>
      <c r="C10" s="61" t="s">
        <v>268</v>
      </c>
    </row>
    <row r="11" spans="1:3" ht="16.8" thickBot="1">
      <c r="A11" s="60">
        <v>1</v>
      </c>
      <c r="B11" s="59" t="s">
        <v>272</v>
      </c>
      <c r="C11" s="58" t="s">
        <v>271</v>
      </c>
    </row>
    <row r="12" spans="1:3" ht="16.8" thickTop="1"/>
  </sheetData>
  <phoneticPr fontId="1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>
    <pageSetUpPr fitToPage="1"/>
  </sheetPr>
  <dimension ref="A1:D11"/>
  <sheetViews>
    <sheetView workbookViewId="0">
      <pane ySplit="1" topLeftCell="A2" activePane="bottomLeft" state="frozen"/>
      <selection pane="bottomLeft" activeCell="B21" sqref="B21"/>
    </sheetView>
  </sheetViews>
  <sheetFormatPr defaultRowHeight="16.2"/>
  <cols>
    <col min="1" max="1" width="21.77734375" customWidth="1"/>
    <col min="2" max="2" width="51.109375" customWidth="1"/>
    <col min="3" max="3" width="5.44140625" bestFit="1" customWidth="1"/>
    <col min="4" max="4" width="20.77734375" customWidth="1"/>
  </cols>
  <sheetData>
    <row r="1" spans="1:4">
      <c r="A1" s="62" t="s">
        <v>273</v>
      </c>
      <c r="B1" s="62" t="s">
        <v>274</v>
      </c>
      <c r="C1" s="62" t="s">
        <v>229</v>
      </c>
      <c r="D1" s="62" t="s">
        <v>275</v>
      </c>
    </row>
    <row r="2" spans="1:4">
      <c r="A2" s="62" t="s">
        <v>276</v>
      </c>
      <c r="B2" s="63" t="s">
        <v>277</v>
      </c>
      <c r="C2" s="64">
        <v>10</v>
      </c>
      <c r="D2" s="62" t="s">
        <v>278</v>
      </c>
    </row>
    <row r="3" spans="1:4">
      <c r="A3" s="62" t="s">
        <v>293</v>
      </c>
      <c r="B3" s="63" t="s">
        <v>279</v>
      </c>
      <c r="C3" s="64">
        <v>9</v>
      </c>
      <c r="D3" s="62" t="s">
        <v>280</v>
      </c>
    </row>
    <row r="4" spans="1:4" ht="32.4">
      <c r="A4" s="62" t="s">
        <v>294</v>
      </c>
      <c r="B4" s="63" t="s">
        <v>281</v>
      </c>
      <c r="C4" s="64">
        <v>8</v>
      </c>
      <c r="D4" s="62" t="s">
        <v>280</v>
      </c>
    </row>
    <row r="5" spans="1:4" ht="48.6">
      <c r="A5" s="62" t="s">
        <v>282</v>
      </c>
      <c r="B5" s="63" t="s">
        <v>283</v>
      </c>
      <c r="C5" s="64">
        <v>7</v>
      </c>
      <c r="D5" s="62" t="s">
        <v>284</v>
      </c>
    </row>
    <row r="6" spans="1:4" ht="32.4">
      <c r="A6" s="62" t="s">
        <v>295</v>
      </c>
      <c r="B6" s="63" t="s">
        <v>285</v>
      </c>
      <c r="C6" s="64">
        <v>6</v>
      </c>
      <c r="D6" s="62" t="s">
        <v>268</v>
      </c>
    </row>
    <row r="7" spans="1:4" ht="48.6">
      <c r="A7" s="62" t="s">
        <v>282</v>
      </c>
      <c r="B7" s="63" t="s">
        <v>286</v>
      </c>
      <c r="C7" s="64">
        <v>5</v>
      </c>
      <c r="D7" s="62" t="s">
        <v>264</v>
      </c>
    </row>
    <row r="8" spans="1:4" ht="32.4">
      <c r="A8" s="62" t="s">
        <v>295</v>
      </c>
      <c r="B8" s="63" t="s">
        <v>287</v>
      </c>
      <c r="C8" s="64">
        <v>4</v>
      </c>
      <c r="D8" s="62" t="s">
        <v>288</v>
      </c>
    </row>
    <row r="9" spans="1:4" ht="48.6">
      <c r="A9" s="62" t="s">
        <v>282</v>
      </c>
      <c r="B9" s="63" t="s">
        <v>289</v>
      </c>
      <c r="C9" s="64">
        <v>3</v>
      </c>
      <c r="D9" s="62" t="s">
        <v>260</v>
      </c>
    </row>
    <row r="10" spans="1:4" ht="32.4">
      <c r="A10" s="62" t="s">
        <v>296</v>
      </c>
      <c r="B10" s="63" t="s">
        <v>290</v>
      </c>
      <c r="C10" s="64">
        <v>2</v>
      </c>
      <c r="D10" s="62" t="s">
        <v>291</v>
      </c>
    </row>
    <row r="11" spans="1:4" ht="48.6">
      <c r="A11" s="62" t="s">
        <v>297</v>
      </c>
      <c r="B11" s="63" t="s">
        <v>298</v>
      </c>
      <c r="C11" s="64">
        <v>1</v>
      </c>
      <c r="D11" s="62" t="s">
        <v>292</v>
      </c>
    </row>
  </sheetData>
  <phoneticPr fontId="12" type="noConversion"/>
  <pageMargins left="0.7" right="0.7" top="0.75" bottom="0.75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B7"/>
  <sheetViews>
    <sheetView workbookViewId="0">
      <selection activeCell="B12" sqref="B12"/>
    </sheetView>
  </sheetViews>
  <sheetFormatPr defaultColWidth="9" defaultRowHeight="16.2"/>
  <cols>
    <col min="1" max="1" width="15.109375" style="73" bestFit="1" customWidth="1"/>
    <col min="2" max="2" width="87.6640625" style="72" bestFit="1" customWidth="1"/>
    <col min="3" max="16384" width="9" style="72"/>
  </cols>
  <sheetData>
    <row r="1" spans="1:2">
      <c r="A1" s="74" t="s">
        <v>642</v>
      </c>
      <c r="B1" s="75" t="s">
        <v>651</v>
      </c>
    </row>
    <row r="2" spans="1:2">
      <c r="A2" s="74" t="s">
        <v>643</v>
      </c>
      <c r="B2" s="75" t="s">
        <v>647</v>
      </c>
    </row>
    <row r="3" spans="1:2">
      <c r="A3" s="74" t="s">
        <v>644</v>
      </c>
      <c r="B3" s="75" t="s">
        <v>648</v>
      </c>
    </row>
    <row r="4" spans="1:2">
      <c r="A4" s="74" t="s">
        <v>645</v>
      </c>
      <c r="B4" s="75" t="s">
        <v>649</v>
      </c>
    </row>
    <row r="5" spans="1:2">
      <c r="A5" s="74" t="s">
        <v>646</v>
      </c>
      <c r="B5" s="75" t="s">
        <v>650</v>
      </c>
    </row>
    <row r="7" spans="1:2" ht="92.25" customHeight="1">
      <c r="A7" s="255" t="s">
        <v>652</v>
      </c>
      <c r="B7" s="255"/>
    </row>
  </sheetData>
  <mergeCells count="1">
    <mergeCell ref="A7:B7"/>
  </mergeCells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6</vt:i4>
      </vt:variant>
    </vt:vector>
  </HeadingPairs>
  <TitlesOfParts>
    <vt:vector size="15" baseType="lpstr">
      <vt:lpstr>PFMEA</vt:lpstr>
      <vt:lpstr>製作表單</vt:lpstr>
      <vt:lpstr>工作表1</vt:lpstr>
      <vt:lpstr>資料庫</vt:lpstr>
      <vt:lpstr>項目異常</vt:lpstr>
      <vt:lpstr>嚴重度 (S)</vt:lpstr>
      <vt:lpstr>發生率 (O)</vt:lpstr>
      <vt:lpstr>偵測度 (D)</vt:lpstr>
      <vt:lpstr>R.P.N值</vt:lpstr>
      <vt:lpstr>PFMEA!Print_Area</vt:lpstr>
      <vt:lpstr>文件日期基準</vt:lpstr>
      <vt:lpstr>要求基準</vt:lpstr>
      <vt:lpstr>控制偵測</vt:lpstr>
      <vt:lpstr>控制預防</vt:lpstr>
      <vt:lpstr>製程基準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2026-08-14T02:26:06Z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64c75d6c-e21a-42d1-a5b4-fb51768dc2f3</vt:lpwstr>
  </property>
</Properties>
</file>