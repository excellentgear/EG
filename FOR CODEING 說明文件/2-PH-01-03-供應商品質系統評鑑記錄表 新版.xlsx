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7F5D2AC0-0F61-408E-B192-B559D7DF02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空白" sheetId="1" r:id="rId1"/>
    <sheet name="列印用" sheetId="2" r:id="rId2"/>
  </sheets>
  <definedNames>
    <definedName name="bookmark1" localSheetId="1">列印用!$A$1</definedName>
    <definedName name="bookmark1" localSheetId="0">空白!$A$1</definedName>
    <definedName name="bookmark2" localSheetId="1">列印用!#REF!</definedName>
    <definedName name="bookmark2" localSheetId="0">空白!#REF!</definedName>
    <definedName name="_xlnm.Print_Area" localSheetId="1">列印用!$A$1:$P$29</definedName>
    <definedName name="_xlnm.Print_Area" localSheetId="0">空白!$A$1:$P$29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D17" i="2"/>
  <c r="C17" i="2"/>
  <c r="B17" i="2"/>
  <c r="F16" i="2"/>
  <c r="D16" i="2"/>
  <c r="G16" i="2" s="1"/>
  <c r="F15" i="2"/>
  <c r="D15" i="2"/>
  <c r="G15" i="2" s="1"/>
  <c r="F14" i="2"/>
  <c r="D14" i="2"/>
  <c r="G14" i="2" s="1"/>
  <c r="F13" i="2"/>
  <c r="D13" i="2"/>
  <c r="G13" i="2" s="1"/>
  <c r="F12" i="2"/>
  <c r="F17" i="2" s="1"/>
  <c r="D12" i="2"/>
  <c r="G12" i="2" s="1"/>
  <c r="G17" i="2" s="1"/>
  <c r="B17" i="1"/>
  <c r="F12" i="1" l="1"/>
  <c r="F16" i="1"/>
  <c r="F15" i="1"/>
  <c r="F14" i="1"/>
  <c r="F13" i="1"/>
  <c r="D13" i="1"/>
  <c r="D14" i="1"/>
  <c r="D15" i="1"/>
  <c r="D16" i="1"/>
  <c r="D12" i="1"/>
  <c r="E17" i="1"/>
  <c r="C17" i="1"/>
  <c r="G15" i="1" l="1"/>
  <c r="G14" i="1"/>
  <c r="G12" i="1"/>
  <c r="D17" i="1"/>
  <c r="G13" i="1"/>
  <c r="G16" i="1"/>
  <c r="F17" i="1"/>
  <c r="G17" i="1" l="1"/>
</calcChain>
</file>

<file path=xl/sharedStrings.xml><?xml version="1.0" encoding="utf-8"?>
<sst xmlns="http://schemas.openxmlformats.org/spreadsheetml/2006/main" count="88" uniqueCount="39">
  <si>
    <t>超正齒輪科技有限公司</t>
  </si>
  <si>
    <t>供應商名稱</t>
  </si>
  <si>
    <t>稽核日期</t>
  </si>
  <si>
    <t>稽核狀況</t>
  </si>
  <si>
    <t>評鑑結果</t>
  </si>
  <si>
    <t>單項最高分</t>
  </si>
  <si>
    <t>自我評鑑</t>
  </si>
  <si>
    <t>稽核評鑑</t>
  </si>
  <si>
    <t>評分</t>
  </si>
  <si>
    <t>合格率</t>
  </si>
  <si>
    <t>總成績</t>
  </si>
  <si>
    <t>核准條件</t>
  </si>
  <si>
    <t>建議評鑑結果</t>
  </si>
  <si>
    <t>稽核員</t>
  </si>
  <si>
    <t>供應商代表</t>
  </si>
  <si>
    <t>主要加工項目</t>
    <phoneticPr fontId="2" type="noConversion"/>
  </si>
  <si>
    <t>綜合評鑑</t>
  </si>
  <si>
    <t>供應商品質系統評鑑記錄表</t>
    <phoneticPr fontId="2" type="noConversion"/>
  </si>
  <si>
    <t>2-PH-01-03</t>
    <phoneticPr fontId="2" type="noConversion"/>
  </si>
  <si>
    <t>姓名</t>
    <phoneticPr fontId="2" type="noConversion"/>
  </si>
  <si>
    <t>資材課長：</t>
    <phoneticPr fontId="2" type="noConversion"/>
  </si>
  <si>
    <t>總經理：</t>
    <phoneticPr fontId="2" type="noConversion"/>
  </si>
  <si>
    <t xml:space="preserve">      首次稽核</t>
    <phoneticPr fontId="2" type="noConversion"/>
  </si>
  <si>
    <t xml:space="preserve">      次稽核</t>
    <phoneticPr fontId="2" type="noConversion"/>
  </si>
  <si>
    <t xml:space="preserve">      自我評量</t>
    <phoneticPr fontId="2" type="noConversion"/>
  </si>
  <si>
    <t xml:space="preserve">      其他:</t>
    <phoneticPr fontId="2" type="noConversion"/>
  </si>
  <si>
    <t>A.管理</t>
    <phoneticPr fontId="2" type="noConversion"/>
  </si>
  <si>
    <t>B.品質</t>
    <phoneticPr fontId="2" type="noConversion"/>
  </si>
  <si>
    <t>C.交期</t>
    <phoneticPr fontId="2" type="noConversion"/>
  </si>
  <si>
    <t>D.出貨</t>
    <phoneticPr fontId="2" type="noConversion"/>
  </si>
  <si>
    <t>E.矯正及預防</t>
    <phoneticPr fontId="2" type="noConversion"/>
  </si>
  <si>
    <t>*综合評鑑合格率為：自我評鑑合格率x0.3+稽核評鑑合格率x0.7</t>
  </si>
  <si>
    <t>综合評鑑合格率之總成績75%，始可評定為合格供應商</t>
    <phoneticPr fontId="2" type="noConversion"/>
  </si>
  <si>
    <t xml:space="preserve">     於正式回覆稽核改善對策後，始可列入合格供應商</t>
    <phoneticPr fontId="2" type="noConversion"/>
  </si>
  <si>
    <t xml:space="preserve">     有嚴重缺失需改善，待解決缺失後，需重新稽核</t>
    <phoneticPr fontId="2" type="noConversion"/>
  </si>
  <si>
    <t xml:space="preserve">     其他：</t>
    <phoneticPr fontId="2" type="noConversion"/>
  </si>
  <si>
    <r>
      <t>部門/職稱</t>
    </r>
    <r>
      <rPr>
        <sz val="14"/>
        <color rgb="FF000000"/>
        <rFont val="Times New Roman"/>
        <family val="1"/>
      </rPr>
      <t/>
    </r>
    <phoneticPr fontId="2" type="noConversion"/>
  </si>
  <si>
    <t xml:space="preserve">生管/           </t>
    <phoneticPr fontId="2" type="noConversion"/>
  </si>
  <si>
    <t xml:space="preserve">生管 /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</si>
</sst>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.mm\.dd"/>
  </numFmts>
  <fonts count="11" x14ac:knownFonts="1">
    <font>
      <sz val="12"/>
      <color theme="1"/>
      <name val="新細明體"/>
      <family val="2"/>
      <scheme val="minor"/>
    </font>
    <font>
      <sz val="14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22"/>
      <color rgb="FF000000"/>
      <name val="Microsoft JhengHei UI"/>
      <family val="2"/>
      <charset val="136"/>
    </font>
    <font>
      <sz val="12"/>
      <color theme="1"/>
      <name val="Microsoft JhengHei UI"/>
      <family val="2"/>
    </font>
    <font>
      <sz val="20"/>
      <color rgb="FF000000"/>
      <name val="Microsoft JhengHei UI"/>
      <family val="2"/>
    </font>
    <font>
      <sz val="14"/>
      <color rgb="FF000000"/>
      <name val="Microsoft JhengHei UI"/>
      <family val="2"/>
    </font>
    <font>
      <sz val="12"/>
      <color rgb="FF000000"/>
      <name val="Microsoft JhengHei UI"/>
      <family val="2"/>
    </font>
    <font>
      <sz val="12"/>
      <name val="Microsoft JhengHei UI"/>
      <family val="2"/>
    </font>
    <font>
      <sz val="5"/>
      <name val="Microsoft JhengHei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0" xfId="0" applyFont="1"/>
    <xf numFmtId="0" fontId="7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9" fillId="2" borderId="8" xfId="1" applyFont="1" applyFill="1" applyBorder="1" applyAlignment="1">
      <alignment vertical="center" wrapText="1"/>
    </xf>
    <xf numFmtId="9" fontId="9" fillId="2" borderId="7" xfId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6" xfId="1" applyFont="1" applyFill="1" applyBorder="1" applyAlignment="1">
      <alignment horizontal="center" vertical="center" wrapText="1"/>
    </xf>
    <xf numFmtId="9" fontId="8" fillId="2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9" xfId="0" applyFont="1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/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5" fillId="0" borderId="3" xfId="0" applyFont="1" applyBorder="1"/>
    <xf numFmtId="0" fontId="5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" xfId="0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left" vertical="center" wrapText="1"/>
    </xf>
    <xf numFmtId="179" fontId="5" fillId="0" borderId="3" xfId="0" applyNumberFormat="1" applyFont="1" applyBorder="1" applyAlignment="1">
      <alignment horizontal="left"/>
    </xf>
    <xf numFmtId="179" fontId="5" fillId="0" borderId="2" xfId="0" applyNumberFormat="1" applyFont="1" applyBorder="1" applyAlignment="1">
      <alignment horizontal="left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空白!$A$12:$A$16</c:f>
              <c:strCache>
                <c:ptCount val="5"/>
                <c:pt idx="0">
                  <c:v>A.管理</c:v>
                </c:pt>
                <c:pt idx="1">
                  <c:v>B.品質</c:v>
                </c:pt>
                <c:pt idx="2">
                  <c:v>C.交期</c:v>
                </c:pt>
                <c:pt idx="3">
                  <c:v>D.出貨</c:v>
                </c:pt>
                <c:pt idx="4">
                  <c:v>E.矯正及預防</c:v>
                </c:pt>
              </c:strCache>
            </c:strRef>
          </c:cat>
          <c:val>
            <c:numRef>
              <c:f>空白!$G$12:$G$16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CAE-8C65-28A3A000F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5584"/>
        <c:axId val="48563904"/>
      </c:radarChart>
      <c:catAx>
        <c:axId val="7955558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8563904"/>
        <c:crosses val="autoZero"/>
        <c:auto val="1"/>
        <c:lblAlgn val="ctr"/>
        <c:lblOffset val="100"/>
        <c:noMultiLvlLbl val="0"/>
      </c:catAx>
      <c:valAx>
        <c:axId val="48563904"/>
        <c:scaling>
          <c:orientation val="minMax"/>
        </c:scaling>
        <c:delete val="0"/>
        <c:axPos val="l"/>
        <c:majorGridlines/>
        <c:numFmt formatCode="0%" sourceLinked="1"/>
        <c:majorTickMark val="cross"/>
        <c:minorTickMark val="none"/>
        <c:tickLblPos val="nextTo"/>
        <c:crossAx val="795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 horizontalDpi="180" verticalDpi="18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列印用!$A$12:$A$16</c:f>
              <c:strCache>
                <c:ptCount val="5"/>
                <c:pt idx="0">
                  <c:v>A.管理</c:v>
                </c:pt>
                <c:pt idx="1">
                  <c:v>B.品質</c:v>
                </c:pt>
                <c:pt idx="2">
                  <c:v>C.交期</c:v>
                </c:pt>
                <c:pt idx="3">
                  <c:v>D.出貨</c:v>
                </c:pt>
                <c:pt idx="4">
                  <c:v>E.矯正及預防</c:v>
                </c:pt>
              </c:strCache>
            </c:strRef>
          </c:cat>
          <c:val>
            <c:numRef>
              <c:f>列印用!$G$12:$G$16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E-4B4C-AF3E-63FE140A3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5584"/>
        <c:axId val="48563904"/>
      </c:radarChart>
      <c:catAx>
        <c:axId val="7955558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8563904"/>
        <c:crosses val="autoZero"/>
        <c:auto val="1"/>
        <c:lblAlgn val="ctr"/>
        <c:lblOffset val="100"/>
        <c:noMultiLvlLbl val="0"/>
      </c:catAx>
      <c:valAx>
        <c:axId val="48563904"/>
        <c:scaling>
          <c:orientation val="minMax"/>
        </c:scaling>
        <c:delete val="0"/>
        <c:axPos val="l"/>
        <c:majorGridlines/>
        <c:numFmt formatCode="0%" sourceLinked="1"/>
        <c:majorTickMark val="cross"/>
        <c:minorTickMark val="none"/>
        <c:tickLblPos val="nextTo"/>
        <c:crossAx val="795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 horizontalDpi="180" verticalDpi="180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12324</xdr:rowOff>
    </xdr:from>
    <xdr:to>
      <xdr:col>15</xdr:col>
      <xdr:colOff>627530</xdr:colOff>
      <xdr:row>23</xdr:row>
      <xdr:rowOff>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19</xdr:row>
          <xdr:rowOff>190500</xdr:rowOff>
        </xdr:from>
        <xdr:to>
          <xdr:col>7</xdr:col>
          <xdr:colOff>0</xdr:colOff>
          <xdr:row>20</xdr:row>
          <xdr:rowOff>196850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12700</xdr:rowOff>
        </xdr:from>
        <xdr:to>
          <xdr:col>6</xdr:col>
          <xdr:colOff>806450</xdr:colOff>
          <xdr:row>21</xdr:row>
          <xdr:rowOff>190500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196850</xdr:rowOff>
        </xdr:from>
        <xdr:to>
          <xdr:col>1</xdr:col>
          <xdr:colOff>711200</xdr:colOff>
          <xdr:row>23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3</xdr:row>
          <xdr:rowOff>222250</xdr:rowOff>
        </xdr:from>
        <xdr:to>
          <xdr:col>10</xdr:col>
          <xdr:colOff>215900</xdr:colOff>
          <xdr:row>5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5</xdr:row>
          <xdr:rowOff>0</xdr:rowOff>
        </xdr:from>
        <xdr:to>
          <xdr:col>10</xdr:col>
          <xdr:colOff>215900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5</xdr:row>
          <xdr:rowOff>196850</xdr:rowOff>
        </xdr:from>
        <xdr:to>
          <xdr:col>10</xdr:col>
          <xdr:colOff>215900</xdr:colOff>
          <xdr:row>7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6</xdr:row>
          <xdr:rowOff>190500</xdr:rowOff>
        </xdr:from>
        <xdr:to>
          <xdr:col>10</xdr:col>
          <xdr:colOff>215900</xdr:colOff>
          <xdr:row>7</xdr:row>
          <xdr:rowOff>196850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12324</xdr:rowOff>
    </xdr:from>
    <xdr:to>
      <xdr:col>15</xdr:col>
      <xdr:colOff>627530</xdr:colOff>
      <xdr:row>23</xdr:row>
      <xdr:rowOff>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A393654-093D-4141-B021-27C3BDD53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19</xdr:row>
          <xdr:rowOff>190500</xdr:rowOff>
        </xdr:from>
        <xdr:to>
          <xdr:col>7</xdr:col>
          <xdr:colOff>0</xdr:colOff>
          <xdr:row>20</xdr:row>
          <xdr:rowOff>196850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12700</xdr:rowOff>
        </xdr:from>
        <xdr:to>
          <xdr:col>6</xdr:col>
          <xdr:colOff>806450</xdr:colOff>
          <xdr:row>21</xdr:row>
          <xdr:rowOff>190500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196850</xdr:rowOff>
        </xdr:from>
        <xdr:to>
          <xdr:col>1</xdr:col>
          <xdr:colOff>711200</xdr:colOff>
          <xdr:row>23</xdr:row>
          <xdr:rowOff>12700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3</xdr:row>
          <xdr:rowOff>222250</xdr:rowOff>
        </xdr:from>
        <xdr:to>
          <xdr:col>10</xdr:col>
          <xdr:colOff>215900</xdr:colOff>
          <xdr:row>5</xdr:row>
          <xdr:rowOff>12700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5</xdr:row>
          <xdr:rowOff>0</xdr:rowOff>
        </xdr:from>
        <xdr:to>
          <xdr:col>10</xdr:col>
          <xdr:colOff>215900</xdr:colOff>
          <xdr:row>6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5</xdr:row>
          <xdr:rowOff>196850</xdr:rowOff>
        </xdr:from>
        <xdr:to>
          <xdr:col>10</xdr:col>
          <xdr:colOff>215900</xdr:colOff>
          <xdr:row>7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44450</xdr:colOff>
          <xdr:row>6</xdr:row>
          <xdr:rowOff>190500</xdr:rowOff>
        </xdr:from>
        <xdr:to>
          <xdr:col>10</xdr:col>
          <xdr:colOff>215900</xdr:colOff>
          <xdr:row>7</xdr:row>
          <xdr:rowOff>196850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zoomScaleNormal="100" zoomScaleSheetLayoutView="85" workbookViewId="0">
      <selection activeCell="E16" sqref="E16"/>
    </sheetView>
  </sheetViews>
  <sheetFormatPr defaultColWidth="8.90625" defaultRowHeight="15.5" x14ac:dyDescent="0.35"/>
  <cols>
    <col min="1" max="1" width="23.453125" style="1" customWidth="1"/>
    <col min="2" max="2" width="13.6328125" style="1" customWidth="1"/>
    <col min="3" max="4" width="9.90625" style="1" bestFit="1" customWidth="1"/>
    <col min="5" max="5" width="8.81640625" style="1" bestFit="1" customWidth="1"/>
    <col min="6" max="6" width="9.1796875" style="1" bestFit="1" customWidth="1"/>
    <col min="7" max="7" width="12" style="1" customWidth="1"/>
    <col min="8" max="8" width="3.36328125" style="1" customWidth="1"/>
    <col min="9" max="9" width="11.90625" style="1" bestFit="1" customWidth="1"/>
    <col min="10" max="16384" width="8.90625" style="1"/>
  </cols>
  <sheetData>
    <row r="1" spans="1:16" ht="28.5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6" x14ac:dyDescent="0.35">
      <c r="A2" s="31" t="s">
        <v>17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9.5" customHeight="1" thickBot="1" x14ac:dyDescent="0.4">
      <c r="A3" s="2"/>
    </row>
    <row r="4" spans="1:16" ht="19" thickBot="1" x14ac:dyDescent="0.4">
      <c r="A4" s="32" t="s">
        <v>1</v>
      </c>
      <c r="B4" s="40"/>
      <c r="C4" s="41"/>
      <c r="D4" s="41"/>
      <c r="E4" s="42"/>
      <c r="F4" s="42"/>
      <c r="G4" s="42"/>
      <c r="H4" s="43"/>
      <c r="I4" s="3" t="s">
        <v>2</v>
      </c>
      <c r="J4" s="53"/>
      <c r="K4" s="54"/>
      <c r="L4" s="54"/>
      <c r="M4" s="54"/>
      <c r="N4" s="54"/>
      <c r="O4" s="54"/>
      <c r="P4" s="55"/>
    </row>
    <row r="5" spans="1:16" ht="16" thickBot="1" x14ac:dyDescent="0.4">
      <c r="A5" s="38"/>
      <c r="B5" s="44"/>
      <c r="C5" s="30"/>
      <c r="D5" s="30"/>
      <c r="E5" s="30"/>
      <c r="F5" s="30"/>
      <c r="G5" s="30"/>
      <c r="H5" s="45"/>
      <c r="I5" s="32" t="s">
        <v>3</v>
      </c>
      <c r="J5" s="35" t="s">
        <v>22</v>
      </c>
      <c r="K5" s="36"/>
      <c r="L5" s="36"/>
      <c r="M5" s="36"/>
      <c r="N5" s="36"/>
      <c r="O5" s="36"/>
      <c r="P5" s="37"/>
    </row>
    <row r="6" spans="1:16" ht="16" thickBot="1" x14ac:dyDescent="0.4">
      <c r="A6" s="39"/>
      <c r="B6" s="46"/>
      <c r="C6" s="47"/>
      <c r="D6" s="47"/>
      <c r="E6" s="47"/>
      <c r="F6" s="47"/>
      <c r="G6" s="47"/>
      <c r="H6" s="48"/>
      <c r="I6" s="33"/>
      <c r="J6" s="35" t="s">
        <v>23</v>
      </c>
      <c r="K6" s="36"/>
      <c r="L6" s="36"/>
      <c r="M6" s="36"/>
      <c r="N6" s="36"/>
      <c r="O6" s="36"/>
      <c r="P6" s="37"/>
    </row>
    <row r="7" spans="1:16" ht="16" thickBot="1" x14ac:dyDescent="0.4">
      <c r="A7" s="32" t="s">
        <v>15</v>
      </c>
      <c r="B7" s="40"/>
      <c r="C7" s="42"/>
      <c r="D7" s="42"/>
      <c r="E7" s="42"/>
      <c r="F7" s="42"/>
      <c r="G7" s="42"/>
      <c r="H7" s="43"/>
      <c r="I7" s="33"/>
      <c r="J7" s="35" t="s">
        <v>24</v>
      </c>
      <c r="K7" s="36"/>
      <c r="L7" s="36"/>
      <c r="M7" s="36"/>
      <c r="N7" s="36"/>
      <c r="O7" s="36"/>
      <c r="P7" s="37"/>
    </row>
    <row r="8" spans="1:16" ht="16" thickBot="1" x14ac:dyDescent="0.4">
      <c r="A8" s="39"/>
      <c r="B8" s="46"/>
      <c r="C8" s="47"/>
      <c r="D8" s="47"/>
      <c r="E8" s="47"/>
      <c r="F8" s="47"/>
      <c r="G8" s="47"/>
      <c r="H8" s="48"/>
      <c r="I8" s="34"/>
      <c r="J8" s="35" t="s">
        <v>25</v>
      </c>
      <c r="K8" s="36"/>
      <c r="L8" s="36"/>
      <c r="M8" s="36"/>
      <c r="N8" s="36"/>
      <c r="O8" s="36"/>
      <c r="P8" s="37"/>
    </row>
    <row r="9" spans="1:16" ht="16" thickBot="1" x14ac:dyDescent="0.4">
      <c r="A9" s="4"/>
    </row>
    <row r="10" spans="1:16" s="7" customFormat="1" ht="22.5" customHeight="1" thickBot="1" x14ac:dyDescent="0.4">
      <c r="A10" s="50" t="s">
        <v>4</v>
      </c>
      <c r="B10" s="50" t="s">
        <v>5</v>
      </c>
      <c r="C10" s="26" t="s">
        <v>6</v>
      </c>
      <c r="D10" s="27"/>
      <c r="E10" s="26" t="s">
        <v>7</v>
      </c>
      <c r="F10" s="27"/>
      <c r="G10" s="5" t="s">
        <v>16</v>
      </c>
      <c r="H10" s="6"/>
    </row>
    <row r="11" spans="1:16" s="7" customFormat="1" ht="19" thickBot="1" x14ac:dyDescent="0.4">
      <c r="A11" s="51"/>
      <c r="B11" s="51"/>
      <c r="C11" s="8" t="s">
        <v>8</v>
      </c>
      <c r="D11" s="8" t="s">
        <v>9</v>
      </c>
      <c r="E11" s="8" t="s">
        <v>8</v>
      </c>
      <c r="F11" s="8" t="s">
        <v>9</v>
      </c>
      <c r="G11" s="5" t="s">
        <v>9</v>
      </c>
      <c r="H11" s="6"/>
    </row>
    <row r="12" spans="1:16" ht="16" thickBot="1" x14ac:dyDescent="0.4">
      <c r="A12" s="9" t="s">
        <v>26</v>
      </c>
      <c r="B12" s="10">
        <v>28</v>
      </c>
      <c r="C12" s="22"/>
      <c r="D12" s="11">
        <f>C12/$B12</f>
        <v>0</v>
      </c>
      <c r="E12" s="22"/>
      <c r="F12" s="11">
        <f>E12/$B12</f>
        <v>0</v>
      </c>
      <c r="G12" s="12">
        <f>D12*0.3+F12*0.7</f>
        <v>0</v>
      </c>
      <c r="H12" s="13"/>
    </row>
    <row r="13" spans="1:16" ht="16" thickBot="1" x14ac:dyDescent="0.4">
      <c r="A13" s="9" t="s">
        <v>27</v>
      </c>
      <c r="B13" s="10">
        <v>28</v>
      </c>
      <c r="C13" s="22"/>
      <c r="D13" s="11">
        <f t="shared" ref="D13:F16" si="0">C13/$B13</f>
        <v>0</v>
      </c>
      <c r="E13" s="22"/>
      <c r="F13" s="11">
        <f t="shared" si="0"/>
        <v>0</v>
      </c>
      <c r="G13" s="12">
        <f t="shared" ref="G13:G16" si="1">D13*0.3+F13*0.7</f>
        <v>0</v>
      </c>
      <c r="H13" s="13"/>
    </row>
    <row r="14" spans="1:16" ht="16" thickBot="1" x14ac:dyDescent="0.4">
      <c r="A14" s="9" t="s">
        <v>28</v>
      </c>
      <c r="B14" s="10">
        <v>21</v>
      </c>
      <c r="C14" s="22"/>
      <c r="D14" s="11">
        <f t="shared" si="0"/>
        <v>0</v>
      </c>
      <c r="E14" s="22"/>
      <c r="F14" s="11">
        <f t="shared" si="0"/>
        <v>0</v>
      </c>
      <c r="G14" s="12">
        <f t="shared" si="1"/>
        <v>0</v>
      </c>
      <c r="H14" s="13"/>
    </row>
    <row r="15" spans="1:16" ht="16" thickBot="1" x14ac:dyDescent="0.4">
      <c r="A15" s="9" t="s">
        <v>29</v>
      </c>
      <c r="B15" s="10">
        <v>14</v>
      </c>
      <c r="C15" s="22"/>
      <c r="D15" s="11">
        <f t="shared" si="0"/>
        <v>0</v>
      </c>
      <c r="E15" s="22"/>
      <c r="F15" s="11">
        <f t="shared" si="0"/>
        <v>0</v>
      </c>
      <c r="G15" s="12">
        <f t="shared" si="1"/>
        <v>0</v>
      </c>
      <c r="H15" s="13"/>
    </row>
    <row r="16" spans="1:16" ht="16" thickBot="1" x14ac:dyDescent="0.4">
      <c r="A16" s="9" t="s">
        <v>30</v>
      </c>
      <c r="B16" s="10">
        <v>14</v>
      </c>
      <c r="C16" s="22"/>
      <c r="D16" s="11">
        <f t="shared" si="0"/>
        <v>0</v>
      </c>
      <c r="E16" s="22"/>
      <c r="F16" s="11">
        <f t="shared" si="0"/>
        <v>0</v>
      </c>
      <c r="G16" s="12">
        <f t="shared" si="1"/>
        <v>0</v>
      </c>
      <c r="H16" s="13"/>
    </row>
    <row r="17" spans="1:16" ht="16" thickBot="1" x14ac:dyDescent="0.4">
      <c r="A17" s="14" t="s">
        <v>10</v>
      </c>
      <c r="B17" s="15">
        <f>SUM(B12:B16)</f>
        <v>105</v>
      </c>
      <c r="C17" s="15">
        <f>SUM(C12:C16)</f>
        <v>0</v>
      </c>
      <c r="D17" s="16">
        <f>AVERAGE(D12:D16)</f>
        <v>0</v>
      </c>
      <c r="E17" s="15">
        <f>SUM(E12:E16)</f>
        <v>0</v>
      </c>
      <c r="F17" s="17">
        <f>AVERAGE(F12:F16)</f>
        <v>0</v>
      </c>
      <c r="G17" s="17">
        <f>AVERAGE(G12:G16)</f>
        <v>0</v>
      </c>
      <c r="H17" s="13"/>
    </row>
    <row r="18" spans="1:16" ht="16" thickBot="1" x14ac:dyDescent="0.4">
      <c r="A18" s="18"/>
      <c r="H18" s="13"/>
    </row>
    <row r="19" spans="1:16" ht="16" thickBot="1" x14ac:dyDescent="0.4">
      <c r="A19" s="24" t="s">
        <v>31</v>
      </c>
      <c r="B19" s="24"/>
      <c r="C19" s="25"/>
      <c r="D19" s="25"/>
      <c r="E19" s="25"/>
      <c r="F19" s="25"/>
      <c r="G19" s="25"/>
      <c r="H19" s="13"/>
    </row>
    <row r="20" spans="1:16" ht="16" thickBot="1" x14ac:dyDescent="0.4">
      <c r="A20" s="19" t="s">
        <v>11</v>
      </c>
      <c r="B20" s="24" t="s">
        <v>32</v>
      </c>
      <c r="C20" s="25"/>
      <c r="D20" s="25"/>
      <c r="E20" s="25"/>
      <c r="F20" s="25"/>
      <c r="G20" s="25"/>
      <c r="H20" s="13"/>
    </row>
    <row r="21" spans="1:16" ht="16" thickBot="1" x14ac:dyDescent="0.4">
      <c r="A21" s="24" t="s">
        <v>12</v>
      </c>
      <c r="B21" s="24" t="s">
        <v>33</v>
      </c>
      <c r="C21" s="25"/>
      <c r="D21" s="25"/>
      <c r="E21" s="25"/>
      <c r="F21" s="25"/>
      <c r="G21" s="25"/>
      <c r="H21" s="13"/>
    </row>
    <row r="22" spans="1:16" ht="16" thickBot="1" x14ac:dyDescent="0.4">
      <c r="A22" s="49"/>
      <c r="B22" s="24" t="s">
        <v>34</v>
      </c>
      <c r="C22" s="25"/>
      <c r="D22" s="25"/>
      <c r="E22" s="25"/>
      <c r="F22" s="25"/>
      <c r="G22" s="25"/>
      <c r="H22" s="13"/>
    </row>
    <row r="23" spans="1:16" ht="16" thickBot="1" x14ac:dyDescent="0.4">
      <c r="A23" s="49"/>
      <c r="B23" s="24" t="s">
        <v>35</v>
      </c>
      <c r="C23" s="25"/>
      <c r="D23" s="25"/>
      <c r="E23" s="25"/>
      <c r="F23" s="25"/>
      <c r="G23" s="25"/>
      <c r="H23" s="13"/>
    </row>
    <row r="24" spans="1:16" ht="16" thickBot="1" x14ac:dyDescent="0.4">
      <c r="A24" s="20"/>
      <c r="B24" s="21"/>
    </row>
    <row r="25" spans="1:16" ht="16" thickBot="1" x14ac:dyDescent="0.4">
      <c r="A25" s="28" t="s">
        <v>13</v>
      </c>
      <c r="B25" s="25"/>
      <c r="C25" s="25"/>
      <c r="D25" s="25"/>
      <c r="E25" s="25"/>
      <c r="F25" s="25"/>
      <c r="G25" s="25"/>
      <c r="H25" s="25"/>
      <c r="I25" s="28" t="s">
        <v>14</v>
      </c>
      <c r="J25" s="25"/>
      <c r="K25" s="25"/>
      <c r="L25" s="25"/>
      <c r="M25" s="25"/>
      <c r="N25" s="25"/>
      <c r="O25" s="25"/>
      <c r="P25" s="25"/>
    </row>
    <row r="26" spans="1:16" ht="16" thickBot="1" x14ac:dyDescent="0.4">
      <c r="A26" s="28" t="s">
        <v>36</v>
      </c>
      <c r="B26" s="25"/>
      <c r="C26" s="25"/>
      <c r="D26" s="28" t="s">
        <v>19</v>
      </c>
      <c r="E26" s="25"/>
      <c r="F26" s="25"/>
      <c r="G26" s="25"/>
      <c r="H26" s="25"/>
      <c r="I26" s="28" t="s">
        <v>36</v>
      </c>
      <c r="J26" s="25"/>
      <c r="K26" s="25"/>
      <c r="L26" s="25"/>
      <c r="M26" s="28" t="s">
        <v>19</v>
      </c>
      <c r="N26" s="25"/>
      <c r="O26" s="25"/>
      <c r="P26" s="25"/>
    </row>
    <row r="27" spans="1:16" ht="30.75" customHeight="1" thickBot="1" x14ac:dyDescent="0.4">
      <c r="A27" s="52" t="s">
        <v>38</v>
      </c>
      <c r="B27" s="52"/>
      <c r="C27" s="5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30.75" customHeight="1" thickBot="1" x14ac:dyDescent="0.4">
      <c r="A28" s="52" t="s">
        <v>38</v>
      </c>
      <c r="B28" s="52"/>
      <c r="C28" s="5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7.25" customHeight="1" x14ac:dyDescent="0.35">
      <c r="A29" s="1" t="s">
        <v>21</v>
      </c>
      <c r="E29" s="1" t="s">
        <v>20</v>
      </c>
      <c r="O29" s="23" t="s">
        <v>18</v>
      </c>
      <c r="P29" s="23"/>
    </row>
  </sheetData>
  <mergeCells count="37">
    <mergeCell ref="M27:P27"/>
    <mergeCell ref="M28:P28"/>
    <mergeCell ref="M26:P26"/>
    <mergeCell ref="B10:B11"/>
    <mergeCell ref="C10:D10"/>
    <mergeCell ref="D28:H28"/>
    <mergeCell ref="A28:C28"/>
    <mergeCell ref="A27:C27"/>
    <mergeCell ref="A26:C26"/>
    <mergeCell ref="A1:P1"/>
    <mergeCell ref="A2:P2"/>
    <mergeCell ref="I5:I8"/>
    <mergeCell ref="J4:P4"/>
    <mergeCell ref="J5:P5"/>
    <mergeCell ref="J6:P6"/>
    <mergeCell ref="J7:P7"/>
    <mergeCell ref="J8:P8"/>
    <mergeCell ref="A4:A6"/>
    <mergeCell ref="B4:H6"/>
    <mergeCell ref="A7:A8"/>
    <mergeCell ref="B7:H8"/>
    <mergeCell ref="O29:P29"/>
    <mergeCell ref="B22:G22"/>
    <mergeCell ref="B23:G23"/>
    <mergeCell ref="B21:G21"/>
    <mergeCell ref="E10:F10"/>
    <mergeCell ref="I26:L26"/>
    <mergeCell ref="I27:L27"/>
    <mergeCell ref="I28:L28"/>
    <mergeCell ref="I25:P25"/>
    <mergeCell ref="A25:H25"/>
    <mergeCell ref="D26:H26"/>
    <mergeCell ref="D27:H27"/>
    <mergeCell ref="A21:A23"/>
    <mergeCell ref="A19:G19"/>
    <mergeCell ref="B20:G20"/>
    <mergeCell ref="A10:A11"/>
  </mergeCells>
  <phoneticPr fontId="2" type="noConversion"/>
  <printOptions horizontalCentered="1"/>
  <pageMargins left="0" right="0" top="0" bottom="0.59055118110236227" header="0" footer="0.31496062992125984"/>
  <pageSetup paperSize="9" scale="87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19</xdr:row>
                    <xdr:rowOff>190500</xdr:rowOff>
                  </from>
                  <to>
                    <xdr:col>7</xdr:col>
                    <xdr:colOff>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31750</xdr:colOff>
                    <xdr:row>21</xdr:row>
                    <xdr:rowOff>12700</xdr:rowOff>
                  </from>
                  <to>
                    <xdr:col>6</xdr:col>
                    <xdr:colOff>806450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31750</xdr:colOff>
                    <xdr:row>21</xdr:row>
                    <xdr:rowOff>196850</xdr:rowOff>
                  </from>
                  <to>
                    <xdr:col>1</xdr:col>
                    <xdr:colOff>711200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44450</xdr:colOff>
                    <xdr:row>3</xdr:row>
                    <xdr:rowOff>222250</xdr:rowOff>
                  </from>
                  <to>
                    <xdr:col>10</xdr:col>
                    <xdr:colOff>215900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44450</xdr:colOff>
                    <xdr:row>5</xdr:row>
                    <xdr:rowOff>0</xdr:rowOff>
                  </from>
                  <to>
                    <xdr:col>10</xdr:col>
                    <xdr:colOff>215900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44450</xdr:colOff>
                    <xdr:row>5</xdr:row>
                    <xdr:rowOff>196850</xdr:rowOff>
                  </from>
                  <to>
                    <xdr:col>10</xdr:col>
                    <xdr:colOff>215900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44450</xdr:colOff>
                    <xdr:row>6</xdr:row>
                    <xdr:rowOff>190500</xdr:rowOff>
                  </from>
                  <to>
                    <xdr:col>10</xdr:col>
                    <xdr:colOff>215900</xdr:colOff>
                    <xdr:row>7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BD4E-364A-43CE-8755-9E8D57736505}">
  <sheetPr>
    <pageSetUpPr fitToPage="1"/>
  </sheetPr>
  <dimension ref="A1:P29"/>
  <sheetViews>
    <sheetView zoomScaleNormal="100" zoomScaleSheetLayoutView="85" workbookViewId="0">
      <selection activeCell="D27" sqref="D27:H27"/>
    </sheetView>
  </sheetViews>
  <sheetFormatPr defaultColWidth="8.90625" defaultRowHeight="15.5" x14ac:dyDescent="0.35"/>
  <cols>
    <col min="1" max="1" width="23.453125" style="1" customWidth="1"/>
    <col min="2" max="2" width="13.6328125" style="1" customWidth="1"/>
    <col min="3" max="4" width="9.90625" style="1" bestFit="1" customWidth="1"/>
    <col min="5" max="5" width="8.81640625" style="1" bestFit="1" customWidth="1"/>
    <col min="6" max="6" width="9.1796875" style="1" bestFit="1" customWidth="1"/>
    <col min="7" max="7" width="12" style="1" customWidth="1"/>
    <col min="8" max="8" width="3.36328125" style="1" customWidth="1"/>
    <col min="9" max="9" width="11.90625" style="1" bestFit="1" customWidth="1"/>
    <col min="10" max="16384" width="8.90625" style="1"/>
  </cols>
  <sheetData>
    <row r="1" spans="1:16" ht="28.5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6" x14ac:dyDescent="0.35">
      <c r="A2" s="31" t="s">
        <v>17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9.5" customHeight="1" thickBot="1" x14ac:dyDescent="0.4">
      <c r="A3" s="2"/>
    </row>
    <row r="4" spans="1:16" ht="19" thickBot="1" x14ac:dyDescent="0.4">
      <c r="A4" s="32" t="s">
        <v>1</v>
      </c>
      <c r="B4" s="40"/>
      <c r="C4" s="41"/>
      <c r="D4" s="41"/>
      <c r="E4" s="42"/>
      <c r="F4" s="42"/>
      <c r="G4" s="42"/>
      <c r="H4" s="43"/>
      <c r="I4" s="3" t="s">
        <v>2</v>
      </c>
      <c r="J4" s="35"/>
      <c r="K4" s="36"/>
      <c r="L4" s="36"/>
      <c r="M4" s="36"/>
      <c r="N4" s="36"/>
      <c r="O4" s="36"/>
      <c r="P4" s="37"/>
    </row>
    <row r="5" spans="1:16" ht="16" thickBot="1" x14ac:dyDescent="0.4">
      <c r="A5" s="38"/>
      <c r="B5" s="44"/>
      <c r="C5" s="30"/>
      <c r="D5" s="30"/>
      <c r="E5" s="30"/>
      <c r="F5" s="30"/>
      <c r="G5" s="30"/>
      <c r="H5" s="45"/>
      <c r="I5" s="32" t="s">
        <v>3</v>
      </c>
      <c r="J5" s="35" t="s">
        <v>22</v>
      </c>
      <c r="K5" s="36"/>
      <c r="L5" s="36"/>
      <c r="M5" s="36"/>
      <c r="N5" s="36"/>
      <c r="O5" s="36"/>
      <c r="P5" s="37"/>
    </row>
    <row r="6" spans="1:16" ht="16" thickBot="1" x14ac:dyDescent="0.4">
      <c r="A6" s="39"/>
      <c r="B6" s="46"/>
      <c r="C6" s="47"/>
      <c r="D6" s="47"/>
      <c r="E6" s="47"/>
      <c r="F6" s="47"/>
      <c r="G6" s="47"/>
      <c r="H6" s="48"/>
      <c r="I6" s="33"/>
      <c r="J6" s="35" t="s">
        <v>23</v>
      </c>
      <c r="K6" s="36"/>
      <c r="L6" s="36"/>
      <c r="M6" s="36"/>
      <c r="N6" s="36"/>
      <c r="O6" s="36"/>
      <c r="P6" s="37"/>
    </row>
    <row r="7" spans="1:16" ht="16" thickBot="1" x14ac:dyDescent="0.4">
      <c r="A7" s="32" t="s">
        <v>15</v>
      </c>
      <c r="B7" s="40"/>
      <c r="C7" s="42"/>
      <c r="D7" s="42"/>
      <c r="E7" s="42"/>
      <c r="F7" s="42"/>
      <c r="G7" s="42"/>
      <c r="H7" s="43"/>
      <c r="I7" s="33"/>
      <c r="J7" s="35" t="s">
        <v>24</v>
      </c>
      <c r="K7" s="36"/>
      <c r="L7" s="36"/>
      <c r="M7" s="36"/>
      <c r="N7" s="36"/>
      <c r="O7" s="36"/>
      <c r="P7" s="37"/>
    </row>
    <row r="8" spans="1:16" ht="16" thickBot="1" x14ac:dyDescent="0.4">
      <c r="A8" s="39"/>
      <c r="B8" s="46"/>
      <c r="C8" s="47"/>
      <c r="D8" s="47"/>
      <c r="E8" s="47"/>
      <c r="F8" s="47"/>
      <c r="G8" s="47"/>
      <c r="H8" s="48"/>
      <c r="I8" s="34"/>
      <c r="J8" s="35" t="s">
        <v>25</v>
      </c>
      <c r="K8" s="36"/>
      <c r="L8" s="36"/>
      <c r="M8" s="36"/>
      <c r="N8" s="36"/>
      <c r="O8" s="36"/>
      <c r="P8" s="37"/>
    </row>
    <row r="9" spans="1:16" ht="16" thickBot="1" x14ac:dyDescent="0.4">
      <c r="A9" s="4"/>
    </row>
    <row r="10" spans="1:16" s="7" customFormat="1" ht="22.5" customHeight="1" thickBot="1" x14ac:dyDescent="0.4">
      <c r="A10" s="50" t="s">
        <v>4</v>
      </c>
      <c r="B10" s="50" t="s">
        <v>5</v>
      </c>
      <c r="C10" s="26" t="s">
        <v>6</v>
      </c>
      <c r="D10" s="27"/>
      <c r="E10" s="26" t="s">
        <v>7</v>
      </c>
      <c r="F10" s="27"/>
      <c r="G10" s="5" t="s">
        <v>16</v>
      </c>
      <c r="H10" s="6"/>
    </row>
    <row r="11" spans="1:16" s="7" customFormat="1" ht="19" thickBot="1" x14ac:dyDescent="0.4">
      <c r="A11" s="51"/>
      <c r="B11" s="51"/>
      <c r="C11" s="8" t="s">
        <v>8</v>
      </c>
      <c r="D11" s="8" t="s">
        <v>9</v>
      </c>
      <c r="E11" s="8" t="s">
        <v>8</v>
      </c>
      <c r="F11" s="8" t="s">
        <v>9</v>
      </c>
      <c r="G11" s="5" t="s">
        <v>9</v>
      </c>
      <c r="H11" s="6"/>
    </row>
    <row r="12" spans="1:16" ht="16" thickBot="1" x14ac:dyDescent="0.4">
      <c r="A12" s="9" t="s">
        <v>26</v>
      </c>
      <c r="B12" s="10">
        <v>28</v>
      </c>
      <c r="C12" s="22"/>
      <c r="D12" s="11">
        <f>C12/$B12</f>
        <v>0</v>
      </c>
      <c r="E12" s="22"/>
      <c r="F12" s="11">
        <f>E12/$B12</f>
        <v>0</v>
      </c>
      <c r="G12" s="12">
        <f>D12*0.3+F12*0.7</f>
        <v>0</v>
      </c>
      <c r="H12" s="13"/>
    </row>
    <row r="13" spans="1:16" ht="16" thickBot="1" x14ac:dyDescent="0.4">
      <c r="A13" s="9" t="s">
        <v>27</v>
      </c>
      <c r="B13" s="10">
        <v>28</v>
      </c>
      <c r="C13" s="22"/>
      <c r="D13" s="11">
        <f t="shared" ref="D13:F16" si="0">C13/$B13</f>
        <v>0</v>
      </c>
      <c r="E13" s="22"/>
      <c r="F13" s="11">
        <f t="shared" si="0"/>
        <v>0</v>
      </c>
      <c r="G13" s="12">
        <f t="shared" ref="G13:G16" si="1">D13*0.3+F13*0.7</f>
        <v>0</v>
      </c>
      <c r="H13" s="13"/>
    </row>
    <row r="14" spans="1:16" ht="16" thickBot="1" x14ac:dyDescent="0.4">
      <c r="A14" s="9" t="s">
        <v>28</v>
      </c>
      <c r="B14" s="10">
        <v>21</v>
      </c>
      <c r="C14" s="22"/>
      <c r="D14" s="11">
        <f t="shared" si="0"/>
        <v>0</v>
      </c>
      <c r="E14" s="22"/>
      <c r="F14" s="11">
        <f t="shared" si="0"/>
        <v>0</v>
      </c>
      <c r="G14" s="12">
        <f t="shared" si="1"/>
        <v>0</v>
      </c>
      <c r="H14" s="13"/>
    </row>
    <row r="15" spans="1:16" ht="16" thickBot="1" x14ac:dyDescent="0.4">
      <c r="A15" s="9" t="s">
        <v>29</v>
      </c>
      <c r="B15" s="10">
        <v>14</v>
      </c>
      <c r="C15" s="22"/>
      <c r="D15" s="11">
        <f t="shared" si="0"/>
        <v>0</v>
      </c>
      <c r="E15" s="22"/>
      <c r="F15" s="11">
        <f t="shared" si="0"/>
        <v>0</v>
      </c>
      <c r="G15" s="12">
        <f t="shared" si="1"/>
        <v>0</v>
      </c>
      <c r="H15" s="13"/>
    </row>
    <row r="16" spans="1:16" ht="16" thickBot="1" x14ac:dyDescent="0.4">
      <c r="A16" s="9" t="s">
        <v>30</v>
      </c>
      <c r="B16" s="10">
        <v>14</v>
      </c>
      <c r="C16" s="22"/>
      <c r="D16" s="11">
        <f t="shared" si="0"/>
        <v>0</v>
      </c>
      <c r="E16" s="22"/>
      <c r="F16" s="11">
        <f t="shared" si="0"/>
        <v>0</v>
      </c>
      <c r="G16" s="12">
        <f t="shared" si="1"/>
        <v>0</v>
      </c>
      <c r="H16" s="13"/>
    </row>
    <row r="17" spans="1:16" ht="16" thickBot="1" x14ac:dyDescent="0.4">
      <c r="A17" s="14" t="s">
        <v>10</v>
      </c>
      <c r="B17" s="15">
        <f>SUM(B12:B16)</f>
        <v>105</v>
      </c>
      <c r="C17" s="15">
        <f>SUM(C12:C16)</f>
        <v>0</v>
      </c>
      <c r="D17" s="16">
        <f>AVERAGE(D12:D16)</f>
        <v>0</v>
      </c>
      <c r="E17" s="15">
        <f>SUM(E12:E16)</f>
        <v>0</v>
      </c>
      <c r="F17" s="17">
        <f>AVERAGE(F12:F16)</f>
        <v>0</v>
      </c>
      <c r="G17" s="17">
        <f>AVERAGE(G12:G16)</f>
        <v>0</v>
      </c>
      <c r="H17" s="13"/>
    </row>
    <row r="18" spans="1:16" ht="16" thickBot="1" x14ac:dyDescent="0.4">
      <c r="A18" s="18"/>
      <c r="H18" s="13"/>
    </row>
    <row r="19" spans="1:16" ht="16" thickBot="1" x14ac:dyDescent="0.4">
      <c r="A19" s="24" t="s">
        <v>31</v>
      </c>
      <c r="B19" s="24"/>
      <c r="C19" s="25"/>
      <c r="D19" s="25"/>
      <c r="E19" s="25"/>
      <c r="F19" s="25"/>
      <c r="G19" s="25"/>
      <c r="H19" s="13"/>
    </row>
    <row r="20" spans="1:16" ht="16" thickBot="1" x14ac:dyDescent="0.4">
      <c r="A20" s="19" t="s">
        <v>11</v>
      </c>
      <c r="B20" s="24" t="s">
        <v>32</v>
      </c>
      <c r="C20" s="25"/>
      <c r="D20" s="25"/>
      <c r="E20" s="25"/>
      <c r="F20" s="25"/>
      <c r="G20" s="25"/>
      <c r="H20" s="13"/>
    </row>
    <row r="21" spans="1:16" ht="16" thickBot="1" x14ac:dyDescent="0.4">
      <c r="A21" s="24" t="s">
        <v>12</v>
      </c>
      <c r="B21" s="24" t="s">
        <v>33</v>
      </c>
      <c r="C21" s="25"/>
      <c r="D21" s="25"/>
      <c r="E21" s="25"/>
      <c r="F21" s="25"/>
      <c r="G21" s="25"/>
      <c r="H21" s="13"/>
    </row>
    <row r="22" spans="1:16" ht="16" thickBot="1" x14ac:dyDescent="0.4">
      <c r="A22" s="49"/>
      <c r="B22" s="24" t="s">
        <v>34</v>
      </c>
      <c r="C22" s="25"/>
      <c r="D22" s="25"/>
      <c r="E22" s="25"/>
      <c r="F22" s="25"/>
      <c r="G22" s="25"/>
      <c r="H22" s="13"/>
    </row>
    <row r="23" spans="1:16" ht="16" thickBot="1" x14ac:dyDescent="0.4">
      <c r="A23" s="49"/>
      <c r="B23" s="24" t="s">
        <v>35</v>
      </c>
      <c r="C23" s="25"/>
      <c r="D23" s="25"/>
      <c r="E23" s="25"/>
      <c r="F23" s="25"/>
      <c r="G23" s="25"/>
      <c r="H23" s="13"/>
    </row>
    <row r="24" spans="1:16" ht="16" thickBot="1" x14ac:dyDescent="0.4">
      <c r="A24" s="20"/>
      <c r="B24" s="21"/>
    </row>
    <row r="25" spans="1:16" ht="16" thickBot="1" x14ac:dyDescent="0.4">
      <c r="A25" s="28" t="s">
        <v>13</v>
      </c>
      <c r="B25" s="25"/>
      <c r="C25" s="25"/>
      <c r="D25" s="25"/>
      <c r="E25" s="25"/>
      <c r="F25" s="25"/>
      <c r="G25" s="25"/>
      <c r="H25" s="25"/>
      <c r="I25" s="28" t="s">
        <v>14</v>
      </c>
      <c r="J25" s="25"/>
      <c r="K25" s="25"/>
      <c r="L25" s="25"/>
      <c r="M25" s="25"/>
      <c r="N25" s="25"/>
      <c r="O25" s="25"/>
      <c r="P25" s="25"/>
    </row>
    <row r="26" spans="1:16" ht="16" thickBot="1" x14ac:dyDescent="0.4">
      <c r="A26" s="28" t="s">
        <v>36</v>
      </c>
      <c r="B26" s="25"/>
      <c r="C26" s="25"/>
      <c r="D26" s="28" t="s">
        <v>19</v>
      </c>
      <c r="E26" s="25"/>
      <c r="F26" s="25"/>
      <c r="G26" s="25"/>
      <c r="H26" s="25"/>
      <c r="I26" s="28" t="s">
        <v>36</v>
      </c>
      <c r="J26" s="25"/>
      <c r="K26" s="25"/>
      <c r="L26" s="25"/>
      <c r="M26" s="28" t="s">
        <v>19</v>
      </c>
      <c r="N26" s="25"/>
      <c r="O26" s="25"/>
      <c r="P26" s="25"/>
    </row>
    <row r="27" spans="1:16" ht="30.75" customHeight="1" thickBot="1" x14ac:dyDescent="0.4">
      <c r="A27" s="52" t="s">
        <v>37</v>
      </c>
      <c r="B27" s="52"/>
      <c r="C27" s="5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30.75" customHeight="1" thickBot="1" x14ac:dyDescent="0.4">
      <c r="A28" s="52" t="s">
        <v>37</v>
      </c>
      <c r="B28" s="52"/>
      <c r="C28" s="5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17.25" customHeight="1" x14ac:dyDescent="0.35">
      <c r="A29" s="1" t="s">
        <v>21</v>
      </c>
      <c r="E29" s="1" t="s">
        <v>20</v>
      </c>
      <c r="O29" s="23" t="s">
        <v>18</v>
      </c>
      <c r="P29" s="23"/>
    </row>
  </sheetData>
  <mergeCells count="37">
    <mergeCell ref="A1:P1"/>
    <mergeCell ref="A2:P2"/>
    <mergeCell ref="A4:A6"/>
    <mergeCell ref="B4:H6"/>
    <mergeCell ref="J4:P4"/>
    <mergeCell ref="I5:I8"/>
    <mergeCell ref="J5:P5"/>
    <mergeCell ref="J6:P6"/>
    <mergeCell ref="A7:A8"/>
    <mergeCell ref="B7:H8"/>
    <mergeCell ref="J7:P7"/>
    <mergeCell ref="J8:P8"/>
    <mergeCell ref="A10:A11"/>
    <mergeCell ref="B10:B11"/>
    <mergeCell ref="C10:D10"/>
    <mergeCell ref="E10:F10"/>
    <mergeCell ref="A19:G19"/>
    <mergeCell ref="B20:G20"/>
    <mergeCell ref="A21:A23"/>
    <mergeCell ref="B21:G21"/>
    <mergeCell ref="B22:G22"/>
    <mergeCell ref="B23:G23"/>
    <mergeCell ref="A25:H25"/>
    <mergeCell ref="I25:P25"/>
    <mergeCell ref="A26:C26"/>
    <mergeCell ref="D26:H26"/>
    <mergeCell ref="I26:L26"/>
    <mergeCell ref="M26:P26"/>
    <mergeCell ref="O29:P29"/>
    <mergeCell ref="A27:C27"/>
    <mergeCell ref="D27:H27"/>
    <mergeCell ref="I27:L27"/>
    <mergeCell ref="M27:P27"/>
    <mergeCell ref="A28:C28"/>
    <mergeCell ref="D28:H28"/>
    <mergeCell ref="I28:L28"/>
    <mergeCell ref="M28:P28"/>
  </mergeCells>
  <phoneticPr fontId="2" type="noConversion"/>
  <printOptions horizontalCentered="1"/>
  <pageMargins left="0" right="0" top="0" bottom="0.59055118110236227" header="0" footer="0.31496062992125984"/>
  <pageSetup paperSize="9" scale="80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19</xdr:row>
                    <xdr:rowOff>190500</xdr:rowOff>
                  </from>
                  <to>
                    <xdr:col>7</xdr:col>
                    <xdr:colOff>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31750</xdr:colOff>
                    <xdr:row>21</xdr:row>
                    <xdr:rowOff>12700</xdr:rowOff>
                  </from>
                  <to>
                    <xdr:col>6</xdr:col>
                    <xdr:colOff>806450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31750</xdr:colOff>
                    <xdr:row>21</xdr:row>
                    <xdr:rowOff>196850</xdr:rowOff>
                  </from>
                  <to>
                    <xdr:col>1</xdr:col>
                    <xdr:colOff>711200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9</xdr:col>
                    <xdr:colOff>44450</xdr:colOff>
                    <xdr:row>3</xdr:row>
                    <xdr:rowOff>222250</xdr:rowOff>
                  </from>
                  <to>
                    <xdr:col>10</xdr:col>
                    <xdr:colOff>215900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9</xdr:col>
                    <xdr:colOff>44450</xdr:colOff>
                    <xdr:row>5</xdr:row>
                    <xdr:rowOff>0</xdr:rowOff>
                  </from>
                  <to>
                    <xdr:col>10</xdr:col>
                    <xdr:colOff>215900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9</xdr:col>
                    <xdr:colOff>44450</xdr:colOff>
                    <xdr:row>5</xdr:row>
                    <xdr:rowOff>196850</xdr:rowOff>
                  </from>
                  <to>
                    <xdr:col>10</xdr:col>
                    <xdr:colOff>215900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9</xdr:col>
                    <xdr:colOff>44450</xdr:colOff>
                    <xdr:row>6</xdr:row>
                    <xdr:rowOff>190500</xdr:rowOff>
                  </from>
                  <to>
                    <xdr:col>10</xdr:col>
                    <xdr:colOff>215900</xdr:colOff>
                    <xdr:row>7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4</vt:i4>
      </vt:variant>
    </vt:vector>
  </HeadingPairs>
  <TitlesOfParts>
    <vt:vector size="6" baseType="lpstr">
      <vt:lpstr>空白</vt:lpstr>
      <vt:lpstr>列印用</vt:lpstr>
      <vt:lpstr>列印用!bookmark1</vt:lpstr>
      <vt:lpstr>空白!bookmark1</vt:lpstr>
      <vt:lpstr>列印用!Print_Area</vt:lpstr>
      <vt:lpstr>空白!Print_Area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45f5c3ae-c530-409b-a7b3-ba4a1a40fd30</vt:lpwstr>
  </property>
</Properties>
</file>