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10" yWindow="-110" windowWidth="19420" windowHeight="11020"/>
  </bookViews>
  <sheets>
    <sheet name="詢價單據--- Excel 格式輸出" sheetId="1" r:id="rId1"/>
    <sheet name="廠商資料" sheetId="2" r:id="rId2"/>
  </sheets>
  <definedNames>
    <definedName name="_xlnm._FilterDatabase" localSheetId="1" hidden="1">廠商資料!$A$1:$J$1999</definedName>
    <definedName name="_xlnm.Print_Area" localSheetId="0">'詢價單據--- Excel 格式輸出'!$B$1:$G$41</definedName>
    <definedName name="廠商名稱">廠商資料!$A$2:$A$1999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" l="1"/>
  <c r="B4" i="1" l="1"/>
  <c r="B105" i="2" l="1"/>
  <c r="B114" i="2" l="1"/>
  <c r="B115" i="2"/>
  <c r="B116" i="2"/>
  <c r="B117" i="2"/>
  <c r="B118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97" i="2" l="1"/>
  <c r="B98" i="2" l="1"/>
  <c r="B99" i="2"/>
  <c r="B101" i="2"/>
  <c r="B103" i="2"/>
  <c r="B104" i="2"/>
  <c r="B106" i="2"/>
  <c r="B107" i="2"/>
  <c r="B108" i="2"/>
  <c r="B109" i="2"/>
  <c r="B110" i="2"/>
  <c r="B111" i="2"/>
  <c r="B112" i="2"/>
  <c r="B113" i="2"/>
  <c r="B96" i="2"/>
  <c r="B95" i="2"/>
  <c r="B27" i="2" l="1"/>
  <c r="B54" i="2"/>
  <c r="B70" i="2"/>
  <c r="B50" i="2"/>
  <c r="B69" i="2"/>
  <c r="B39" i="2"/>
  <c r="B9" i="2"/>
  <c r="B40" i="2"/>
  <c r="B87" i="2"/>
  <c r="B16" i="2"/>
  <c r="B53" i="2"/>
  <c r="B25" i="2"/>
  <c r="B24" i="2"/>
  <c r="B71" i="2"/>
  <c r="B64" i="2"/>
  <c r="B62" i="2"/>
  <c r="B89" i="2"/>
  <c r="B19" i="2"/>
  <c r="B90" i="2"/>
  <c r="B49" i="2"/>
  <c r="B75" i="2"/>
  <c r="B14" i="2"/>
  <c r="B45" i="2"/>
  <c r="B46" i="2"/>
  <c r="B74" i="2"/>
  <c r="B77" i="2"/>
  <c r="B58" i="2"/>
  <c r="B66" i="2"/>
  <c r="B18" i="2"/>
  <c r="B65" i="2"/>
  <c r="B17" i="2"/>
  <c r="B76" i="2"/>
  <c r="B3" i="2"/>
  <c r="B48" i="2"/>
  <c r="B31" i="2"/>
  <c r="B22" i="2"/>
  <c r="B63" i="2"/>
  <c r="B10" i="2"/>
  <c r="B38" i="2"/>
  <c r="B59" i="2"/>
  <c r="B11" i="2"/>
  <c r="B37" i="2"/>
  <c r="B35" i="2"/>
  <c r="B21" i="2"/>
  <c r="B88" i="2"/>
  <c r="B68" i="2"/>
  <c r="B80" i="2"/>
  <c r="B51" i="2"/>
  <c r="B81" i="2"/>
  <c r="B33" i="2"/>
  <c r="B30" i="2"/>
  <c r="B44" i="2"/>
  <c r="B34" i="2"/>
  <c r="B43" i="2"/>
  <c r="B79" i="2"/>
  <c r="B61" i="2"/>
  <c r="B93" i="2"/>
  <c r="B60" i="2"/>
  <c r="B83" i="2"/>
  <c r="B29" i="2"/>
  <c r="B6" i="2"/>
  <c r="B5" i="2"/>
  <c r="B56" i="2"/>
  <c r="B57" i="2"/>
  <c r="B84" i="2"/>
  <c r="B86" i="2"/>
  <c r="B94" i="2"/>
  <c r="B67" i="2"/>
  <c r="B91" i="2"/>
  <c r="B52" i="2"/>
  <c r="B36" i="2"/>
  <c r="B15" i="2"/>
  <c r="B12" i="2"/>
  <c r="B4" i="2"/>
  <c r="B32" i="2"/>
  <c r="B73" i="2"/>
  <c r="B85" i="2"/>
  <c r="B2" i="2"/>
  <c r="B7" i="2"/>
  <c r="B55" i="2"/>
  <c r="B42" i="2"/>
  <c r="B82" i="2"/>
  <c r="B8" i="2"/>
  <c r="B26" i="2"/>
  <c r="B72" i="2"/>
  <c r="B28" i="2"/>
  <c r="B23" i="2"/>
  <c r="B92" i="2"/>
  <c r="L13" i="1"/>
  <c r="J10" i="1" l="1"/>
  <c r="D6" i="1" s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11" i="1"/>
  <c r="M10" i="1" l="1"/>
  <c r="L10" i="1"/>
  <c r="B12" i="1"/>
  <c r="B13" i="1" l="1"/>
  <c r="B16" i="1" l="1"/>
  <c r="B14" i="1"/>
  <c r="B15" i="1" s="1"/>
  <c r="B17" i="1" l="1"/>
</calcChain>
</file>

<file path=xl/sharedStrings.xml><?xml version="1.0" encoding="utf-8"?>
<sst xmlns="http://schemas.openxmlformats.org/spreadsheetml/2006/main" count="1075" uniqueCount="963">
  <si>
    <t>設定單號</t>
    <phoneticPr fontId="4" type="noConversion"/>
  </si>
  <si>
    <r>
      <rPr>
        <sz val="12"/>
        <rFont val="新細明體"/>
        <family val="1"/>
        <charset val="136"/>
      </rPr>
      <t>廠商名稱：</t>
    </r>
  </si>
  <si>
    <r>
      <rPr>
        <sz val="12"/>
        <rFont val="新細明體"/>
        <family val="1"/>
        <charset val="136"/>
      </rPr>
      <t>聯絡電話：</t>
    </r>
  </si>
  <si>
    <r>
      <rPr>
        <sz val="12"/>
        <rFont val="新細明體"/>
        <family val="1"/>
        <charset val="136"/>
      </rPr>
      <t>詢價人員：</t>
    </r>
  </si>
  <si>
    <r>
      <rPr>
        <sz val="12"/>
        <rFont val="新細明體"/>
        <family val="1"/>
        <charset val="136"/>
      </rPr>
      <t>詢價日期：</t>
    </r>
    <phoneticPr fontId="4" type="noConversion"/>
  </si>
  <si>
    <r>
      <rPr>
        <sz val="12"/>
        <rFont val="新細明體"/>
        <family val="1"/>
        <charset val="136"/>
      </rPr>
      <t>聯絡人員：</t>
    </r>
    <phoneticPr fontId="4" type="noConversion"/>
  </si>
  <si>
    <r>
      <rPr>
        <b/>
        <sz val="20"/>
        <rFont val="新細明體"/>
        <family val="1"/>
        <charset val="136"/>
      </rPr>
      <t>超正齒輪科技有限公司</t>
    </r>
    <phoneticPr fontId="4" type="noConversion"/>
  </si>
  <si>
    <r>
      <t>429</t>
    </r>
    <r>
      <rPr>
        <sz val="11"/>
        <rFont val="新細明體"/>
        <family val="1"/>
        <charset val="136"/>
      </rPr>
      <t>台中市神岡區東洲路</t>
    </r>
    <r>
      <rPr>
        <sz val="11"/>
        <rFont val="Times New Roman"/>
        <family val="1"/>
      </rPr>
      <t>81</t>
    </r>
    <r>
      <rPr>
        <sz val="11"/>
        <rFont val="新細明體"/>
        <family val="1"/>
        <charset val="136"/>
      </rPr>
      <t>號</t>
    </r>
  </si>
  <si>
    <r>
      <rPr>
        <sz val="12"/>
        <rFont val="新細明體"/>
        <family val="1"/>
        <charset val="136"/>
      </rPr>
      <t>電話：</t>
    </r>
    <r>
      <rPr>
        <sz val="12"/>
        <rFont val="Times New Roman"/>
        <family val="1"/>
      </rPr>
      <t xml:space="preserve">04-2528-0455     </t>
    </r>
    <r>
      <rPr>
        <sz val="12"/>
        <rFont val="新細明體"/>
        <family val="1"/>
        <charset val="136"/>
      </rPr>
      <t>傳真：</t>
    </r>
    <r>
      <rPr>
        <sz val="12"/>
        <rFont val="Times New Roman"/>
        <family val="1"/>
      </rPr>
      <t>04-2528-0456</t>
    </r>
    <phoneticPr fontId="4" type="noConversion"/>
  </si>
  <si>
    <r>
      <rPr>
        <sz val="12"/>
        <rFont val="新細明體"/>
        <family val="1"/>
        <charset val="136"/>
      </rPr>
      <t>單</t>
    </r>
    <r>
      <rPr>
        <sz val="12"/>
        <rFont val="Times New Roman"/>
        <family val="1"/>
      </rPr>
      <t xml:space="preserve">        </t>
    </r>
    <r>
      <rPr>
        <sz val="12"/>
        <rFont val="新細明體"/>
        <family val="1"/>
        <charset val="136"/>
      </rPr>
      <t>號：</t>
    </r>
    <phoneticPr fontId="4" type="noConversion"/>
  </si>
  <si>
    <r>
      <rPr>
        <sz val="12"/>
        <rFont val="細明體"/>
        <family val="3"/>
        <charset val="136"/>
      </rPr>
      <t>項次</t>
    </r>
    <phoneticPr fontId="4" type="noConversion"/>
  </si>
  <si>
    <r>
      <rPr>
        <sz val="12"/>
        <rFont val="新細明體"/>
        <family val="1"/>
        <charset val="136"/>
      </rPr>
      <t>產品編號</t>
    </r>
    <phoneticPr fontId="4" type="noConversion"/>
  </si>
  <si>
    <r>
      <rPr>
        <sz val="12"/>
        <rFont val="新細明體"/>
        <family val="1"/>
        <charset val="136"/>
      </rPr>
      <t>數量</t>
    </r>
  </si>
  <si>
    <r>
      <rPr>
        <sz val="12"/>
        <rFont val="新細明體"/>
        <family val="1"/>
        <charset val="136"/>
      </rPr>
      <t>單價</t>
    </r>
  </si>
  <si>
    <t>公司</t>
  </si>
  <si>
    <t>編號</t>
  </si>
  <si>
    <t>公司全稱</t>
  </si>
  <si>
    <t>聯絡人</t>
    <phoneticPr fontId="20" type="noConversion"/>
  </si>
  <si>
    <t>電話</t>
  </si>
  <si>
    <t>傳真</t>
    <phoneticPr fontId="20" type="noConversion"/>
  </si>
  <si>
    <t>地址</t>
    <phoneticPr fontId="20" type="noConversion"/>
  </si>
  <si>
    <t>主要項目</t>
    <phoneticPr fontId="20" type="noConversion"/>
  </si>
  <si>
    <t>次要項目</t>
    <phoneticPr fontId="20" type="noConversion"/>
  </si>
  <si>
    <t>韃明</t>
  </si>
  <si>
    <t>2A001A</t>
  </si>
  <si>
    <t>韃明企業有限公司</t>
  </si>
  <si>
    <t>傅勝輝</t>
  </si>
  <si>
    <t>台中市大里區仁化路221巷49號</t>
  </si>
  <si>
    <t>鍍鋅</t>
    <phoneticPr fontId="20" type="noConversion"/>
  </si>
  <si>
    <t>東昱</t>
  </si>
  <si>
    <t>2M001A</t>
  </si>
  <si>
    <t>東昱機械有限公司</t>
  </si>
  <si>
    <t>進度-吳s.許S</t>
  </si>
  <si>
    <t>台中市大里區東興路501巷57號</t>
  </si>
  <si>
    <t>登裕</t>
  </si>
  <si>
    <t>2M002A</t>
  </si>
  <si>
    <t>登裕機械有限公司</t>
  </si>
  <si>
    <t>蕭宏振</t>
  </si>
  <si>
    <t>04-25620502</t>
  </si>
  <si>
    <t>台中市神岡區豐洲路980巷75號</t>
  </si>
  <si>
    <t>鼎創</t>
  </si>
  <si>
    <t>2T001A</t>
  </si>
  <si>
    <t>鼎創精密科技有限公司</t>
  </si>
  <si>
    <t>宋軒德</t>
  </si>
  <si>
    <t>台中市神岡區豐洲路1407巷45之1號</t>
  </si>
  <si>
    <t>2UA001A</t>
  </si>
  <si>
    <t>劉昆明</t>
  </si>
  <si>
    <t>台中市大雅區永和路109-13號</t>
  </si>
  <si>
    <t>鼎力</t>
  </si>
  <si>
    <t>2X001A</t>
  </si>
  <si>
    <t>鼎力精密工業社</t>
  </si>
  <si>
    <t>陳宥叡</t>
  </si>
  <si>
    <t>台中市神岡區東洲路131號</t>
  </si>
  <si>
    <t>展旺</t>
  </si>
  <si>
    <t>5J001A</t>
  </si>
  <si>
    <t>展旺實業社</t>
  </si>
  <si>
    <t>楊石清</t>
  </si>
  <si>
    <t>台中市豐原區東洲路186巷30-1號</t>
  </si>
  <si>
    <t>孔平外</t>
    <phoneticPr fontId="20" type="noConversion"/>
  </si>
  <si>
    <t>正燁</t>
  </si>
  <si>
    <t>5U001A</t>
  </si>
  <si>
    <t>正燁成研有限公司</t>
  </si>
  <si>
    <t>廖三貴</t>
  </si>
  <si>
    <t>台中市大雅區中山11路81之1號</t>
  </si>
  <si>
    <t>磨牙</t>
    <phoneticPr fontId="20" type="noConversion"/>
  </si>
  <si>
    <t>展歆</t>
  </si>
  <si>
    <t>5V001A</t>
  </si>
  <si>
    <t>鎂光</t>
  </si>
  <si>
    <t>AE001A</t>
  </si>
  <si>
    <t>鎂光熱處理廠股份有限公司</t>
    <phoneticPr fontId="20" type="noConversion"/>
  </si>
  <si>
    <t>葉鎮銓</t>
  </si>
  <si>
    <t>台中市神岡區大富路112號</t>
  </si>
  <si>
    <t>熱處理</t>
    <phoneticPr fontId="20" type="noConversion"/>
  </si>
  <si>
    <t>名慶</t>
  </si>
  <si>
    <t>AF001A</t>
  </si>
  <si>
    <t>名慶齒輪實業有限公司</t>
  </si>
  <si>
    <t>戴宗慶</t>
  </si>
  <si>
    <t>插齒</t>
    <phoneticPr fontId="20" type="noConversion"/>
  </si>
  <si>
    <t>琝錡</t>
  </si>
  <si>
    <t>AF002A</t>
  </si>
  <si>
    <t>琝錡角鋼倉儲設備行</t>
    <phoneticPr fontId="20" type="noConversion"/>
  </si>
  <si>
    <t>04-25207968</t>
  </si>
  <si>
    <t>台中市豐原區豐原大道８段255號</t>
  </si>
  <si>
    <t>角鋼架</t>
    <phoneticPr fontId="20" type="noConversion"/>
  </si>
  <si>
    <t>旻傑</t>
  </si>
  <si>
    <t>AR001A</t>
  </si>
  <si>
    <t>旻傑企業股份有限公司</t>
  </si>
  <si>
    <t>04 2491 2670</t>
  </si>
  <si>
    <t>412 臺中市大里區仁化路125巷20號</t>
  </si>
  <si>
    <t>泡殼</t>
    <phoneticPr fontId="20" type="noConversion"/>
  </si>
  <si>
    <t>旻成</t>
  </si>
  <si>
    <t>AT001A</t>
  </si>
  <si>
    <t>旻成齒輪(股)公司</t>
  </si>
  <si>
    <t>臺中市大里區仁化路99號</t>
  </si>
  <si>
    <t>傘齒輪</t>
    <phoneticPr fontId="20" type="noConversion"/>
  </si>
  <si>
    <t>榮億</t>
  </si>
  <si>
    <t>BU002A</t>
  </si>
  <si>
    <t>榮億企業廠</t>
  </si>
  <si>
    <t>陳明賢</t>
  </si>
  <si>
    <t>台中市豐原區文化街72巷9號</t>
  </si>
  <si>
    <t>瑞陽</t>
  </si>
  <si>
    <t>BU003A</t>
  </si>
  <si>
    <t>瑞陽工業社</t>
  </si>
  <si>
    <t>楊旭政</t>
  </si>
  <si>
    <t>暉巨</t>
  </si>
  <si>
    <t>CR001</t>
  </si>
  <si>
    <t>暉巨鋁合金科技有限公司</t>
    <phoneticPr fontId="20" type="noConversion"/>
  </si>
  <si>
    <t>420台中市豐原區東洲路186巷7號</t>
  </si>
  <si>
    <t>鋁材</t>
    <phoneticPr fontId="20" type="noConversion"/>
  </si>
  <si>
    <t>鴻吉</t>
  </si>
  <si>
    <t>CR002A</t>
  </si>
  <si>
    <t>鴻吉電鍍</t>
  </si>
  <si>
    <t>台中市豐原區豐南街240巷333弄22號</t>
  </si>
  <si>
    <t>宏旭</t>
  </si>
  <si>
    <t>CV001A</t>
  </si>
  <si>
    <t>宏旭企業社</t>
  </si>
  <si>
    <t>涂政傑</t>
  </si>
  <si>
    <t>台中市豐原區西湳里葫蘆墩一街106號</t>
  </si>
  <si>
    <t>線割</t>
    <phoneticPr fontId="20" type="noConversion"/>
  </si>
  <si>
    <t>鴻利</t>
  </si>
  <si>
    <t>CX001</t>
  </si>
  <si>
    <t>鴻利鐵工廠</t>
  </si>
  <si>
    <t>葉鴻騰</t>
  </si>
  <si>
    <t>台中市神岡區豐洲里前寮路22之3</t>
  </si>
  <si>
    <t>國鐽</t>
  </si>
  <si>
    <t>E2001</t>
  </si>
  <si>
    <t>國鐽金屬工業有限公司</t>
  </si>
  <si>
    <t>林文讚</t>
  </si>
  <si>
    <t>台中市豐原區水源路258巷7弄18號</t>
  </si>
  <si>
    <t>高週波</t>
    <phoneticPr fontId="20" type="noConversion"/>
  </si>
  <si>
    <t>廣昱</t>
  </si>
  <si>
    <t>EM001</t>
  </si>
  <si>
    <t>廣昱工業有限公司</t>
  </si>
  <si>
    <t>紀志明</t>
  </si>
  <si>
    <t>台中市清水區南社里南興路78號</t>
  </si>
  <si>
    <t>光陽</t>
  </si>
  <si>
    <t>EU001</t>
  </si>
  <si>
    <t>光陽印刷廠</t>
  </si>
  <si>
    <t>高碳</t>
  </si>
  <si>
    <t>EW001A</t>
  </si>
  <si>
    <t>高碳特殊鋼鐵股份有限公司</t>
  </si>
  <si>
    <t>彰化縣埔心鄉經口村鎮國路24號</t>
  </si>
  <si>
    <t>高福</t>
  </si>
  <si>
    <t>EZ001A</t>
  </si>
  <si>
    <t>高福鋼材行</t>
    <phoneticPr fontId="20" type="noConversion"/>
  </si>
  <si>
    <t>李小姐</t>
  </si>
  <si>
    <t>材料行</t>
    <phoneticPr fontId="20" type="noConversion"/>
  </si>
  <si>
    <t>銓德</t>
  </si>
  <si>
    <t>銓德精密有限公司</t>
  </si>
  <si>
    <t>呂添德</t>
  </si>
  <si>
    <t>台中市豐原區朴子街409巷22弄8號</t>
  </si>
  <si>
    <t>慶昌</t>
  </si>
  <si>
    <t>FT001A</t>
  </si>
  <si>
    <t>慶昌齒輪企業有限公司</t>
  </si>
  <si>
    <t>陳振峰</t>
  </si>
  <si>
    <t>台中市神岡區東洲路137-12號</t>
  </si>
  <si>
    <t>車滾</t>
    <phoneticPr fontId="20" type="noConversion"/>
  </si>
  <si>
    <t>勤佑</t>
  </si>
  <si>
    <t>FU005</t>
  </si>
  <si>
    <t>勤佑工業社</t>
  </si>
  <si>
    <t>蔡榮桂</t>
  </si>
  <si>
    <t>台中市豐原區豐原大道二段230巷26號</t>
  </si>
  <si>
    <t>聖財</t>
  </si>
  <si>
    <t>GH001A</t>
  </si>
  <si>
    <t>聖財不鏽鋼有限公司</t>
    <phoneticPr fontId="20" type="noConversion"/>
  </si>
  <si>
    <t>張六財</t>
  </si>
  <si>
    <t>台中市豐原區圓環東路696號</t>
  </si>
  <si>
    <t>不鏽鋼</t>
    <phoneticPr fontId="20" type="noConversion"/>
  </si>
  <si>
    <t>伸源</t>
  </si>
  <si>
    <t>GM001A</t>
  </si>
  <si>
    <t>伸源鐵工廠</t>
  </si>
  <si>
    <t>張先生</t>
  </si>
  <si>
    <t>台中市豐原區豐中路126號</t>
  </si>
  <si>
    <t>聖昌</t>
  </si>
  <si>
    <t>GT001</t>
  </si>
  <si>
    <t>聖昌金屬股份有限公司</t>
  </si>
  <si>
    <t>吳泉興</t>
  </si>
  <si>
    <t>台中市太平區新仁路一段四十四巷五之二弄1號</t>
  </si>
  <si>
    <t>GUZ001A</t>
  </si>
  <si>
    <t>伸易發科技有限公司</t>
  </si>
  <si>
    <t>朱景煒</t>
  </si>
  <si>
    <t>神岡區東洲路211-7號</t>
  </si>
  <si>
    <t>槍鑽</t>
    <phoneticPr fontId="20" type="noConversion"/>
  </si>
  <si>
    <t>廣德</t>
  </si>
  <si>
    <t>GV001A</t>
  </si>
  <si>
    <t>廣德紙業有限公司</t>
  </si>
  <si>
    <t>莊文傑</t>
  </si>
  <si>
    <t>台中市豐原區東洲路186巷11號</t>
  </si>
  <si>
    <t>上利</t>
  </si>
  <si>
    <t>GX001A</t>
  </si>
  <si>
    <t>上利精密工業有限公司</t>
  </si>
  <si>
    <t>何郁欣</t>
  </si>
  <si>
    <t>台中市神岡區神洲路458巷20號</t>
  </si>
  <si>
    <t>唯勝</t>
  </si>
  <si>
    <t>JGDA001A</t>
  </si>
  <si>
    <t>唯勝科貿有限公司</t>
  </si>
  <si>
    <t>台中市北屯區北屯路453號</t>
  </si>
  <si>
    <t>威逞</t>
  </si>
  <si>
    <t>JT004A</t>
  </si>
  <si>
    <t>威逞齒輪事業有限公司</t>
  </si>
  <si>
    <t>洪先生</t>
  </si>
  <si>
    <t>台中市烏日區溪南路一段357巷105號</t>
  </si>
  <si>
    <t>齒研</t>
    <phoneticPr fontId="20" type="noConversion"/>
  </si>
  <si>
    <t>詠鉦</t>
  </si>
  <si>
    <t>M5001A</t>
  </si>
  <si>
    <t>陳奕宏</t>
  </si>
  <si>
    <t>台中市神岡區大豐路5段455巷21號</t>
  </si>
  <si>
    <t>外研</t>
    <phoneticPr fontId="20" type="noConversion"/>
  </si>
  <si>
    <t>源陞</t>
  </si>
  <si>
    <t>MG002A</t>
  </si>
  <si>
    <t>源陞齒輪有限公司</t>
  </si>
  <si>
    <t>王金生</t>
  </si>
  <si>
    <t>台中市東區十甲東路71號</t>
  </si>
  <si>
    <t>拉六栓</t>
    <phoneticPr fontId="20" type="noConversion"/>
  </si>
  <si>
    <t>永晉</t>
  </si>
  <si>
    <t>MR001A</t>
  </si>
  <si>
    <t>永晉工業社</t>
  </si>
  <si>
    <t>徐鈺晉</t>
  </si>
  <si>
    <t>台中市豐原區豐年路109巷95號</t>
  </si>
  <si>
    <t>孔平外</t>
    <phoneticPr fontId="20" type="noConversion"/>
  </si>
  <si>
    <t>MUT001A</t>
  </si>
  <si>
    <t>原億昌機械股份有限公司</t>
  </si>
  <si>
    <t>台中市烏日區溪南路三段752號</t>
  </si>
  <si>
    <t>滾齒條研齒條</t>
    <phoneticPr fontId="20" type="noConversion"/>
  </si>
  <si>
    <t>圓興</t>
  </si>
  <si>
    <t>MV001A</t>
  </si>
  <si>
    <t>圓興內磨工業社</t>
  </si>
  <si>
    <t>張秋棠</t>
  </si>
  <si>
    <t>台中市西屯區廣福路352巷67-2號</t>
  </si>
  <si>
    <t>直孔</t>
    <phoneticPr fontId="20" type="noConversion"/>
  </si>
  <si>
    <t>永泰</t>
  </si>
  <si>
    <t>MWU001A</t>
  </si>
  <si>
    <t>馮天平</t>
  </si>
  <si>
    <t>台中市大雅區昌平路四段282巷321號</t>
  </si>
  <si>
    <t>打洞</t>
    <phoneticPr fontId="20" type="noConversion"/>
  </si>
  <si>
    <t>原富</t>
  </si>
  <si>
    <t>MZ001A</t>
  </si>
  <si>
    <t>原富精密工業有限公司</t>
  </si>
  <si>
    <t>鍾漢承</t>
  </si>
  <si>
    <t>台中市豐原區豐社路77號</t>
  </si>
  <si>
    <t>郁豐</t>
  </si>
  <si>
    <t>MZ004A</t>
  </si>
  <si>
    <t>郁豐精密放電社</t>
  </si>
  <si>
    <t>朱郁洲</t>
  </si>
  <si>
    <t>台中市豐原區角潭路二段195巷11號</t>
  </si>
  <si>
    <t>沛得</t>
  </si>
  <si>
    <t>Q2001A</t>
  </si>
  <si>
    <t>沛得科技有限公司</t>
  </si>
  <si>
    <t>陳俊林</t>
  </si>
  <si>
    <t>台中市烏日區溪南路１段18巷57之6號</t>
  </si>
  <si>
    <t>放電</t>
    <phoneticPr fontId="20" type="noConversion"/>
  </si>
  <si>
    <t>駿榮</t>
  </si>
  <si>
    <t>RB001A</t>
  </si>
  <si>
    <t>駿榮工業社</t>
  </si>
  <si>
    <t>黃進楠</t>
  </si>
  <si>
    <t>台中市東區東光園路100巷6弄34號</t>
  </si>
  <si>
    <t>倒角</t>
    <phoneticPr fontId="20" type="noConversion"/>
  </si>
  <si>
    <t>鉅煌</t>
  </si>
  <si>
    <t>RC001A</t>
  </si>
  <si>
    <t>鉅煌工業社</t>
  </si>
  <si>
    <t>林洲煌</t>
  </si>
  <si>
    <t>台中市振興路280巷39弄18號</t>
  </si>
  <si>
    <t>錦億</t>
  </si>
  <si>
    <t>RU001A</t>
  </si>
  <si>
    <t>錦億鐵工廠</t>
  </si>
  <si>
    <t>何明昆</t>
  </si>
  <si>
    <t>台中市神岡區豐洲路329號</t>
  </si>
  <si>
    <t>健發</t>
  </si>
  <si>
    <t>RZ002A</t>
  </si>
  <si>
    <t>健發齒輪有限公司</t>
  </si>
  <si>
    <t>蕭信勇</t>
  </si>
  <si>
    <t>台中市大里區仁化路221巷28號</t>
  </si>
  <si>
    <t>陳宏</t>
  </si>
  <si>
    <t>TC001A</t>
  </si>
  <si>
    <t>陳宏機械工業股份有限公司</t>
  </si>
  <si>
    <t>陳俊宏</t>
  </si>
  <si>
    <t>錩弘</t>
  </si>
  <si>
    <t>TC002A</t>
  </si>
  <si>
    <t>錩弘金屬工業(股)公司</t>
  </si>
  <si>
    <t>游高藤</t>
  </si>
  <si>
    <t>台中市龍井區工業路192號</t>
  </si>
  <si>
    <t>條質氮化</t>
    <phoneticPr fontId="20" type="noConversion"/>
  </si>
  <si>
    <t>昶岳</t>
  </si>
  <si>
    <t>TM001A</t>
  </si>
  <si>
    <t>昶岳科技有限公司</t>
  </si>
  <si>
    <t>涂育良</t>
  </si>
  <si>
    <t>台中市豐原區圓環北路２段306號</t>
  </si>
  <si>
    <t>晟穎</t>
  </si>
  <si>
    <t>TU001A</t>
  </si>
  <si>
    <t>晟穎工業社</t>
  </si>
  <si>
    <t>劉茂林</t>
  </si>
  <si>
    <t>台中市豐原區田心路二段152巷47弄3號</t>
  </si>
  <si>
    <t>丞益</t>
  </si>
  <si>
    <t>TU002A</t>
  </si>
  <si>
    <t>丞益企業社</t>
  </si>
  <si>
    <t>林國益</t>
  </si>
  <si>
    <t>長信</t>
  </si>
  <si>
    <t>TV001A</t>
  </si>
  <si>
    <t>長信金屬工業(股)公司</t>
  </si>
  <si>
    <t>石崑酉</t>
  </si>
  <si>
    <t>高週波</t>
    <phoneticPr fontId="20" type="noConversion"/>
  </si>
  <si>
    <t>益僑</t>
  </si>
  <si>
    <t>UF001A</t>
  </si>
  <si>
    <t>益僑工業股份有限公司</t>
  </si>
  <si>
    <t>呂宇勝</t>
  </si>
  <si>
    <t>台中市神岡區大富路61巷62號</t>
  </si>
  <si>
    <t>電鍍</t>
    <phoneticPr fontId="20" type="noConversion"/>
  </si>
  <si>
    <t>盈錫</t>
  </si>
  <si>
    <t>UV001A</t>
  </si>
  <si>
    <t>盈錫精密工業股份有限公司</t>
  </si>
  <si>
    <t>工廠:豐原區鎌村路654號</t>
  </si>
  <si>
    <t>益鈦</t>
  </si>
  <si>
    <t>UW001A</t>
  </si>
  <si>
    <t>益鈦企業股份有限公司</t>
  </si>
  <si>
    <t>陳永欽</t>
  </si>
  <si>
    <t>彰化縣埔鹽鄉彰水路一段286-5號</t>
  </si>
  <si>
    <t>鍍鈦</t>
    <phoneticPr fontId="20" type="noConversion"/>
  </si>
  <si>
    <t>穎隆</t>
  </si>
  <si>
    <t>UX001A</t>
  </si>
  <si>
    <t>穎隆齒輪股份有限公司</t>
  </si>
  <si>
    <t>Bruse</t>
  </si>
  <si>
    <t>台中市東區天乙街149巷30-1號</t>
  </si>
  <si>
    <t>插齒</t>
    <phoneticPr fontId="20" type="noConversion"/>
  </si>
  <si>
    <t>新瑞</t>
  </si>
  <si>
    <t>VB001A</t>
  </si>
  <si>
    <t>新瑞精密企業社</t>
  </si>
  <si>
    <t>洪君豪</t>
  </si>
  <si>
    <t>台中市外埔區土城路432號</t>
  </si>
  <si>
    <t>鑫光</t>
  </si>
  <si>
    <t>VE001A</t>
  </si>
  <si>
    <t>鑫光金屬工業股份有限公司</t>
  </si>
  <si>
    <t>曾司機</t>
  </si>
  <si>
    <t>苗栗縣三義鄉西湖村伯公坑40-9號(三義工業區)</t>
  </si>
  <si>
    <t>熱處理</t>
    <phoneticPr fontId="20" type="noConversion"/>
  </si>
  <si>
    <t>新普</t>
  </si>
  <si>
    <t>VQ001A</t>
  </si>
  <si>
    <t>新普機械</t>
  </si>
  <si>
    <t>孫麗如</t>
  </si>
  <si>
    <t>台中市工業區39路46號</t>
  </si>
  <si>
    <t>滾+研六栓</t>
    <phoneticPr fontId="20" type="noConversion"/>
  </si>
  <si>
    <t>錫昌</t>
  </si>
  <si>
    <t>VT001A</t>
  </si>
  <si>
    <t>錫昌科技企業有限公司(鼎豐)</t>
  </si>
  <si>
    <t>孔平外+齒研</t>
    <phoneticPr fontId="20" type="noConversion"/>
  </si>
  <si>
    <t>矽新</t>
  </si>
  <si>
    <t>VV002A</t>
  </si>
  <si>
    <t>矽新企業社</t>
  </si>
  <si>
    <t>游仕賢</t>
  </si>
  <si>
    <t>台中市潭子區豐興路一段一巷3號</t>
  </si>
  <si>
    <t>天豪</t>
  </si>
  <si>
    <t>WC001A</t>
  </si>
  <si>
    <t>天豪企業社</t>
  </si>
  <si>
    <t>劉錦輝</t>
  </si>
  <si>
    <t>台中市烏日區環中路8段588巷19弄1-9號</t>
  </si>
  <si>
    <t>天文</t>
  </si>
  <si>
    <t>WJ001A</t>
  </si>
  <si>
    <t>天文貿易股份有限公司</t>
  </si>
  <si>
    <t>葉惠祥</t>
  </si>
  <si>
    <t>台中市神岡區庄前路35-5號</t>
  </si>
  <si>
    <t>鈦揚</t>
  </si>
  <si>
    <t>WU0001</t>
  </si>
  <si>
    <t>鈦揚企業股份有限公司</t>
  </si>
  <si>
    <t>黃浩瀚</t>
  </si>
  <si>
    <t>台中市大甲區幼獅工業區工一路16號</t>
  </si>
  <si>
    <t>隆棋</t>
  </si>
  <si>
    <t>XF001A</t>
  </si>
  <si>
    <t>隆棋工業社</t>
  </si>
  <si>
    <t>龍瑜</t>
  </si>
  <si>
    <t>XM001A</t>
  </si>
  <si>
    <t>龍瑜有限公司</t>
  </si>
  <si>
    <t>林孫龍</t>
  </si>
  <si>
    <t>台中市神岡區大豐路5段71巷20號</t>
  </si>
  <si>
    <t>聯鑫</t>
  </si>
  <si>
    <t>XV001A</t>
  </si>
  <si>
    <t>聯鑫工業社</t>
  </si>
  <si>
    <t>陳金錠</t>
  </si>
  <si>
    <t>台中市大雅區前村東路31巷2號</t>
  </si>
  <si>
    <t>XZ001</t>
  </si>
  <si>
    <t>陳春峰</t>
  </si>
  <si>
    <t>台中市潭子區大富里大富路三段165巷12-3號</t>
  </si>
  <si>
    <t>資揚</t>
  </si>
  <si>
    <t>YU001A</t>
  </si>
  <si>
    <t>資揚工業有限公司</t>
  </si>
  <si>
    <t>楊慶銘</t>
  </si>
  <si>
    <t>台中市潭子區豐栗路133巷29號</t>
  </si>
  <si>
    <t>Z0001A</t>
  </si>
  <si>
    <t>豐原工業股份有限公司</t>
  </si>
  <si>
    <t>台中市潭子區豐栗路100巷18號</t>
  </si>
  <si>
    <t>富川</t>
  </si>
  <si>
    <t>ZT001A</t>
  </si>
  <si>
    <t>富川精密科技有限公司</t>
  </si>
  <si>
    <t>陳英傑</t>
  </si>
  <si>
    <t>台中市神岡區北庄里中山路989巷7號</t>
  </si>
  <si>
    <t>飛輪</t>
  </si>
  <si>
    <t>ZX001A</t>
  </si>
  <si>
    <t>飛輪精密企業有限公司</t>
  </si>
  <si>
    <t>周建良</t>
  </si>
  <si>
    <t>台中市大里區國中路502號</t>
  </si>
  <si>
    <t>同裕利</t>
  </si>
  <si>
    <t>WMX001</t>
  </si>
  <si>
    <t>同裕利有限公司</t>
  </si>
  <si>
    <t>鍾瑞亭</t>
  </si>
  <si>
    <t>台中市豐原區大勇街53號</t>
  </si>
  <si>
    <t>立融</t>
    <phoneticPr fontId="20" type="noConversion"/>
  </si>
  <si>
    <t>XB002A</t>
    <phoneticPr fontId="20" type="noConversion"/>
  </si>
  <si>
    <t>立融儀器貿易有限公司</t>
  </si>
  <si>
    <t>林瑞進</t>
    <phoneticPr fontId="20" type="noConversion"/>
  </si>
  <si>
    <t>台中市西屯區黎明路3段527號</t>
  </si>
  <si>
    <t>元準</t>
    <phoneticPr fontId="20" type="noConversion"/>
  </si>
  <si>
    <t>M5003A</t>
  </si>
  <si>
    <t>元準貿易有限公司</t>
  </si>
  <si>
    <t>台中市南屯區大墩三街140號</t>
  </si>
  <si>
    <t>星隆</t>
    <phoneticPr fontId="4" type="noConversion"/>
  </si>
  <si>
    <t>VB002A</t>
    <phoneticPr fontId="20" type="noConversion"/>
  </si>
  <si>
    <t>星隆貿易股份有限公司</t>
    <phoneticPr fontId="4" type="noConversion"/>
  </si>
  <si>
    <t>林英松</t>
    <phoneticPr fontId="20" type="noConversion"/>
  </si>
  <si>
    <t>401 台中市東區建德街233號</t>
  </si>
  <si>
    <t>維志</t>
    <phoneticPr fontId="20" type="noConversion"/>
  </si>
  <si>
    <t>J5002A</t>
    <phoneticPr fontId="20" type="noConversion"/>
  </si>
  <si>
    <t>維志工業股份有限公司</t>
    <phoneticPr fontId="20" type="noConversion"/>
  </si>
  <si>
    <t>台中市西屯區協和里工業區34路56之1號</t>
    <phoneticPr fontId="20" type="noConversion"/>
  </si>
  <si>
    <t>優廉</t>
    <phoneticPr fontId="20" type="noConversion"/>
  </si>
  <si>
    <t>UX002A</t>
    <phoneticPr fontId="20" type="noConversion"/>
  </si>
  <si>
    <t>優廉機器有限公司</t>
    <phoneticPr fontId="20" type="noConversion"/>
  </si>
  <si>
    <t>游總經理</t>
    <phoneticPr fontId="20" type="noConversion"/>
  </si>
  <si>
    <t>427 台中市潭子區豐栗路118號</t>
    <phoneticPr fontId="20" type="noConversion"/>
  </si>
  <si>
    <t>三英</t>
    <phoneticPr fontId="20" type="noConversion"/>
  </si>
  <si>
    <t>NU002A</t>
  </si>
  <si>
    <t>三英鋼鐵(股)有限公司</t>
  </si>
  <si>
    <t>吳上旻</t>
    <phoneticPr fontId="20" type="noConversion"/>
  </si>
  <si>
    <t>07-3741352</t>
  </si>
  <si>
    <t>高雄市仁武區仁心路311號</t>
  </si>
  <si>
    <t>鍛造料</t>
    <phoneticPr fontId="20" type="noConversion"/>
  </si>
  <si>
    <t>占益</t>
    <phoneticPr fontId="20" type="noConversion"/>
  </si>
  <si>
    <t>5U001</t>
  </si>
  <si>
    <t>占益機械股份有限公司</t>
    <phoneticPr fontId="20" type="noConversion"/>
  </si>
  <si>
    <t>429台中市神岡區大明路191巷101號</t>
    <phoneticPr fontId="20" type="noConversion"/>
  </si>
  <si>
    <t>鈞諺</t>
    <phoneticPr fontId="20" type="noConversion"/>
  </si>
  <si>
    <t>RU002A</t>
  </si>
  <si>
    <t>鈞諺工業有限公司</t>
  </si>
  <si>
    <t>林建緯</t>
  </si>
  <si>
    <t>04-25631217</t>
  </si>
  <si>
    <t>台中市神岡區庄後里9鄰厚生路66-1號</t>
  </si>
  <si>
    <t>熾優</t>
    <phoneticPr fontId="20" type="noConversion"/>
  </si>
  <si>
    <t>TU003A</t>
  </si>
  <si>
    <t>熾優機械股份有限公司</t>
  </si>
  <si>
    <t>黃于菁</t>
  </si>
  <si>
    <t>台中市西屯區台中工業區42路8-1號</t>
  </si>
  <si>
    <t>栗堡</t>
    <phoneticPr fontId="20" type="noConversion"/>
  </si>
  <si>
    <t>X1001A</t>
  </si>
  <si>
    <t>栗堡鐵工廠</t>
  </si>
  <si>
    <t>台中市潭子區中山路3段305巷91弄1號</t>
    <phoneticPr fontId="20" type="noConversion"/>
  </si>
  <si>
    <t>錩興</t>
    <phoneticPr fontId="20" type="noConversion"/>
  </si>
  <si>
    <t>TV002A</t>
    <phoneticPr fontId="20" type="noConversion"/>
  </si>
  <si>
    <t>錩興有限公司</t>
  </si>
  <si>
    <t>廖添壽</t>
  </si>
  <si>
    <t>台臆</t>
    <phoneticPr fontId="20" type="noConversion"/>
  </si>
  <si>
    <t>WU001A</t>
    <phoneticPr fontId="20" type="noConversion"/>
  </si>
  <si>
    <t>台臆金屬工業有限公司</t>
  </si>
  <si>
    <t>彰化縣芬園鄉茄荖村嘉中街743巷60號</t>
    <phoneticPr fontId="20" type="noConversion"/>
  </si>
  <si>
    <t>六栓</t>
    <phoneticPr fontId="20" type="noConversion"/>
  </si>
  <si>
    <t>易興</t>
    <phoneticPr fontId="20" type="noConversion"/>
  </si>
  <si>
    <t>易興工業社</t>
    <phoneticPr fontId="20" type="noConversion"/>
  </si>
  <si>
    <t>王博民</t>
    <phoneticPr fontId="20" type="noConversion"/>
  </si>
  <si>
    <t>精大</t>
    <phoneticPr fontId="20" type="noConversion"/>
  </si>
  <si>
    <t>R2003A</t>
  </si>
  <si>
    <t>精大工業社</t>
    <phoneticPr fontId="20" type="noConversion"/>
  </si>
  <si>
    <t>宋定穎</t>
    <phoneticPr fontId="20" type="noConversion"/>
  </si>
  <si>
    <t>台中市神岡區八德路520號</t>
    <phoneticPr fontId="20" type="noConversion"/>
  </si>
  <si>
    <t>銑床</t>
    <phoneticPr fontId="20" type="noConversion"/>
  </si>
  <si>
    <t>東展</t>
  </si>
  <si>
    <t>得宜銘</t>
  </si>
  <si>
    <t>忠達</t>
  </si>
  <si>
    <t>23145 新北市新店區寶興路45巷6弄3號4樓</t>
  </si>
  <si>
    <t>志釗</t>
  </si>
  <si>
    <t>429神岡區大明路174號</t>
  </si>
  <si>
    <t>原億昌</t>
  </si>
  <si>
    <t>台中市大雅區民生路四段281巷26號</t>
  </si>
  <si>
    <t>421 台中市后里區圳寮路93-1號</t>
  </si>
  <si>
    <t>台中市潭子區福貴路1168之15號</t>
  </si>
  <si>
    <t>台中市烏日區前竹村仁義街52號</t>
  </si>
  <si>
    <t>臺中市東區東信里振興路437巷51之5號1樓</t>
  </si>
  <si>
    <t>鑫連峰</t>
  </si>
  <si>
    <t>豐源</t>
  </si>
  <si>
    <t>得宜銘企業股份有限公司</t>
    <phoneticPr fontId="4" type="noConversion"/>
  </si>
  <si>
    <r>
      <rPr>
        <sz val="10"/>
        <color indexed="8"/>
        <rFont val="細明體"/>
        <family val="3"/>
        <charset val="136"/>
      </rPr>
      <t>可空白，不可超過兩個字</t>
    </r>
    <phoneticPr fontId="4" type="noConversion"/>
  </si>
  <si>
    <r>
      <rPr>
        <sz val="10"/>
        <color indexed="8"/>
        <rFont val="細明體"/>
        <family val="3"/>
        <charset val="136"/>
      </rPr>
      <t>單號最後三碼跳號</t>
    </r>
    <phoneticPr fontId="4" type="noConversion"/>
  </si>
  <si>
    <t>代碼開頭</t>
    <phoneticPr fontId="4" type="noConversion"/>
  </si>
  <si>
    <t>單號開頭</t>
    <phoneticPr fontId="4" type="noConversion"/>
  </si>
  <si>
    <t>依廠商簡稱</t>
    <phoneticPr fontId="4" type="noConversion"/>
  </si>
  <si>
    <t>依代碼開頭(2碼)</t>
    <phoneticPr fontId="4" type="noConversion"/>
  </si>
  <si>
    <t>目前顯示廠商</t>
    <phoneticPr fontId="4" type="noConversion"/>
  </si>
  <si>
    <t>車床</t>
    <phoneticPr fontId="20" type="noConversion"/>
  </si>
  <si>
    <t>滾齒</t>
    <phoneticPr fontId="20" type="noConversion"/>
  </si>
  <si>
    <t>台中市豐原區豐栗路336號1樓</t>
    <phoneticPr fontId="4" type="noConversion"/>
  </si>
  <si>
    <t>台中市南區復興路一段152巷6弄8號</t>
    <phoneticPr fontId="4" type="noConversion"/>
  </si>
  <si>
    <t>台中市豐原區忠孝街79巷3號</t>
    <phoneticPr fontId="4" type="noConversion"/>
  </si>
  <si>
    <t>彰化市永芳路540巷65-12號</t>
    <phoneticPr fontId="4" type="noConversion"/>
  </si>
  <si>
    <t>楊融凱</t>
    <phoneticPr fontId="4" type="noConversion"/>
  </si>
  <si>
    <t>04-2539-1910</t>
    <phoneticPr fontId="4" type="noConversion"/>
  </si>
  <si>
    <t>04-2532-3236</t>
    <phoneticPr fontId="4" type="noConversion"/>
  </si>
  <si>
    <t>04-2532-3238</t>
    <phoneticPr fontId="4" type="noConversion"/>
  </si>
  <si>
    <t>真空熱處理</t>
    <phoneticPr fontId="20" type="noConversion"/>
  </si>
  <si>
    <t>拉串插串</t>
    <phoneticPr fontId="20" type="noConversion"/>
  </si>
  <si>
    <t>Φ300以上孔平外</t>
    <phoneticPr fontId="20" type="noConversion"/>
  </si>
  <si>
    <t>染黑</t>
    <phoneticPr fontId="20" type="noConversion"/>
  </si>
  <si>
    <t>鍍鋅化學鎳</t>
    <phoneticPr fontId="20" type="noConversion"/>
  </si>
  <si>
    <t>2孔研</t>
    <phoneticPr fontId="20" type="noConversion"/>
  </si>
  <si>
    <t>儀器</t>
    <phoneticPr fontId="20" type="noConversion"/>
  </si>
  <si>
    <t>滾牙機</t>
    <phoneticPr fontId="20" type="noConversion"/>
  </si>
  <si>
    <t>蝸桿蝸輪</t>
    <phoneticPr fontId="20" type="noConversion"/>
  </si>
  <si>
    <t>拉六栓</t>
    <phoneticPr fontId="20" type="noConversion"/>
  </si>
  <si>
    <t>銑床</t>
    <phoneticPr fontId="20" type="noConversion"/>
  </si>
  <si>
    <t>伸易發</t>
    <phoneticPr fontId="20" type="noConversion"/>
  </si>
  <si>
    <t>尚億達企業有限公司</t>
  </si>
  <si>
    <t>04-2515-3072</t>
    <phoneticPr fontId="20" type="noConversion"/>
  </si>
  <si>
    <t>04-2683-5898</t>
    <phoneticPr fontId="20" type="noConversion"/>
  </si>
  <si>
    <t>04-2681-4635</t>
    <phoneticPr fontId="20" type="noConversion"/>
  </si>
  <si>
    <t>04-2522-5873</t>
  </si>
  <si>
    <t>04-2522-5873</t>
    <phoneticPr fontId="20" type="noConversion"/>
  </si>
  <si>
    <t>04-2538-5669</t>
    <phoneticPr fontId="20" type="noConversion"/>
  </si>
  <si>
    <t>04-2520-7305</t>
  </si>
  <si>
    <t>04-2520-7305</t>
    <phoneticPr fontId="20" type="noConversion"/>
  </si>
  <si>
    <t>04-2536-8799</t>
    <phoneticPr fontId="20" type="noConversion"/>
  </si>
  <si>
    <t>04-2335-8862</t>
    <phoneticPr fontId="20" type="noConversion"/>
  </si>
  <si>
    <t>04-2681-0966</t>
    <phoneticPr fontId="20" type="noConversion"/>
  </si>
  <si>
    <t>04-2212-3759</t>
    <phoneticPr fontId="20" type="noConversion"/>
  </si>
  <si>
    <t>04-2213-4562</t>
    <phoneticPr fontId="20" type="noConversion"/>
  </si>
  <si>
    <t>沈清棋</t>
  </si>
  <si>
    <t>鑫連峰有限公司</t>
  </si>
  <si>
    <t>台中市神岡區大圳路15之7號</t>
  </si>
  <si>
    <t>忠達貿易有限公司</t>
  </si>
  <si>
    <t>張怡婷 #607</t>
  </si>
  <si>
    <t>東展興工有限公司</t>
  </si>
  <si>
    <t>志釗工業有限公司</t>
  </si>
  <si>
    <t>0926-079-777</t>
    <phoneticPr fontId="20" type="noConversion"/>
  </si>
  <si>
    <t>07-372-6905</t>
    <phoneticPr fontId="20" type="noConversion"/>
  </si>
  <si>
    <t>04-2528-2889</t>
    <phoneticPr fontId="20" type="noConversion"/>
  </si>
  <si>
    <t>04-2472-1188</t>
    <phoneticPr fontId="20" type="noConversion"/>
  </si>
  <si>
    <t>04-2561-1001</t>
    <phoneticPr fontId="20" type="noConversion"/>
  </si>
  <si>
    <t>0922-030-797</t>
    <phoneticPr fontId="20" type="noConversion"/>
  </si>
  <si>
    <t>04-2524-3137</t>
    <phoneticPr fontId="20" type="noConversion"/>
  </si>
  <si>
    <t>049-251-0052</t>
    <phoneticPr fontId="20" type="noConversion"/>
  </si>
  <si>
    <t>04-2526-6310</t>
    <phoneticPr fontId="20" type="noConversion"/>
  </si>
  <si>
    <t>04-2568-1829</t>
    <phoneticPr fontId="20" type="noConversion"/>
  </si>
  <si>
    <t>04-2705-3505</t>
    <phoneticPr fontId="20" type="noConversion"/>
  </si>
  <si>
    <t>04-2560-6412</t>
    <phoneticPr fontId="20" type="noConversion"/>
  </si>
  <si>
    <t>04-2522-8179</t>
    <phoneticPr fontId="20" type="noConversion"/>
  </si>
  <si>
    <t>04-2522-4547</t>
    <phoneticPr fontId="20" type="noConversion"/>
  </si>
  <si>
    <t>04-2262-6710</t>
    <phoneticPr fontId="20" type="noConversion"/>
  </si>
  <si>
    <t>04-2512-0920</t>
    <phoneticPr fontId="20" type="noConversion"/>
  </si>
  <si>
    <t>04-2524-2632</t>
    <phoneticPr fontId="20" type="noConversion"/>
  </si>
  <si>
    <t>04-2334-5737</t>
    <phoneticPr fontId="20" type="noConversion"/>
  </si>
  <si>
    <t>02-2911-5226</t>
    <phoneticPr fontId="20" type="noConversion"/>
  </si>
  <si>
    <t>04-2491-2511</t>
    <phoneticPr fontId="20" type="noConversion"/>
  </si>
  <si>
    <t>04-2338-3032</t>
    <phoneticPr fontId="20" type="noConversion"/>
  </si>
  <si>
    <t>04-2407-6601</t>
    <phoneticPr fontId="20" type="noConversion"/>
  </si>
  <si>
    <t>04-2520-1130</t>
    <phoneticPr fontId="20" type="noConversion"/>
  </si>
  <si>
    <t>04-2522-2021</t>
  </si>
  <si>
    <t>04-2335-0129</t>
  </si>
  <si>
    <t>04-2283-4455</t>
  </si>
  <si>
    <t>04-2515-2909</t>
  </si>
  <si>
    <t>04-2523-9824</t>
  </si>
  <si>
    <t>04-2407-4957</t>
  </si>
  <si>
    <t>04-2525-0350</t>
  </si>
  <si>
    <t>04-2335-7828</t>
  </si>
  <si>
    <t>04-2529-0522</t>
  </si>
  <si>
    <t>04-2524-7998</t>
  </si>
  <si>
    <t>04-2534-7385</t>
  </si>
  <si>
    <t>0933-17-2893</t>
  </si>
  <si>
    <t>04-2522-3893</t>
  </si>
  <si>
    <t>04-838-3292</t>
    <phoneticPr fontId="20" type="noConversion"/>
  </si>
  <si>
    <t>04-762-8731</t>
    <phoneticPr fontId="4" type="noConversion"/>
  </si>
  <si>
    <t>04-2493-9876</t>
  </si>
  <si>
    <t>04-2241-7070</t>
  </si>
  <si>
    <t>04-2528-7049</t>
  </si>
  <si>
    <t>04-2565-1051</t>
  </si>
  <si>
    <t>04-2560-7056</t>
  </si>
  <si>
    <t>04-2538-7169</t>
  </si>
  <si>
    <t>0919-090-465</t>
    <phoneticPr fontId="20" type="noConversion"/>
  </si>
  <si>
    <t>04-2358-0666</t>
  </si>
  <si>
    <t>04-2683-0663</t>
  </si>
  <si>
    <t>04-2515-2301</t>
  </si>
  <si>
    <t>04-2211-2743</t>
  </si>
  <si>
    <t>04-2276-5636</t>
  </si>
  <si>
    <t>04-2515-3262</t>
  </si>
  <si>
    <t>04-2534-8702</t>
    <phoneticPr fontId="20" type="noConversion"/>
  </si>
  <si>
    <t>04-2212-4822</t>
  </si>
  <si>
    <t>04-2515-8925</t>
  </si>
  <si>
    <t>04-2562-1970</t>
  </si>
  <si>
    <t>04-2526-2252</t>
  </si>
  <si>
    <t>04-2562-2515</t>
  </si>
  <si>
    <t>04-2359-9380</t>
  </si>
  <si>
    <t>04-2515-3266</t>
  </si>
  <si>
    <t>04-2622-1596</t>
  </si>
  <si>
    <t>04-2524-4908</t>
  </si>
  <si>
    <t>04-2358-7792</t>
  </si>
  <si>
    <t>04-2281-2020</t>
  </si>
  <si>
    <t>04-2522-5509</t>
  </si>
  <si>
    <t>0981-675-065</t>
    <phoneticPr fontId="20" type="noConversion"/>
  </si>
  <si>
    <t>04-2538-5523</t>
  </si>
  <si>
    <t>04-2535-3637</t>
  </si>
  <si>
    <t>04-2533-1131</t>
  </si>
  <si>
    <t>04-2566-8978</t>
  </si>
  <si>
    <t>04-2527-9596</t>
  </si>
  <si>
    <t>04-2280-4420</t>
  </si>
  <si>
    <t>04-2537-8457</t>
  </si>
  <si>
    <t>04-2523-7509</t>
  </si>
  <si>
    <t>04-2535-3168</t>
  </si>
  <si>
    <t>04-2496-2369</t>
  </si>
  <si>
    <t>0976-906-081</t>
    <phoneticPr fontId="20" type="noConversion"/>
  </si>
  <si>
    <t>04-2567-6403</t>
  </si>
  <si>
    <t>04-2520-9167</t>
  </si>
  <si>
    <t>04-2473-6699</t>
  </si>
  <si>
    <t>04-2561-1002</t>
  </si>
  <si>
    <t>04-2523-3560</t>
  </si>
  <si>
    <t>049-251-1845</t>
  </si>
  <si>
    <t>04-2568-1121</t>
  </si>
  <si>
    <t>04-2527-8890</t>
  </si>
  <si>
    <t>04-2568-2036</t>
  </si>
  <si>
    <t>04-2708-0465</t>
  </si>
  <si>
    <t>04-2560-6432</t>
  </si>
  <si>
    <t>04-2525-4029</t>
  </si>
  <si>
    <t>04-2522-6596</t>
  </si>
  <si>
    <t>04-2262-7776</t>
  </si>
  <si>
    <t>04-2512-0884</t>
  </si>
  <si>
    <t>04-2528-9479</t>
  </si>
  <si>
    <t>04-2520-3365</t>
  </si>
  <si>
    <t>04-2520-6919</t>
  </si>
  <si>
    <t>04-2334-5738</t>
  </si>
  <si>
    <t>02-2911-5634</t>
  </si>
  <si>
    <t>04-2491-2524</t>
  </si>
  <si>
    <t>04-2491-2393</t>
  </si>
  <si>
    <t>04-2407-6630</t>
  </si>
  <si>
    <t>04-2529-4667</t>
  </si>
  <si>
    <t>04-2558-5618</t>
  </si>
  <si>
    <t>04-2335-0161</t>
  </si>
  <si>
    <t>04-2281-1635</t>
  </si>
  <si>
    <t>04-2515-2903</t>
  </si>
  <si>
    <t>04-2523-8315</t>
  </si>
  <si>
    <t>04-2407-8737</t>
    <phoneticPr fontId="20" type="noConversion"/>
  </si>
  <si>
    <t>04-2520-3296</t>
  </si>
  <si>
    <t>04-2335-6732</t>
  </si>
  <si>
    <t>04-2529-0523</t>
  </si>
  <si>
    <t>04-2523-0406</t>
  </si>
  <si>
    <t>04-2532-9459</t>
  </si>
  <si>
    <t>04-865-5606</t>
    <phoneticPr fontId="20" type="noConversion"/>
  </si>
  <si>
    <t>04-2524-3342</t>
  </si>
  <si>
    <t>04-838-3293</t>
    <phoneticPr fontId="20" type="noConversion"/>
  </si>
  <si>
    <t>04-763-1860</t>
    <phoneticPr fontId="20" type="noConversion"/>
  </si>
  <si>
    <t>04-2493-9916</t>
  </si>
  <si>
    <t>04-2241-7373</t>
  </si>
  <si>
    <t>04-2524-9414</t>
  </si>
  <si>
    <t>04-2567-6743</t>
  </si>
  <si>
    <t>04-2567-5219</t>
  </si>
  <si>
    <t>04-2561-0895</t>
    <phoneticPr fontId="20" type="noConversion"/>
  </si>
  <si>
    <t>04-2561-0895</t>
    <phoneticPr fontId="20" type="noConversion"/>
  </si>
  <si>
    <t>04-2520-7969</t>
  </si>
  <si>
    <t>04-2562-0503</t>
  </si>
  <si>
    <t>04-2563-1228</t>
  </si>
  <si>
    <t>04-2536-8200</t>
  </si>
  <si>
    <t>04-2358-0665</t>
  </si>
  <si>
    <t>04-2683-9508</t>
  </si>
  <si>
    <t>04-2515-3118</t>
  </si>
  <si>
    <t>04-2211-2821</t>
  </si>
  <si>
    <t>04-2515-3261</t>
  </si>
  <si>
    <t>04-2535-3092</t>
    <phoneticPr fontId="20" type="noConversion"/>
  </si>
  <si>
    <t>04-2213-6780</t>
  </si>
  <si>
    <t>04-2515-8930</t>
  </si>
  <si>
    <t>04-2562-1660</t>
  </si>
  <si>
    <t>04-2529-2872</t>
  </si>
  <si>
    <t>04-2562-2373</t>
  </si>
  <si>
    <t>04-2358-0298</t>
  </si>
  <si>
    <t>04-2515-3728</t>
  </si>
  <si>
    <t>04-2622-1158</t>
  </si>
  <si>
    <t>04-2526-1847</t>
  </si>
  <si>
    <t>04-2359-1401</t>
  </si>
  <si>
    <t>04-2280-1583</t>
  </si>
  <si>
    <t>04-2522-5569</t>
  </si>
  <si>
    <t>04-2638-0685</t>
    <phoneticPr fontId="20" type="noConversion"/>
  </si>
  <si>
    <t>04-2538-5537</t>
  </si>
  <si>
    <t>04-2535-3020</t>
  </si>
  <si>
    <t>04-2532-7805</t>
  </si>
  <si>
    <t>04-2566-0620</t>
  </si>
  <si>
    <t>04-2526-9181</t>
  </si>
  <si>
    <t>04-2281-0571</t>
  </si>
  <si>
    <t>04-2528-3666</t>
  </si>
  <si>
    <t>04-2535-3189</t>
  </si>
  <si>
    <t>04-2496-2378</t>
  </si>
  <si>
    <t>037-878-616</t>
    <phoneticPr fontId="20" type="noConversion"/>
  </si>
  <si>
    <t>04-2567-7437</t>
  </si>
  <si>
    <t>加工廠</t>
    <phoneticPr fontId="20" type="noConversion"/>
  </si>
  <si>
    <t>材料商</t>
    <phoneticPr fontId="20" type="noConversion"/>
  </si>
  <si>
    <t>車床、銑床</t>
    <phoneticPr fontId="20" type="noConversion"/>
  </si>
  <si>
    <t>立磨、孔平外</t>
    <phoneticPr fontId="4" type="noConversion"/>
  </si>
  <si>
    <t>線割、孔平</t>
    <phoneticPr fontId="4" type="noConversion"/>
  </si>
  <si>
    <t>S45C板材</t>
    <phoneticPr fontId="20" type="noConversion"/>
  </si>
  <si>
    <t>車床、孔平外</t>
    <phoneticPr fontId="4" type="noConversion"/>
  </si>
  <si>
    <t>銑床、滾齒、拉串、插串</t>
    <phoneticPr fontId="4" type="noConversion"/>
  </si>
  <si>
    <t>車床、插齒、滾齒</t>
    <phoneticPr fontId="20" type="noConversion"/>
  </si>
  <si>
    <r>
      <t>&lt;-</t>
    </r>
    <r>
      <rPr>
        <sz val="10"/>
        <color rgb="FFFF0000"/>
        <rFont val="細明體"/>
        <family val="3"/>
        <charset val="136"/>
      </rPr>
      <t>優先顯示</t>
    </r>
    <phoneticPr fontId="4" type="noConversion"/>
  </si>
  <si>
    <t>規格</t>
    <phoneticPr fontId="4" type="noConversion"/>
  </si>
  <si>
    <t>5X001A</t>
  </si>
  <si>
    <t>昭立工業股份有限公司</t>
  </si>
  <si>
    <t>昭立</t>
    <phoneticPr fontId="20" type="noConversion"/>
  </si>
  <si>
    <t>趙廣生</t>
    <phoneticPr fontId="20" type="noConversion"/>
  </si>
  <si>
    <t>04-23357698</t>
    <phoneticPr fontId="20" type="noConversion"/>
  </si>
  <si>
    <t>04-23357697</t>
    <phoneticPr fontId="20" type="noConversion"/>
  </si>
  <si>
    <t>台中市烏日區環中路８段332巷85弄86號</t>
  </si>
  <si>
    <t>儀器行</t>
    <phoneticPr fontId="20" type="noConversion"/>
  </si>
  <si>
    <t>儀器行</t>
    <phoneticPr fontId="20" type="noConversion"/>
  </si>
  <si>
    <t>儀器行</t>
    <phoneticPr fontId="20" type="noConversion"/>
  </si>
  <si>
    <t>VU003A</t>
  </si>
  <si>
    <t>祥贏精密有限公司</t>
    <phoneticPr fontId="20" type="noConversion"/>
  </si>
  <si>
    <t>04-24963906</t>
    <phoneticPr fontId="20" type="noConversion"/>
  </si>
  <si>
    <t>04-24963993</t>
    <phoneticPr fontId="20" type="noConversion"/>
  </si>
  <si>
    <t>祥贏</t>
    <phoneticPr fontId="20" type="noConversion"/>
  </si>
  <si>
    <t>RU001</t>
  </si>
  <si>
    <t>進吉不銹鋼興業有限公司</t>
    <phoneticPr fontId="20" type="noConversion"/>
  </si>
  <si>
    <t>進吉</t>
    <phoneticPr fontId="20" type="noConversion"/>
  </si>
  <si>
    <t>04-2382-1909</t>
    <phoneticPr fontId="20" type="noConversion"/>
  </si>
  <si>
    <t>408台中市南屯區筏子東街一段111之8號(工廠)</t>
    <phoneticPr fontId="20" type="noConversion"/>
  </si>
  <si>
    <t>材料行</t>
    <phoneticPr fontId="20" type="noConversion"/>
  </si>
  <si>
    <t>04-23822019</t>
    <phoneticPr fontId="20" type="noConversion"/>
  </si>
  <si>
    <t>2ZM001A</t>
  </si>
  <si>
    <t>04-22130017</t>
    <phoneticPr fontId="20" type="noConversion"/>
  </si>
  <si>
    <t>04-22130214</t>
    <phoneticPr fontId="20" type="noConversion"/>
  </si>
  <si>
    <t>401 台中市東區振興路二八五號</t>
    <phoneticPr fontId="20" type="noConversion"/>
  </si>
  <si>
    <t>東方餘塑膠科技有限公司</t>
    <phoneticPr fontId="20" type="noConversion"/>
  </si>
  <si>
    <t>東方餘</t>
  </si>
  <si>
    <t>平研機、小型砂輪機 使用</t>
  </si>
  <si>
    <t>砂輪片</t>
    <phoneticPr fontId="20" type="noConversion"/>
  </si>
  <si>
    <t>04-2520-9172</t>
    <phoneticPr fontId="20" type="noConversion"/>
  </si>
  <si>
    <t>04-2520-9171</t>
    <phoneticPr fontId="20" type="noConversion"/>
  </si>
  <si>
    <t>台中市神岡區神洲路506巷39號</t>
    <phoneticPr fontId="20" type="noConversion"/>
  </si>
  <si>
    <t>健泓企業有限公司</t>
    <phoneticPr fontId="20" type="noConversion"/>
  </si>
  <si>
    <t>RC001</t>
    <phoneticPr fontId="20" type="noConversion"/>
  </si>
  <si>
    <t>金泰儀器行</t>
    <phoneticPr fontId="20" type="noConversion"/>
  </si>
  <si>
    <t>金泰</t>
    <phoneticPr fontId="20" type="noConversion"/>
  </si>
  <si>
    <t>RW</t>
    <phoneticPr fontId="20" type="noConversion"/>
  </si>
  <si>
    <t>RW001</t>
    <phoneticPr fontId="20" type="noConversion"/>
  </si>
  <si>
    <t>04-2515-5500</t>
    <phoneticPr fontId="20" type="noConversion"/>
  </si>
  <si>
    <t>04-2515-3232</t>
    <phoneticPr fontId="20" type="noConversion"/>
  </si>
  <si>
    <t>台中市豐原區大豐路5段288號</t>
    <phoneticPr fontId="20" type="noConversion"/>
  </si>
  <si>
    <t>豐揚</t>
    <phoneticPr fontId="20" type="noConversion"/>
  </si>
  <si>
    <t>豐揚壓克力有限公司</t>
    <phoneticPr fontId="20" type="noConversion"/>
  </si>
  <si>
    <t>ZU001</t>
    <phoneticPr fontId="20" type="noConversion"/>
  </si>
  <si>
    <t>04-2526-1393</t>
    <phoneticPr fontId="20" type="noConversion"/>
  </si>
  <si>
    <t>04-2529-2844</t>
    <phoneticPr fontId="20" type="noConversion"/>
  </si>
  <si>
    <t>台中市豐原區豐原大道三段215號</t>
    <phoneticPr fontId="20" type="noConversion"/>
  </si>
  <si>
    <t>材料行</t>
    <phoneticPr fontId="20" type="noConversion"/>
  </si>
  <si>
    <t>壓克力</t>
    <phoneticPr fontId="20" type="noConversion"/>
  </si>
  <si>
    <t>台灣東京檢測</t>
    <phoneticPr fontId="20" type="noConversion"/>
  </si>
  <si>
    <t>WJ2R001</t>
    <phoneticPr fontId="20" type="noConversion"/>
  </si>
  <si>
    <t>東京</t>
    <phoneticPr fontId="20" type="noConversion"/>
  </si>
  <si>
    <t>02-8221-5101</t>
    <phoneticPr fontId="20" type="noConversion"/>
  </si>
  <si>
    <t>02-8221-5755</t>
    <phoneticPr fontId="20" type="noConversion"/>
  </si>
  <si>
    <t>新北市中和區板南路498號2樓</t>
    <phoneticPr fontId="20" type="noConversion"/>
  </si>
  <si>
    <t>Tti儀器</t>
    <phoneticPr fontId="20" type="noConversion"/>
  </si>
  <si>
    <t>測針</t>
    <phoneticPr fontId="20" type="noConversion"/>
  </si>
  <si>
    <t>新洲</t>
  </si>
  <si>
    <t>新洲全球股份有限公司</t>
  </si>
  <si>
    <t>V5001A</t>
  </si>
  <si>
    <t>04-2560-6166</t>
    <phoneticPr fontId="20" type="noConversion"/>
  </si>
  <si>
    <t>04-2560-7557</t>
    <phoneticPr fontId="20" type="noConversion"/>
  </si>
  <si>
    <t>台中市大雅區雅秀路165號</t>
    <phoneticPr fontId="20" type="noConversion"/>
  </si>
  <si>
    <t>膠膜 塑膠袋</t>
    <phoneticPr fontId="20" type="noConversion"/>
  </si>
  <si>
    <t>同加</t>
    <phoneticPr fontId="20" type="noConversion"/>
  </si>
  <si>
    <t>04-2386-1720</t>
    <phoneticPr fontId="20" type="noConversion"/>
  </si>
  <si>
    <t>04-2386-3869</t>
    <phoneticPr fontId="20" type="noConversion"/>
  </si>
  <si>
    <t>同加貿易有限公司</t>
    <phoneticPr fontId="20" type="noConversion"/>
  </si>
  <si>
    <t>WR002A</t>
    <phoneticPr fontId="20" type="noConversion"/>
  </si>
  <si>
    <t>儀器行</t>
    <phoneticPr fontId="20" type="noConversion"/>
  </si>
  <si>
    <t>Mitutoyo相關</t>
    <phoneticPr fontId="20" type="noConversion"/>
  </si>
  <si>
    <t>金泰</t>
    <phoneticPr fontId="4" type="noConversion"/>
  </si>
  <si>
    <t>星隆</t>
    <phoneticPr fontId="4" type="noConversion"/>
  </si>
  <si>
    <t>立融</t>
    <phoneticPr fontId="4" type="noConversion"/>
  </si>
  <si>
    <t>同加</t>
    <phoneticPr fontId="4" type="noConversion"/>
  </si>
  <si>
    <t>量具廠商</t>
    <phoneticPr fontId="4" type="noConversion"/>
  </si>
  <si>
    <t>炬鋒</t>
    <phoneticPr fontId="20" type="noConversion"/>
  </si>
  <si>
    <t>RZ001A</t>
    <phoneticPr fontId="20" type="noConversion"/>
  </si>
  <si>
    <t>炬鋒特殊鋼股份有限公司</t>
    <phoneticPr fontId="20" type="noConversion"/>
  </si>
  <si>
    <t>04-2523-3499</t>
    <phoneticPr fontId="20" type="noConversion"/>
  </si>
  <si>
    <t>04-2523-4389</t>
    <phoneticPr fontId="20" type="noConversion"/>
  </si>
  <si>
    <t>台中市豐原區三豐路884巷48弄3號</t>
    <phoneticPr fontId="20" type="noConversion"/>
  </si>
  <si>
    <t>鐵、鋼</t>
    <phoneticPr fontId="20" type="noConversion"/>
  </si>
  <si>
    <t>04-2244-4125</t>
    <phoneticPr fontId="20" type="noConversion"/>
  </si>
  <si>
    <t>04-2244-4128</t>
    <phoneticPr fontId="20" type="noConversion"/>
  </si>
  <si>
    <t>406台中市北屯區北屯路469之4號</t>
    <phoneticPr fontId="20" type="noConversion"/>
  </si>
  <si>
    <t>平研機</t>
    <phoneticPr fontId="20" type="noConversion"/>
  </si>
  <si>
    <t>嘉寶自然工業股份有限公司</t>
    <phoneticPr fontId="20" type="noConversion"/>
  </si>
  <si>
    <t>嘉寶</t>
    <phoneticPr fontId="20" type="noConversion"/>
  </si>
  <si>
    <t>R1001A</t>
    <phoneticPr fontId="20" type="noConversion"/>
  </si>
  <si>
    <t>宜福門電子有限公司</t>
    <phoneticPr fontId="20" type="noConversion"/>
  </si>
  <si>
    <t>80661高雄市前鎮區復興四路12號9樓之6</t>
    <phoneticPr fontId="20" type="noConversion"/>
  </si>
  <si>
    <t>07-335-7778</t>
    <phoneticPr fontId="20" type="noConversion"/>
  </si>
  <si>
    <t>07-335-6878</t>
    <phoneticPr fontId="20" type="noConversion"/>
  </si>
  <si>
    <t>KAPPX零件</t>
    <phoneticPr fontId="20" type="noConversion"/>
  </si>
  <si>
    <t>ifm PT5412壓力傳送器</t>
    <phoneticPr fontId="20" type="noConversion"/>
  </si>
  <si>
    <t>宜福門</t>
    <phoneticPr fontId="20" type="noConversion"/>
  </si>
  <si>
    <t>台中市神岡區五權路106號</t>
  </si>
  <si>
    <t>04-2525-6501</t>
    <phoneticPr fontId="20" type="noConversion"/>
  </si>
  <si>
    <t>04-2525-6629</t>
    <phoneticPr fontId="20" type="noConversion"/>
  </si>
  <si>
    <t>5G001A</t>
    <phoneticPr fontId="20" type="noConversion"/>
  </si>
  <si>
    <t>中國砂輪企業股份有限公司</t>
    <phoneticPr fontId="20" type="noConversion"/>
  </si>
  <si>
    <t>中國砂輪</t>
    <phoneticPr fontId="20" type="noConversion"/>
  </si>
  <si>
    <t>砂輪</t>
    <phoneticPr fontId="20" type="noConversion"/>
  </si>
  <si>
    <t>帶柄砂輪</t>
    <phoneticPr fontId="20" type="noConversion"/>
  </si>
  <si>
    <t>比較便宜</t>
    <phoneticPr fontId="4" type="noConversion"/>
  </si>
  <si>
    <t>元廣貿易</t>
    <phoneticPr fontId="20" type="noConversion"/>
  </si>
  <si>
    <t>元廣</t>
    <phoneticPr fontId="20" type="noConversion"/>
  </si>
  <si>
    <t>03-557-5779</t>
    <phoneticPr fontId="20" type="noConversion"/>
  </si>
  <si>
    <t>03-557-2478</t>
    <phoneticPr fontId="20" type="noConversion"/>
  </si>
  <si>
    <t>新竹縣新豐鄉尚仁街198巷6弄3衖8號</t>
    <phoneticPr fontId="20" type="noConversion"/>
  </si>
  <si>
    <t>滑台</t>
    <phoneticPr fontId="20" type="noConversion"/>
  </si>
  <si>
    <t>精密滑台jvu</t>
    <phoneticPr fontId="20" type="noConversion"/>
  </si>
  <si>
    <t>04-2245-2402</t>
    <phoneticPr fontId="20" type="noConversion"/>
  </si>
  <si>
    <t>磨牙、賣精密螺帽</t>
    <phoneticPr fontId="20" type="noConversion"/>
  </si>
  <si>
    <t>04-2520-6701</t>
    <phoneticPr fontId="20" type="noConversion"/>
  </si>
  <si>
    <t>04-2520-7583</t>
    <phoneticPr fontId="20" type="noConversion"/>
  </si>
  <si>
    <t>台中市豐原區北陽三街 216 號</t>
    <phoneticPr fontId="20" type="noConversion"/>
  </si>
  <si>
    <t>源峰橡膠</t>
    <phoneticPr fontId="20" type="noConversion"/>
  </si>
  <si>
    <t>源峰</t>
    <phoneticPr fontId="20" type="noConversion"/>
  </si>
  <si>
    <t>橡膠止滑墊</t>
    <phoneticPr fontId="20" type="noConversion"/>
  </si>
  <si>
    <t>鴻呈貿易有限公司</t>
    <phoneticPr fontId="20" type="noConversion"/>
  </si>
  <si>
    <t>04-2406-7257</t>
    <phoneticPr fontId="20" type="noConversion"/>
  </si>
  <si>
    <t>0922-776-389</t>
    <phoneticPr fontId="20" type="noConversion"/>
  </si>
  <si>
    <t>線割機</t>
    <phoneticPr fontId="20" type="noConversion"/>
  </si>
  <si>
    <t>線割液</t>
    <phoneticPr fontId="20" type="noConversion"/>
  </si>
  <si>
    <t>CT001A</t>
    <phoneticPr fontId="20" type="noConversion"/>
  </si>
  <si>
    <t>鴻呈</t>
    <phoneticPr fontId="20" type="noConversion"/>
  </si>
  <si>
    <t>04-2406-4258</t>
    <phoneticPr fontId="20" type="noConversion"/>
  </si>
  <si>
    <t>健泓</t>
    <phoneticPr fontId="20" type="noConversion"/>
  </si>
  <si>
    <t>優德</t>
    <phoneticPr fontId="20" type="noConversion"/>
  </si>
  <si>
    <t>U2001B</t>
    <phoneticPr fontId="20" type="noConversion"/>
  </si>
  <si>
    <t>台中市神岡區大明路206號</t>
    <phoneticPr fontId="20" type="noConversion"/>
  </si>
  <si>
    <t>優德精密研磨股份有限公司</t>
    <phoneticPr fontId="20" type="noConversion"/>
  </si>
  <si>
    <t>04-2529-4999</t>
    <phoneticPr fontId="20" type="noConversion"/>
  </si>
  <si>
    <t>04-2529-2653</t>
    <phoneticPr fontId="20" type="noConversion"/>
  </si>
  <si>
    <t>中心孔研砂輪</t>
    <phoneticPr fontId="20" type="noConversion"/>
  </si>
  <si>
    <t>幣    別：</t>
    <phoneticPr fontId="4" type="noConversion"/>
  </si>
  <si>
    <t>傳真號碼：</t>
    <phoneticPr fontId="4" type="noConversion"/>
  </si>
  <si>
    <t>NTD</t>
    <phoneticPr fontId="4" type="noConversion"/>
  </si>
  <si>
    <t>堃揚工業</t>
    <phoneticPr fontId="20" type="noConversion"/>
  </si>
  <si>
    <t>堃揚</t>
    <phoneticPr fontId="20" type="noConversion"/>
  </si>
  <si>
    <t>DU001A</t>
    <phoneticPr fontId="20" type="noConversion"/>
  </si>
  <si>
    <t>04-2275-0258</t>
  </si>
  <si>
    <t>04-2277-9040</t>
    <phoneticPr fontId="20" type="noConversion"/>
  </si>
  <si>
    <t>刀具</t>
    <phoneticPr fontId="20" type="noConversion"/>
  </si>
  <si>
    <t>刀架</t>
    <phoneticPr fontId="20" type="noConversion"/>
  </si>
  <si>
    <t>豪力輝</t>
    <phoneticPr fontId="20" type="noConversion"/>
  </si>
  <si>
    <t>04-2566-7659</t>
    <phoneticPr fontId="20" type="noConversion"/>
  </si>
  <si>
    <t>豪力輝工業股份有限公司</t>
    <phoneticPr fontId="20" type="noConversion"/>
  </si>
  <si>
    <t>CXC001</t>
    <phoneticPr fontId="20" type="noConversion"/>
  </si>
  <si>
    <t>04-2567-2706</t>
    <phoneticPr fontId="20" type="noConversion"/>
  </si>
  <si>
    <t>通常都比較貴</t>
    <phoneticPr fontId="4" type="noConversion"/>
  </si>
  <si>
    <t>很少詢</t>
    <phoneticPr fontId="4" type="noConversion"/>
  </si>
  <si>
    <t>東勇</t>
    <phoneticPr fontId="20" type="noConversion"/>
  </si>
  <si>
    <t>ZZZ</t>
    <phoneticPr fontId="20" type="noConversion"/>
  </si>
  <si>
    <t>東勇五金行</t>
    <phoneticPr fontId="20" type="noConversion"/>
  </si>
  <si>
    <t>04-2281-0906</t>
    <phoneticPr fontId="20" type="noConversion"/>
  </si>
  <si>
    <t>04-2281-0933</t>
    <phoneticPr fontId="20" type="noConversion"/>
  </si>
  <si>
    <t>砂輪片</t>
    <phoneticPr fontId="20" type="noConversion"/>
  </si>
  <si>
    <t>台中市東光園路140之1號</t>
    <phoneticPr fontId="20" type="noConversion"/>
  </si>
  <si>
    <t>2r</t>
    <phoneticPr fontId="20" type="noConversion"/>
  </si>
  <si>
    <t>金時代電機</t>
    <phoneticPr fontId="20" type="noConversion"/>
  </si>
  <si>
    <t>04-2406-1834</t>
    <phoneticPr fontId="20" type="noConversion"/>
  </si>
  <si>
    <t>04-2406-4370</t>
    <phoneticPr fontId="20" type="noConversion"/>
  </si>
  <si>
    <t>台中市大里區大里街一六巷一八號</t>
    <phoneticPr fontId="20" type="noConversion"/>
  </si>
  <si>
    <t>RG2001</t>
    <phoneticPr fontId="20" type="noConversion"/>
  </si>
  <si>
    <t>金時代</t>
    <phoneticPr fontId="20" type="noConversion"/>
  </si>
  <si>
    <t>04-2422-9632</t>
    <phoneticPr fontId="20" type="noConversion"/>
  </si>
  <si>
    <t>04-2422-4546</t>
    <phoneticPr fontId="20" type="noConversion"/>
  </si>
  <si>
    <t>臺中市南屯區春社里精科中二路13號</t>
    <phoneticPr fontId="20" type="noConversion"/>
  </si>
  <si>
    <t>GX001</t>
    <phoneticPr fontId="20" type="noConversion"/>
  </si>
  <si>
    <t>順亮電機</t>
    <phoneticPr fontId="20" type="noConversion"/>
  </si>
  <si>
    <t>順亮</t>
    <phoneticPr fontId="20" type="noConversion"/>
  </si>
  <si>
    <t>電機行</t>
    <phoneticPr fontId="20" type="noConversion"/>
  </si>
  <si>
    <t>麗聯</t>
    <phoneticPr fontId="20" type="noConversion"/>
  </si>
  <si>
    <t>XX001</t>
    <phoneticPr fontId="20" type="noConversion"/>
  </si>
  <si>
    <t>麗聯實業</t>
    <phoneticPr fontId="20" type="noConversion"/>
  </si>
  <si>
    <t>037-351-168</t>
    <phoneticPr fontId="20" type="noConversion"/>
  </si>
  <si>
    <t>037-351-525</t>
    <phoneticPr fontId="20" type="noConversion"/>
  </si>
  <si>
    <t>苗栗市玉華里玉清路221號</t>
    <phoneticPr fontId="20" type="noConversion"/>
  </si>
  <si>
    <t>銅絲輪</t>
    <phoneticPr fontId="20" type="noConversion"/>
  </si>
  <si>
    <t>新宕精密工業</t>
    <phoneticPr fontId="20" type="noConversion"/>
  </si>
  <si>
    <t>04-761-5115</t>
    <phoneticPr fontId="20" type="noConversion"/>
  </si>
  <si>
    <t>彰化縣和美鎮輝南路133號</t>
    <phoneticPr fontId="20" type="noConversion"/>
  </si>
  <si>
    <t>彈簧</t>
    <phoneticPr fontId="20" type="noConversion"/>
  </si>
  <si>
    <t>模具彈簧</t>
    <phoneticPr fontId="20" type="noConversion"/>
  </si>
  <si>
    <t>新宕</t>
    <phoneticPr fontId="20" type="noConversion"/>
  </si>
  <si>
    <t>V2</t>
    <phoneticPr fontId="20" type="noConversion"/>
  </si>
  <si>
    <t>04-761-5113 #15</t>
    <phoneticPr fontId="20" type="noConversion"/>
  </si>
  <si>
    <t>ma</t>
    <phoneticPr fontId="20" type="noConversion"/>
  </si>
  <si>
    <t>彰化市西勢街339號</t>
    <phoneticPr fontId="20" type="noConversion"/>
  </si>
  <si>
    <t>04-727-8187</t>
    <phoneticPr fontId="20" type="noConversion"/>
  </si>
  <si>
    <t>04-728-5167</t>
    <phoneticPr fontId="20" type="noConversion"/>
  </si>
  <si>
    <t>刀具、夾具</t>
    <phoneticPr fontId="20" type="noConversion"/>
  </si>
  <si>
    <t>沅銘</t>
    <phoneticPr fontId="20" type="noConversion"/>
  </si>
  <si>
    <t>沅銘企業</t>
    <phoneticPr fontId="20" type="noConversion"/>
  </si>
  <si>
    <t>千島</t>
    <phoneticPr fontId="20" type="noConversion"/>
  </si>
  <si>
    <t>DV002</t>
    <phoneticPr fontId="20" type="noConversion"/>
  </si>
  <si>
    <t>鎧璿</t>
    <phoneticPr fontId="20" type="noConversion"/>
  </si>
  <si>
    <t>鎧璿工業</t>
    <phoneticPr fontId="20" type="noConversion"/>
  </si>
  <si>
    <t>04-2527-7388</t>
    <phoneticPr fontId="20" type="noConversion"/>
  </si>
  <si>
    <t>04-2529-7989</t>
    <phoneticPr fontId="20" type="noConversion"/>
  </si>
  <si>
    <t>台中市神岡區大洲路123巷118號</t>
    <phoneticPr fontId="20" type="noConversion"/>
  </si>
  <si>
    <t>鐵件加工</t>
    <phoneticPr fontId="20" type="noConversion"/>
  </si>
  <si>
    <t>折彎 、雷切、鐵板</t>
    <phoneticPr fontId="20" type="noConversion"/>
  </si>
  <si>
    <t>千島精密</t>
    <phoneticPr fontId="20" type="noConversion"/>
  </si>
  <si>
    <t>047-978-666</t>
    <phoneticPr fontId="20" type="noConversion"/>
  </si>
  <si>
    <t>047-978-660</t>
    <phoneticPr fontId="20" type="noConversion"/>
  </si>
  <si>
    <t>彰化縣伸港鄉全興工業區工一路4號</t>
    <phoneticPr fontId="20" type="noConversion"/>
  </si>
  <si>
    <t>F2001</t>
    <phoneticPr fontId="20" type="noConversion"/>
  </si>
  <si>
    <t>夾具</t>
    <phoneticPr fontId="20" type="noConversion"/>
  </si>
  <si>
    <t>夾頭</t>
    <phoneticPr fontId="20" type="noConversion"/>
  </si>
  <si>
    <t>協威</t>
    <phoneticPr fontId="20" type="noConversion"/>
  </si>
  <si>
    <t>協威特殊金屬股份有限公司</t>
    <phoneticPr fontId="20" type="noConversion"/>
  </si>
  <si>
    <t>VJW001</t>
    <phoneticPr fontId="20" type="noConversion"/>
  </si>
  <si>
    <t>04-2524-4610</t>
    <phoneticPr fontId="20" type="noConversion"/>
  </si>
  <si>
    <t>台中市豐原區?子街296巷1號</t>
    <phoneticPr fontId="20" type="noConversion"/>
  </si>
  <si>
    <t>04-2527-9050</t>
    <phoneticPr fontId="20" type="noConversion"/>
  </si>
  <si>
    <t>SKH</t>
    <phoneticPr fontId="20" type="noConversion"/>
  </si>
  <si>
    <t>材料</t>
    <phoneticPr fontId="20" type="noConversion"/>
  </si>
  <si>
    <t>04-2244-7899#9</t>
    <phoneticPr fontId="20" type="noConversion"/>
  </si>
  <si>
    <t>RG005A</t>
    <phoneticPr fontId="20" type="noConversion"/>
  </si>
  <si>
    <t>佳昇鐵架帆布行</t>
    <phoneticPr fontId="20" type="noConversion"/>
  </si>
  <si>
    <t>04-2533-3836</t>
    <phoneticPr fontId="20" type="noConversion"/>
  </si>
  <si>
    <t>04-2532-4612</t>
    <phoneticPr fontId="20" type="noConversion"/>
  </si>
  <si>
    <t>台中市潭子區中山路三段484號</t>
    <phoneticPr fontId="20" type="noConversion"/>
  </si>
  <si>
    <t>鐵架、帆布、橡膠墊</t>
    <phoneticPr fontId="20" type="noConversion"/>
  </si>
  <si>
    <t>帆布行</t>
    <phoneticPr fontId="20" type="noConversion"/>
  </si>
  <si>
    <t>佳昇</t>
    <phoneticPr fontId="20" type="noConversion"/>
  </si>
  <si>
    <t>TU006A</t>
    <phoneticPr fontId="20" type="noConversion"/>
  </si>
  <si>
    <t>程揚</t>
    <phoneticPr fontId="20" type="noConversion"/>
  </si>
  <si>
    <t>程揚精密工業股份有限公司</t>
    <phoneticPr fontId="20" type="noConversion"/>
  </si>
  <si>
    <t>04-2271-6898</t>
    <phoneticPr fontId="20" type="noConversion"/>
  </si>
  <si>
    <t>04-2271-2911</t>
    <phoneticPr fontId="20" type="noConversion"/>
  </si>
  <si>
    <t>台中市太平區德明路267號</t>
    <phoneticPr fontId="20" type="noConversion"/>
  </si>
  <si>
    <t>測珠</t>
    <phoneticPr fontId="20" type="noConversion"/>
  </si>
  <si>
    <t>原億昌</t>
    <phoneticPr fontId="20" type="noConversion"/>
  </si>
  <si>
    <t>MUT001A</t>
    <phoneticPr fontId="20" type="noConversion"/>
  </si>
  <si>
    <t>原億昌機械股份有限公司</t>
    <phoneticPr fontId="20" type="noConversion"/>
  </si>
  <si>
    <t>04-2335-7828</t>
    <phoneticPr fontId="20" type="noConversion"/>
  </si>
  <si>
    <t>04-2335-6732</t>
    <phoneticPr fontId="20" type="noConversion"/>
  </si>
  <si>
    <t>台中市烏日區溪南路三段752號</t>
    <phoneticPr fontId="20" type="noConversion"/>
  </si>
  <si>
    <t>齒條</t>
    <phoneticPr fontId="20" type="noConversion"/>
  </si>
  <si>
    <t>台中市清水區中央北路2-26號</t>
    <phoneticPr fontId="20" type="noConversion"/>
  </si>
  <si>
    <t>04-2628-1790</t>
    <phoneticPr fontId="20" type="noConversion"/>
  </si>
  <si>
    <t>04-2628-1792</t>
    <phoneticPr fontId="20" type="noConversion"/>
  </si>
  <si>
    <t>虎口板</t>
    <phoneticPr fontId="20" type="noConversion"/>
  </si>
  <si>
    <t>合鋼股份有限公司</t>
    <phoneticPr fontId="20" type="noConversion"/>
  </si>
  <si>
    <t>合鋼</t>
    <phoneticPr fontId="20" type="noConversion"/>
  </si>
  <si>
    <t>CE</t>
    <phoneticPr fontId="20" type="noConversion"/>
  </si>
  <si>
    <t>永泰益興業有限公司</t>
    <phoneticPr fontId="20" type="noConversion"/>
  </si>
  <si>
    <t>平行墊塊</t>
    <phoneticPr fontId="20" type="noConversion"/>
  </si>
  <si>
    <t xml:space="preserve">04-2527-6878   </t>
    <phoneticPr fontId="20" type="noConversion"/>
  </si>
  <si>
    <t>UV</t>
    <phoneticPr fontId="4" type="noConversion"/>
  </si>
  <si>
    <t>詢價單</t>
  </si>
  <si>
    <t>製表人:</t>
    <phoneticPr fontId="4" type="noConversion"/>
  </si>
  <si>
    <t>主管:</t>
    <phoneticPr fontId="4" type="noConversion"/>
  </si>
  <si>
    <t>廠商回簽：</t>
    <phoneticPr fontId="4" type="noConversion"/>
  </si>
  <si>
    <t>3-OB-01-05 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</si>
</sst>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&quot; pcs&quot;"/>
    <numFmt numFmtId="177" formatCode="000"/>
    <numFmt numFmtId="178" formatCode="yyyy/mm/dd"/>
  </numFmts>
  <fonts count="33">
    <font>
      <sz val="10"/>
      <color indexed="8"/>
      <name val="Arial"/>
    </font>
    <font>
      <sz val="12"/>
      <color theme="1"/>
      <name val="新細明體"/>
      <family val="2"/>
      <charset val="136"/>
      <scheme val="minor"/>
    </font>
    <font>
      <sz val="12"/>
      <color indexed="18"/>
      <name val="新細明體"/>
      <family val="1"/>
      <charset val="136"/>
    </font>
    <font>
      <sz val="10"/>
      <color indexed="8"/>
      <name val="Arial"/>
      <family val="2"/>
    </font>
    <font>
      <sz val="9"/>
      <name val="細明體"/>
      <family val="3"/>
      <charset val="136"/>
    </font>
    <font>
      <sz val="10"/>
      <color indexed="8"/>
      <name val="細明體"/>
      <family val="3"/>
      <charset val="136"/>
    </font>
    <font>
      <sz val="11"/>
      <name val="新細明體"/>
      <family val="1"/>
      <charset val="136"/>
    </font>
    <font>
      <sz val="12"/>
      <name val="新細明體"/>
      <family val="1"/>
      <charset val="136"/>
    </font>
    <font>
      <u val="double"/>
      <sz val="22"/>
      <name val="標楷體"/>
      <family val="4"/>
      <charset val="136"/>
    </font>
    <font>
      <sz val="12"/>
      <name val="細明體"/>
      <family val="3"/>
      <charset val="136"/>
    </font>
    <font>
      <b/>
      <sz val="20"/>
      <name val="新細明體"/>
      <family val="1"/>
      <charset val="136"/>
    </font>
    <font>
      <b/>
      <sz val="20"/>
      <name val="Times New Roman"/>
      <family val="1"/>
    </font>
    <font>
      <sz val="2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Times New Roman"/>
      <family val="1"/>
    </font>
    <font>
      <sz val="12"/>
      <color indexed="18"/>
      <name val="Times New Roman"/>
      <family val="1"/>
    </font>
    <font>
      <sz val="12"/>
      <color indexed="8"/>
      <name val="Times New Roman"/>
      <family val="1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0"/>
      <color indexed="8"/>
      <name val="細明體-ExtB"/>
      <family val="1"/>
      <charset val="136"/>
    </font>
    <font>
      <sz val="10"/>
      <name val="細明體-ExtB"/>
      <family val="1"/>
      <charset val="136"/>
    </font>
    <font>
      <sz val="11"/>
      <color indexed="8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1"/>
      <color theme="5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rgb="FFFF0000"/>
      <name val="Arial"/>
      <family val="2"/>
    </font>
    <font>
      <sz val="10"/>
      <color rgb="FFFF0000"/>
      <name val="細明體"/>
      <family val="3"/>
      <charset val="136"/>
    </font>
    <font>
      <sz val="12"/>
      <color indexed="8"/>
      <name val="細明體"/>
      <family val="3"/>
      <charset val="136"/>
    </font>
    <font>
      <sz val="16"/>
      <color indexed="8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2">
    <xf numFmtId="0" fontId="0" fillId="0" borderId="0" xfId="0"/>
    <xf numFmtId="0" fontId="15" fillId="0" borderId="0" xfId="0" applyFont="1" applyAlignment="1" applyProtection="1">
      <alignment horizontal="left" vertical="center"/>
      <protection locked="0"/>
    </xf>
    <xf numFmtId="176" fontId="18" fillId="0" borderId="2" xfId="0" applyNumberFormat="1" applyFont="1" applyBorder="1" applyAlignment="1" applyProtection="1">
      <alignment horizontal="center" vertical="center"/>
      <protection locked="0"/>
    </xf>
    <xf numFmtId="1" fontId="18" fillId="0" borderId="2" xfId="0" applyNumberFormat="1" applyFont="1" applyBorder="1" applyAlignment="1" applyProtection="1">
      <alignment horizontal="center" vertical="center"/>
      <protection locked="0"/>
    </xf>
    <xf numFmtId="176" fontId="18" fillId="0" borderId="3" xfId="0" applyNumberFormat="1" applyFont="1" applyBorder="1" applyAlignment="1" applyProtection="1">
      <alignment horizontal="center" vertical="center"/>
      <protection locked="0"/>
    </xf>
    <xf numFmtId="1" fontId="18" fillId="0" borderId="3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left"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3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3" fillId="3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hidden="1"/>
    </xf>
    <xf numFmtId="177" fontId="3" fillId="2" borderId="0" xfId="0" applyNumberFormat="1" applyFont="1" applyFill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vertical="center" shrinkToFit="1"/>
      <protection hidden="1"/>
    </xf>
    <xf numFmtId="0" fontId="23" fillId="3" borderId="0" xfId="0" applyFont="1" applyFill="1" applyAlignment="1" applyProtection="1">
      <alignment vertical="center" shrinkToFit="1"/>
      <protection hidden="1"/>
    </xf>
    <xf numFmtId="0" fontId="23" fillId="2" borderId="0" xfId="0" applyFont="1" applyFill="1" applyAlignment="1" applyProtection="1">
      <alignment vertical="center" shrinkToFit="1"/>
      <protection hidden="1"/>
    </xf>
    <xf numFmtId="1" fontId="23" fillId="0" borderId="0" xfId="0" applyNumberFormat="1" applyFont="1" applyAlignment="1" applyProtection="1">
      <alignment horizontal="right" vertical="center" shrinkToFit="1"/>
      <protection hidden="1"/>
    </xf>
    <xf numFmtId="0" fontId="21" fillId="0" borderId="0" xfId="0" applyFont="1" applyAlignment="1">
      <alignment vertical="center"/>
    </xf>
    <xf numFmtId="0" fontId="19" fillId="4" borderId="0" xfId="0" applyFont="1" applyFill="1" applyAlignment="1">
      <alignment vertical="center"/>
    </xf>
    <xf numFmtId="49" fontId="21" fillId="0" borderId="0" xfId="0" applyNumberFormat="1" applyFont="1" applyAlignment="1">
      <alignment vertical="center"/>
    </xf>
    <xf numFmtId="49" fontId="19" fillId="4" borderId="0" xfId="0" applyNumberFormat="1" applyFont="1" applyFill="1" applyAlignment="1">
      <alignment vertical="center"/>
    </xf>
    <xf numFmtId="0" fontId="22" fillId="0" borderId="0" xfId="0" applyFont="1" applyAlignment="1">
      <alignment vertical="top"/>
    </xf>
    <xf numFmtId="0" fontId="21" fillId="0" borderId="0" xfId="1" applyFo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6" fillId="0" borderId="0" xfId="1" applyFont="1">
      <alignment vertical="center"/>
    </xf>
    <xf numFmtId="0" fontId="27" fillId="0" borderId="0" xfId="0" applyFont="1" applyAlignment="1">
      <alignment vertical="center"/>
    </xf>
    <xf numFmtId="0" fontId="28" fillId="4" borderId="0" xfId="0" applyFont="1" applyFill="1" applyAlignment="1">
      <alignment vertical="center"/>
    </xf>
    <xf numFmtId="0" fontId="29" fillId="0" borderId="0" xfId="0" applyFont="1" applyAlignment="1" applyProtection="1">
      <alignment vertical="center"/>
      <protection hidden="1"/>
    </xf>
    <xf numFmtId="0" fontId="24" fillId="5" borderId="0" xfId="0" applyFont="1" applyFill="1" applyAlignment="1" applyProtection="1">
      <alignment vertical="center" shrinkToFit="1"/>
      <protection hidden="1"/>
    </xf>
    <xf numFmtId="0" fontId="23" fillId="6" borderId="0" xfId="0" applyFont="1" applyFill="1" applyAlignment="1" applyProtection="1">
      <alignment vertical="center" shrinkToFit="1"/>
      <protection hidden="1"/>
    </xf>
    <xf numFmtId="1" fontId="9" fillId="0" borderId="0" xfId="0" applyNumberFormat="1" applyFont="1" applyAlignment="1" applyProtection="1">
      <alignment horizontal="left" vertical="center"/>
      <protection locked="0"/>
    </xf>
    <xf numFmtId="0" fontId="21" fillId="7" borderId="0" xfId="0" applyFont="1" applyFill="1" applyAlignment="1">
      <alignment vertical="center"/>
    </xf>
    <xf numFmtId="0" fontId="26" fillId="7" borderId="0" xfId="0" applyFont="1" applyFill="1" applyAlignment="1">
      <alignment vertical="center"/>
    </xf>
    <xf numFmtId="0" fontId="27" fillId="7" borderId="0" xfId="0" applyFont="1" applyFill="1" applyAlignment="1">
      <alignment vertical="center"/>
    </xf>
    <xf numFmtId="0" fontId="19" fillId="8" borderId="0" xfId="0" applyFont="1" applyFill="1" applyAlignment="1">
      <alignment vertical="center"/>
    </xf>
    <xf numFmtId="0" fontId="26" fillId="8" borderId="0" xfId="0" applyFont="1" applyFill="1" applyAlignment="1">
      <alignment vertical="center"/>
    </xf>
    <xf numFmtId="0" fontId="9" fillId="0" borderId="1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31" fillId="0" borderId="3" xfId="0" applyFont="1" applyBorder="1" applyAlignment="1" applyProtection="1">
      <alignment horizontal="left" vertical="center"/>
      <protection locked="0"/>
    </xf>
    <xf numFmtId="0" fontId="31" fillId="0" borderId="2" xfId="0" applyFont="1" applyBorder="1" applyAlignment="1" applyProtection="1">
      <alignment horizontal="left" vertical="center"/>
      <protection locked="0"/>
    </xf>
    <xf numFmtId="0" fontId="31" fillId="0" borderId="12" xfId="0" applyFont="1" applyBorder="1" applyAlignment="1" applyProtection="1">
      <alignment horizontal="left" vertical="center"/>
      <protection locked="0"/>
    </xf>
    <xf numFmtId="0" fontId="32" fillId="9" borderId="0" xfId="0" applyFont="1" applyFill="1" applyAlignment="1" applyProtection="1">
      <alignment horizontal="center" vertical="center" shrinkToFit="1"/>
      <protection locked="0" hidden="1"/>
    </xf>
    <xf numFmtId="178" fontId="15" fillId="0" borderId="0" xfId="0" applyNumberFormat="1" applyFont="1" applyAlignment="1" applyProtection="1">
      <alignment horizontal="left" vertical="center"/>
      <protection hidden="1"/>
    </xf>
    <xf numFmtId="0" fontId="7" fillId="0" borderId="6" xfId="0" applyFont="1" applyBorder="1" applyAlignment="1" applyProtection="1">
      <alignment horizontal="left" vertical="top"/>
      <protection locked="0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31" fillId="0" borderId="12" xfId="0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center"/>
      <protection locked="0" hidden="1"/>
    </xf>
    <xf numFmtId="0" fontId="0" fillId="4" borderId="0" xfId="0" applyFill="1" applyAlignment="1" applyProtection="1">
      <alignment vertical="center"/>
      <protection locked="0" hidden="1"/>
    </xf>
    <xf numFmtId="0" fontId="3" fillId="7" borderId="0" xfId="0" applyFont="1" applyFill="1" applyAlignment="1" applyProtection="1">
      <alignment vertical="center"/>
      <protection hidden="1"/>
    </xf>
    <xf numFmtId="0" fontId="0" fillId="7" borderId="0" xfId="0" applyFill="1" applyAlignment="1" applyProtection="1">
      <alignment vertical="center"/>
      <protection hidden="1"/>
    </xf>
    <xf numFmtId="0" fontId="3" fillId="4" borderId="0" xfId="0" applyFont="1" applyFill="1" applyAlignment="1" applyProtection="1">
      <alignment vertical="center"/>
      <protection locked="0" hidden="1"/>
    </xf>
    <xf numFmtId="0" fontId="5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5" fillId="0" borderId="1" xfId="0" applyFont="1" applyBorder="1" applyAlignment="1" applyProtection="1">
      <alignment horizontal="left" vertical="center"/>
      <protection hidden="1"/>
    </xf>
    <xf numFmtId="0" fontId="14" fillId="0" borderId="1" xfId="0" applyFont="1" applyBorder="1" applyAlignment="1" applyProtection="1">
      <alignment vertical="center"/>
      <protection hidden="1"/>
    </xf>
    <xf numFmtId="0" fontId="31" fillId="0" borderId="2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31" fillId="0" borderId="4" xfId="0" applyFont="1" applyBorder="1" applyAlignment="1" applyProtection="1">
      <alignment horizontal="left" vertical="center"/>
      <protection locked="0"/>
    </xf>
    <xf numFmtId="0" fontId="31" fillId="0" borderId="5" xfId="0" applyFont="1" applyBorder="1" applyAlignment="1" applyProtection="1">
      <alignment horizontal="left" vertical="center"/>
      <protection locked="0"/>
    </xf>
    <xf numFmtId="0" fontId="31" fillId="0" borderId="4" xfId="0" applyFont="1" applyBorder="1" applyAlignment="1" applyProtection="1">
      <alignment horizontal="left" vertical="center" wrapText="1"/>
      <protection locked="0"/>
    </xf>
  </cellXfs>
  <cellStyles count="2">
    <cellStyle name="一般" xfId="0" builtinId="0"/>
    <cellStyle name="一般 2" xfId="1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M49"/>
  <sheetViews>
    <sheetView tabSelected="1" topLeftCell="B1" zoomScaleNormal="100" workbookViewId="0">
      <selection activeCell="E52" sqref="E52"/>
    </sheetView>
  </sheetViews>
  <sheetFormatPr defaultColWidth="9.08984375" defaultRowHeight="13.5"/>
  <cols>
    <col min="1" max="1" width="9.08984375" style="6" hidden="1" customWidth="1"/>
    <col min="2" max="2" width="6.36328125" style="20" bestFit="1" customWidth="1"/>
    <col min="3" max="3" width="6.90625" style="21" customWidth="1"/>
    <col min="4" max="4" width="23.08984375" style="21" customWidth="1"/>
    <col min="5" max="5" width="35.36328125" style="21" customWidth="1"/>
    <col min="6" max="6" width="12.36328125" style="21" customWidth="1"/>
    <col min="7" max="7" width="15.6328125" style="21" bestFit="1" customWidth="1"/>
    <col min="8" max="8" width="4" style="6" customWidth="1"/>
    <col min="9" max="9" width="14.453125" style="27" bestFit="1" customWidth="1"/>
    <col min="10" max="10" width="6.54296875" style="25" customWidth="1"/>
    <col min="11" max="11" width="9.08984375" style="25"/>
    <col min="12" max="12" width="15.36328125" style="25" bestFit="1" customWidth="1"/>
    <col min="13" max="13" width="14.36328125" style="25" customWidth="1"/>
    <col min="14" max="16384" width="9.08984375" style="6"/>
  </cols>
  <sheetData>
    <row r="1" spans="1:13" ht="27.5">
      <c r="B1" s="84" t="s">
        <v>6</v>
      </c>
      <c r="C1" s="85"/>
      <c r="D1" s="85"/>
      <c r="E1" s="85"/>
      <c r="F1" s="85"/>
      <c r="G1" s="85"/>
      <c r="I1" s="59" t="s">
        <v>958</v>
      </c>
    </row>
    <row r="2" spans="1:13" ht="14.5">
      <c r="B2" s="83" t="s">
        <v>7</v>
      </c>
      <c r="C2" s="82"/>
      <c r="D2" s="82"/>
      <c r="E2" s="82"/>
      <c r="F2" s="82"/>
      <c r="G2" s="82"/>
    </row>
    <row r="3" spans="1:13" ht="17">
      <c r="B3" s="75" t="s">
        <v>8</v>
      </c>
      <c r="C3" s="76"/>
      <c r="D3" s="76"/>
      <c r="E3" s="76"/>
      <c r="F3" s="76"/>
      <c r="G3" s="76"/>
    </row>
    <row r="4" spans="1:13" ht="31">
      <c r="B4" s="81" t="str">
        <f>$I$1</f>
        <v>詢價單</v>
      </c>
      <c r="C4" s="82"/>
      <c r="D4" s="82"/>
      <c r="E4" s="82"/>
      <c r="F4" s="82"/>
      <c r="G4" s="82"/>
    </row>
    <row r="5" spans="1:13" ht="18.899999999999999" customHeight="1">
      <c r="A5" s="6">
        <v>4</v>
      </c>
      <c r="B5" s="70" t="s">
        <v>1</v>
      </c>
      <c r="C5" s="71"/>
      <c r="D5" s="70"/>
      <c r="E5" s="72"/>
      <c r="F5" s="8" t="s">
        <v>9</v>
      </c>
      <c r="G5" s="8"/>
      <c r="I5" s="28" t="s">
        <v>488</v>
      </c>
      <c r="J5" s="22"/>
      <c r="K5" s="25" t="s">
        <v>485</v>
      </c>
    </row>
    <row r="6" spans="1:13" ht="18.899999999999999" customHeight="1">
      <c r="A6" s="6">
        <v>7</v>
      </c>
      <c r="B6" s="70" t="s">
        <v>5</v>
      </c>
      <c r="C6" s="71"/>
      <c r="D6" s="70" t="str">
        <f ca="1">IF(VLOOKUP($J$10,廠商資料!$A$1:$G$1451,$A8,FALSE)="","",VLOOKUP($J$10,廠商資料!$A$1:$G$1451,$A8,FALSE))</f>
        <v/>
      </c>
      <c r="E6" s="72"/>
      <c r="F6" s="8" t="s">
        <v>3</v>
      </c>
      <c r="G6" s="45"/>
      <c r="I6" s="29" t="s">
        <v>0</v>
      </c>
      <c r="J6" s="26">
        <v>1</v>
      </c>
      <c r="K6" s="25" t="s">
        <v>486</v>
      </c>
    </row>
    <row r="7" spans="1:13" ht="18.899999999999999" customHeight="1">
      <c r="A7" s="6">
        <v>6</v>
      </c>
      <c r="B7" s="70" t="s">
        <v>2</v>
      </c>
      <c r="C7" s="71"/>
      <c r="D7" s="70"/>
      <c r="E7" s="72"/>
      <c r="F7" s="54" t="s">
        <v>841</v>
      </c>
      <c r="G7" s="1"/>
    </row>
    <row r="8" spans="1:13" ht="18.899999999999999" customHeight="1">
      <c r="A8" s="6">
        <v>5</v>
      </c>
      <c r="B8" s="86" t="s">
        <v>840</v>
      </c>
      <c r="C8" s="71"/>
      <c r="D8" s="70" t="s">
        <v>842</v>
      </c>
      <c r="E8" s="72"/>
      <c r="F8" s="8" t="s">
        <v>4</v>
      </c>
      <c r="G8" s="60"/>
    </row>
    <row r="9" spans="1:13" ht="8.25" customHeight="1">
      <c r="B9" s="10"/>
      <c r="C9" s="11"/>
      <c r="D9" s="12"/>
      <c r="E9" s="12"/>
      <c r="F9" s="13"/>
      <c r="G9" s="12"/>
    </row>
    <row r="10" spans="1:13" ht="17">
      <c r="B10" s="14" t="s">
        <v>10</v>
      </c>
      <c r="C10" s="95" t="s">
        <v>11</v>
      </c>
      <c r="D10" s="96"/>
      <c r="E10" s="51" t="s">
        <v>701</v>
      </c>
      <c r="F10" s="14" t="s">
        <v>12</v>
      </c>
      <c r="G10" s="14" t="s">
        <v>13</v>
      </c>
      <c r="I10" s="44" t="s">
        <v>491</v>
      </c>
      <c r="J10" s="90" t="str">
        <f ca="1">IF($J$12="",$L$13,$J$12)</f>
        <v>盈錫</v>
      </c>
      <c r="K10" s="91"/>
      <c r="L10" s="7" t="str">
        <f ca="1">IF($J$10="","",VLOOKUP($J$10,廠商資料!$A$1:$J$1451,9,FALSE))</f>
        <v>加工廠</v>
      </c>
      <c r="M10" s="7" t="str">
        <f ca="1">IF($J$10="","",VLOOKUP($J$10,廠商資料!$A$1:$J$1451,10,FALSE))</f>
        <v>磨牙、賣精密螺帽</v>
      </c>
    </row>
    <row r="11" spans="1:13" ht="18" customHeight="1">
      <c r="B11" s="16" t="str">
        <f>IF(C11="","",1)</f>
        <v/>
      </c>
      <c r="C11" s="97"/>
      <c r="D11" s="98"/>
      <c r="E11" s="57"/>
      <c r="F11" s="2"/>
      <c r="G11" s="3"/>
    </row>
    <row r="12" spans="1:13" ht="18" customHeight="1">
      <c r="B12" s="17" t="str">
        <f>IF(C12="","",MAX($B$11:$B11)+1)</f>
        <v/>
      </c>
      <c r="C12" s="99"/>
      <c r="D12" s="100"/>
      <c r="E12" s="56"/>
      <c r="F12" s="4"/>
      <c r="G12" s="5"/>
      <c r="I12" s="43" t="s">
        <v>489</v>
      </c>
      <c r="J12" s="88"/>
      <c r="K12" s="89"/>
      <c r="L12" s="42" t="s">
        <v>700</v>
      </c>
    </row>
    <row r="13" spans="1:13" ht="18" customHeight="1">
      <c r="B13" s="17" t="str">
        <f>IF(C13="","",MAX($B$11:$B12)+1)</f>
        <v/>
      </c>
      <c r="C13" s="101"/>
      <c r="D13" s="100"/>
      <c r="E13" s="56"/>
      <c r="F13" s="4"/>
      <c r="G13" s="5"/>
      <c r="I13" s="43" t="s">
        <v>490</v>
      </c>
      <c r="J13" s="92" t="s">
        <v>957</v>
      </c>
      <c r="K13" s="89"/>
      <c r="L13" s="25" t="str">
        <f ca="1">IF($J$13="","",INDIRECT("廠商資料!A"&amp;MATCH($J$13,廠商資料!$B$1:$B$1451,0),TRUE))</f>
        <v>盈錫</v>
      </c>
    </row>
    <row r="14" spans="1:13" ht="18" customHeight="1">
      <c r="B14" s="17" t="str">
        <f>IF(C14="","",MAX($B$11:$B13)+1)</f>
        <v/>
      </c>
      <c r="C14" s="79"/>
      <c r="D14" s="80"/>
      <c r="E14" s="56"/>
      <c r="F14" s="4"/>
      <c r="G14" s="5"/>
      <c r="J14" s="93"/>
      <c r="K14" s="94"/>
    </row>
    <row r="15" spans="1:13" ht="18" customHeight="1">
      <c r="B15" s="17" t="str">
        <f>IF(C15="","",MAX($B$11:$B14)+1)</f>
        <v/>
      </c>
      <c r="C15" s="79"/>
      <c r="D15" s="80"/>
      <c r="E15" s="56"/>
      <c r="F15" s="4"/>
      <c r="G15" s="5"/>
      <c r="K15" s="7" t="s">
        <v>778</v>
      </c>
      <c r="L15" s="53" t="s">
        <v>774</v>
      </c>
      <c r="M15" s="7" t="s">
        <v>808</v>
      </c>
    </row>
    <row r="16" spans="1:13" ht="18" customHeight="1">
      <c r="B16" s="17" t="str">
        <f>IF(C16="","",MAX($B$11:$B15)+1)</f>
        <v/>
      </c>
      <c r="C16" s="79"/>
      <c r="D16" s="80"/>
      <c r="E16" s="56"/>
      <c r="F16" s="4"/>
      <c r="G16" s="5"/>
      <c r="H16" s="15"/>
      <c r="I16" s="30"/>
      <c r="L16" s="53" t="s">
        <v>775</v>
      </c>
      <c r="M16" s="55" t="s">
        <v>855</v>
      </c>
    </row>
    <row r="17" spans="2:13" ht="18" customHeight="1">
      <c r="B17" s="17" t="str">
        <f>IF(C17="","",MAX($B$11:$B16)+1)</f>
        <v/>
      </c>
      <c r="C17" s="79"/>
      <c r="D17" s="80"/>
      <c r="E17" s="56"/>
      <c r="F17" s="4"/>
      <c r="G17" s="5"/>
      <c r="H17" s="15"/>
      <c r="I17" s="30"/>
      <c r="L17" s="53" t="s">
        <v>776</v>
      </c>
      <c r="M17" s="55" t="s">
        <v>856</v>
      </c>
    </row>
    <row r="18" spans="2:13" ht="18" customHeight="1">
      <c r="B18" s="17" t="str">
        <f>IF(C18="","",MAX($B$11:$B17)+1)</f>
        <v/>
      </c>
      <c r="C18" s="79"/>
      <c r="D18" s="80"/>
      <c r="E18" s="56"/>
      <c r="F18" s="4"/>
      <c r="G18" s="5"/>
      <c r="H18" s="15"/>
      <c r="I18" s="30"/>
      <c r="L18" s="53" t="s">
        <v>777</v>
      </c>
      <c r="M18" s="7" t="s">
        <v>808</v>
      </c>
    </row>
    <row r="19" spans="2:13" ht="18" customHeight="1">
      <c r="B19" s="17" t="str">
        <f>IF(C19="","",MAX($B$11:$B18)+1)</f>
        <v/>
      </c>
      <c r="C19" s="79"/>
      <c r="D19" s="80"/>
      <c r="E19" s="56"/>
      <c r="F19" s="4"/>
      <c r="G19" s="5"/>
    </row>
    <row r="20" spans="2:13" ht="18" customHeight="1">
      <c r="B20" s="17" t="str">
        <f>IF(C20="","",MAX($B$11:$B19)+1)</f>
        <v/>
      </c>
      <c r="C20" s="79"/>
      <c r="D20" s="80"/>
      <c r="E20" s="56"/>
      <c r="F20" s="4"/>
      <c r="G20" s="5"/>
    </row>
    <row r="21" spans="2:13" ht="18" customHeight="1">
      <c r="B21" s="17" t="str">
        <f>IF(C21="","",MAX($B$11:$B20)+1)</f>
        <v/>
      </c>
      <c r="C21" s="79"/>
      <c r="D21" s="80"/>
      <c r="E21" s="56"/>
      <c r="F21" s="4"/>
      <c r="G21" s="5"/>
    </row>
    <row r="22" spans="2:13" ht="18" customHeight="1">
      <c r="B22" s="17" t="str">
        <f>IF(C22="","",MAX($B$11:$B21)+1)</f>
        <v/>
      </c>
      <c r="C22" s="79"/>
      <c r="D22" s="80"/>
      <c r="E22" s="56"/>
      <c r="F22" s="4"/>
      <c r="G22" s="5"/>
    </row>
    <row r="23" spans="2:13" ht="18" customHeight="1">
      <c r="B23" s="17" t="str">
        <f>IF(C23="","",MAX($B$11:$B22)+1)</f>
        <v/>
      </c>
      <c r="C23" s="79"/>
      <c r="D23" s="80"/>
      <c r="E23" s="56"/>
      <c r="F23" s="4"/>
      <c r="G23" s="5"/>
    </row>
    <row r="24" spans="2:13" ht="18" customHeight="1">
      <c r="B24" s="17" t="str">
        <f>IF(C24="","",MAX($B$11:$B23)+1)</f>
        <v/>
      </c>
      <c r="C24" s="79"/>
      <c r="D24" s="80"/>
      <c r="E24" s="56"/>
      <c r="F24" s="4"/>
      <c r="G24" s="5"/>
    </row>
    <row r="25" spans="2:13" ht="18" customHeight="1">
      <c r="B25" s="17" t="str">
        <f>IF(C25="","",MAX($B$11:$B24)+1)</f>
        <v/>
      </c>
      <c r="C25" s="79"/>
      <c r="D25" s="80"/>
      <c r="E25" s="56"/>
      <c r="F25" s="4"/>
      <c r="G25" s="5"/>
    </row>
    <row r="26" spans="2:13" ht="18" customHeight="1">
      <c r="B26" s="17" t="str">
        <f>IF(C26="","",MAX($B$11:$B25)+1)</f>
        <v/>
      </c>
      <c r="C26" s="79"/>
      <c r="D26" s="80"/>
      <c r="E26" s="56"/>
      <c r="F26" s="4"/>
      <c r="G26" s="5"/>
    </row>
    <row r="27" spans="2:13" ht="18" customHeight="1">
      <c r="B27" s="17" t="str">
        <f>IF(C27="","",MAX($B$11:$B26)+1)</f>
        <v/>
      </c>
      <c r="C27" s="79"/>
      <c r="D27" s="80"/>
      <c r="E27" s="56"/>
      <c r="F27" s="4"/>
      <c r="G27" s="5"/>
    </row>
    <row r="28" spans="2:13" ht="18" customHeight="1">
      <c r="B28" s="17" t="str">
        <f>IF(C28="","",MAX($B$11:$B27)+1)</f>
        <v/>
      </c>
      <c r="C28" s="79"/>
      <c r="D28" s="80"/>
      <c r="E28" s="56"/>
      <c r="F28" s="4"/>
      <c r="G28" s="5"/>
    </row>
    <row r="29" spans="2:13" ht="18" customHeight="1">
      <c r="B29" s="17" t="str">
        <f>IF(C29="","",MAX($B$11:$B28)+1)</f>
        <v/>
      </c>
      <c r="C29" s="79"/>
      <c r="D29" s="80"/>
      <c r="E29" s="56"/>
      <c r="F29" s="4"/>
      <c r="G29" s="5"/>
    </row>
    <row r="30" spans="2:13" ht="18" customHeight="1">
      <c r="B30" s="17" t="str">
        <f>IF(C30="","",MAX($B$11:$B29)+1)</f>
        <v/>
      </c>
      <c r="C30" s="79"/>
      <c r="D30" s="80"/>
      <c r="E30" s="56"/>
      <c r="F30" s="4"/>
      <c r="G30" s="5"/>
    </row>
    <row r="31" spans="2:13" ht="18" customHeight="1">
      <c r="B31" s="17" t="str">
        <f>IF(C31="","",MAX($B$11:$B30)+1)</f>
        <v/>
      </c>
      <c r="C31" s="79"/>
      <c r="D31" s="80"/>
      <c r="E31" s="56"/>
      <c r="F31" s="4"/>
      <c r="G31" s="5"/>
    </row>
    <row r="32" spans="2:13" ht="18" customHeight="1">
      <c r="B32" s="17" t="str">
        <f>IF(C32="","",MAX($B$11:$B31)+1)</f>
        <v/>
      </c>
      <c r="C32" s="79"/>
      <c r="D32" s="80"/>
      <c r="E32" s="56"/>
      <c r="F32" s="4"/>
      <c r="G32" s="5"/>
    </row>
    <row r="33" spans="2:7" ht="18" customHeight="1">
      <c r="B33" s="17" t="str">
        <f>IF(C33="","",MAX($B$11:$B32)+1)</f>
        <v/>
      </c>
      <c r="C33" s="79"/>
      <c r="D33" s="80"/>
      <c r="E33" s="56"/>
      <c r="F33" s="4"/>
      <c r="G33" s="5"/>
    </row>
    <row r="34" spans="2:7" ht="18" customHeight="1">
      <c r="B34" s="17" t="str">
        <f>IF(C34="","",MAX($B$11:$B33)+1)</f>
        <v/>
      </c>
      <c r="C34" s="79"/>
      <c r="D34" s="80"/>
      <c r="E34" s="56"/>
      <c r="F34" s="4"/>
      <c r="G34" s="5"/>
    </row>
    <row r="35" spans="2:7" ht="18" customHeight="1">
      <c r="B35" s="17" t="str">
        <f>IF(C35="","",MAX($B$11:$B34)+1)</f>
        <v/>
      </c>
      <c r="C35" s="77"/>
      <c r="D35" s="78"/>
      <c r="E35" s="58"/>
      <c r="F35" s="4"/>
      <c r="G35" s="5"/>
    </row>
    <row r="36" spans="2:7" ht="16.5" customHeight="1">
      <c r="B36" s="61" t="str">
        <f>IF($I$1="詢價單","備註：請協助提供單價與交期，謝謝‧","")</f>
        <v>備註：請協助提供單價與交期，謝謝‧</v>
      </c>
      <c r="C36" s="62"/>
      <c r="D36" s="62"/>
      <c r="E36" s="62"/>
      <c r="F36" s="62"/>
      <c r="G36" s="63"/>
    </row>
    <row r="37" spans="2:7" ht="16.5" customHeight="1">
      <c r="B37" s="64"/>
      <c r="C37" s="65"/>
      <c r="D37" s="65"/>
      <c r="E37" s="65"/>
      <c r="F37" s="65"/>
      <c r="G37" s="66"/>
    </row>
    <row r="38" spans="2:7" ht="16.5" customHeight="1">
      <c r="B38" s="67"/>
      <c r="C38" s="68"/>
      <c r="D38" s="68"/>
      <c r="E38" s="68"/>
      <c r="F38" s="68"/>
      <c r="G38" s="69"/>
    </row>
    <row r="39" spans="2:7" ht="16.5" customHeight="1">
      <c r="B39" s="73" t="s">
        <v>960</v>
      </c>
      <c r="C39" s="74"/>
      <c r="D39" s="23"/>
      <c r="E39" s="52" t="s">
        <v>959</v>
      </c>
      <c r="F39" s="52" t="s">
        <v>961</v>
      </c>
      <c r="G39" s="23"/>
    </row>
    <row r="40" spans="2:7" ht="14" customHeight="1">
      <c r="B40" s="18"/>
      <c r="C40" s="8"/>
      <c r="D40" s="9"/>
      <c r="E40" s="9"/>
      <c r="F40" s="8"/>
      <c r="G40" s="9"/>
    </row>
    <row r="41" spans="2:7" ht="16.5" customHeight="1">
      <c r="B41" s="87"/>
      <c r="C41" s="74"/>
      <c r="D41" s="23"/>
      <c r="E41" s="52"/>
      <c r="F41" s="1"/>
      <c r="G41" s="24" t="s">
        <v>962</v>
      </c>
    </row>
    <row r="42" spans="2:7" ht="16.5" customHeight="1">
      <c r="B42" s="19"/>
      <c r="C42" s="12"/>
      <c r="D42" s="12"/>
      <c r="E42" s="12"/>
      <c r="F42" s="12"/>
      <c r="G42" s="12"/>
    </row>
    <row r="43" spans="2:7" ht="16.5" customHeight="1"/>
    <row r="44" spans="2:7" ht="16.5" customHeight="1"/>
    <row r="45" spans="2:7" ht="16.5" customHeight="1"/>
    <row r="46" spans="2:7" ht="16.5" customHeight="1"/>
    <row r="47" spans="2:7" ht="16.5" customHeight="1"/>
    <row r="48" spans="2:7" ht="16.5" customHeight="1"/>
    <row r="49" ht="16.5" customHeight="1"/>
  </sheetData>
  <mergeCells count="45">
    <mergeCell ref="B8:C8"/>
    <mergeCell ref="B41:C41"/>
    <mergeCell ref="J12:K12"/>
    <mergeCell ref="J10:K10"/>
    <mergeCell ref="J13:K13"/>
    <mergeCell ref="J14:K14"/>
    <mergeCell ref="C10:D10"/>
    <mergeCell ref="C11:D11"/>
    <mergeCell ref="C12:D12"/>
    <mergeCell ref="C13:D13"/>
    <mergeCell ref="C14:D14"/>
    <mergeCell ref="C19:D19"/>
    <mergeCell ref="C20:D20"/>
    <mergeCell ref="C17:D17"/>
    <mergeCell ref="C18:D18"/>
    <mergeCell ref="C25:D25"/>
    <mergeCell ref="B4:G4"/>
    <mergeCell ref="B2:G2"/>
    <mergeCell ref="B1:G1"/>
    <mergeCell ref="B5:C5"/>
    <mergeCell ref="B7:C7"/>
    <mergeCell ref="C28:D28"/>
    <mergeCell ref="C15:D15"/>
    <mergeCell ref="C16:D16"/>
    <mergeCell ref="C26:D26"/>
    <mergeCell ref="C23:D23"/>
    <mergeCell ref="C24:D24"/>
    <mergeCell ref="C21:D21"/>
    <mergeCell ref="C22:D22"/>
    <mergeCell ref="B36:G38"/>
    <mergeCell ref="B6:C6"/>
    <mergeCell ref="D6:E6"/>
    <mergeCell ref="B39:C39"/>
    <mergeCell ref="B3:G3"/>
    <mergeCell ref="D5:E5"/>
    <mergeCell ref="D7:E7"/>
    <mergeCell ref="D8:E8"/>
    <mergeCell ref="C35:D35"/>
    <mergeCell ref="C33:D33"/>
    <mergeCell ref="C34:D34"/>
    <mergeCell ref="C31:D31"/>
    <mergeCell ref="C32:D32"/>
    <mergeCell ref="C29:D29"/>
    <mergeCell ref="C30:D30"/>
    <mergeCell ref="C27:D27"/>
  </mergeCells>
  <phoneticPr fontId="4" type="noConversion"/>
  <dataValidations count="4">
    <dataValidation type="whole" allowBlank="1" showInputMessage="1" showErrorMessage="1" sqref="J6">
      <formula1>1</formula1>
      <formula2>999</formula2>
    </dataValidation>
    <dataValidation type="textLength" allowBlank="1" showInputMessage="1" showErrorMessage="1" sqref="J5">
      <formula1>0</formula1>
      <formula2>2</formula2>
    </dataValidation>
    <dataValidation type="textLength" operator="equal" allowBlank="1" showInputMessage="1" showErrorMessage="1" sqref="J13">
      <formula1>2</formula1>
    </dataValidation>
    <dataValidation type="list" allowBlank="1" showInputMessage="1" showErrorMessage="1" sqref="I1">
      <formula1>"詢價單,採購單"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OFFSET(廠商資料!$A$2,,,COUNTA(廠商名稱),)</xm:f>
          </x14:formula1>
          <xm:sqref>J12:K12</xm:sqref>
        </x14:dataValidation>
        <x14:dataValidation type="list" allowBlank="1" showInputMessage="1" showErrorMessage="1">
          <x14:formula1>
            <xm:f>INDIRECT("廠商資料!A"&amp;MATCH($J$14,廠商資料!$I$2:$M$1451,0),TRUE)</xm:f>
          </x14:formula1>
          <xm:sqref>L14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K1999"/>
  <sheetViews>
    <sheetView zoomScale="85" zoomScaleNormal="85" workbookViewId="0">
      <pane ySplit="1" topLeftCell="A14" activePane="bottomLeft" state="frozen"/>
      <selection pane="bottomLeft" activeCell="B21" sqref="B21"/>
    </sheetView>
  </sheetViews>
  <sheetFormatPr defaultColWidth="9.08984375" defaultRowHeight="14.5"/>
  <cols>
    <col min="1" max="1" width="8.90625" style="31" bestFit="1" customWidth="1"/>
    <col min="2" max="2" width="10.36328125" style="50" customWidth="1"/>
    <col min="3" max="3" width="10.54296875" style="38" bestFit="1" customWidth="1"/>
    <col min="4" max="4" width="31.453125" style="31" bestFit="1" customWidth="1"/>
    <col min="5" max="5" width="14.6328125" style="31" bestFit="1" customWidth="1"/>
    <col min="6" max="6" width="18.90625" style="31" customWidth="1"/>
    <col min="7" max="7" width="17.36328125" style="31" bestFit="1" customWidth="1"/>
    <col min="8" max="8" width="48.08984375" style="31" customWidth="1"/>
    <col min="9" max="9" width="12.90625" style="40" bestFit="1" customWidth="1"/>
    <col min="10" max="10" width="13.54296875" style="40" bestFit="1" customWidth="1"/>
    <col min="11" max="16384" width="9.08984375" style="37"/>
  </cols>
  <sheetData>
    <row r="1" spans="1:10">
      <c r="A1" s="32" t="s">
        <v>14</v>
      </c>
      <c r="B1" s="49" t="s">
        <v>487</v>
      </c>
      <c r="C1" s="32" t="s">
        <v>15</v>
      </c>
      <c r="D1" s="32" t="s">
        <v>16</v>
      </c>
      <c r="E1" s="32" t="s">
        <v>17</v>
      </c>
      <c r="F1" s="34" t="s">
        <v>18</v>
      </c>
      <c r="G1" s="32" t="s">
        <v>19</v>
      </c>
      <c r="H1" s="32" t="s">
        <v>20</v>
      </c>
      <c r="I1" s="41" t="s">
        <v>21</v>
      </c>
      <c r="J1" s="41" t="s">
        <v>22</v>
      </c>
    </row>
    <row r="2" spans="1:10">
      <c r="A2" s="31" t="s">
        <v>426</v>
      </c>
      <c r="B2" s="50" t="str">
        <f t="shared" ref="B2:B33" si="0">IF($C2="","",LEFT($C2,2))</f>
        <v>NU</v>
      </c>
      <c r="C2" s="38" t="s">
        <v>427</v>
      </c>
      <c r="D2" s="31" t="s">
        <v>428</v>
      </c>
      <c r="E2" s="31" t="s">
        <v>429</v>
      </c>
      <c r="F2" s="31" t="s">
        <v>536</v>
      </c>
      <c r="G2" s="31" t="s">
        <v>430</v>
      </c>
      <c r="H2" s="31" t="s">
        <v>431</v>
      </c>
      <c r="I2" s="40" t="s">
        <v>692</v>
      </c>
      <c r="J2" s="40" t="s">
        <v>432</v>
      </c>
    </row>
    <row r="3" spans="1:10">
      <c r="A3" s="31" t="s">
        <v>188</v>
      </c>
      <c r="B3" s="50" t="str">
        <f t="shared" si="0"/>
        <v>GX</v>
      </c>
      <c r="C3" s="38" t="s">
        <v>189</v>
      </c>
      <c r="D3" s="31" t="s">
        <v>190</v>
      </c>
      <c r="E3" s="31" t="s">
        <v>191</v>
      </c>
      <c r="F3" s="33" t="s">
        <v>537</v>
      </c>
      <c r="G3" s="31" t="s">
        <v>612</v>
      </c>
      <c r="H3" s="31" t="s">
        <v>192</v>
      </c>
      <c r="I3" s="40" t="s">
        <v>691</v>
      </c>
      <c r="J3" s="40" t="s">
        <v>469</v>
      </c>
    </row>
    <row r="4" spans="1:10">
      <c r="A4" s="31" t="s">
        <v>408</v>
      </c>
      <c r="B4" s="50" t="str">
        <f t="shared" si="0"/>
        <v>M5</v>
      </c>
      <c r="C4" s="38" t="s">
        <v>409</v>
      </c>
      <c r="D4" s="31" t="s">
        <v>410</v>
      </c>
      <c r="F4" s="33" t="s">
        <v>538</v>
      </c>
      <c r="G4" s="31" t="s">
        <v>613</v>
      </c>
      <c r="H4" s="31" t="s">
        <v>411</v>
      </c>
      <c r="I4" s="40" t="s">
        <v>508</v>
      </c>
    </row>
    <row r="5" spans="1:10">
      <c r="A5" s="31" t="s">
        <v>354</v>
      </c>
      <c r="B5" s="50" t="str">
        <f t="shared" si="0"/>
        <v>WJ</v>
      </c>
      <c r="C5" s="38" t="s">
        <v>355</v>
      </c>
      <c r="D5" s="31" t="s">
        <v>356</v>
      </c>
      <c r="E5" s="31" t="s">
        <v>357</v>
      </c>
      <c r="F5" s="33" t="s">
        <v>539</v>
      </c>
      <c r="G5" s="31" t="s">
        <v>614</v>
      </c>
      <c r="H5" s="31" t="s">
        <v>358</v>
      </c>
      <c r="I5" s="40" t="s">
        <v>692</v>
      </c>
    </row>
    <row r="6" spans="1:10">
      <c r="A6" s="31" t="s">
        <v>349</v>
      </c>
      <c r="B6" s="50" t="str">
        <f t="shared" si="0"/>
        <v>WC</v>
      </c>
      <c r="C6" s="38" t="s">
        <v>350</v>
      </c>
      <c r="D6" s="31" t="s">
        <v>351</v>
      </c>
      <c r="E6" s="31" t="s">
        <v>352</v>
      </c>
      <c r="F6" s="33" t="s">
        <v>540</v>
      </c>
      <c r="G6" s="31" t="s">
        <v>524</v>
      </c>
      <c r="H6" s="31" t="s">
        <v>353</v>
      </c>
      <c r="I6" s="40" t="s">
        <v>691</v>
      </c>
      <c r="J6" s="40" t="s">
        <v>492</v>
      </c>
    </row>
    <row r="7" spans="1:10">
      <c r="A7" s="31" t="s">
        <v>433</v>
      </c>
      <c r="B7" s="50" t="str">
        <f t="shared" si="0"/>
        <v>5U</v>
      </c>
      <c r="C7" s="38" t="s">
        <v>434</v>
      </c>
      <c r="D7" s="31" t="s">
        <v>435</v>
      </c>
      <c r="F7" s="31" t="s">
        <v>541</v>
      </c>
      <c r="G7" s="31" t="s">
        <v>615</v>
      </c>
      <c r="H7" s="31" t="s">
        <v>436</v>
      </c>
      <c r="I7" s="40" t="s">
        <v>691</v>
      </c>
      <c r="J7" s="40" t="s">
        <v>693</v>
      </c>
    </row>
    <row r="8" spans="1:10">
      <c r="A8" s="31" t="s">
        <v>456</v>
      </c>
      <c r="B8" s="50" t="str">
        <f t="shared" si="0"/>
        <v>WU</v>
      </c>
      <c r="C8" s="38" t="s">
        <v>457</v>
      </c>
      <c r="D8" s="31" t="s">
        <v>458</v>
      </c>
      <c r="F8" s="31" t="s">
        <v>542</v>
      </c>
      <c r="G8" s="31" t="s">
        <v>616</v>
      </c>
      <c r="H8" s="31" t="s">
        <v>459</v>
      </c>
      <c r="I8" s="40" t="s">
        <v>691</v>
      </c>
      <c r="J8" s="40" t="s">
        <v>460</v>
      </c>
    </row>
    <row r="9" spans="1:10">
      <c r="A9" s="31" t="s">
        <v>59</v>
      </c>
      <c r="B9" s="50" t="str">
        <f t="shared" si="0"/>
        <v>5U</v>
      </c>
      <c r="C9" s="38" t="s">
        <v>60</v>
      </c>
      <c r="D9" s="31" t="s">
        <v>61</v>
      </c>
      <c r="E9" s="31" t="s">
        <v>62</v>
      </c>
      <c r="F9" s="33" t="s">
        <v>535</v>
      </c>
      <c r="G9" s="31" t="s">
        <v>617</v>
      </c>
      <c r="H9" s="31" t="s">
        <v>63</v>
      </c>
      <c r="I9" s="40" t="s">
        <v>691</v>
      </c>
      <c r="J9" s="40" t="s">
        <v>64</v>
      </c>
    </row>
    <row r="10" spans="1:10">
      <c r="A10" s="31" t="s">
        <v>214</v>
      </c>
      <c r="B10" s="50" t="str">
        <f t="shared" si="0"/>
        <v>MR</v>
      </c>
      <c r="C10" s="38" t="s">
        <v>215</v>
      </c>
      <c r="D10" s="31" t="s">
        <v>216</v>
      </c>
      <c r="E10" s="31" t="s">
        <v>217</v>
      </c>
      <c r="F10" s="33" t="s">
        <v>543</v>
      </c>
      <c r="G10" s="31" t="s">
        <v>618</v>
      </c>
      <c r="H10" s="31" t="s">
        <v>218</v>
      </c>
      <c r="I10" s="40" t="s">
        <v>691</v>
      </c>
      <c r="J10" s="40" t="s">
        <v>219</v>
      </c>
    </row>
    <row r="11" spans="1:10">
      <c r="A11" s="31" t="s">
        <v>230</v>
      </c>
      <c r="B11" s="50" t="str">
        <f t="shared" si="0"/>
        <v>MW</v>
      </c>
      <c r="C11" s="38" t="s">
        <v>231</v>
      </c>
      <c r="D11" s="31" t="s">
        <v>954</v>
      </c>
      <c r="E11" s="31" t="s">
        <v>232</v>
      </c>
      <c r="F11" s="33" t="s">
        <v>544</v>
      </c>
      <c r="G11" s="31" t="s">
        <v>619</v>
      </c>
      <c r="H11" s="31" t="s">
        <v>233</v>
      </c>
      <c r="I11" s="40" t="s">
        <v>691</v>
      </c>
      <c r="J11" s="40" t="s">
        <v>234</v>
      </c>
    </row>
    <row r="12" spans="1:10">
      <c r="A12" s="31" t="s">
        <v>403</v>
      </c>
      <c r="B12" s="50" t="str">
        <f t="shared" si="0"/>
        <v>XB</v>
      </c>
      <c r="C12" s="38" t="s">
        <v>404</v>
      </c>
      <c r="D12" s="31" t="s">
        <v>405</v>
      </c>
      <c r="E12" s="31" t="s">
        <v>406</v>
      </c>
      <c r="F12" s="33" t="s">
        <v>545</v>
      </c>
      <c r="G12" s="31" t="s">
        <v>620</v>
      </c>
      <c r="H12" s="31" t="s">
        <v>407</v>
      </c>
      <c r="I12" s="40" t="s">
        <v>508</v>
      </c>
      <c r="J12" s="40" t="s">
        <v>508</v>
      </c>
    </row>
    <row r="13" spans="1:10">
      <c r="A13" s="31" t="s">
        <v>292</v>
      </c>
      <c r="C13" s="38" t="s">
        <v>293</v>
      </c>
      <c r="D13" s="31" t="s">
        <v>294</v>
      </c>
      <c r="E13" s="31" t="s">
        <v>295</v>
      </c>
      <c r="F13" s="33" t="s">
        <v>546</v>
      </c>
      <c r="G13" s="31" t="s">
        <v>621</v>
      </c>
      <c r="H13" s="31" t="s">
        <v>477</v>
      </c>
      <c r="I13" s="40" t="s">
        <v>691</v>
      </c>
      <c r="J13" s="40" t="s">
        <v>219</v>
      </c>
    </row>
    <row r="14" spans="1:10">
      <c r="A14" s="31" t="s">
        <v>135</v>
      </c>
      <c r="B14" s="50" t="str">
        <f t="shared" si="0"/>
        <v>EU</v>
      </c>
      <c r="C14" s="38" t="s">
        <v>136</v>
      </c>
      <c r="D14" s="31" t="s">
        <v>137</v>
      </c>
      <c r="F14" s="33" t="s">
        <v>547</v>
      </c>
      <c r="G14" s="31" t="s">
        <v>622</v>
      </c>
      <c r="H14" s="31" t="s">
        <v>496</v>
      </c>
    </row>
    <row r="15" spans="1:10">
      <c r="A15" s="31" t="s">
        <v>398</v>
      </c>
      <c r="B15" s="50" t="str">
        <f t="shared" si="0"/>
        <v>WM</v>
      </c>
      <c r="C15" s="38" t="s">
        <v>399</v>
      </c>
      <c r="D15" s="31" t="s">
        <v>400</v>
      </c>
      <c r="E15" s="31" t="s">
        <v>401</v>
      </c>
      <c r="F15" s="33" t="s">
        <v>548</v>
      </c>
      <c r="G15" s="31" t="s">
        <v>623</v>
      </c>
      <c r="H15" s="31" t="s">
        <v>402</v>
      </c>
    </row>
    <row r="16" spans="1:10">
      <c r="A16" s="31" t="s">
        <v>73</v>
      </c>
      <c r="B16" s="50" t="str">
        <f t="shared" si="0"/>
        <v>AF</v>
      </c>
      <c r="C16" s="38" t="s">
        <v>74</v>
      </c>
      <c r="D16" s="31" t="s">
        <v>75</v>
      </c>
      <c r="E16" s="31" t="s">
        <v>76</v>
      </c>
      <c r="F16" s="33" t="s">
        <v>549</v>
      </c>
      <c r="G16" s="31" t="s">
        <v>624</v>
      </c>
      <c r="H16" s="31" t="s">
        <v>495</v>
      </c>
      <c r="I16" s="40" t="s">
        <v>691</v>
      </c>
      <c r="J16" s="40" t="s">
        <v>77</v>
      </c>
    </row>
    <row r="17" spans="1:10">
      <c r="A17" s="31" t="s">
        <v>513</v>
      </c>
      <c r="B17" s="50" t="str">
        <f t="shared" si="0"/>
        <v>GU</v>
      </c>
      <c r="C17" s="38" t="s">
        <v>178</v>
      </c>
      <c r="D17" s="31" t="s">
        <v>179</v>
      </c>
      <c r="E17" s="31" t="s">
        <v>180</v>
      </c>
      <c r="F17" s="33" t="s">
        <v>550</v>
      </c>
      <c r="G17" s="31" t="s">
        <v>625</v>
      </c>
      <c r="H17" s="31" t="s">
        <v>181</v>
      </c>
      <c r="I17" s="40" t="s">
        <v>691</v>
      </c>
      <c r="J17" s="40" t="s">
        <v>182</v>
      </c>
    </row>
    <row r="18" spans="1:10">
      <c r="A18" s="31" t="s">
        <v>168</v>
      </c>
      <c r="B18" s="50" t="str">
        <f t="shared" si="0"/>
        <v>GM</v>
      </c>
      <c r="C18" s="38" t="s">
        <v>169</v>
      </c>
      <c r="D18" s="31" t="s">
        <v>170</v>
      </c>
      <c r="E18" s="31" t="s">
        <v>171</v>
      </c>
      <c r="G18" s="31" t="s">
        <v>626</v>
      </c>
      <c r="H18" s="31" t="s">
        <v>172</v>
      </c>
    </row>
    <row r="19" spans="1:10">
      <c r="A19" s="31" t="s">
        <v>113</v>
      </c>
      <c r="B19" s="50" t="str">
        <f t="shared" si="0"/>
        <v>CV</v>
      </c>
      <c r="C19" s="38" t="s">
        <v>114</v>
      </c>
      <c r="D19" s="31" t="s">
        <v>115</v>
      </c>
      <c r="E19" s="31" t="s">
        <v>116</v>
      </c>
      <c r="F19" s="33" t="s">
        <v>551</v>
      </c>
      <c r="G19" s="31" t="s">
        <v>627</v>
      </c>
      <c r="H19" s="31" t="s">
        <v>117</v>
      </c>
      <c r="I19" s="40" t="s">
        <v>691</v>
      </c>
      <c r="J19" s="40" t="s">
        <v>118</v>
      </c>
    </row>
    <row r="20" spans="1:10">
      <c r="A20" s="36" t="s">
        <v>474</v>
      </c>
      <c r="B20" s="50">
        <v>55</v>
      </c>
      <c r="C20" s="39">
        <v>55001</v>
      </c>
      <c r="D20" s="36" t="s">
        <v>534</v>
      </c>
      <c r="E20" s="36"/>
      <c r="F20" s="36" t="s">
        <v>956</v>
      </c>
      <c r="G20" s="36" t="s">
        <v>628</v>
      </c>
      <c r="H20" s="36" t="s">
        <v>475</v>
      </c>
      <c r="I20" s="40" t="s">
        <v>955</v>
      </c>
    </row>
    <row r="21" spans="1:10">
      <c r="A21" s="31" t="s">
        <v>245</v>
      </c>
      <c r="B21" s="50" t="str">
        <f t="shared" si="0"/>
        <v>Q2</v>
      </c>
      <c r="C21" s="38" t="s">
        <v>246</v>
      </c>
      <c r="D21" s="31" t="s">
        <v>247</v>
      </c>
      <c r="E21" s="31" t="s">
        <v>248</v>
      </c>
      <c r="F21" s="33" t="s">
        <v>552</v>
      </c>
      <c r="G21" s="31" t="s">
        <v>629</v>
      </c>
      <c r="H21" s="31" t="s">
        <v>249</v>
      </c>
      <c r="I21" s="40" t="s">
        <v>691</v>
      </c>
      <c r="J21" s="40" t="s">
        <v>250</v>
      </c>
    </row>
    <row r="22" spans="1:10">
      <c r="A22" s="31" t="s">
        <v>203</v>
      </c>
      <c r="B22" s="50" t="str">
        <f t="shared" si="0"/>
        <v>M5</v>
      </c>
      <c r="C22" s="38" t="s">
        <v>204</v>
      </c>
      <c r="D22" s="31" t="s">
        <v>514</v>
      </c>
      <c r="E22" s="31" t="s">
        <v>205</v>
      </c>
      <c r="F22" s="33" t="s">
        <v>516</v>
      </c>
      <c r="G22" s="31" t="s">
        <v>515</v>
      </c>
      <c r="H22" s="31" t="s">
        <v>206</v>
      </c>
      <c r="I22" s="40" t="s">
        <v>691</v>
      </c>
      <c r="J22" s="40" t="s">
        <v>207</v>
      </c>
    </row>
    <row r="23" spans="1:10">
      <c r="A23" s="36" t="s">
        <v>472</v>
      </c>
      <c r="B23" s="50" t="str">
        <f t="shared" si="0"/>
        <v>52</v>
      </c>
      <c r="C23" s="39">
        <v>52001</v>
      </c>
      <c r="D23" s="36" t="s">
        <v>531</v>
      </c>
      <c r="E23" s="36" t="s">
        <v>532</v>
      </c>
      <c r="F23" s="36" t="s">
        <v>553</v>
      </c>
      <c r="G23" s="36" t="s">
        <v>630</v>
      </c>
      <c r="H23" s="36" t="s">
        <v>473</v>
      </c>
    </row>
    <row r="24" spans="1:10">
      <c r="A24" s="31" t="s">
        <v>90</v>
      </c>
      <c r="B24" s="50" t="str">
        <f t="shared" si="0"/>
        <v>AT</v>
      </c>
      <c r="C24" s="38" t="s">
        <v>91</v>
      </c>
      <c r="D24" s="31" t="s">
        <v>92</v>
      </c>
      <c r="F24" s="33" t="s">
        <v>554</v>
      </c>
      <c r="G24" s="31" t="s">
        <v>631</v>
      </c>
      <c r="H24" s="31" t="s">
        <v>93</v>
      </c>
      <c r="I24" s="40" t="s">
        <v>691</v>
      </c>
      <c r="J24" s="40" t="s">
        <v>94</v>
      </c>
    </row>
    <row r="25" spans="1:10">
      <c r="A25" s="31" t="s">
        <v>84</v>
      </c>
      <c r="B25" s="50" t="str">
        <f t="shared" si="0"/>
        <v>AR</v>
      </c>
      <c r="C25" s="38" t="s">
        <v>85</v>
      </c>
      <c r="D25" s="31" t="s">
        <v>86</v>
      </c>
      <c r="F25" s="33" t="s">
        <v>87</v>
      </c>
      <c r="G25" s="31" t="s">
        <v>632</v>
      </c>
      <c r="H25" s="31" t="s">
        <v>88</v>
      </c>
      <c r="I25" s="40" t="s">
        <v>89</v>
      </c>
      <c r="J25" s="40" t="s">
        <v>89</v>
      </c>
    </row>
    <row r="26" spans="1:10">
      <c r="A26" s="31" t="s">
        <v>461</v>
      </c>
      <c r="B26" s="50" t="str">
        <f t="shared" si="0"/>
        <v/>
      </c>
      <c r="D26" s="31" t="s">
        <v>462</v>
      </c>
      <c r="E26" s="31" t="s">
        <v>463</v>
      </c>
      <c r="F26" s="31" t="s">
        <v>555</v>
      </c>
      <c r="H26" s="31" t="s">
        <v>480</v>
      </c>
      <c r="I26" s="40" t="s">
        <v>691</v>
      </c>
      <c r="J26" s="40" t="s">
        <v>511</v>
      </c>
    </row>
    <row r="27" spans="1:10">
      <c r="A27" s="31" t="s">
        <v>29</v>
      </c>
      <c r="B27" s="50" t="str">
        <f t="shared" si="0"/>
        <v>2M</v>
      </c>
      <c r="C27" s="38" t="s">
        <v>30</v>
      </c>
      <c r="D27" s="31" t="s">
        <v>31</v>
      </c>
      <c r="E27" s="31" t="s">
        <v>32</v>
      </c>
      <c r="F27" s="33" t="s">
        <v>556</v>
      </c>
      <c r="G27" s="31" t="s">
        <v>633</v>
      </c>
      <c r="H27" s="31" t="s">
        <v>33</v>
      </c>
      <c r="I27" s="40" t="s">
        <v>691</v>
      </c>
      <c r="J27" s="40" t="s">
        <v>694</v>
      </c>
    </row>
    <row r="28" spans="1:10">
      <c r="A28" s="36" t="s">
        <v>470</v>
      </c>
      <c r="B28" s="50" t="str">
        <f t="shared" si="0"/>
        <v>25</v>
      </c>
      <c r="C28" s="39">
        <v>25001</v>
      </c>
      <c r="D28" s="36" t="s">
        <v>533</v>
      </c>
      <c r="E28" s="36"/>
      <c r="F28" s="36" t="s">
        <v>557</v>
      </c>
      <c r="G28" s="36" t="s">
        <v>634</v>
      </c>
      <c r="H28" s="36" t="s">
        <v>530</v>
      </c>
    </row>
    <row r="29" spans="1:10">
      <c r="A29" s="31" t="s">
        <v>344</v>
      </c>
      <c r="B29" s="50" t="str">
        <f t="shared" si="0"/>
        <v>VV</v>
      </c>
      <c r="C29" s="38" t="s">
        <v>345</v>
      </c>
      <c r="D29" s="31" t="s">
        <v>346</v>
      </c>
      <c r="E29" s="31" t="s">
        <v>347</v>
      </c>
      <c r="F29" s="33" t="s">
        <v>520</v>
      </c>
      <c r="G29" s="31" t="s">
        <v>523</v>
      </c>
      <c r="H29" s="31" t="s">
        <v>348</v>
      </c>
      <c r="I29" s="40" t="s">
        <v>691</v>
      </c>
      <c r="J29" s="40" t="s">
        <v>219</v>
      </c>
    </row>
    <row r="30" spans="1:10">
      <c r="A30" s="31" t="s">
        <v>296</v>
      </c>
      <c r="B30" s="50" t="str">
        <f t="shared" si="0"/>
        <v>TV</v>
      </c>
      <c r="C30" s="38" t="s">
        <v>297</v>
      </c>
      <c r="D30" s="31" t="s">
        <v>298</v>
      </c>
      <c r="E30" s="31" t="s">
        <v>299</v>
      </c>
      <c r="F30" s="33" t="s">
        <v>558</v>
      </c>
      <c r="G30" s="31" t="s">
        <v>635</v>
      </c>
      <c r="H30" s="31" t="s">
        <v>478</v>
      </c>
      <c r="I30" s="40" t="s">
        <v>691</v>
      </c>
      <c r="J30" s="40" t="s">
        <v>300</v>
      </c>
    </row>
    <row r="31" spans="1:10">
      <c r="A31" s="31" t="s">
        <v>197</v>
      </c>
      <c r="B31" s="50" t="str">
        <f t="shared" si="0"/>
        <v>JT</v>
      </c>
      <c r="C31" s="38" t="s">
        <v>198</v>
      </c>
      <c r="D31" s="31" t="s">
        <v>199</v>
      </c>
      <c r="E31" s="31" t="s">
        <v>200</v>
      </c>
      <c r="F31" s="33" t="s">
        <v>559</v>
      </c>
      <c r="G31" s="31" t="s">
        <v>636</v>
      </c>
      <c r="H31" s="31" t="s">
        <v>201</v>
      </c>
      <c r="I31" s="40" t="s">
        <v>691</v>
      </c>
      <c r="J31" s="40" t="s">
        <v>202</v>
      </c>
    </row>
    <row r="32" spans="1:10">
      <c r="A32" s="31" t="s">
        <v>412</v>
      </c>
      <c r="B32" s="50" t="str">
        <f t="shared" si="0"/>
        <v>VB</v>
      </c>
      <c r="C32" s="38" t="s">
        <v>413</v>
      </c>
      <c r="D32" s="31" t="s">
        <v>414</v>
      </c>
      <c r="E32" s="31" t="s">
        <v>415</v>
      </c>
      <c r="F32" s="33" t="s">
        <v>560</v>
      </c>
      <c r="G32" s="31" t="s">
        <v>637</v>
      </c>
      <c r="H32" s="31" t="s">
        <v>416</v>
      </c>
      <c r="I32" s="40" t="s">
        <v>709</v>
      </c>
      <c r="J32" s="40" t="s">
        <v>773</v>
      </c>
    </row>
    <row r="33" spans="1:10">
      <c r="A33" s="31" t="s">
        <v>282</v>
      </c>
      <c r="B33" s="50" t="str">
        <f t="shared" si="0"/>
        <v>TM</v>
      </c>
      <c r="C33" s="38" t="s">
        <v>283</v>
      </c>
      <c r="D33" s="31" t="s">
        <v>284</v>
      </c>
      <c r="E33" s="31" t="s">
        <v>285</v>
      </c>
      <c r="F33" s="33" t="s">
        <v>561</v>
      </c>
      <c r="G33" s="31" t="s">
        <v>638</v>
      </c>
      <c r="H33" s="31" t="s">
        <v>286</v>
      </c>
      <c r="I33" s="40" t="s">
        <v>691</v>
      </c>
      <c r="J33" s="40" t="s">
        <v>469</v>
      </c>
    </row>
    <row r="34" spans="1:10">
      <c r="A34" s="31" t="s">
        <v>307</v>
      </c>
      <c r="B34" s="50" t="str">
        <f t="shared" ref="B34:B65" si="1">IF($C34="","",LEFT($C34,2))</f>
        <v>UV</v>
      </c>
      <c r="C34" s="38" t="s">
        <v>308</v>
      </c>
      <c r="D34" s="31" t="s">
        <v>309</v>
      </c>
      <c r="F34" s="33" t="s">
        <v>924</v>
      </c>
      <c r="G34" s="31" t="s">
        <v>816</v>
      </c>
      <c r="H34" s="31" t="s">
        <v>310</v>
      </c>
      <c r="I34" s="40" t="s">
        <v>691</v>
      </c>
      <c r="J34" s="40" t="s">
        <v>817</v>
      </c>
    </row>
    <row r="35" spans="1:10">
      <c r="A35" s="31" t="s">
        <v>240</v>
      </c>
      <c r="B35" s="50" t="str">
        <f t="shared" si="1"/>
        <v>MZ</v>
      </c>
      <c r="C35" s="38" t="s">
        <v>241</v>
      </c>
      <c r="D35" s="31" t="s">
        <v>242</v>
      </c>
      <c r="E35" s="31" t="s">
        <v>243</v>
      </c>
      <c r="F35" s="33" t="s">
        <v>562</v>
      </c>
      <c r="G35" s="31" t="s">
        <v>639</v>
      </c>
      <c r="H35" s="31" t="s">
        <v>244</v>
      </c>
    </row>
    <row r="36" spans="1:10">
      <c r="A36" s="31" t="s">
        <v>393</v>
      </c>
      <c r="B36" s="50" t="str">
        <f t="shared" si="1"/>
        <v>ZX</v>
      </c>
      <c r="C36" s="38" t="s">
        <v>394</v>
      </c>
      <c r="D36" s="31" t="s">
        <v>395</v>
      </c>
      <c r="E36" s="31" t="s">
        <v>396</v>
      </c>
      <c r="F36" s="33" t="s">
        <v>563</v>
      </c>
      <c r="G36" s="31" t="s">
        <v>640</v>
      </c>
      <c r="H36" s="31" t="s">
        <v>397</v>
      </c>
      <c r="I36" s="40" t="s">
        <v>691</v>
      </c>
      <c r="J36" s="40" t="s">
        <v>507</v>
      </c>
    </row>
    <row r="37" spans="1:10">
      <c r="A37" s="31" t="s">
        <v>235</v>
      </c>
      <c r="B37" s="50" t="str">
        <f t="shared" si="1"/>
        <v>MZ</v>
      </c>
      <c r="C37" s="38" t="s">
        <v>236</v>
      </c>
      <c r="D37" s="31" t="s">
        <v>237</v>
      </c>
      <c r="E37" s="31" t="s">
        <v>238</v>
      </c>
      <c r="F37" s="33" t="s">
        <v>564</v>
      </c>
      <c r="G37" s="31" t="s">
        <v>641</v>
      </c>
      <c r="H37" s="31" t="s">
        <v>239</v>
      </c>
      <c r="I37" s="40" t="s">
        <v>691</v>
      </c>
      <c r="J37" s="40" t="s">
        <v>492</v>
      </c>
    </row>
    <row r="38" spans="1:10">
      <c r="A38" s="36" t="s">
        <v>476</v>
      </c>
      <c r="B38" s="50" t="str">
        <f t="shared" si="1"/>
        <v>MU</v>
      </c>
      <c r="C38" s="38" t="s">
        <v>220</v>
      </c>
      <c r="D38" s="31" t="s">
        <v>221</v>
      </c>
      <c r="F38" s="33" t="s">
        <v>565</v>
      </c>
      <c r="G38" s="31" t="s">
        <v>642</v>
      </c>
      <c r="H38" s="31" t="s">
        <v>222</v>
      </c>
      <c r="I38" s="40" t="s">
        <v>691</v>
      </c>
      <c r="J38" s="40" t="s">
        <v>223</v>
      </c>
    </row>
    <row r="39" spans="1:10">
      <c r="A39" s="31" t="s">
        <v>53</v>
      </c>
      <c r="B39" s="50" t="str">
        <f t="shared" si="1"/>
        <v>5J</v>
      </c>
      <c r="C39" s="38" t="s">
        <v>54</v>
      </c>
      <c r="D39" s="31" t="s">
        <v>55</v>
      </c>
      <c r="E39" s="31" t="s">
        <v>56</v>
      </c>
      <c r="F39" s="33" t="s">
        <v>566</v>
      </c>
      <c r="G39" s="31" t="s">
        <v>643</v>
      </c>
      <c r="H39" s="31" t="s">
        <v>57</v>
      </c>
      <c r="I39" s="40" t="s">
        <v>691</v>
      </c>
      <c r="J39" s="40" t="s">
        <v>58</v>
      </c>
    </row>
    <row r="40" spans="1:10">
      <c r="A40" s="31" t="s">
        <v>65</v>
      </c>
      <c r="B40" s="50" t="str">
        <f t="shared" si="1"/>
        <v>5V</v>
      </c>
      <c r="C40" s="38" t="s">
        <v>66</v>
      </c>
      <c r="D40" s="31" t="s">
        <v>65</v>
      </c>
      <c r="E40" s="31" t="s">
        <v>498</v>
      </c>
      <c r="F40" s="33" t="s">
        <v>500</v>
      </c>
      <c r="G40" s="31" t="s">
        <v>499</v>
      </c>
      <c r="H40" s="31" t="s">
        <v>494</v>
      </c>
      <c r="I40" s="40" t="s">
        <v>691</v>
      </c>
      <c r="J40" s="40" t="s">
        <v>695</v>
      </c>
    </row>
    <row r="41" spans="1:10">
      <c r="A41" s="31" t="s">
        <v>287</v>
      </c>
      <c r="C41" s="38" t="s">
        <v>288</v>
      </c>
      <c r="D41" s="31" t="s">
        <v>289</v>
      </c>
      <c r="E41" s="31" t="s">
        <v>290</v>
      </c>
      <c r="F41" s="33" t="s">
        <v>567</v>
      </c>
      <c r="G41" s="31" t="s">
        <v>644</v>
      </c>
      <c r="H41" s="31" t="s">
        <v>291</v>
      </c>
      <c r="I41" s="40" t="s">
        <v>691</v>
      </c>
      <c r="J41" s="40" t="s">
        <v>469</v>
      </c>
    </row>
    <row r="42" spans="1:10">
      <c r="A42" s="31" t="s">
        <v>448</v>
      </c>
      <c r="B42" s="50" t="str">
        <f t="shared" si="1"/>
        <v>X1</v>
      </c>
      <c r="C42" s="38" t="s">
        <v>449</v>
      </c>
      <c r="D42" s="31" t="s">
        <v>450</v>
      </c>
      <c r="F42" s="31" t="s">
        <v>568</v>
      </c>
      <c r="G42" s="31" t="s">
        <v>645</v>
      </c>
      <c r="H42" s="31" t="s">
        <v>451</v>
      </c>
    </row>
    <row r="43" spans="1:10">
      <c r="A43" s="31" t="s">
        <v>311</v>
      </c>
      <c r="B43" s="50" t="str">
        <f t="shared" si="1"/>
        <v>UW</v>
      </c>
      <c r="C43" s="38" t="s">
        <v>312</v>
      </c>
      <c r="D43" s="31" t="s">
        <v>313</v>
      </c>
      <c r="E43" s="31" t="s">
        <v>314</v>
      </c>
      <c r="F43" s="33" t="s">
        <v>569</v>
      </c>
      <c r="G43" s="31" t="s">
        <v>646</v>
      </c>
      <c r="H43" s="31" t="s">
        <v>315</v>
      </c>
      <c r="I43" s="40" t="s">
        <v>691</v>
      </c>
      <c r="J43" s="40" t="s">
        <v>316</v>
      </c>
    </row>
    <row r="44" spans="1:10">
      <c r="A44" s="31" t="s">
        <v>301</v>
      </c>
      <c r="B44" s="50" t="str">
        <f t="shared" si="1"/>
        <v>UF</v>
      </c>
      <c r="C44" s="38" t="s">
        <v>302</v>
      </c>
      <c r="D44" s="31" t="s">
        <v>303</v>
      </c>
      <c r="E44" s="31" t="s">
        <v>304</v>
      </c>
      <c r="F44" s="33" t="s">
        <v>570</v>
      </c>
      <c r="G44" s="31" t="s">
        <v>647</v>
      </c>
      <c r="H44" s="31" t="s">
        <v>305</v>
      </c>
      <c r="I44" s="40" t="s">
        <v>691</v>
      </c>
      <c r="J44" s="40" t="s">
        <v>306</v>
      </c>
    </row>
    <row r="45" spans="1:10">
      <c r="A45" s="31" t="s">
        <v>138</v>
      </c>
      <c r="B45" s="50" t="str">
        <f t="shared" si="1"/>
        <v>EW</v>
      </c>
      <c r="C45" s="38" t="s">
        <v>139</v>
      </c>
      <c r="D45" s="31" t="s">
        <v>140</v>
      </c>
      <c r="F45" s="33" t="s">
        <v>571</v>
      </c>
      <c r="G45" s="31" t="s">
        <v>648</v>
      </c>
      <c r="H45" s="31" t="s">
        <v>141</v>
      </c>
      <c r="I45" s="40" t="s">
        <v>692</v>
      </c>
      <c r="J45" s="40" t="s">
        <v>696</v>
      </c>
    </row>
    <row r="46" spans="1:10">
      <c r="A46" s="31" t="s">
        <v>142</v>
      </c>
      <c r="B46" s="50" t="str">
        <f t="shared" si="1"/>
        <v>EZ</v>
      </c>
      <c r="C46" s="38" t="s">
        <v>143</v>
      </c>
      <c r="D46" s="31" t="s">
        <v>144</v>
      </c>
      <c r="E46" s="31" t="s">
        <v>145</v>
      </c>
      <c r="F46" s="33" t="s">
        <v>572</v>
      </c>
      <c r="G46" s="31" t="s">
        <v>649</v>
      </c>
      <c r="H46" s="31" t="s">
        <v>497</v>
      </c>
      <c r="I46" s="40" t="s">
        <v>692</v>
      </c>
      <c r="J46" s="40" t="s">
        <v>146</v>
      </c>
    </row>
    <row r="47" spans="1:10">
      <c r="A47" s="31" t="s">
        <v>267</v>
      </c>
      <c r="C47" s="38" t="s">
        <v>268</v>
      </c>
      <c r="D47" s="31" t="s">
        <v>269</v>
      </c>
      <c r="E47" s="31" t="s">
        <v>270</v>
      </c>
      <c r="F47" s="33" t="s">
        <v>573</v>
      </c>
      <c r="G47" s="31" t="s">
        <v>650</v>
      </c>
      <c r="H47" s="31" t="s">
        <v>271</v>
      </c>
      <c r="I47" s="40" t="s">
        <v>691</v>
      </c>
      <c r="J47" s="40" t="s">
        <v>493</v>
      </c>
    </row>
    <row r="48" spans="1:10">
      <c r="A48" s="31" t="s">
        <v>193</v>
      </c>
      <c r="B48" s="50" t="str">
        <f t="shared" si="1"/>
        <v>JG</v>
      </c>
      <c r="C48" s="38" t="s">
        <v>194</v>
      </c>
      <c r="D48" s="31" t="s">
        <v>195</v>
      </c>
      <c r="F48" s="33" t="s">
        <v>574</v>
      </c>
      <c r="G48" s="31" t="s">
        <v>651</v>
      </c>
      <c r="H48" s="31" t="s">
        <v>196</v>
      </c>
    </row>
    <row r="49" spans="1:10">
      <c r="A49" s="31" t="s">
        <v>124</v>
      </c>
      <c r="B49" s="50" t="str">
        <f t="shared" si="1"/>
        <v>E2</v>
      </c>
      <c r="C49" s="38" t="s">
        <v>125</v>
      </c>
      <c r="D49" s="31" t="s">
        <v>126</v>
      </c>
      <c r="E49" s="31" t="s">
        <v>127</v>
      </c>
      <c r="F49" s="33" t="s">
        <v>575</v>
      </c>
      <c r="G49" s="31" t="s">
        <v>652</v>
      </c>
      <c r="H49" s="31" t="s">
        <v>128</v>
      </c>
      <c r="I49" s="40" t="s">
        <v>691</v>
      </c>
      <c r="J49" s="40" t="s">
        <v>129</v>
      </c>
    </row>
    <row r="50" spans="1:10">
      <c r="A50" s="31" t="s">
        <v>471</v>
      </c>
      <c r="B50" s="50" t="str">
        <f t="shared" si="1"/>
        <v>2U</v>
      </c>
      <c r="C50" s="38" t="s">
        <v>45</v>
      </c>
      <c r="D50" s="31" t="s">
        <v>484</v>
      </c>
      <c r="E50" s="31" t="s">
        <v>46</v>
      </c>
      <c r="F50" s="33" t="s">
        <v>576</v>
      </c>
      <c r="G50" s="31" t="s">
        <v>653</v>
      </c>
      <c r="H50" s="31" t="s">
        <v>47</v>
      </c>
      <c r="I50" s="40" t="s">
        <v>691</v>
      </c>
      <c r="J50" s="40" t="s">
        <v>492</v>
      </c>
    </row>
    <row r="51" spans="1:10">
      <c r="A51" s="31" t="s">
        <v>272</v>
      </c>
      <c r="B51" s="50" t="str">
        <f t="shared" si="1"/>
        <v>TC</v>
      </c>
      <c r="C51" s="38" t="s">
        <v>273</v>
      </c>
      <c r="D51" s="31" t="s">
        <v>274</v>
      </c>
      <c r="E51" s="31" t="s">
        <v>275</v>
      </c>
      <c r="F51" s="33" t="s">
        <v>577</v>
      </c>
      <c r="G51" s="31" t="s">
        <v>654</v>
      </c>
      <c r="H51" s="31" t="s">
        <v>47</v>
      </c>
      <c r="I51" s="40" t="s">
        <v>691</v>
      </c>
      <c r="J51" s="40" t="s">
        <v>492</v>
      </c>
    </row>
    <row r="52" spans="1:10">
      <c r="A52" s="31" t="s">
        <v>388</v>
      </c>
      <c r="B52" s="50" t="str">
        <f t="shared" si="1"/>
        <v>ZT</v>
      </c>
      <c r="C52" s="38" t="s">
        <v>389</v>
      </c>
      <c r="D52" s="31" t="s">
        <v>390</v>
      </c>
      <c r="E52" s="31" t="s">
        <v>391</v>
      </c>
      <c r="F52" s="33" t="s">
        <v>656</v>
      </c>
      <c r="G52" s="31" t="s">
        <v>655</v>
      </c>
      <c r="H52" s="31" t="s">
        <v>392</v>
      </c>
      <c r="I52" s="40" t="s">
        <v>691</v>
      </c>
      <c r="J52" s="40" t="s">
        <v>492</v>
      </c>
    </row>
    <row r="53" spans="1:10">
      <c r="A53" s="31" t="s">
        <v>78</v>
      </c>
      <c r="B53" s="50" t="str">
        <f t="shared" si="1"/>
        <v>AF</v>
      </c>
      <c r="C53" s="38" t="s">
        <v>79</v>
      </c>
      <c r="D53" s="31" t="s">
        <v>80</v>
      </c>
      <c r="F53" s="33" t="s">
        <v>81</v>
      </c>
      <c r="G53" s="31" t="s">
        <v>657</v>
      </c>
      <c r="H53" s="31" t="s">
        <v>82</v>
      </c>
      <c r="I53" s="40" t="s">
        <v>691</v>
      </c>
      <c r="J53" s="40" t="s">
        <v>83</v>
      </c>
    </row>
    <row r="54" spans="1:10">
      <c r="A54" s="31" t="s">
        <v>34</v>
      </c>
      <c r="B54" s="50" t="str">
        <f t="shared" si="1"/>
        <v>2M</v>
      </c>
      <c r="C54" s="38" t="s">
        <v>35</v>
      </c>
      <c r="D54" s="31" t="s">
        <v>36</v>
      </c>
      <c r="E54" s="31" t="s">
        <v>37</v>
      </c>
      <c r="F54" s="33" t="s">
        <v>38</v>
      </c>
      <c r="G54" s="31" t="s">
        <v>658</v>
      </c>
      <c r="H54" s="31" t="s">
        <v>39</v>
      </c>
      <c r="I54" s="40" t="s">
        <v>691</v>
      </c>
      <c r="J54" s="40" t="s">
        <v>697</v>
      </c>
    </row>
    <row r="55" spans="1:10">
      <c r="A55" s="31" t="s">
        <v>437</v>
      </c>
      <c r="B55" s="50" t="str">
        <f t="shared" si="1"/>
        <v>RU</v>
      </c>
      <c r="C55" s="38" t="s">
        <v>438</v>
      </c>
      <c r="D55" s="31" t="s">
        <v>439</v>
      </c>
      <c r="E55" s="31" t="s">
        <v>440</v>
      </c>
      <c r="F55" s="31" t="s">
        <v>441</v>
      </c>
      <c r="G55" s="31" t="s">
        <v>659</v>
      </c>
      <c r="H55" s="31" t="s">
        <v>442</v>
      </c>
      <c r="I55" s="40" t="s">
        <v>691</v>
      </c>
      <c r="J55" s="40" t="s">
        <v>492</v>
      </c>
    </row>
    <row r="56" spans="1:10">
      <c r="A56" s="31" t="s">
        <v>359</v>
      </c>
      <c r="B56" s="50" t="str">
        <f t="shared" si="1"/>
        <v>WU</v>
      </c>
      <c r="C56" s="38" t="s">
        <v>360</v>
      </c>
      <c r="D56" s="31" t="s">
        <v>361</v>
      </c>
      <c r="E56" s="31" t="s">
        <v>362</v>
      </c>
      <c r="F56" s="33" t="s">
        <v>517</v>
      </c>
      <c r="G56" s="31" t="s">
        <v>525</v>
      </c>
      <c r="H56" s="31" t="s">
        <v>363</v>
      </c>
      <c r="I56" s="40" t="s">
        <v>691</v>
      </c>
      <c r="J56" s="40" t="s">
        <v>502</v>
      </c>
    </row>
    <row r="57" spans="1:10">
      <c r="A57" s="31" t="s">
        <v>364</v>
      </c>
      <c r="B57" s="50" t="str">
        <f t="shared" si="1"/>
        <v>XF</v>
      </c>
      <c r="C57" s="38" t="s">
        <v>365</v>
      </c>
      <c r="D57" s="31" t="s">
        <v>366</v>
      </c>
      <c r="E57" s="31" t="s">
        <v>528</v>
      </c>
      <c r="F57" s="33" t="s">
        <v>526</v>
      </c>
      <c r="G57" s="31" t="s">
        <v>527</v>
      </c>
      <c r="H57" s="31" t="s">
        <v>481</v>
      </c>
      <c r="I57" s="40" t="s">
        <v>691</v>
      </c>
      <c r="J57" s="40" t="s">
        <v>503</v>
      </c>
    </row>
    <row r="58" spans="1:10">
      <c r="A58" s="31" t="s">
        <v>157</v>
      </c>
      <c r="B58" s="50" t="str">
        <f t="shared" si="1"/>
        <v>FU</v>
      </c>
      <c r="C58" s="38" t="s">
        <v>158</v>
      </c>
      <c r="D58" s="31" t="s">
        <v>159</v>
      </c>
      <c r="E58" s="31" t="s">
        <v>160</v>
      </c>
      <c r="F58" s="33" t="s">
        <v>578</v>
      </c>
      <c r="G58" s="31" t="s">
        <v>660</v>
      </c>
      <c r="H58" s="31" t="s">
        <v>161</v>
      </c>
    </row>
    <row r="59" spans="1:10">
      <c r="A59" s="31" t="s">
        <v>224</v>
      </c>
      <c r="B59" s="50" t="str">
        <f t="shared" si="1"/>
        <v>MV</v>
      </c>
      <c r="C59" s="38" t="s">
        <v>225</v>
      </c>
      <c r="D59" s="31" t="s">
        <v>226</v>
      </c>
      <c r="E59" s="31" t="s">
        <v>227</v>
      </c>
      <c r="F59" s="33" t="s">
        <v>579</v>
      </c>
      <c r="H59" s="31" t="s">
        <v>228</v>
      </c>
      <c r="I59" s="40" t="s">
        <v>691</v>
      </c>
      <c r="J59" s="40" t="s">
        <v>229</v>
      </c>
    </row>
    <row r="60" spans="1:10">
      <c r="A60" s="31" t="s">
        <v>334</v>
      </c>
      <c r="B60" s="50" t="str">
        <f t="shared" si="1"/>
        <v>VQ</v>
      </c>
      <c r="C60" s="38" t="s">
        <v>335</v>
      </c>
      <c r="D60" s="31" t="s">
        <v>336</v>
      </c>
      <c r="E60" s="31" t="s">
        <v>337</v>
      </c>
      <c r="F60" s="33" t="s">
        <v>580</v>
      </c>
      <c r="G60" s="31" t="s">
        <v>661</v>
      </c>
      <c r="H60" s="31" t="s">
        <v>338</v>
      </c>
      <c r="I60" s="40" t="s">
        <v>691</v>
      </c>
      <c r="J60" s="40" t="s">
        <v>339</v>
      </c>
    </row>
    <row r="61" spans="1:10">
      <c r="A61" s="31" t="s">
        <v>323</v>
      </c>
      <c r="B61" s="50" t="str">
        <f t="shared" si="1"/>
        <v>VB</v>
      </c>
      <c r="C61" s="38" t="s">
        <v>324</v>
      </c>
      <c r="D61" s="31" t="s">
        <v>325</v>
      </c>
      <c r="E61" s="31" t="s">
        <v>326</v>
      </c>
      <c r="F61" s="33" t="s">
        <v>581</v>
      </c>
      <c r="G61" s="31" t="s">
        <v>662</v>
      </c>
      <c r="H61" s="31" t="s">
        <v>327</v>
      </c>
      <c r="I61" s="40" t="s">
        <v>691</v>
      </c>
      <c r="J61" s="40" t="s">
        <v>469</v>
      </c>
    </row>
    <row r="62" spans="1:10">
      <c r="A62" s="31" t="s">
        <v>104</v>
      </c>
      <c r="B62" s="50" t="str">
        <f t="shared" si="1"/>
        <v>CR</v>
      </c>
      <c r="C62" s="38" t="s">
        <v>105</v>
      </c>
      <c r="D62" s="31" t="s">
        <v>106</v>
      </c>
      <c r="F62" s="33" t="s">
        <v>582</v>
      </c>
      <c r="G62" s="31" t="s">
        <v>663</v>
      </c>
      <c r="H62" s="31" t="s">
        <v>107</v>
      </c>
      <c r="I62" s="40" t="s">
        <v>691</v>
      </c>
      <c r="J62" s="40" t="s">
        <v>108</v>
      </c>
    </row>
    <row r="63" spans="1:10">
      <c r="A63" s="31" t="s">
        <v>208</v>
      </c>
      <c r="B63" s="50" t="str">
        <f t="shared" si="1"/>
        <v>MG</v>
      </c>
      <c r="C63" s="38" t="s">
        <v>209</v>
      </c>
      <c r="D63" s="31" t="s">
        <v>210</v>
      </c>
      <c r="E63" s="31" t="s">
        <v>211</v>
      </c>
      <c r="F63" s="33" t="s">
        <v>583</v>
      </c>
      <c r="G63" s="31" t="s">
        <v>664</v>
      </c>
      <c r="H63" s="31" t="s">
        <v>212</v>
      </c>
      <c r="I63" s="40" t="s">
        <v>691</v>
      </c>
      <c r="J63" s="40" t="s">
        <v>213</v>
      </c>
    </row>
    <row r="64" spans="1:10">
      <c r="A64" s="31" t="s">
        <v>100</v>
      </c>
      <c r="B64" s="50" t="str">
        <f t="shared" si="1"/>
        <v>BU</v>
      </c>
      <c r="C64" s="38" t="s">
        <v>101</v>
      </c>
      <c r="D64" s="31" t="s">
        <v>102</v>
      </c>
      <c r="E64" s="31" t="s">
        <v>103</v>
      </c>
      <c r="F64" s="33" t="s">
        <v>500</v>
      </c>
      <c r="G64" s="31" t="s">
        <v>501</v>
      </c>
      <c r="H64" s="31" t="s">
        <v>494</v>
      </c>
      <c r="I64" s="40" t="s">
        <v>691</v>
      </c>
      <c r="J64" s="40" t="s">
        <v>698</v>
      </c>
    </row>
    <row r="65" spans="1:10">
      <c r="A65" s="31" t="s">
        <v>173</v>
      </c>
      <c r="B65" s="50" t="str">
        <f t="shared" si="1"/>
        <v>GT</v>
      </c>
      <c r="C65" s="38" t="s">
        <v>174</v>
      </c>
      <c r="D65" s="31" t="s">
        <v>175</v>
      </c>
      <c r="E65" s="31" t="s">
        <v>176</v>
      </c>
      <c r="F65" s="33" t="s">
        <v>584</v>
      </c>
      <c r="H65" s="31" t="s">
        <v>177</v>
      </c>
    </row>
    <row r="66" spans="1:10">
      <c r="A66" s="31" t="s">
        <v>162</v>
      </c>
      <c r="B66" s="50" t="str">
        <f t="shared" ref="B66:B94" si="2">IF($C66="","",LEFT($C66,2))</f>
        <v>GH</v>
      </c>
      <c r="C66" s="38" t="s">
        <v>163</v>
      </c>
      <c r="D66" s="31" t="s">
        <v>164</v>
      </c>
      <c r="E66" s="31" t="s">
        <v>165</v>
      </c>
      <c r="F66" s="33" t="s">
        <v>585</v>
      </c>
      <c r="G66" s="31" t="s">
        <v>665</v>
      </c>
      <c r="H66" s="31" t="s">
        <v>166</v>
      </c>
      <c r="I66" s="40" t="s">
        <v>691</v>
      </c>
      <c r="J66" s="40" t="s">
        <v>167</v>
      </c>
    </row>
    <row r="67" spans="1:10">
      <c r="A67" s="31" t="s">
        <v>380</v>
      </c>
      <c r="B67" s="50" t="str">
        <f t="shared" si="2"/>
        <v>YU</v>
      </c>
      <c r="C67" s="38" t="s">
        <v>381</v>
      </c>
      <c r="D67" s="31" t="s">
        <v>382</v>
      </c>
      <c r="E67" s="31" t="s">
        <v>383</v>
      </c>
      <c r="F67" s="33" t="s">
        <v>586</v>
      </c>
      <c r="G67" s="31" t="s">
        <v>666</v>
      </c>
      <c r="H67" s="31" t="s">
        <v>384</v>
      </c>
      <c r="I67" s="40" t="s">
        <v>691</v>
      </c>
      <c r="J67" s="40" t="s">
        <v>506</v>
      </c>
    </row>
    <row r="68" spans="1:10">
      <c r="A68" s="31" t="s">
        <v>257</v>
      </c>
      <c r="B68" s="50" t="str">
        <f t="shared" si="2"/>
        <v>RC</v>
      </c>
      <c r="C68" s="38" t="s">
        <v>258</v>
      </c>
      <c r="D68" s="31" t="s">
        <v>259</v>
      </c>
      <c r="E68" s="31" t="s">
        <v>260</v>
      </c>
      <c r="F68" s="33" t="s">
        <v>587</v>
      </c>
      <c r="G68" s="31" t="s">
        <v>667</v>
      </c>
      <c r="H68" s="31" t="s">
        <v>261</v>
      </c>
      <c r="I68" s="40" t="s">
        <v>691</v>
      </c>
      <c r="J68" s="40" t="s">
        <v>256</v>
      </c>
    </row>
    <row r="69" spans="1:10">
      <c r="A69" s="31" t="s">
        <v>48</v>
      </c>
      <c r="B69" s="50" t="str">
        <f t="shared" si="2"/>
        <v>2X</v>
      </c>
      <c r="C69" s="38" t="s">
        <v>49</v>
      </c>
      <c r="D69" s="31" t="s">
        <v>50</v>
      </c>
      <c r="E69" s="31" t="s">
        <v>51</v>
      </c>
      <c r="F69" s="33" t="s">
        <v>588</v>
      </c>
      <c r="G69" s="31" t="s">
        <v>668</v>
      </c>
      <c r="H69" s="31" t="s">
        <v>52</v>
      </c>
      <c r="I69" s="40" t="s">
        <v>691</v>
      </c>
      <c r="J69" s="40" t="s">
        <v>492</v>
      </c>
    </row>
    <row r="70" spans="1:10">
      <c r="A70" s="31" t="s">
        <v>40</v>
      </c>
      <c r="B70" s="50" t="str">
        <f t="shared" si="2"/>
        <v>2T</v>
      </c>
      <c r="C70" s="38" t="s">
        <v>41</v>
      </c>
      <c r="D70" s="31" t="s">
        <v>42</v>
      </c>
      <c r="E70" s="31" t="s">
        <v>43</v>
      </c>
      <c r="F70" s="33" t="s">
        <v>589</v>
      </c>
      <c r="G70" s="31" t="s">
        <v>669</v>
      </c>
      <c r="H70" s="31" t="s">
        <v>44</v>
      </c>
      <c r="I70" s="40" t="s">
        <v>691</v>
      </c>
      <c r="J70" s="40" t="s">
        <v>512</v>
      </c>
    </row>
    <row r="71" spans="1:10">
      <c r="A71" s="31" t="s">
        <v>95</v>
      </c>
      <c r="B71" s="50" t="str">
        <f t="shared" si="2"/>
        <v>BU</v>
      </c>
      <c r="C71" s="38" t="s">
        <v>96</v>
      </c>
      <c r="D71" s="31" t="s">
        <v>97</v>
      </c>
      <c r="E71" s="31" t="s">
        <v>98</v>
      </c>
      <c r="F71" s="33" t="s">
        <v>590</v>
      </c>
      <c r="G71" s="31" t="s">
        <v>670</v>
      </c>
      <c r="H71" s="31" t="s">
        <v>99</v>
      </c>
      <c r="I71" s="40" t="s">
        <v>691</v>
      </c>
      <c r="J71" s="40" t="s">
        <v>512</v>
      </c>
    </row>
    <row r="72" spans="1:10">
      <c r="A72" s="31" t="s">
        <v>464</v>
      </c>
      <c r="B72" s="50" t="str">
        <f t="shared" si="2"/>
        <v>R2</v>
      </c>
      <c r="C72" s="38" t="s">
        <v>465</v>
      </c>
      <c r="D72" s="31" t="s">
        <v>466</v>
      </c>
      <c r="E72" s="31" t="s">
        <v>467</v>
      </c>
      <c r="F72" s="31" t="s">
        <v>591</v>
      </c>
      <c r="G72" s="31" t="s">
        <v>671</v>
      </c>
      <c r="H72" s="31" t="s">
        <v>468</v>
      </c>
      <c r="I72" s="40" t="s">
        <v>691</v>
      </c>
      <c r="J72" s="40" t="s">
        <v>512</v>
      </c>
    </row>
    <row r="73" spans="1:10">
      <c r="A73" s="31" t="s">
        <v>417</v>
      </c>
      <c r="B73" s="50" t="str">
        <f t="shared" si="2"/>
        <v>J5</v>
      </c>
      <c r="C73" s="38" t="s">
        <v>418</v>
      </c>
      <c r="D73" s="31" t="s">
        <v>419</v>
      </c>
      <c r="F73" s="31" t="s">
        <v>592</v>
      </c>
      <c r="G73" s="31" t="s">
        <v>672</v>
      </c>
      <c r="H73" s="31" t="s">
        <v>420</v>
      </c>
    </row>
    <row r="74" spans="1:10">
      <c r="A74" s="31" t="s">
        <v>147</v>
      </c>
      <c r="B74" s="50" t="str">
        <f t="shared" si="2"/>
        <v/>
      </c>
      <c r="D74" s="31" t="s">
        <v>148</v>
      </c>
      <c r="E74" s="31" t="s">
        <v>149</v>
      </c>
      <c r="F74" s="33" t="s">
        <v>593</v>
      </c>
      <c r="G74" s="31" t="s">
        <v>673</v>
      </c>
      <c r="H74" s="31" t="s">
        <v>150</v>
      </c>
      <c r="I74" s="40" t="s">
        <v>691</v>
      </c>
      <c r="J74" s="40" t="s">
        <v>58</v>
      </c>
    </row>
    <row r="75" spans="1:10">
      <c r="A75" s="31" t="s">
        <v>130</v>
      </c>
      <c r="B75" s="50" t="str">
        <f t="shared" si="2"/>
        <v>EM</v>
      </c>
      <c r="C75" s="38" t="s">
        <v>131</v>
      </c>
      <c r="D75" s="31" t="s">
        <v>132</v>
      </c>
      <c r="E75" s="31" t="s">
        <v>133</v>
      </c>
      <c r="F75" s="33" t="s">
        <v>594</v>
      </c>
      <c r="G75" s="31" t="s">
        <v>674</v>
      </c>
      <c r="H75" s="31" t="s">
        <v>134</v>
      </c>
      <c r="I75" s="40" t="s">
        <v>691</v>
      </c>
      <c r="J75" s="40" t="s">
        <v>58</v>
      </c>
    </row>
    <row r="76" spans="1:10">
      <c r="A76" s="31" t="s">
        <v>183</v>
      </c>
      <c r="B76" s="50" t="str">
        <f t="shared" si="2"/>
        <v>GV</v>
      </c>
      <c r="C76" s="38" t="s">
        <v>184</v>
      </c>
      <c r="D76" s="31" t="s">
        <v>185</v>
      </c>
      <c r="E76" s="31" t="s">
        <v>186</v>
      </c>
      <c r="F76" s="33" t="s">
        <v>595</v>
      </c>
      <c r="G76" s="31" t="s">
        <v>675</v>
      </c>
      <c r="H76" s="31" t="s">
        <v>187</v>
      </c>
    </row>
    <row r="77" spans="1:10">
      <c r="A77" s="31" t="s">
        <v>151</v>
      </c>
      <c r="B77" s="50" t="str">
        <f t="shared" si="2"/>
        <v>FT</v>
      </c>
      <c r="C77" s="38" t="s">
        <v>152</v>
      </c>
      <c r="D77" s="31" t="s">
        <v>153</v>
      </c>
      <c r="E77" s="31" t="s">
        <v>154</v>
      </c>
      <c r="F77" s="33" t="s">
        <v>518</v>
      </c>
      <c r="G77" s="31" t="s">
        <v>521</v>
      </c>
      <c r="H77" s="31" t="s">
        <v>155</v>
      </c>
      <c r="I77" s="40" t="s">
        <v>691</v>
      </c>
      <c r="J77" s="40" t="s">
        <v>156</v>
      </c>
    </row>
    <row r="78" spans="1:10">
      <c r="A78" s="31" t="s">
        <v>443</v>
      </c>
      <c r="C78" s="38" t="s">
        <v>444</v>
      </c>
      <c r="D78" s="31" t="s">
        <v>445</v>
      </c>
      <c r="E78" s="31" t="s">
        <v>446</v>
      </c>
      <c r="F78" s="31" t="s">
        <v>596</v>
      </c>
      <c r="G78" s="31" t="s">
        <v>676</v>
      </c>
      <c r="H78" s="31" t="s">
        <v>447</v>
      </c>
      <c r="I78" s="40" t="s">
        <v>691</v>
      </c>
      <c r="J78" s="40" t="s">
        <v>510</v>
      </c>
    </row>
    <row r="79" spans="1:10">
      <c r="A79" s="31" t="s">
        <v>317</v>
      </c>
      <c r="B79" s="50" t="str">
        <f t="shared" si="2"/>
        <v>UX</v>
      </c>
      <c r="C79" s="38" t="s">
        <v>318</v>
      </c>
      <c r="D79" s="31" t="s">
        <v>319</v>
      </c>
      <c r="E79" s="31" t="s">
        <v>320</v>
      </c>
      <c r="F79" s="33" t="s">
        <v>597</v>
      </c>
      <c r="G79" s="31" t="s">
        <v>677</v>
      </c>
      <c r="H79" s="31" t="s">
        <v>321</v>
      </c>
      <c r="I79" s="40" t="s">
        <v>691</v>
      </c>
      <c r="J79" s="40" t="s">
        <v>322</v>
      </c>
    </row>
    <row r="80" spans="1:10">
      <c r="A80" s="31" t="s">
        <v>262</v>
      </c>
      <c r="B80" s="50" t="str">
        <f t="shared" si="2"/>
        <v>RU</v>
      </c>
      <c r="C80" s="38" t="s">
        <v>263</v>
      </c>
      <c r="D80" s="31" t="s">
        <v>264</v>
      </c>
      <c r="E80" s="31" t="s">
        <v>265</v>
      </c>
      <c r="F80" s="33" t="s">
        <v>598</v>
      </c>
      <c r="G80" s="31" t="s">
        <v>678</v>
      </c>
      <c r="H80" s="31" t="s">
        <v>266</v>
      </c>
      <c r="I80" s="40" t="s">
        <v>691</v>
      </c>
      <c r="J80" s="40" t="s">
        <v>512</v>
      </c>
    </row>
    <row r="81" spans="1:10">
      <c r="A81" s="31" t="s">
        <v>276</v>
      </c>
      <c r="B81" s="50" t="str">
        <f t="shared" si="2"/>
        <v>TC</v>
      </c>
      <c r="C81" s="38" t="s">
        <v>277</v>
      </c>
      <c r="D81" s="31" t="s">
        <v>278</v>
      </c>
      <c r="E81" s="31" t="s">
        <v>279</v>
      </c>
      <c r="F81" s="33" t="s">
        <v>599</v>
      </c>
      <c r="G81" s="31" t="s">
        <v>679</v>
      </c>
      <c r="H81" s="31" t="s">
        <v>280</v>
      </c>
      <c r="I81" s="40" t="s">
        <v>691</v>
      </c>
      <c r="J81" s="40" t="s">
        <v>281</v>
      </c>
    </row>
    <row r="82" spans="1:10">
      <c r="A82" s="31" t="s">
        <v>452</v>
      </c>
      <c r="B82" s="50" t="str">
        <f t="shared" si="2"/>
        <v>TV</v>
      </c>
      <c r="C82" s="38" t="s">
        <v>453</v>
      </c>
      <c r="D82" s="31" t="s">
        <v>454</v>
      </c>
      <c r="E82" s="31" t="s">
        <v>455</v>
      </c>
      <c r="F82" s="31" t="s">
        <v>600</v>
      </c>
      <c r="G82" s="31" t="s">
        <v>680</v>
      </c>
      <c r="H82" s="31" t="s">
        <v>479</v>
      </c>
    </row>
    <row r="83" spans="1:10">
      <c r="A83" s="31" t="s">
        <v>340</v>
      </c>
      <c r="B83" s="50" t="str">
        <f t="shared" si="2"/>
        <v>VT</v>
      </c>
      <c r="C83" s="38" t="s">
        <v>341</v>
      </c>
      <c r="D83" s="31" t="s">
        <v>342</v>
      </c>
      <c r="E83" s="31" t="s">
        <v>154</v>
      </c>
      <c r="F83" s="33" t="s">
        <v>519</v>
      </c>
      <c r="G83" s="31" t="s">
        <v>522</v>
      </c>
      <c r="H83" s="31" t="s">
        <v>155</v>
      </c>
      <c r="I83" s="40" t="s">
        <v>691</v>
      </c>
      <c r="J83" s="40" t="s">
        <v>343</v>
      </c>
    </row>
    <row r="84" spans="1:10">
      <c r="A84" s="31" t="s">
        <v>367</v>
      </c>
      <c r="B84" s="50" t="str">
        <f t="shared" si="2"/>
        <v>XM</v>
      </c>
      <c r="C84" s="38" t="s">
        <v>368</v>
      </c>
      <c r="D84" s="31" t="s">
        <v>369</v>
      </c>
      <c r="E84" s="31" t="s">
        <v>370</v>
      </c>
      <c r="F84" s="33" t="s">
        <v>601</v>
      </c>
      <c r="G84" s="31" t="s">
        <v>681</v>
      </c>
      <c r="H84" s="31" t="s">
        <v>371</v>
      </c>
      <c r="I84" s="40" t="s">
        <v>691</v>
      </c>
      <c r="J84" s="40" t="s">
        <v>504</v>
      </c>
    </row>
    <row r="85" spans="1:10">
      <c r="A85" s="31" t="s">
        <v>421</v>
      </c>
      <c r="B85" s="50" t="str">
        <f t="shared" si="2"/>
        <v>UX</v>
      </c>
      <c r="C85" s="38" t="s">
        <v>422</v>
      </c>
      <c r="D85" s="31" t="s">
        <v>423</v>
      </c>
      <c r="E85" s="31" t="s">
        <v>424</v>
      </c>
      <c r="F85" s="31" t="s">
        <v>602</v>
      </c>
      <c r="G85" s="31" t="s">
        <v>682</v>
      </c>
      <c r="H85" s="35" t="s">
        <v>425</v>
      </c>
      <c r="I85" s="40" t="s">
        <v>691</v>
      </c>
      <c r="J85" s="40" t="s">
        <v>509</v>
      </c>
    </row>
    <row r="86" spans="1:10">
      <c r="A86" s="31" t="s">
        <v>372</v>
      </c>
      <c r="B86" s="50" t="str">
        <f t="shared" si="2"/>
        <v>XV</v>
      </c>
      <c r="C86" s="38" t="s">
        <v>373</v>
      </c>
      <c r="D86" s="31" t="s">
        <v>374</v>
      </c>
      <c r="E86" s="31" t="s">
        <v>375</v>
      </c>
      <c r="F86" s="33" t="s">
        <v>603</v>
      </c>
      <c r="G86" s="31" t="s">
        <v>683</v>
      </c>
      <c r="H86" s="31" t="s">
        <v>376</v>
      </c>
      <c r="I86" s="40" t="s">
        <v>691</v>
      </c>
      <c r="J86" s="40" t="s">
        <v>699</v>
      </c>
    </row>
    <row r="87" spans="1:10">
      <c r="A87" s="31" t="s">
        <v>67</v>
      </c>
      <c r="B87" s="50" t="str">
        <f t="shared" si="2"/>
        <v>AE</v>
      </c>
      <c r="C87" s="38" t="s">
        <v>68</v>
      </c>
      <c r="D87" s="31" t="s">
        <v>69</v>
      </c>
      <c r="E87" s="31" t="s">
        <v>70</v>
      </c>
      <c r="F87" s="33" t="s">
        <v>604</v>
      </c>
      <c r="G87" s="31" t="s">
        <v>684</v>
      </c>
      <c r="H87" s="31" t="s">
        <v>71</v>
      </c>
      <c r="I87" s="40" t="s">
        <v>691</v>
      </c>
      <c r="J87" s="40" t="s">
        <v>72</v>
      </c>
    </row>
    <row r="88" spans="1:10">
      <c r="A88" s="31" t="s">
        <v>251</v>
      </c>
      <c r="B88" s="50" t="str">
        <f t="shared" si="2"/>
        <v>RB</v>
      </c>
      <c r="C88" s="38" t="s">
        <v>252</v>
      </c>
      <c r="D88" s="31" t="s">
        <v>253</v>
      </c>
      <c r="E88" s="31" t="s">
        <v>254</v>
      </c>
      <c r="F88" s="33" t="s">
        <v>605</v>
      </c>
      <c r="G88" s="31" t="s">
        <v>685</v>
      </c>
      <c r="H88" s="31" t="s">
        <v>255</v>
      </c>
      <c r="I88" s="40" t="s">
        <v>691</v>
      </c>
      <c r="J88" s="40" t="s">
        <v>256</v>
      </c>
    </row>
    <row r="89" spans="1:10">
      <c r="A89" s="31" t="s">
        <v>109</v>
      </c>
      <c r="B89" s="50" t="str">
        <f t="shared" si="2"/>
        <v>CR</v>
      </c>
      <c r="C89" s="38" t="s">
        <v>110</v>
      </c>
      <c r="D89" s="31" t="s">
        <v>111</v>
      </c>
      <c r="F89" s="33" t="s">
        <v>606</v>
      </c>
      <c r="H89" s="31" t="s">
        <v>112</v>
      </c>
    </row>
    <row r="90" spans="1:10">
      <c r="A90" s="31" t="s">
        <v>119</v>
      </c>
      <c r="B90" s="50" t="str">
        <f t="shared" si="2"/>
        <v>CX</v>
      </c>
      <c r="C90" s="38" t="s">
        <v>120</v>
      </c>
      <c r="D90" s="31" t="s">
        <v>121</v>
      </c>
      <c r="E90" s="31" t="s">
        <v>122</v>
      </c>
      <c r="F90" s="33" t="s">
        <v>607</v>
      </c>
      <c r="G90" s="31" t="s">
        <v>686</v>
      </c>
      <c r="H90" s="31" t="s">
        <v>123</v>
      </c>
      <c r="I90" s="40" t="s">
        <v>691</v>
      </c>
      <c r="J90" s="40" t="s">
        <v>58</v>
      </c>
    </row>
    <row r="91" spans="1:10">
      <c r="A91" s="36" t="s">
        <v>483</v>
      </c>
      <c r="B91" s="50" t="str">
        <f t="shared" si="2"/>
        <v>Z0</v>
      </c>
      <c r="C91" s="38" t="s">
        <v>385</v>
      </c>
      <c r="D91" s="31" t="s">
        <v>386</v>
      </c>
      <c r="F91" s="33" t="s">
        <v>608</v>
      </c>
      <c r="G91" s="31" t="s">
        <v>687</v>
      </c>
      <c r="H91" s="31" t="s">
        <v>387</v>
      </c>
      <c r="I91" s="40" t="s">
        <v>691</v>
      </c>
      <c r="J91" s="40" t="s">
        <v>502</v>
      </c>
    </row>
    <row r="92" spans="1:10">
      <c r="A92" s="31" t="s">
        <v>23</v>
      </c>
      <c r="B92" s="50" t="str">
        <f t="shared" si="2"/>
        <v>2A</v>
      </c>
      <c r="C92" s="38" t="s">
        <v>24</v>
      </c>
      <c r="D92" s="31" t="s">
        <v>25</v>
      </c>
      <c r="E92" s="31" t="s">
        <v>26</v>
      </c>
      <c r="F92" s="33" t="s">
        <v>609</v>
      </c>
      <c r="G92" s="31" t="s">
        <v>688</v>
      </c>
      <c r="H92" s="31" t="s">
        <v>27</v>
      </c>
      <c r="I92" s="40" t="s">
        <v>691</v>
      </c>
      <c r="J92" s="40" t="s">
        <v>28</v>
      </c>
    </row>
    <row r="93" spans="1:10">
      <c r="A93" s="31" t="s">
        <v>328</v>
      </c>
      <c r="B93" s="50" t="str">
        <f t="shared" si="2"/>
        <v>VE</v>
      </c>
      <c r="C93" s="38" t="s">
        <v>329</v>
      </c>
      <c r="D93" s="31" t="s">
        <v>330</v>
      </c>
      <c r="E93" s="31" t="s">
        <v>331</v>
      </c>
      <c r="F93" s="33" t="s">
        <v>610</v>
      </c>
      <c r="G93" s="31" t="s">
        <v>689</v>
      </c>
      <c r="H93" s="31" t="s">
        <v>332</v>
      </c>
      <c r="I93" s="40" t="s">
        <v>691</v>
      </c>
      <c r="J93" s="40" t="s">
        <v>333</v>
      </c>
    </row>
    <row r="94" spans="1:10">
      <c r="A94" s="36" t="s">
        <v>482</v>
      </c>
      <c r="B94" s="50" t="str">
        <f t="shared" si="2"/>
        <v>XZ</v>
      </c>
      <c r="C94" s="38" t="s">
        <v>377</v>
      </c>
      <c r="D94" s="31" t="s">
        <v>529</v>
      </c>
      <c r="E94" s="31" t="s">
        <v>378</v>
      </c>
      <c r="F94" s="33" t="s">
        <v>611</v>
      </c>
      <c r="G94" s="31" t="s">
        <v>690</v>
      </c>
      <c r="H94" s="31" t="s">
        <v>379</v>
      </c>
      <c r="I94" s="40" t="s">
        <v>691</v>
      </c>
      <c r="J94" s="40" t="s">
        <v>505</v>
      </c>
    </row>
    <row r="95" spans="1:10">
      <c r="A95" s="31" t="s">
        <v>704</v>
      </c>
      <c r="B95" s="50" t="str">
        <f t="shared" ref="B95:B158" si="3">IF($C95="","",LEFT($C95,2))</f>
        <v>5X</v>
      </c>
      <c r="C95" s="38" t="s">
        <v>702</v>
      </c>
      <c r="D95" s="31" t="s">
        <v>703</v>
      </c>
      <c r="E95" s="31" t="s">
        <v>705</v>
      </c>
      <c r="F95" s="31" t="s">
        <v>706</v>
      </c>
      <c r="G95" s="31" t="s">
        <v>707</v>
      </c>
      <c r="H95" s="31" t="s">
        <v>708</v>
      </c>
      <c r="I95" s="40" t="s">
        <v>710</v>
      </c>
    </row>
    <row r="96" spans="1:10">
      <c r="A96" s="31" t="s">
        <v>716</v>
      </c>
      <c r="B96" s="50" t="str">
        <f t="shared" si="3"/>
        <v>VU</v>
      </c>
      <c r="C96" s="38" t="s">
        <v>712</v>
      </c>
      <c r="D96" s="31" t="s">
        <v>713</v>
      </c>
      <c r="F96" s="31" t="s">
        <v>715</v>
      </c>
      <c r="G96" s="31" t="s">
        <v>714</v>
      </c>
      <c r="I96" s="40" t="s">
        <v>711</v>
      </c>
    </row>
    <row r="97" spans="1:11">
      <c r="A97" s="31" t="s">
        <v>719</v>
      </c>
      <c r="B97" s="50" t="str">
        <f>IF($C97="","",LEFT($C97,2))</f>
        <v>RU</v>
      </c>
      <c r="C97" s="38" t="s">
        <v>717</v>
      </c>
      <c r="D97" s="31" t="s">
        <v>718</v>
      </c>
      <c r="F97" s="31" t="s">
        <v>720</v>
      </c>
      <c r="G97" s="31" t="s">
        <v>723</v>
      </c>
      <c r="H97" s="31" t="s">
        <v>721</v>
      </c>
      <c r="I97" s="40" t="s">
        <v>722</v>
      </c>
    </row>
    <row r="98" spans="1:11">
      <c r="A98" s="31" t="s">
        <v>729</v>
      </c>
      <c r="B98" s="50" t="str">
        <f t="shared" si="3"/>
        <v>2Z</v>
      </c>
      <c r="C98" s="38" t="s">
        <v>724</v>
      </c>
      <c r="D98" s="31" t="s">
        <v>728</v>
      </c>
      <c r="F98" s="31" t="s">
        <v>725</v>
      </c>
      <c r="G98" s="31" t="s">
        <v>726</v>
      </c>
      <c r="H98" s="31" t="s">
        <v>727</v>
      </c>
    </row>
    <row r="99" spans="1:11">
      <c r="A99" s="31" t="s">
        <v>832</v>
      </c>
      <c r="B99" s="50" t="str">
        <f t="shared" si="3"/>
        <v>RC</v>
      </c>
      <c r="C99" s="38" t="s">
        <v>736</v>
      </c>
      <c r="D99" s="31" t="s">
        <v>735</v>
      </c>
      <c r="F99" s="31" t="s">
        <v>732</v>
      </c>
      <c r="G99" s="31" t="s">
        <v>733</v>
      </c>
      <c r="H99" s="31" t="s">
        <v>734</v>
      </c>
      <c r="I99" s="40" t="s">
        <v>731</v>
      </c>
      <c r="J99" s="40" t="s">
        <v>730</v>
      </c>
    </row>
    <row r="100" spans="1:11">
      <c r="A100" s="31" t="s">
        <v>738</v>
      </c>
      <c r="B100" s="50" t="s">
        <v>739</v>
      </c>
      <c r="C100" s="38" t="s">
        <v>740</v>
      </c>
      <c r="D100" s="31" t="s">
        <v>737</v>
      </c>
      <c r="F100" s="31" t="s">
        <v>741</v>
      </c>
      <c r="G100" s="31" t="s">
        <v>742</v>
      </c>
      <c r="H100" s="31" t="s">
        <v>743</v>
      </c>
      <c r="I100" s="40" t="s">
        <v>709</v>
      </c>
      <c r="J100" s="40" t="s">
        <v>773</v>
      </c>
    </row>
    <row r="101" spans="1:11">
      <c r="A101" s="31" t="s">
        <v>744</v>
      </c>
      <c r="B101" s="50" t="str">
        <f t="shared" si="3"/>
        <v>ZU</v>
      </c>
      <c r="C101" s="38" t="s">
        <v>746</v>
      </c>
      <c r="D101" s="31" t="s">
        <v>745</v>
      </c>
      <c r="F101" s="31" t="s">
        <v>747</v>
      </c>
      <c r="G101" s="31" t="s">
        <v>748</v>
      </c>
      <c r="H101" s="31" t="s">
        <v>749</v>
      </c>
      <c r="I101" s="40" t="s">
        <v>750</v>
      </c>
      <c r="J101" s="40" t="s">
        <v>751</v>
      </c>
    </row>
    <row r="102" spans="1:11">
      <c r="A102" s="31" t="s">
        <v>754</v>
      </c>
      <c r="B102" s="50" t="s">
        <v>864</v>
      </c>
      <c r="C102" s="38" t="s">
        <v>753</v>
      </c>
      <c r="D102" s="31" t="s">
        <v>752</v>
      </c>
      <c r="F102" s="31" t="s">
        <v>755</v>
      </c>
      <c r="G102" s="31" t="s">
        <v>756</v>
      </c>
      <c r="H102" s="31" t="s">
        <v>757</v>
      </c>
      <c r="I102" s="40" t="s">
        <v>758</v>
      </c>
      <c r="J102" s="40" t="s">
        <v>759</v>
      </c>
    </row>
    <row r="103" spans="1:11">
      <c r="A103" s="31" t="s">
        <v>760</v>
      </c>
      <c r="B103" s="50" t="str">
        <f t="shared" si="3"/>
        <v>V5</v>
      </c>
      <c r="C103" s="38" t="s">
        <v>762</v>
      </c>
      <c r="D103" s="31" t="s">
        <v>761</v>
      </c>
      <c r="F103" s="31" t="s">
        <v>763</v>
      </c>
      <c r="G103" s="31" t="s">
        <v>764</v>
      </c>
      <c r="H103" s="31" t="s">
        <v>765</v>
      </c>
      <c r="I103" s="40" t="s">
        <v>766</v>
      </c>
    </row>
    <row r="104" spans="1:11">
      <c r="A104" s="31" t="s">
        <v>767</v>
      </c>
      <c r="B104" s="50" t="str">
        <f t="shared" si="3"/>
        <v>WR</v>
      </c>
      <c r="C104" s="38" t="s">
        <v>771</v>
      </c>
      <c r="D104" s="31" t="s">
        <v>770</v>
      </c>
      <c r="F104" s="31" t="s">
        <v>768</v>
      </c>
      <c r="G104" s="31" t="s">
        <v>769</v>
      </c>
      <c r="I104" s="40" t="s">
        <v>772</v>
      </c>
      <c r="J104" s="40" t="s">
        <v>773</v>
      </c>
    </row>
    <row r="105" spans="1:11">
      <c r="A105" s="31" t="s">
        <v>779</v>
      </c>
      <c r="B105" s="50" t="str">
        <f t="shared" si="3"/>
        <v>RZ</v>
      </c>
      <c r="C105" s="38" t="s">
        <v>780</v>
      </c>
      <c r="D105" s="31" t="s">
        <v>781</v>
      </c>
      <c r="F105" s="31" t="s">
        <v>782</v>
      </c>
      <c r="G105" s="31" t="s">
        <v>783</v>
      </c>
      <c r="H105" s="31" t="s">
        <v>784</v>
      </c>
      <c r="I105" s="40" t="s">
        <v>146</v>
      </c>
      <c r="J105" s="40" t="s">
        <v>785</v>
      </c>
    </row>
    <row r="106" spans="1:11">
      <c r="A106" s="31" t="s">
        <v>791</v>
      </c>
      <c r="B106" s="50" t="str">
        <f t="shared" si="3"/>
        <v>R1</v>
      </c>
      <c r="C106" s="38" t="s">
        <v>792</v>
      </c>
      <c r="D106" s="31" t="s">
        <v>790</v>
      </c>
      <c r="F106" s="31" t="s">
        <v>786</v>
      </c>
      <c r="G106" s="31" t="s">
        <v>787</v>
      </c>
      <c r="H106" s="31" t="s">
        <v>788</v>
      </c>
      <c r="I106" s="40" t="s">
        <v>731</v>
      </c>
      <c r="J106" s="40" t="s">
        <v>789</v>
      </c>
    </row>
    <row r="107" spans="1:11">
      <c r="A107" s="31" t="s">
        <v>799</v>
      </c>
      <c r="B107" s="50" t="str">
        <f t="shared" si="3"/>
        <v/>
      </c>
      <c r="D107" s="31" t="s">
        <v>793</v>
      </c>
      <c r="F107" s="31" t="s">
        <v>795</v>
      </c>
      <c r="G107" s="31" t="s">
        <v>796</v>
      </c>
      <c r="H107" s="31" t="s">
        <v>794</v>
      </c>
      <c r="I107" s="40" t="s">
        <v>797</v>
      </c>
      <c r="J107" s="40" t="s">
        <v>798</v>
      </c>
    </row>
    <row r="108" spans="1:11">
      <c r="A108" s="31" t="s">
        <v>805</v>
      </c>
      <c r="B108" s="50" t="str">
        <f t="shared" si="3"/>
        <v>5G</v>
      </c>
      <c r="C108" s="38" t="s">
        <v>803</v>
      </c>
      <c r="D108" s="31" t="s">
        <v>804</v>
      </c>
      <c r="F108" s="31" t="s">
        <v>802</v>
      </c>
      <c r="G108" s="31" t="s">
        <v>801</v>
      </c>
      <c r="H108" s="31" t="s">
        <v>800</v>
      </c>
      <c r="I108" s="40" t="s">
        <v>806</v>
      </c>
      <c r="J108" s="40" t="s">
        <v>807</v>
      </c>
    </row>
    <row r="109" spans="1:11">
      <c r="A109" s="31" t="s">
        <v>810</v>
      </c>
      <c r="B109" s="50" t="str">
        <f t="shared" si="3"/>
        <v/>
      </c>
      <c r="D109" s="31" t="s">
        <v>809</v>
      </c>
      <c r="F109" s="31" t="s">
        <v>811</v>
      </c>
      <c r="G109" s="31" t="s">
        <v>812</v>
      </c>
      <c r="H109" s="31" t="s">
        <v>813</v>
      </c>
      <c r="I109" s="40" t="s">
        <v>814</v>
      </c>
      <c r="J109" s="40" t="s">
        <v>815</v>
      </c>
    </row>
    <row r="110" spans="1:11">
      <c r="A110" s="31" t="s">
        <v>822</v>
      </c>
      <c r="B110" s="50" t="str">
        <f t="shared" si="3"/>
        <v/>
      </c>
      <c r="D110" s="31" t="s">
        <v>821</v>
      </c>
      <c r="F110" s="31" t="s">
        <v>818</v>
      </c>
      <c r="G110" s="31" t="s">
        <v>819</v>
      </c>
      <c r="H110" s="31" t="s">
        <v>820</v>
      </c>
      <c r="J110" s="40" t="s">
        <v>823</v>
      </c>
    </row>
    <row r="111" spans="1:11">
      <c r="A111" s="31" t="s">
        <v>830</v>
      </c>
      <c r="B111" s="50" t="str">
        <f t="shared" si="3"/>
        <v>CT</v>
      </c>
      <c r="C111" s="38" t="s">
        <v>829</v>
      </c>
      <c r="D111" s="31" t="s">
        <v>824</v>
      </c>
      <c r="F111" s="31" t="s">
        <v>825</v>
      </c>
      <c r="G111" s="31" t="s">
        <v>831</v>
      </c>
      <c r="I111" s="40" t="s">
        <v>827</v>
      </c>
      <c r="J111" s="40" t="s">
        <v>828</v>
      </c>
      <c r="K111" s="37" t="s">
        <v>826</v>
      </c>
    </row>
    <row r="112" spans="1:11">
      <c r="A112" s="31" t="s">
        <v>833</v>
      </c>
      <c r="B112" s="50" t="str">
        <f t="shared" si="3"/>
        <v>U2</v>
      </c>
      <c r="C112" s="38" t="s">
        <v>834</v>
      </c>
      <c r="D112" s="31" t="s">
        <v>836</v>
      </c>
      <c r="F112" s="31" t="s">
        <v>837</v>
      </c>
      <c r="G112" s="31" t="s">
        <v>838</v>
      </c>
      <c r="H112" s="31" t="s">
        <v>835</v>
      </c>
      <c r="I112" s="40" t="s">
        <v>806</v>
      </c>
      <c r="J112" s="40" t="s">
        <v>839</v>
      </c>
    </row>
    <row r="113" spans="1:10">
      <c r="A113" s="31" t="s">
        <v>844</v>
      </c>
      <c r="B113" s="50" t="str">
        <f t="shared" si="3"/>
        <v>DU</v>
      </c>
      <c r="C113" s="38" t="s">
        <v>845</v>
      </c>
      <c r="D113" s="31" t="s">
        <v>843</v>
      </c>
      <c r="F113" s="31" t="s">
        <v>846</v>
      </c>
      <c r="G113" s="31" t="s">
        <v>847</v>
      </c>
      <c r="I113" s="40" t="s">
        <v>848</v>
      </c>
      <c r="J113" s="40" t="s">
        <v>849</v>
      </c>
    </row>
    <row r="114" spans="1:10">
      <c r="A114" s="31" t="s">
        <v>850</v>
      </c>
      <c r="B114" s="50" t="str">
        <f t="shared" si="3"/>
        <v>CX</v>
      </c>
      <c r="C114" s="38" t="s">
        <v>853</v>
      </c>
      <c r="D114" s="31" t="s">
        <v>852</v>
      </c>
      <c r="F114" s="31" t="s">
        <v>851</v>
      </c>
      <c r="G114" s="31" t="s">
        <v>854</v>
      </c>
      <c r="I114" s="40" t="s">
        <v>848</v>
      </c>
      <c r="J114" s="40" t="s">
        <v>849</v>
      </c>
    </row>
    <row r="115" spans="1:10">
      <c r="A115" s="31" t="s">
        <v>857</v>
      </c>
      <c r="B115" s="50" t="str">
        <f t="shared" si="3"/>
        <v>ZZ</v>
      </c>
      <c r="C115" s="38" t="s">
        <v>858</v>
      </c>
      <c r="D115" s="31" t="s">
        <v>859</v>
      </c>
      <c r="F115" s="31" t="s">
        <v>860</v>
      </c>
      <c r="G115" s="31" t="s">
        <v>861</v>
      </c>
      <c r="H115" s="31" t="s">
        <v>863</v>
      </c>
      <c r="I115" s="40" t="s">
        <v>806</v>
      </c>
      <c r="J115" s="40" t="s">
        <v>862</v>
      </c>
    </row>
    <row r="116" spans="1:10">
      <c r="A116" s="31" t="s">
        <v>870</v>
      </c>
      <c r="B116" s="50" t="str">
        <f t="shared" si="3"/>
        <v>RG</v>
      </c>
      <c r="C116" s="38" t="s">
        <v>869</v>
      </c>
      <c r="D116" s="31" t="s">
        <v>865</v>
      </c>
      <c r="F116" s="31" t="s">
        <v>866</v>
      </c>
      <c r="G116" s="31" t="s">
        <v>867</v>
      </c>
      <c r="H116" s="31" t="s">
        <v>868</v>
      </c>
      <c r="I116" s="40" t="s">
        <v>877</v>
      </c>
    </row>
    <row r="117" spans="1:10">
      <c r="A117" s="31" t="s">
        <v>876</v>
      </c>
      <c r="B117" s="50" t="str">
        <f t="shared" si="3"/>
        <v>GX</v>
      </c>
      <c r="C117" s="38" t="s">
        <v>874</v>
      </c>
      <c r="D117" s="31" t="s">
        <v>875</v>
      </c>
      <c r="F117" s="31" t="s">
        <v>871</v>
      </c>
      <c r="G117" s="31" t="s">
        <v>872</v>
      </c>
      <c r="H117" s="31" t="s">
        <v>873</v>
      </c>
      <c r="I117" s="40" t="s">
        <v>877</v>
      </c>
    </row>
    <row r="118" spans="1:10">
      <c r="A118" s="31" t="s">
        <v>878</v>
      </c>
      <c r="B118" s="50" t="str">
        <f t="shared" si="3"/>
        <v>XX</v>
      </c>
      <c r="C118" s="38" t="s">
        <v>879</v>
      </c>
      <c r="D118" s="31" t="s">
        <v>880</v>
      </c>
      <c r="F118" s="31" t="s">
        <v>881</v>
      </c>
      <c r="G118" s="31" t="s">
        <v>882</v>
      </c>
      <c r="H118" s="31" t="s">
        <v>883</v>
      </c>
      <c r="I118" s="40" t="s">
        <v>806</v>
      </c>
      <c r="J118" s="40" t="s">
        <v>884</v>
      </c>
    </row>
    <row r="119" spans="1:10">
      <c r="A119" s="31" t="s">
        <v>890</v>
      </c>
      <c r="B119" s="50" t="s">
        <v>891</v>
      </c>
      <c r="D119" s="31" t="s">
        <v>885</v>
      </c>
      <c r="F119" s="31" t="s">
        <v>892</v>
      </c>
      <c r="G119" s="31" t="s">
        <v>886</v>
      </c>
      <c r="H119" s="31" t="s">
        <v>887</v>
      </c>
      <c r="I119" s="40" t="s">
        <v>888</v>
      </c>
      <c r="J119" s="40" t="s">
        <v>889</v>
      </c>
    </row>
    <row r="120" spans="1:10">
      <c r="A120" s="31" t="s">
        <v>898</v>
      </c>
      <c r="B120" s="50" t="s">
        <v>893</v>
      </c>
      <c r="D120" s="31" t="s">
        <v>899</v>
      </c>
      <c r="F120" s="31" t="s">
        <v>895</v>
      </c>
      <c r="G120" s="31" t="s">
        <v>896</v>
      </c>
      <c r="H120" s="31" t="s">
        <v>894</v>
      </c>
      <c r="I120" s="40" t="s">
        <v>897</v>
      </c>
    </row>
    <row r="121" spans="1:10">
      <c r="A121" s="31" t="s">
        <v>900</v>
      </c>
      <c r="B121" s="50" t="str">
        <f t="shared" si="3"/>
        <v>F2</v>
      </c>
      <c r="C121" s="38" t="s">
        <v>913</v>
      </c>
      <c r="D121" s="31" t="s">
        <v>909</v>
      </c>
      <c r="F121" s="31" t="s">
        <v>910</v>
      </c>
      <c r="G121" s="31" t="s">
        <v>911</v>
      </c>
      <c r="H121" s="31" t="s">
        <v>912</v>
      </c>
      <c r="I121" s="40" t="s">
        <v>914</v>
      </c>
      <c r="J121" s="40" t="s">
        <v>915</v>
      </c>
    </row>
    <row r="122" spans="1:10">
      <c r="A122" s="31" t="s">
        <v>902</v>
      </c>
      <c r="B122" s="50" t="str">
        <f t="shared" si="3"/>
        <v>DV</v>
      </c>
      <c r="C122" s="38" t="s">
        <v>901</v>
      </c>
      <c r="D122" s="31" t="s">
        <v>903</v>
      </c>
      <c r="F122" s="31" t="s">
        <v>904</v>
      </c>
      <c r="G122" s="31" t="s">
        <v>905</v>
      </c>
      <c r="H122" s="31" t="s">
        <v>906</v>
      </c>
      <c r="I122" s="40" t="s">
        <v>907</v>
      </c>
      <c r="J122" s="40" t="s">
        <v>908</v>
      </c>
    </row>
    <row r="123" spans="1:10">
      <c r="A123" s="31" t="s">
        <v>916</v>
      </c>
      <c r="B123" s="50" t="str">
        <f t="shared" si="3"/>
        <v>VJ</v>
      </c>
      <c r="C123" s="38" t="s">
        <v>918</v>
      </c>
      <c r="D123" s="31" t="s">
        <v>917</v>
      </c>
      <c r="F123" s="31" t="s">
        <v>919</v>
      </c>
      <c r="G123" s="31" t="s">
        <v>921</v>
      </c>
      <c r="H123" s="31" t="s">
        <v>920</v>
      </c>
      <c r="I123" s="40" t="s">
        <v>923</v>
      </c>
      <c r="J123" s="40" t="s">
        <v>922</v>
      </c>
    </row>
    <row r="124" spans="1:10">
      <c r="A124" s="31" t="s">
        <v>932</v>
      </c>
      <c r="B124" s="50" t="str">
        <f t="shared" si="3"/>
        <v>RG</v>
      </c>
      <c r="C124" s="38" t="s">
        <v>925</v>
      </c>
      <c r="D124" s="31" t="s">
        <v>926</v>
      </c>
      <c r="F124" s="31" t="s">
        <v>927</v>
      </c>
      <c r="G124" s="31" t="s">
        <v>928</v>
      </c>
      <c r="H124" s="31" t="s">
        <v>929</v>
      </c>
      <c r="I124" s="40" t="s">
        <v>931</v>
      </c>
      <c r="J124" s="40" t="s">
        <v>930</v>
      </c>
    </row>
    <row r="125" spans="1:10">
      <c r="A125" s="31" t="s">
        <v>934</v>
      </c>
      <c r="B125" s="50" t="str">
        <f t="shared" si="3"/>
        <v>TU</v>
      </c>
      <c r="C125" s="38" t="s">
        <v>933</v>
      </c>
      <c r="D125" s="31" t="s">
        <v>935</v>
      </c>
      <c r="F125" s="31" t="s">
        <v>936</v>
      </c>
      <c r="G125" s="31" t="s">
        <v>937</v>
      </c>
      <c r="H125" s="31" t="s">
        <v>938</v>
      </c>
      <c r="I125" s="40" t="s">
        <v>939</v>
      </c>
    </row>
    <row r="126" spans="1:10">
      <c r="A126" s="31" t="s">
        <v>940</v>
      </c>
      <c r="B126" s="50" t="str">
        <f t="shared" si="3"/>
        <v>MU</v>
      </c>
      <c r="C126" s="38" t="s">
        <v>941</v>
      </c>
      <c r="D126" s="31" t="s">
        <v>942</v>
      </c>
      <c r="F126" s="31" t="s">
        <v>943</v>
      </c>
      <c r="G126" s="31" t="s">
        <v>944</v>
      </c>
      <c r="H126" s="31" t="s">
        <v>945</v>
      </c>
      <c r="I126" s="40" t="s">
        <v>946</v>
      </c>
    </row>
    <row r="127" spans="1:10">
      <c r="A127" s="31" t="s">
        <v>952</v>
      </c>
      <c r="B127" s="50" t="str">
        <f t="shared" si="3"/>
        <v>CE</v>
      </c>
      <c r="C127" s="38" t="s">
        <v>953</v>
      </c>
      <c r="D127" s="31" t="s">
        <v>951</v>
      </c>
      <c r="F127" s="31" t="s">
        <v>948</v>
      </c>
      <c r="G127" s="31" t="s">
        <v>949</v>
      </c>
      <c r="H127" s="31" t="s">
        <v>947</v>
      </c>
      <c r="I127" s="40" t="s">
        <v>950</v>
      </c>
    </row>
    <row r="128" spans="1:10">
      <c r="B128" s="50" t="str">
        <f t="shared" si="3"/>
        <v/>
      </c>
    </row>
    <row r="129" spans="2:2">
      <c r="B129" s="50" t="str">
        <f t="shared" si="3"/>
        <v/>
      </c>
    </row>
    <row r="130" spans="2:2">
      <c r="B130" s="50" t="str">
        <f t="shared" si="3"/>
        <v/>
      </c>
    </row>
    <row r="131" spans="2:2">
      <c r="B131" s="50" t="str">
        <f t="shared" si="3"/>
        <v/>
      </c>
    </row>
    <row r="132" spans="2:2">
      <c r="B132" s="50" t="str">
        <f t="shared" si="3"/>
        <v/>
      </c>
    </row>
    <row r="133" spans="2:2">
      <c r="B133" s="50" t="str">
        <f t="shared" si="3"/>
        <v/>
      </c>
    </row>
    <row r="134" spans="2:2">
      <c r="B134" s="50" t="str">
        <f t="shared" si="3"/>
        <v/>
      </c>
    </row>
    <row r="135" spans="2:2">
      <c r="B135" s="50" t="str">
        <f t="shared" si="3"/>
        <v/>
      </c>
    </row>
    <row r="136" spans="2:2">
      <c r="B136" s="50" t="str">
        <f t="shared" si="3"/>
        <v/>
      </c>
    </row>
    <row r="137" spans="2:2">
      <c r="B137" s="50" t="str">
        <f t="shared" si="3"/>
        <v/>
      </c>
    </row>
    <row r="138" spans="2:2">
      <c r="B138" s="50" t="str">
        <f t="shared" si="3"/>
        <v/>
      </c>
    </row>
    <row r="139" spans="2:2">
      <c r="B139" s="50" t="str">
        <f t="shared" si="3"/>
        <v/>
      </c>
    </row>
    <row r="140" spans="2:2">
      <c r="B140" s="50" t="str">
        <f t="shared" si="3"/>
        <v/>
      </c>
    </row>
    <row r="141" spans="2:2">
      <c r="B141" s="50" t="str">
        <f t="shared" si="3"/>
        <v/>
      </c>
    </row>
    <row r="142" spans="2:2">
      <c r="B142" s="50" t="str">
        <f t="shared" si="3"/>
        <v/>
      </c>
    </row>
    <row r="143" spans="2:2">
      <c r="B143" s="50" t="str">
        <f t="shared" si="3"/>
        <v/>
      </c>
    </row>
    <row r="144" spans="2:2">
      <c r="B144" s="50" t="str">
        <f t="shared" si="3"/>
        <v/>
      </c>
    </row>
    <row r="145" spans="2:2">
      <c r="B145" s="50" t="str">
        <f t="shared" si="3"/>
        <v/>
      </c>
    </row>
    <row r="146" spans="2:2">
      <c r="B146" s="50" t="str">
        <f t="shared" si="3"/>
        <v/>
      </c>
    </row>
    <row r="147" spans="2:2">
      <c r="B147" s="50" t="str">
        <f t="shared" si="3"/>
        <v/>
      </c>
    </row>
    <row r="148" spans="2:2">
      <c r="B148" s="50" t="str">
        <f t="shared" si="3"/>
        <v/>
      </c>
    </row>
    <row r="149" spans="2:2">
      <c r="B149" s="50" t="str">
        <f t="shared" si="3"/>
        <v/>
      </c>
    </row>
    <row r="150" spans="2:2">
      <c r="B150" s="50" t="str">
        <f t="shared" si="3"/>
        <v/>
      </c>
    </row>
    <row r="151" spans="2:2">
      <c r="B151" s="50" t="str">
        <f t="shared" si="3"/>
        <v/>
      </c>
    </row>
    <row r="152" spans="2:2">
      <c r="B152" s="50" t="str">
        <f t="shared" si="3"/>
        <v/>
      </c>
    </row>
    <row r="153" spans="2:2">
      <c r="B153" s="50" t="str">
        <f t="shared" si="3"/>
        <v/>
      </c>
    </row>
    <row r="154" spans="2:2">
      <c r="B154" s="50" t="str">
        <f t="shared" si="3"/>
        <v/>
      </c>
    </row>
    <row r="155" spans="2:2">
      <c r="B155" s="50" t="str">
        <f t="shared" si="3"/>
        <v/>
      </c>
    </row>
    <row r="156" spans="2:2">
      <c r="B156" s="50" t="str">
        <f t="shared" si="3"/>
        <v/>
      </c>
    </row>
    <row r="157" spans="2:2">
      <c r="B157" s="50" t="str">
        <f t="shared" si="3"/>
        <v/>
      </c>
    </row>
    <row r="158" spans="2:2">
      <c r="B158" s="50" t="str">
        <f t="shared" si="3"/>
        <v/>
      </c>
    </row>
    <row r="159" spans="2:2">
      <c r="B159" s="50" t="str">
        <f t="shared" ref="B159:B222" si="4">IF($C159="","",LEFT($C159,2))</f>
        <v/>
      </c>
    </row>
    <row r="160" spans="2:2">
      <c r="B160" s="50" t="str">
        <f t="shared" si="4"/>
        <v/>
      </c>
    </row>
    <row r="161" spans="2:2">
      <c r="B161" s="50" t="str">
        <f t="shared" si="4"/>
        <v/>
      </c>
    </row>
    <row r="162" spans="2:2">
      <c r="B162" s="50" t="str">
        <f t="shared" si="4"/>
        <v/>
      </c>
    </row>
    <row r="163" spans="2:2">
      <c r="B163" s="50" t="str">
        <f t="shared" si="4"/>
        <v/>
      </c>
    </row>
    <row r="164" spans="2:2">
      <c r="B164" s="50" t="str">
        <f t="shared" si="4"/>
        <v/>
      </c>
    </row>
    <row r="165" spans="2:2">
      <c r="B165" s="50" t="str">
        <f t="shared" si="4"/>
        <v/>
      </c>
    </row>
    <row r="166" spans="2:2">
      <c r="B166" s="50" t="str">
        <f t="shared" si="4"/>
        <v/>
      </c>
    </row>
    <row r="167" spans="2:2">
      <c r="B167" s="50" t="str">
        <f t="shared" si="4"/>
        <v/>
      </c>
    </row>
    <row r="168" spans="2:2">
      <c r="B168" s="50" t="str">
        <f t="shared" si="4"/>
        <v/>
      </c>
    </row>
    <row r="169" spans="2:2">
      <c r="B169" s="50" t="str">
        <f t="shared" si="4"/>
        <v/>
      </c>
    </row>
    <row r="170" spans="2:2">
      <c r="B170" s="50" t="str">
        <f t="shared" si="4"/>
        <v/>
      </c>
    </row>
    <row r="171" spans="2:2">
      <c r="B171" s="50" t="str">
        <f t="shared" si="4"/>
        <v/>
      </c>
    </row>
    <row r="172" spans="2:2">
      <c r="B172" s="50" t="str">
        <f t="shared" si="4"/>
        <v/>
      </c>
    </row>
    <row r="173" spans="2:2">
      <c r="B173" s="50" t="str">
        <f t="shared" si="4"/>
        <v/>
      </c>
    </row>
    <row r="174" spans="2:2">
      <c r="B174" s="50" t="str">
        <f t="shared" si="4"/>
        <v/>
      </c>
    </row>
    <row r="175" spans="2:2">
      <c r="B175" s="50" t="str">
        <f t="shared" si="4"/>
        <v/>
      </c>
    </row>
    <row r="176" spans="2:2">
      <c r="B176" s="50" t="str">
        <f t="shared" si="4"/>
        <v/>
      </c>
    </row>
    <row r="177" spans="2:2">
      <c r="B177" s="50" t="str">
        <f t="shared" si="4"/>
        <v/>
      </c>
    </row>
    <row r="178" spans="2:2">
      <c r="B178" s="50" t="str">
        <f t="shared" si="4"/>
        <v/>
      </c>
    </row>
    <row r="179" spans="2:2">
      <c r="B179" s="50" t="str">
        <f t="shared" si="4"/>
        <v/>
      </c>
    </row>
    <row r="180" spans="2:2">
      <c r="B180" s="50" t="str">
        <f t="shared" si="4"/>
        <v/>
      </c>
    </row>
    <row r="181" spans="2:2">
      <c r="B181" s="50" t="str">
        <f t="shared" si="4"/>
        <v/>
      </c>
    </row>
    <row r="182" spans="2:2">
      <c r="B182" s="50" t="str">
        <f t="shared" si="4"/>
        <v/>
      </c>
    </row>
    <row r="183" spans="2:2">
      <c r="B183" s="50" t="str">
        <f t="shared" si="4"/>
        <v/>
      </c>
    </row>
    <row r="184" spans="2:2">
      <c r="B184" s="50" t="str">
        <f t="shared" si="4"/>
        <v/>
      </c>
    </row>
    <row r="185" spans="2:2">
      <c r="B185" s="50" t="str">
        <f t="shared" si="4"/>
        <v/>
      </c>
    </row>
    <row r="186" spans="2:2">
      <c r="B186" s="50" t="str">
        <f t="shared" si="4"/>
        <v/>
      </c>
    </row>
    <row r="187" spans="2:2">
      <c r="B187" s="50" t="str">
        <f t="shared" si="4"/>
        <v/>
      </c>
    </row>
    <row r="188" spans="2:2">
      <c r="B188" s="50" t="str">
        <f t="shared" si="4"/>
        <v/>
      </c>
    </row>
    <row r="189" spans="2:2">
      <c r="B189" s="50" t="str">
        <f t="shared" si="4"/>
        <v/>
      </c>
    </row>
    <row r="190" spans="2:2">
      <c r="B190" s="50" t="str">
        <f t="shared" si="4"/>
        <v/>
      </c>
    </row>
    <row r="191" spans="2:2">
      <c r="B191" s="50" t="str">
        <f t="shared" si="4"/>
        <v/>
      </c>
    </row>
    <row r="192" spans="2:2">
      <c r="B192" s="50" t="str">
        <f t="shared" si="4"/>
        <v/>
      </c>
    </row>
    <row r="193" spans="2:2">
      <c r="B193" s="50" t="str">
        <f t="shared" si="4"/>
        <v/>
      </c>
    </row>
    <row r="194" spans="2:2">
      <c r="B194" s="50" t="str">
        <f t="shared" si="4"/>
        <v/>
      </c>
    </row>
    <row r="195" spans="2:2">
      <c r="B195" s="50" t="str">
        <f t="shared" si="4"/>
        <v/>
      </c>
    </row>
    <row r="196" spans="2:2">
      <c r="B196" s="50" t="str">
        <f t="shared" si="4"/>
        <v/>
      </c>
    </row>
    <row r="197" spans="2:2">
      <c r="B197" s="50" t="str">
        <f t="shared" si="4"/>
        <v/>
      </c>
    </row>
    <row r="198" spans="2:2">
      <c r="B198" s="50" t="str">
        <f t="shared" si="4"/>
        <v/>
      </c>
    </row>
    <row r="199" spans="2:2">
      <c r="B199" s="50" t="str">
        <f t="shared" si="4"/>
        <v/>
      </c>
    </row>
    <row r="200" spans="2:2">
      <c r="B200" s="50" t="str">
        <f t="shared" si="4"/>
        <v/>
      </c>
    </row>
    <row r="201" spans="2:2">
      <c r="B201" s="50" t="str">
        <f t="shared" si="4"/>
        <v/>
      </c>
    </row>
    <row r="202" spans="2:2">
      <c r="B202" s="50" t="str">
        <f t="shared" si="4"/>
        <v/>
      </c>
    </row>
    <row r="203" spans="2:2">
      <c r="B203" s="50" t="str">
        <f t="shared" si="4"/>
        <v/>
      </c>
    </row>
    <row r="204" spans="2:2">
      <c r="B204" s="50" t="str">
        <f t="shared" si="4"/>
        <v/>
      </c>
    </row>
    <row r="205" spans="2:2">
      <c r="B205" s="50" t="str">
        <f t="shared" si="4"/>
        <v/>
      </c>
    </row>
    <row r="206" spans="2:2">
      <c r="B206" s="50" t="str">
        <f t="shared" si="4"/>
        <v/>
      </c>
    </row>
    <row r="207" spans="2:2">
      <c r="B207" s="50" t="str">
        <f t="shared" si="4"/>
        <v/>
      </c>
    </row>
    <row r="208" spans="2:2">
      <c r="B208" s="50" t="str">
        <f t="shared" si="4"/>
        <v/>
      </c>
    </row>
    <row r="209" spans="2:2">
      <c r="B209" s="50" t="str">
        <f t="shared" si="4"/>
        <v/>
      </c>
    </row>
    <row r="210" spans="2:2">
      <c r="B210" s="50" t="str">
        <f t="shared" si="4"/>
        <v/>
      </c>
    </row>
    <row r="211" spans="2:2">
      <c r="B211" s="50" t="str">
        <f t="shared" si="4"/>
        <v/>
      </c>
    </row>
    <row r="212" spans="2:2">
      <c r="B212" s="50" t="str">
        <f t="shared" si="4"/>
        <v/>
      </c>
    </row>
    <row r="213" spans="2:2">
      <c r="B213" s="50" t="str">
        <f t="shared" si="4"/>
        <v/>
      </c>
    </row>
    <row r="214" spans="2:2">
      <c r="B214" s="50" t="str">
        <f t="shared" si="4"/>
        <v/>
      </c>
    </row>
    <row r="215" spans="2:2">
      <c r="B215" s="50" t="str">
        <f t="shared" si="4"/>
        <v/>
      </c>
    </row>
    <row r="216" spans="2:2">
      <c r="B216" s="50" t="str">
        <f t="shared" si="4"/>
        <v/>
      </c>
    </row>
    <row r="217" spans="2:2">
      <c r="B217" s="50" t="str">
        <f t="shared" si="4"/>
        <v/>
      </c>
    </row>
    <row r="218" spans="2:2">
      <c r="B218" s="50" t="str">
        <f t="shared" si="4"/>
        <v/>
      </c>
    </row>
    <row r="219" spans="2:2">
      <c r="B219" s="50" t="str">
        <f t="shared" si="4"/>
        <v/>
      </c>
    </row>
    <row r="220" spans="2:2">
      <c r="B220" s="50" t="str">
        <f t="shared" si="4"/>
        <v/>
      </c>
    </row>
    <row r="221" spans="2:2">
      <c r="B221" s="50" t="str">
        <f t="shared" si="4"/>
        <v/>
      </c>
    </row>
    <row r="222" spans="2:2">
      <c r="B222" s="50" t="str">
        <f t="shared" si="4"/>
        <v/>
      </c>
    </row>
    <row r="223" spans="2:2">
      <c r="B223" s="50" t="str">
        <f t="shared" ref="B223:B286" si="5">IF($C223="","",LEFT($C223,2))</f>
        <v/>
      </c>
    </row>
    <row r="224" spans="2:2">
      <c r="B224" s="50" t="str">
        <f t="shared" si="5"/>
        <v/>
      </c>
    </row>
    <row r="225" spans="2:2">
      <c r="B225" s="50" t="str">
        <f t="shared" si="5"/>
        <v/>
      </c>
    </row>
    <row r="226" spans="2:2">
      <c r="B226" s="50" t="str">
        <f t="shared" si="5"/>
        <v/>
      </c>
    </row>
    <row r="227" spans="2:2">
      <c r="B227" s="50" t="str">
        <f t="shared" si="5"/>
        <v/>
      </c>
    </row>
    <row r="228" spans="2:2">
      <c r="B228" s="50" t="str">
        <f t="shared" si="5"/>
        <v/>
      </c>
    </row>
    <row r="229" spans="2:2">
      <c r="B229" s="50" t="str">
        <f t="shared" si="5"/>
        <v/>
      </c>
    </row>
    <row r="230" spans="2:2">
      <c r="B230" s="50" t="str">
        <f t="shared" si="5"/>
        <v/>
      </c>
    </row>
    <row r="231" spans="2:2">
      <c r="B231" s="50" t="str">
        <f t="shared" si="5"/>
        <v/>
      </c>
    </row>
    <row r="232" spans="2:2">
      <c r="B232" s="50" t="str">
        <f t="shared" si="5"/>
        <v/>
      </c>
    </row>
    <row r="233" spans="2:2">
      <c r="B233" s="50" t="str">
        <f t="shared" si="5"/>
        <v/>
      </c>
    </row>
    <row r="234" spans="2:2">
      <c r="B234" s="50" t="str">
        <f t="shared" si="5"/>
        <v/>
      </c>
    </row>
    <row r="235" spans="2:2">
      <c r="B235" s="50" t="str">
        <f t="shared" si="5"/>
        <v/>
      </c>
    </row>
    <row r="236" spans="2:2">
      <c r="B236" s="50" t="str">
        <f t="shared" si="5"/>
        <v/>
      </c>
    </row>
    <row r="237" spans="2:2">
      <c r="B237" s="50" t="str">
        <f t="shared" si="5"/>
        <v/>
      </c>
    </row>
    <row r="238" spans="2:2">
      <c r="B238" s="50" t="str">
        <f t="shared" si="5"/>
        <v/>
      </c>
    </row>
    <row r="239" spans="2:2">
      <c r="B239" s="50" t="str">
        <f t="shared" si="5"/>
        <v/>
      </c>
    </row>
    <row r="240" spans="2:2">
      <c r="B240" s="50" t="str">
        <f t="shared" si="5"/>
        <v/>
      </c>
    </row>
    <row r="241" spans="2:2">
      <c r="B241" s="50" t="str">
        <f t="shared" si="5"/>
        <v/>
      </c>
    </row>
    <row r="242" spans="2:2">
      <c r="B242" s="50" t="str">
        <f t="shared" si="5"/>
        <v/>
      </c>
    </row>
    <row r="243" spans="2:2">
      <c r="B243" s="50" t="str">
        <f t="shared" si="5"/>
        <v/>
      </c>
    </row>
    <row r="244" spans="2:2">
      <c r="B244" s="50" t="str">
        <f t="shared" si="5"/>
        <v/>
      </c>
    </row>
    <row r="245" spans="2:2">
      <c r="B245" s="50" t="str">
        <f t="shared" si="5"/>
        <v/>
      </c>
    </row>
    <row r="246" spans="2:2">
      <c r="B246" s="50" t="str">
        <f t="shared" si="5"/>
        <v/>
      </c>
    </row>
    <row r="247" spans="2:2">
      <c r="B247" s="50" t="str">
        <f t="shared" si="5"/>
        <v/>
      </c>
    </row>
    <row r="248" spans="2:2">
      <c r="B248" s="50" t="str">
        <f t="shared" si="5"/>
        <v/>
      </c>
    </row>
    <row r="249" spans="2:2">
      <c r="B249" s="50" t="str">
        <f t="shared" si="5"/>
        <v/>
      </c>
    </row>
    <row r="250" spans="2:2">
      <c r="B250" s="50" t="str">
        <f t="shared" si="5"/>
        <v/>
      </c>
    </row>
    <row r="251" spans="2:2">
      <c r="B251" s="50" t="str">
        <f t="shared" si="5"/>
        <v/>
      </c>
    </row>
    <row r="252" spans="2:2">
      <c r="B252" s="50" t="str">
        <f t="shared" si="5"/>
        <v/>
      </c>
    </row>
    <row r="253" spans="2:2">
      <c r="B253" s="50" t="str">
        <f t="shared" si="5"/>
        <v/>
      </c>
    </row>
    <row r="254" spans="2:2">
      <c r="B254" s="50" t="str">
        <f t="shared" si="5"/>
        <v/>
      </c>
    </row>
    <row r="255" spans="2:2">
      <c r="B255" s="50" t="str">
        <f t="shared" si="5"/>
        <v/>
      </c>
    </row>
    <row r="256" spans="2:2">
      <c r="B256" s="50" t="str">
        <f t="shared" si="5"/>
        <v/>
      </c>
    </row>
    <row r="257" spans="2:2">
      <c r="B257" s="50" t="str">
        <f t="shared" si="5"/>
        <v/>
      </c>
    </row>
    <row r="258" spans="2:2">
      <c r="B258" s="50" t="str">
        <f t="shared" si="5"/>
        <v/>
      </c>
    </row>
    <row r="259" spans="2:2">
      <c r="B259" s="50" t="str">
        <f t="shared" si="5"/>
        <v/>
      </c>
    </row>
    <row r="260" spans="2:2">
      <c r="B260" s="50" t="str">
        <f t="shared" si="5"/>
        <v/>
      </c>
    </row>
    <row r="261" spans="2:2">
      <c r="B261" s="50" t="str">
        <f t="shared" si="5"/>
        <v/>
      </c>
    </row>
    <row r="262" spans="2:2">
      <c r="B262" s="50" t="str">
        <f t="shared" si="5"/>
        <v/>
      </c>
    </row>
    <row r="263" spans="2:2">
      <c r="B263" s="50" t="str">
        <f t="shared" si="5"/>
        <v/>
      </c>
    </row>
    <row r="264" spans="2:2">
      <c r="B264" s="50" t="str">
        <f t="shared" si="5"/>
        <v/>
      </c>
    </row>
    <row r="265" spans="2:2">
      <c r="B265" s="50" t="str">
        <f t="shared" si="5"/>
        <v/>
      </c>
    </row>
    <row r="266" spans="2:2">
      <c r="B266" s="50" t="str">
        <f t="shared" si="5"/>
        <v/>
      </c>
    </row>
    <row r="267" spans="2:2">
      <c r="B267" s="50" t="str">
        <f t="shared" si="5"/>
        <v/>
      </c>
    </row>
    <row r="268" spans="2:2">
      <c r="B268" s="50" t="str">
        <f t="shared" si="5"/>
        <v/>
      </c>
    </row>
    <row r="269" spans="2:2">
      <c r="B269" s="50" t="str">
        <f t="shared" si="5"/>
        <v/>
      </c>
    </row>
    <row r="270" spans="2:2">
      <c r="B270" s="50" t="str">
        <f t="shared" si="5"/>
        <v/>
      </c>
    </row>
    <row r="271" spans="2:2">
      <c r="B271" s="50" t="str">
        <f t="shared" si="5"/>
        <v/>
      </c>
    </row>
    <row r="272" spans="2:2">
      <c r="B272" s="50" t="str">
        <f t="shared" si="5"/>
        <v/>
      </c>
    </row>
    <row r="273" spans="2:2">
      <c r="B273" s="50" t="str">
        <f t="shared" si="5"/>
        <v/>
      </c>
    </row>
    <row r="274" spans="2:2">
      <c r="B274" s="50" t="str">
        <f t="shared" si="5"/>
        <v/>
      </c>
    </row>
    <row r="275" spans="2:2">
      <c r="B275" s="50" t="str">
        <f t="shared" si="5"/>
        <v/>
      </c>
    </row>
    <row r="276" spans="2:2">
      <c r="B276" s="50" t="str">
        <f t="shared" si="5"/>
        <v/>
      </c>
    </row>
    <row r="277" spans="2:2">
      <c r="B277" s="50" t="str">
        <f t="shared" si="5"/>
        <v/>
      </c>
    </row>
    <row r="278" spans="2:2">
      <c r="B278" s="50" t="str">
        <f t="shared" si="5"/>
        <v/>
      </c>
    </row>
    <row r="279" spans="2:2">
      <c r="B279" s="50" t="str">
        <f t="shared" si="5"/>
        <v/>
      </c>
    </row>
    <row r="280" spans="2:2">
      <c r="B280" s="50" t="str">
        <f t="shared" si="5"/>
        <v/>
      </c>
    </row>
    <row r="281" spans="2:2">
      <c r="B281" s="50" t="str">
        <f t="shared" si="5"/>
        <v/>
      </c>
    </row>
    <row r="282" spans="2:2">
      <c r="B282" s="50" t="str">
        <f t="shared" si="5"/>
        <v/>
      </c>
    </row>
    <row r="283" spans="2:2">
      <c r="B283" s="50" t="str">
        <f t="shared" si="5"/>
        <v/>
      </c>
    </row>
    <row r="284" spans="2:2">
      <c r="B284" s="50" t="str">
        <f t="shared" si="5"/>
        <v/>
      </c>
    </row>
    <row r="285" spans="2:2">
      <c r="B285" s="50" t="str">
        <f t="shared" si="5"/>
        <v/>
      </c>
    </row>
    <row r="286" spans="2:2">
      <c r="B286" s="50" t="str">
        <f t="shared" si="5"/>
        <v/>
      </c>
    </row>
    <row r="287" spans="2:2">
      <c r="B287" s="50" t="str">
        <f t="shared" ref="B287:B350" si="6">IF($C287="","",LEFT($C287,2))</f>
        <v/>
      </c>
    </row>
    <row r="288" spans="2:2">
      <c r="B288" s="50" t="str">
        <f t="shared" si="6"/>
        <v/>
      </c>
    </row>
    <row r="289" spans="2:2">
      <c r="B289" s="50" t="str">
        <f t="shared" si="6"/>
        <v/>
      </c>
    </row>
    <row r="290" spans="2:2">
      <c r="B290" s="50" t="str">
        <f t="shared" si="6"/>
        <v/>
      </c>
    </row>
    <row r="291" spans="2:2">
      <c r="B291" s="50" t="str">
        <f t="shared" si="6"/>
        <v/>
      </c>
    </row>
    <row r="292" spans="2:2">
      <c r="B292" s="50" t="str">
        <f t="shared" si="6"/>
        <v/>
      </c>
    </row>
    <row r="293" spans="2:2">
      <c r="B293" s="50" t="str">
        <f t="shared" si="6"/>
        <v/>
      </c>
    </row>
    <row r="294" spans="2:2">
      <c r="B294" s="50" t="str">
        <f t="shared" si="6"/>
        <v/>
      </c>
    </row>
    <row r="295" spans="2:2">
      <c r="B295" s="50" t="str">
        <f t="shared" si="6"/>
        <v/>
      </c>
    </row>
    <row r="296" spans="2:2">
      <c r="B296" s="50" t="str">
        <f t="shared" si="6"/>
        <v/>
      </c>
    </row>
    <row r="297" spans="2:2">
      <c r="B297" s="50" t="str">
        <f t="shared" si="6"/>
        <v/>
      </c>
    </row>
    <row r="298" spans="2:2">
      <c r="B298" s="50" t="str">
        <f t="shared" si="6"/>
        <v/>
      </c>
    </row>
    <row r="299" spans="2:2">
      <c r="B299" s="50" t="str">
        <f t="shared" si="6"/>
        <v/>
      </c>
    </row>
    <row r="300" spans="2:2">
      <c r="B300" s="50" t="str">
        <f t="shared" si="6"/>
        <v/>
      </c>
    </row>
    <row r="301" spans="2:2">
      <c r="B301" s="50" t="str">
        <f t="shared" si="6"/>
        <v/>
      </c>
    </row>
    <row r="302" spans="2:2">
      <c r="B302" s="50" t="str">
        <f t="shared" si="6"/>
        <v/>
      </c>
    </row>
    <row r="303" spans="2:2">
      <c r="B303" s="50" t="str">
        <f t="shared" si="6"/>
        <v/>
      </c>
    </row>
    <row r="304" spans="2:2">
      <c r="B304" s="50" t="str">
        <f t="shared" si="6"/>
        <v/>
      </c>
    </row>
    <row r="305" spans="2:2">
      <c r="B305" s="50" t="str">
        <f t="shared" si="6"/>
        <v/>
      </c>
    </row>
    <row r="306" spans="2:2">
      <c r="B306" s="50" t="str">
        <f t="shared" si="6"/>
        <v/>
      </c>
    </row>
    <row r="307" spans="2:2">
      <c r="B307" s="50" t="str">
        <f t="shared" si="6"/>
        <v/>
      </c>
    </row>
    <row r="308" spans="2:2">
      <c r="B308" s="50" t="str">
        <f t="shared" si="6"/>
        <v/>
      </c>
    </row>
    <row r="309" spans="2:2">
      <c r="B309" s="50" t="str">
        <f t="shared" si="6"/>
        <v/>
      </c>
    </row>
    <row r="310" spans="2:2">
      <c r="B310" s="50" t="str">
        <f t="shared" si="6"/>
        <v/>
      </c>
    </row>
    <row r="311" spans="2:2">
      <c r="B311" s="50" t="str">
        <f t="shared" si="6"/>
        <v/>
      </c>
    </row>
    <row r="312" spans="2:2">
      <c r="B312" s="50" t="str">
        <f t="shared" si="6"/>
        <v/>
      </c>
    </row>
    <row r="313" spans="2:2">
      <c r="B313" s="50" t="str">
        <f t="shared" si="6"/>
        <v/>
      </c>
    </row>
    <row r="314" spans="2:2">
      <c r="B314" s="50" t="str">
        <f t="shared" si="6"/>
        <v/>
      </c>
    </row>
    <row r="315" spans="2:2">
      <c r="B315" s="50" t="str">
        <f t="shared" si="6"/>
        <v/>
      </c>
    </row>
    <row r="316" spans="2:2">
      <c r="B316" s="50" t="str">
        <f t="shared" si="6"/>
        <v/>
      </c>
    </row>
    <row r="317" spans="2:2">
      <c r="B317" s="50" t="str">
        <f t="shared" si="6"/>
        <v/>
      </c>
    </row>
    <row r="318" spans="2:2">
      <c r="B318" s="50" t="str">
        <f t="shared" si="6"/>
        <v/>
      </c>
    </row>
    <row r="319" spans="2:2">
      <c r="B319" s="50" t="str">
        <f t="shared" si="6"/>
        <v/>
      </c>
    </row>
    <row r="320" spans="2:2">
      <c r="B320" s="50" t="str">
        <f t="shared" si="6"/>
        <v/>
      </c>
    </row>
    <row r="321" spans="2:2">
      <c r="B321" s="50" t="str">
        <f t="shared" si="6"/>
        <v/>
      </c>
    </row>
    <row r="322" spans="2:2">
      <c r="B322" s="50" t="str">
        <f t="shared" si="6"/>
        <v/>
      </c>
    </row>
    <row r="323" spans="2:2">
      <c r="B323" s="50" t="str">
        <f t="shared" si="6"/>
        <v/>
      </c>
    </row>
    <row r="324" spans="2:2">
      <c r="B324" s="50" t="str">
        <f t="shared" si="6"/>
        <v/>
      </c>
    </row>
    <row r="325" spans="2:2">
      <c r="B325" s="50" t="str">
        <f t="shared" si="6"/>
        <v/>
      </c>
    </row>
    <row r="326" spans="2:2">
      <c r="B326" s="50" t="str">
        <f t="shared" si="6"/>
        <v/>
      </c>
    </row>
    <row r="327" spans="2:2">
      <c r="B327" s="50" t="str">
        <f t="shared" si="6"/>
        <v/>
      </c>
    </row>
    <row r="328" spans="2:2">
      <c r="B328" s="50" t="str">
        <f t="shared" si="6"/>
        <v/>
      </c>
    </row>
    <row r="329" spans="2:2">
      <c r="B329" s="50" t="str">
        <f t="shared" si="6"/>
        <v/>
      </c>
    </row>
    <row r="330" spans="2:2">
      <c r="B330" s="50" t="str">
        <f t="shared" si="6"/>
        <v/>
      </c>
    </row>
    <row r="331" spans="2:2">
      <c r="B331" s="50" t="str">
        <f t="shared" si="6"/>
        <v/>
      </c>
    </row>
    <row r="332" spans="2:2">
      <c r="B332" s="50" t="str">
        <f t="shared" si="6"/>
        <v/>
      </c>
    </row>
    <row r="333" spans="2:2">
      <c r="B333" s="50" t="str">
        <f t="shared" si="6"/>
        <v/>
      </c>
    </row>
    <row r="334" spans="2:2">
      <c r="B334" s="50" t="str">
        <f t="shared" si="6"/>
        <v/>
      </c>
    </row>
    <row r="335" spans="2:2">
      <c r="B335" s="50" t="str">
        <f t="shared" si="6"/>
        <v/>
      </c>
    </row>
    <row r="336" spans="2:2">
      <c r="B336" s="50" t="str">
        <f t="shared" si="6"/>
        <v/>
      </c>
    </row>
    <row r="337" spans="2:2">
      <c r="B337" s="50" t="str">
        <f t="shared" si="6"/>
        <v/>
      </c>
    </row>
    <row r="338" spans="2:2">
      <c r="B338" s="50" t="str">
        <f t="shared" si="6"/>
        <v/>
      </c>
    </row>
    <row r="339" spans="2:2">
      <c r="B339" s="50" t="str">
        <f t="shared" si="6"/>
        <v/>
      </c>
    </row>
    <row r="340" spans="2:2">
      <c r="B340" s="50" t="str">
        <f t="shared" si="6"/>
        <v/>
      </c>
    </row>
    <row r="341" spans="2:2">
      <c r="B341" s="50" t="str">
        <f t="shared" si="6"/>
        <v/>
      </c>
    </row>
    <row r="342" spans="2:2">
      <c r="B342" s="50" t="str">
        <f t="shared" si="6"/>
        <v/>
      </c>
    </row>
    <row r="343" spans="2:2">
      <c r="B343" s="50" t="str">
        <f t="shared" si="6"/>
        <v/>
      </c>
    </row>
    <row r="344" spans="2:2">
      <c r="B344" s="50" t="str">
        <f t="shared" si="6"/>
        <v/>
      </c>
    </row>
    <row r="345" spans="2:2">
      <c r="B345" s="50" t="str">
        <f t="shared" si="6"/>
        <v/>
      </c>
    </row>
    <row r="346" spans="2:2">
      <c r="B346" s="50" t="str">
        <f t="shared" si="6"/>
        <v/>
      </c>
    </row>
    <row r="347" spans="2:2">
      <c r="B347" s="50" t="str">
        <f t="shared" si="6"/>
        <v/>
      </c>
    </row>
    <row r="348" spans="2:2">
      <c r="B348" s="50" t="str">
        <f t="shared" si="6"/>
        <v/>
      </c>
    </row>
    <row r="349" spans="2:2">
      <c r="B349" s="50" t="str">
        <f t="shared" si="6"/>
        <v/>
      </c>
    </row>
    <row r="350" spans="2:2">
      <c r="B350" s="50" t="str">
        <f t="shared" si="6"/>
        <v/>
      </c>
    </row>
    <row r="351" spans="2:2">
      <c r="B351" s="50" t="str">
        <f t="shared" ref="B351:B414" si="7">IF($C351="","",LEFT($C351,2))</f>
        <v/>
      </c>
    </row>
    <row r="352" spans="2:2">
      <c r="B352" s="50" t="str">
        <f t="shared" si="7"/>
        <v/>
      </c>
    </row>
    <row r="353" spans="2:2">
      <c r="B353" s="50" t="str">
        <f t="shared" si="7"/>
        <v/>
      </c>
    </row>
    <row r="354" spans="2:2">
      <c r="B354" s="50" t="str">
        <f t="shared" si="7"/>
        <v/>
      </c>
    </row>
    <row r="355" spans="2:2">
      <c r="B355" s="50" t="str">
        <f t="shared" si="7"/>
        <v/>
      </c>
    </row>
    <row r="356" spans="2:2">
      <c r="B356" s="50" t="str">
        <f t="shared" si="7"/>
        <v/>
      </c>
    </row>
    <row r="357" spans="2:2">
      <c r="B357" s="50" t="str">
        <f t="shared" si="7"/>
        <v/>
      </c>
    </row>
    <row r="358" spans="2:2">
      <c r="B358" s="50" t="str">
        <f t="shared" si="7"/>
        <v/>
      </c>
    </row>
    <row r="359" spans="2:2">
      <c r="B359" s="50" t="str">
        <f t="shared" si="7"/>
        <v/>
      </c>
    </row>
    <row r="360" spans="2:2">
      <c r="B360" s="50" t="str">
        <f t="shared" si="7"/>
        <v/>
      </c>
    </row>
    <row r="361" spans="2:2">
      <c r="B361" s="50" t="str">
        <f t="shared" si="7"/>
        <v/>
      </c>
    </row>
    <row r="362" spans="2:2">
      <c r="B362" s="50" t="str">
        <f t="shared" si="7"/>
        <v/>
      </c>
    </row>
    <row r="363" spans="2:2">
      <c r="B363" s="50" t="str">
        <f t="shared" si="7"/>
        <v/>
      </c>
    </row>
    <row r="364" spans="2:2">
      <c r="B364" s="50" t="str">
        <f t="shared" si="7"/>
        <v/>
      </c>
    </row>
    <row r="365" spans="2:2">
      <c r="B365" s="50" t="str">
        <f t="shared" si="7"/>
        <v/>
      </c>
    </row>
    <row r="366" spans="2:2">
      <c r="B366" s="50" t="str">
        <f t="shared" si="7"/>
        <v/>
      </c>
    </row>
    <row r="367" spans="2:2">
      <c r="B367" s="50" t="str">
        <f t="shared" si="7"/>
        <v/>
      </c>
    </row>
    <row r="368" spans="2:2">
      <c r="B368" s="50" t="str">
        <f t="shared" si="7"/>
        <v/>
      </c>
    </row>
    <row r="369" spans="2:2">
      <c r="B369" s="50" t="str">
        <f t="shared" si="7"/>
        <v/>
      </c>
    </row>
    <row r="370" spans="2:2">
      <c r="B370" s="50" t="str">
        <f t="shared" si="7"/>
        <v/>
      </c>
    </row>
    <row r="371" spans="2:2">
      <c r="B371" s="50" t="str">
        <f t="shared" si="7"/>
        <v/>
      </c>
    </row>
    <row r="372" spans="2:2">
      <c r="B372" s="50" t="str">
        <f t="shared" si="7"/>
        <v/>
      </c>
    </row>
    <row r="373" spans="2:2">
      <c r="B373" s="50" t="str">
        <f t="shared" si="7"/>
        <v/>
      </c>
    </row>
    <row r="374" spans="2:2">
      <c r="B374" s="50" t="str">
        <f t="shared" si="7"/>
        <v/>
      </c>
    </row>
    <row r="375" spans="2:2">
      <c r="B375" s="50" t="str">
        <f t="shared" si="7"/>
        <v/>
      </c>
    </row>
    <row r="376" spans="2:2">
      <c r="B376" s="50" t="str">
        <f t="shared" si="7"/>
        <v/>
      </c>
    </row>
    <row r="377" spans="2:2">
      <c r="B377" s="50" t="str">
        <f t="shared" si="7"/>
        <v/>
      </c>
    </row>
    <row r="378" spans="2:2">
      <c r="B378" s="50" t="str">
        <f t="shared" si="7"/>
        <v/>
      </c>
    </row>
    <row r="379" spans="2:2">
      <c r="B379" s="50" t="str">
        <f t="shared" si="7"/>
        <v/>
      </c>
    </row>
    <row r="380" spans="2:2">
      <c r="B380" s="50" t="str">
        <f t="shared" si="7"/>
        <v/>
      </c>
    </row>
    <row r="381" spans="2:2">
      <c r="B381" s="50" t="str">
        <f t="shared" si="7"/>
        <v/>
      </c>
    </row>
    <row r="382" spans="2:2">
      <c r="B382" s="50" t="str">
        <f t="shared" si="7"/>
        <v/>
      </c>
    </row>
    <row r="383" spans="2:2">
      <c r="B383" s="50" t="str">
        <f t="shared" si="7"/>
        <v/>
      </c>
    </row>
    <row r="384" spans="2:2">
      <c r="B384" s="50" t="str">
        <f t="shared" si="7"/>
        <v/>
      </c>
    </row>
    <row r="385" spans="2:2">
      <c r="B385" s="50" t="str">
        <f t="shared" si="7"/>
        <v/>
      </c>
    </row>
    <row r="386" spans="2:2">
      <c r="B386" s="50" t="str">
        <f t="shared" si="7"/>
        <v/>
      </c>
    </row>
    <row r="387" spans="2:2">
      <c r="B387" s="50" t="str">
        <f t="shared" si="7"/>
        <v/>
      </c>
    </row>
    <row r="388" spans="2:2">
      <c r="B388" s="50" t="str">
        <f t="shared" si="7"/>
        <v/>
      </c>
    </row>
    <row r="389" spans="2:2">
      <c r="B389" s="50" t="str">
        <f t="shared" si="7"/>
        <v/>
      </c>
    </row>
    <row r="390" spans="2:2">
      <c r="B390" s="50" t="str">
        <f t="shared" si="7"/>
        <v/>
      </c>
    </row>
    <row r="391" spans="2:2">
      <c r="B391" s="50" t="str">
        <f t="shared" si="7"/>
        <v/>
      </c>
    </row>
    <row r="392" spans="2:2">
      <c r="B392" s="50" t="str">
        <f t="shared" si="7"/>
        <v/>
      </c>
    </row>
    <row r="393" spans="2:2">
      <c r="B393" s="50" t="str">
        <f t="shared" si="7"/>
        <v/>
      </c>
    </row>
    <row r="394" spans="2:2">
      <c r="B394" s="50" t="str">
        <f t="shared" si="7"/>
        <v/>
      </c>
    </row>
    <row r="395" spans="2:2">
      <c r="B395" s="50" t="str">
        <f t="shared" si="7"/>
        <v/>
      </c>
    </row>
    <row r="396" spans="2:2">
      <c r="B396" s="50" t="str">
        <f t="shared" si="7"/>
        <v/>
      </c>
    </row>
    <row r="397" spans="2:2">
      <c r="B397" s="50" t="str">
        <f t="shared" si="7"/>
        <v/>
      </c>
    </row>
    <row r="398" spans="2:2">
      <c r="B398" s="50" t="str">
        <f t="shared" si="7"/>
        <v/>
      </c>
    </row>
    <row r="399" spans="2:2">
      <c r="B399" s="50" t="str">
        <f t="shared" si="7"/>
        <v/>
      </c>
    </row>
    <row r="400" spans="2:2">
      <c r="B400" s="50" t="str">
        <f t="shared" si="7"/>
        <v/>
      </c>
    </row>
    <row r="401" spans="2:2">
      <c r="B401" s="50" t="str">
        <f t="shared" si="7"/>
        <v/>
      </c>
    </row>
    <row r="402" spans="2:2">
      <c r="B402" s="50" t="str">
        <f t="shared" si="7"/>
        <v/>
      </c>
    </row>
    <row r="403" spans="2:2">
      <c r="B403" s="50" t="str">
        <f t="shared" si="7"/>
        <v/>
      </c>
    </row>
    <row r="404" spans="2:2">
      <c r="B404" s="50" t="str">
        <f t="shared" si="7"/>
        <v/>
      </c>
    </row>
    <row r="405" spans="2:2">
      <c r="B405" s="50" t="str">
        <f t="shared" si="7"/>
        <v/>
      </c>
    </row>
    <row r="406" spans="2:2">
      <c r="B406" s="50" t="str">
        <f t="shared" si="7"/>
        <v/>
      </c>
    </row>
    <row r="407" spans="2:2">
      <c r="B407" s="50" t="str">
        <f t="shared" si="7"/>
        <v/>
      </c>
    </row>
    <row r="408" spans="2:2">
      <c r="B408" s="50" t="str">
        <f t="shared" si="7"/>
        <v/>
      </c>
    </row>
    <row r="409" spans="2:2">
      <c r="B409" s="50" t="str">
        <f t="shared" si="7"/>
        <v/>
      </c>
    </row>
    <row r="410" spans="2:2">
      <c r="B410" s="50" t="str">
        <f t="shared" si="7"/>
        <v/>
      </c>
    </row>
    <row r="411" spans="2:2">
      <c r="B411" s="50" t="str">
        <f t="shared" si="7"/>
        <v/>
      </c>
    </row>
    <row r="412" spans="2:2">
      <c r="B412" s="50" t="str">
        <f t="shared" si="7"/>
        <v/>
      </c>
    </row>
    <row r="413" spans="2:2">
      <c r="B413" s="50" t="str">
        <f t="shared" si="7"/>
        <v/>
      </c>
    </row>
    <row r="414" spans="2:2">
      <c r="B414" s="50" t="str">
        <f t="shared" si="7"/>
        <v/>
      </c>
    </row>
    <row r="415" spans="2:2">
      <c r="B415" s="50" t="str">
        <f t="shared" ref="B415:B478" si="8">IF($C415="","",LEFT($C415,2))</f>
        <v/>
      </c>
    </row>
    <row r="416" spans="2:2">
      <c r="B416" s="50" t="str">
        <f t="shared" si="8"/>
        <v/>
      </c>
    </row>
    <row r="417" spans="2:2">
      <c r="B417" s="50" t="str">
        <f t="shared" si="8"/>
        <v/>
      </c>
    </row>
    <row r="418" spans="2:2">
      <c r="B418" s="50" t="str">
        <f t="shared" si="8"/>
        <v/>
      </c>
    </row>
    <row r="419" spans="2:2">
      <c r="B419" s="50" t="str">
        <f t="shared" si="8"/>
        <v/>
      </c>
    </row>
    <row r="420" spans="2:2">
      <c r="B420" s="50" t="str">
        <f t="shared" si="8"/>
        <v/>
      </c>
    </row>
    <row r="421" spans="2:2">
      <c r="B421" s="50" t="str">
        <f t="shared" si="8"/>
        <v/>
      </c>
    </row>
    <row r="422" spans="2:2">
      <c r="B422" s="50" t="str">
        <f t="shared" si="8"/>
        <v/>
      </c>
    </row>
    <row r="423" spans="2:2">
      <c r="B423" s="50" t="str">
        <f t="shared" si="8"/>
        <v/>
      </c>
    </row>
    <row r="424" spans="2:2">
      <c r="B424" s="50" t="str">
        <f t="shared" si="8"/>
        <v/>
      </c>
    </row>
    <row r="425" spans="2:2">
      <c r="B425" s="50" t="str">
        <f t="shared" si="8"/>
        <v/>
      </c>
    </row>
    <row r="426" spans="2:2">
      <c r="B426" s="50" t="str">
        <f t="shared" si="8"/>
        <v/>
      </c>
    </row>
    <row r="427" spans="2:2">
      <c r="B427" s="50" t="str">
        <f t="shared" si="8"/>
        <v/>
      </c>
    </row>
    <row r="428" spans="2:2">
      <c r="B428" s="50" t="str">
        <f t="shared" si="8"/>
        <v/>
      </c>
    </row>
    <row r="429" spans="2:2">
      <c r="B429" s="50" t="str">
        <f t="shared" si="8"/>
        <v/>
      </c>
    </row>
    <row r="430" spans="2:2">
      <c r="B430" s="50" t="str">
        <f t="shared" si="8"/>
        <v/>
      </c>
    </row>
    <row r="431" spans="2:2">
      <c r="B431" s="50" t="str">
        <f t="shared" si="8"/>
        <v/>
      </c>
    </row>
    <row r="432" spans="2:2">
      <c r="B432" s="50" t="str">
        <f t="shared" si="8"/>
        <v/>
      </c>
    </row>
    <row r="433" spans="2:2">
      <c r="B433" s="50" t="str">
        <f t="shared" si="8"/>
        <v/>
      </c>
    </row>
    <row r="434" spans="2:2">
      <c r="B434" s="50" t="str">
        <f t="shared" si="8"/>
        <v/>
      </c>
    </row>
    <row r="435" spans="2:2">
      <c r="B435" s="50" t="str">
        <f t="shared" si="8"/>
        <v/>
      </c>
    </row>
    <row r="436" spans="2:2">
      <c r="B436" s="50" t="str">
        <f t="shared" si="8"/>
        <v/>
      </c>
    </row>
    <row r="437" spans="2:2">
      <c r="B437" s="50" t="str">
        <f t="shared" si="8"/>
        <v/>
      </c>
    </row>
    <row r="438" spans="2:2">
      <c r="B438" s="50" t="str">
        <f t="shared" si="8"/>
        <v/>
      </c>
    </row>
    <row r="439" spans="2:2">
      <c r="B439" s="50" t="str">
        <f t="shared" si="8"/>
        <v/>
      </c>
    </row>
    <row r="440" spans="2:2">
      <c r="B440" s="50" t="str">
        <f t="shared" si="8"/>
        <v/>
      </c>
    </row>
    <row r="441" spans="2:2">
      <c r="B441" s="50" t="str">
        <f t="shared" si="8"/>
        <v/>
      </c>
    </row>
    <row r="442" spans="2:2">
      <c r="B442" s="50" t="str">
        <f t="shared" si="8"/>
        <v/>
      </c>
    </row>
    <row r="443" spans="2:2">
      <c r="B443" s="50" t="str">
        <f t="shared" si="8"/>
        <v/>
      </c>
    </row>
    <row r="444" spans="2:2">
      <c r="B444" s="50" t="str">
        <f t="shared" si="8"/>
        <v/>
      </c>
    </row>
    <row r="445" spans="2:2">
      <c r="B445" s="50" t="str">
        <f t="shared" si="8"/>
        <v/>
      </c>
    </row>
    <row r="446" spans="2:2">
      <c r="B446" s="50" t="str">
        <f t="shared" si="8"/>
        <v/>
      </c>
    </row>
    <row r="447" spans="2:2">
      <c r="B447" s="50" t="str">
        <f t="shared" si="8"/>
        <v/>
      </c>
    </row>
    <row r="448" spans="2:2">
      <c r="B448" s="50" t="str">
        <f t="shared" si="8"/>
        <v/>
      </c>
    </row>
    <row r="449" spans="2:2">
      <c r="B449" s="50" t="str">
        <f t="shared" si="8"/>
        <v/>
      </c>
    </row>
    <row r="450" spans="2:2">
      <c r="B450" s="50" t="str">
        <f t="shared" si="8"/>
        <v/>
      </c>
    </row>
    <row r="451" spans="2:2">
      <c r="B451" s="50" t="str">
        <f t="shared" si="8"/>
        <v/>
      </c>
    </row>
    <row r="452" spans="2:2">
      <c r="B452" s="50" t="str">
        <f t="shared" si="8"/>
        <v/>
      </c>
    </row>
    <row r="453" spans="2:2">
      <c r="B453" s="50" t="str">
        <f t="shared" si="8"/>
        <v/>
      </c>
    </row>
    <row r="454" spans="2:2">
      <c r="B454" s="50" t="str">
        <f t="shared" si="8"/>
        <v/>
      </c>
    </row>
    <row r="455" spans="2:2">
      <c r="B455" s="50" t="str">
        <f t="shared" si="8"/>
        <v/>
      </c>
    </row>
    <row r="456" spans="2:2">
      <c r="B456" s="50" t="str">
        <f t="shared" si="8"/>
        <v/>
      </c>
    </row>
    <row r="457" spans="2:2">
      <c r="B457" s="50" t="str">
        <f t="shared" si="8"/>
        <v/>
      </c>
    </row>
    <row r="458" spans="2:2">
      <c r="B458" s="50" t="str">
        <f t="shared" si="8"/>
        <v/>
      </c>
    </row>
    <row r="459" spans="2:2">
      <c r="B459" s="50" t="str">
        <f t="shared" si="8"/>
        <v/>
      </c>
    </row>
    <row r="460" spans="2:2">
      <c r="B460" s="50" t="str">
        <f t="shared" si="8"/>
        <v/>
      </c>
    </row>
    <row r="461" spans="2:2">
      <c r="B461" s="50" t="str">
        <f t="shared" si="8"/>
        <v/>
      </c>
    </row>
    <row r="462" spans="2:2">
      <c r="B462" s="50" t="str">
        <f t="shared" si="8"/>
        <v/>
      </c>
    </row>
    <row r="463" spans="2:2">
      <c r="B463" s="50" t="str">
        <f t="shared" si="8"/>
        <v/>
      </c>
    </row>
    <row r="464" spans="2:2">
      <c r="B464" s="50" t="str">
        <f t="shared" si="8"/>
        <v/>
      </c>
    </row>
    <row r="465" spans="2:2">
      <c r="B465" s="50" t="str">
        <f t="shared" si="8"/>
        <v/>
      </c>
    </row>
    <row r="466" spans="2:2">
      <c r="B466" s="50" t="str">
        <f t="shared" si="8"/>
        <v/>
      </c>
    </row>
    <row r="467" spans="2:2">
      <c r="B467" s="50" t="str">
        <f t="shared" si="8"/>
        <v/>
      </c>
    </row>
    <row r="468" spans="2:2">
      <c r="B468" s="50" t="str">
        <f t="shared" si="8"/>
        <v/>
      </c>
    </row>
    <row r="469" spans="2:2">
      <c r="B469" s="50" t="str">
        <f t="shared" si="8"/>
        <v/>
      </c>
    </row>
    <row r="470" spans="2:2">
      <c r="B470" s="50" t="str">
        <f t="shared" si="8"/>
        <v/>
      </c>
    </row>
    <row r="471" spans="2:2">
      <c r="B471" s="50" t="str">
        <f t="shared" si="8"/>
        <v/>
      </c>
    </row>
    <row r="472" spans="2:2">
      <c r="B472" s="50" t="str">
        <f t="shared" si="8"/>
        <v/>
      </c>
    </row>
    <row r="473" spans="2:2">
      <c r="B473" s="50" t="str">
        <f t="shared" si="8"/>
        <v/>
      </c>
    </row>
    <row r="474" spans="2:2">
      <c r="B474" s="50" t="str">
        <f t="shared" si="8"/>
        <v/>
      </c>
    </row>
    <row r="475" spans="2:2">
      <c r="B475" s="50" t="str">
        <f t="shared" si="8"/>
        <v/>
      </c>
    </row>
    <row r="476" spans="2:2">
      <c r="B476" s="50" t="str">
        <f t="shared" si="8"/>
        <v/>
      </c>
    </row>
    <row r="477" spans="2:2">
      <c r="B477" s="50" t="str">
        <f t="shared" si="8"/>
        <v/>
      </c>
    </row>
    <row r="478" spans="2:2">
      <c r="B478" s="50" t="str">
        <f t="shared" si="8"/>
        <v/>
      </c>
    </row>
    <row r="479" spans="2:2">
      <c r="B479" s="50" t="str">
        <f t="shared" ref="B479:B542" si="9">IF($C479="","",LEFT($C479,2))</f>
        <v/>
      </c>
    </row>
    <row r="480" spans="2:2">
      <c r="B480" s="50" t="str">
        <f t="shared" si="9"/>
        <v/>
      </c>
    </row>
    <row r="481" spans="2:2">
      <c r="B481" s="50" t="str">
        <f t="shared" si="9"/>
        <v/>
      </c>
    </row>
    <row r="482" spans="2:2">
      <c r="B482" s="50" t="str">
        <f t="shared" si="9"/>
        <v/>
      </c>
    </row>
    <row r="483" spans="2:2">
      <c r="B483" s="50" t="str">
        <f t="shared" si="9"/>
        <v/>
      </c>
    </row>
    <row r="484" spans="2:2">
      <c r="B484" s="50" t="str">
        <f t="shared" si="9"/>
        <v/>
      </c>
    </row>
    <row r="485" spans="2:2">
      <c r="B485" s="50" t="str">
        <f t="shared" si="9"/>
        <v/>
      </c>
    </row>
    <row r="486" spans="2:2">
      <c r="B486" s="50" t="str">
        <f t="shared" si="9"/>
        <v/>
      </c>
    </row>
    <row r="487" spans="2:2">
      <c r="B487" s="50" t="str">
        <f t="shared" si="9"/>
        <v/>
      </c>
    </row>
    <row r="488" spans="2:2">
      <c r="B488" s="50" t="str">
        <f t="shared" si="9"/>
        <v/>
      </c>
    </row>
    <row r="489" spans="2:2">
      <c r="B489" s="50" t="str">
        <f t="shared" si="9"/>
        <v/>
      </c>
    </row>
    <row r="490" spans="2:2">
      <c r="B490" s="50" t="str">
        <f t="shared" si="9"/>
        <v/>
      </c>
    </row>
    <row r="491" spans="2:2">
      <c r="B491" s="50" t="str">
        <f t="shared" si="9"/>
        <v/>
      </c>
    </row>
    <row r="492" spans="2:2">
      <c r="B492" s="50" t="str">
        <f t="shared" si="9"/>
        <v/>
      </c>
    </row>
    <row r="493" spans="2:2">
      <c r="B493" s="50" t="str">
        <f t="shared" si="9"/>
        <v/>
      </c>
    </row>
    <row r="494" spans="2:2">
      <c r="B494" s="50" t="str">
        <f t="shared" si="9"/>
        <v/>
      </c>
    </row>
    <row r="495" spans="2:2">
      <c r="B495" s="50" t="str">
        <f t="shared" si="9"/>
        <v/>
      </c>
    </row>
    <row r="496" spans="2:2">
      <c r="B496" s="50" t="str">
        <f t="shared" si="9"/>
        <v/>
      </c>
    </row>
    <row r="497" spans="2:2">
      <c r="B497" s="50" t="str">
        <f t="shared" si="9"/>
        <v/>
      </c>
    </row>
    <row r="498" spans="2:2">
      <c r="B498" s="50" t="str">
        <f t="shared" si="9"/>
        <v/>
      </c>
    </row>
    <row r="499" spans="2:2">
      <c r="B499" s="50" t="str">
        <f t="shared" si="9"/>
        <v/>
      </c>
    </row>
    <row r="500" spans="2:2">
      <c r="B500" s="50" t="str">
        <f t="shared" si="9"/>
        <v/>
      </c>
    </row>
    <row r="501" spans="2:2">
      <c r="B501" s="50" t="str">
        <f t="shared" si="9"/>
        <v/>
      </c>
    </row>
    <row r="502" spans="2:2">
      <c r="B502" s="50" t="str">
        <f t="shared" si="9"/>
        <v/>
      </c>
    </row>
    <row r="503" spans="2:2">
      <c r="B503" s="50" t="str">
        <f t="shared" si="9"/>
        <v/>
      </c>
    </row>
    <row r="504" spans="2:2">
      <c r="B504" s="50" t="str">
        <f t="shared" si="9"/>
        <v/>
      </c>
    </row>
    <row r="505" spans="2:2">
      <c r="B505" s="50" t="str">
        <f t="shared" si="9"/>
        <v/>
      </c>
    </row>
    <row r="506" spans="2:2">
      <c r="B506" s="50" t="str">
        <f t="shared" si="9"/>
        <v/>
      </c>
    </row>
    <row r="507" spans="2:2">
      <c r="B507" s="50" t="str">
        <f t="shared" si="9"/>
        <v/>
      </c>
    </row>
    <row r="508" spans="2:2">
      <c r="B508" s="50" t="str">
        <f t="shared" si="9"/>
        <v/>
      </c>
    </row>
    <row r="509" spans="2:2">
      <c r="B509" s="50" t="str">
        <f t="shared" si="9"/>
        <v/>
      </c>
    </row>
    <row r="510" spans="2:2">
      <c r="B510" s="50" t="str">
        <f t="shared" si="9"/>
        <v/>
      </c>
    </row>
    <row r="511" spans="2:2">
      <c r="B511" s="50" t="str">
        <f t="shared" si="9"/>
        <v/>
      </c>
    </row>
    <row r="512" spans="2:2">
      <c r="B512" s="50" t="str">
        <f t="shared" si="9"/>
        <v/>
      </c>
    </row>
    <row r="513" spans="2:2">
      <c r="B513" s="50" t="str">
        <f t="shared" si="9"/>
        <v/>
      </c>
    </row>
    <row r="514" spans="2:2">
      <c r="B514" s="50" t="str">
        <f t="shared" si="9"/>
        <v/>
      </c>
    </row>
    <row r="515" spans="2:2">
      <c r="B515" s="50" t="str">
        <f t="shared" si="9"/>
        <v/>
      </c>
    </row>
    <row r="516" spans="2:2">
      <c r="B516" s="50" t="str">
        <f t="shared" si="9"/>
        <v/>
      </c>
    </row>
    <row r="517" spans="2:2">
      <c r="B517" s="50" t="str">
        <f t="shared" si="9"/>
        <v/>
      </c>
    </row>
    <row r="518" spans="2:2">
      <c r="B518" s="50" t="str">
        <f t="shared" si="9"/>
        <v/>
      </c>
    </row>
    <row r="519" spans="2:2">
      <c r="B519" s="50" t="str">
        <f t="shared" si="9"/>
        <v/>
      </c>
    </row>
    <row r="520" spans="2:2">
      <c r="B520" s="50" t="str">
        <f t="shared" si="9"/>
        <v/>
      </c>
    </row>
    <row r="521" spans="2:2">
      <c r="B521" s="50" t="str">
        <f t="shared" si="9"/>
        <v/>
      </c>
    </row>
    <row r="522" spans="2:2">
      <c r="B522" s="50" t="str">
        <f t="shared" si="9"/>
        <v/>
      </c>
    </row>
    <row r="523" spans="2:2">
      <c r="B523" s="50" t="str">
        <f t="shared" si="9"/>
        <v/>
      </c>
    </row>
    <row r="524" spans="2:2">
      <c r="B524" s="50" t="str">
        <f t="shared" si="9"/>
        <v/>
      </c>
    </row>
    <row r="525" spans="2:2">
      <c r="B525" s="50" t="str">
        <f t="shared" si="9"/>
        <v/>
      </c>
    </row>
    <row r="526" spans="2:2">
      <c r="B526" s="50" t="str">
        <f t="shared" si="9"/>
        <v/>
      </c>
    </row>
    <row r="527" spans="2:2">
      <c r="B527" s="50" t="str">
        <f t="shared" si="9"/>
        <v/>
      </c>
    </row>
    <row r="528" spans="2:2">
      <c r="B528" s="50" t="str">
        <f t="shared" si="9"/>
        <v/>
      </c>
    </row>
    <row r="529" spans="2:2">
      <c r="B529" s="50" t="str">
        <f t="shared" si="9"/>
        <v/>
      </c>
    </row>
    <row r="530" spans="2:2">
      <c r="B530" s="50" t="str">
        <f t="shared" si="9"/>
        <v/>
      </c>
    </row>
    <row r="531" spans="2:2">
      <c r="B531" s="50" t="str">
        <f t="shared" si="9"/>
        <v/>
      </c>
    </row>
    <row r="532" spans="2:2">
      <c r="B532" s="50" t="str">
        <f t="shared" si="9"/>
        <v/>
      </c>
    </row>
    <row r="533" spans="2:2">
      <c r="B533" s="50" t="str">
        <f t="shared" si="9"/>
        <v/>
      </c>
    </row>
    <row r="534" spans="2:2">
      <c r="B534" s="50" t="str">
        <f t="shared" si="9"/>
        <v/>
      </c>
    </row>
    <row r="535" spans="2:2">
      <c r="B535" s="50" t="str">
        <f t="shared" si="9"/>
        <v/>
      </c>
    </row>
    <row r="536" spans="2:2">
      <c r="B536" s="50" t="str">
        <f t="shared" si="9"/>
        <v/>
      </c>
    </row>
    <row r="537" spans="2:2">
      <c r="B537" s="50" t="str">
        <f t="shared" si="9"/>
        <v/>
      </c>
    </row>
    <row r="538" spans="2:2">
      <c r="B538" s="50" t="str">
        <f t="shared" si="9"/>
        <v/>
      </c>
    </row>
    <row r="539" spans="2:2">
      <c r="B539" s="50" t="str">
        <f t="shared" si="9"/>
        <v/>
      </c>
    </row>
    <row r="540" spans="2:2">
      <c r="B540" s="50" t="str">
        <f t="shared" si="9"/>
        <v/>
      </c>
    </row>
    <row r="541" spans="2:2">
      <c r="B541" s="50" t="str">
        <f t="shared" si="9"/>
        <v/>
      </c>
    </row>
    <row r="542" spans="2:2">
      <c r="B542" s="50" t="str">
        <f t="shared" si="9"/>
        <v/>
      </c>
    </row>
    <row r="543" spans="2:2">
      <c r="B543" s="50" t="str">
        <f t="shared" ref="B543:B606" si="10">IF($C543="","",LEFT($C543,2))</f>
        <v/>
      </c>
    </row>
    <row r="544" spans="2:2">
      <c r="B544" s="50" t="str">
        <f t="shared" si="10"/>
        <v/>
      </c>
    </row>
    <row r="545" spans="2:2">
      <c r="B545" s="50" t="str">
        <f t="shared" si="10"/>
        <v/>
      </c>
    </row>
    <row r="546" spans="2:2">
      <c r="B546" s="50" t="str">
        <f t="shared" si="10"/>
        <v/>
      </c>
    </row>
    <row r="547" spans="2:2">
      <c r="B547" s="50" t="str">
        <f t="shared" si="10"/>
        <v/>
      </c>
    </row>
    <row r="548" spans="2:2">
      <c r="B548" s="50" t="str">
        <f t="shared" si="10"/>
        <v/>
      </c>
    </row>
    <row r="549" spans="2:2">
      <c r="B549" s="50" t="str">
        <f t="shared" si="10"/>
        <v/>
      </c>
    </row>
    <row r="550" spans="2:2">
      <c r="B550" s="50" t="str">
        <f t="shared" si="10"/>
        <v/>
      </c>
    </row>
    <row r="551" spans="2:2">
      <c r="B551" s="50" t="str">
        <f t="shared" si="10"/>
        <v/>
      </c>
    </row>
    <row r="552" spans="2:2">
      <c r="B552" s="50" t="str">
        <f t="shared" si="10"/>
        <v/>
      </c>
    </row>
    <row r="553" spans="2:2">
      <c r="B553" s="50" t="str">
        <f t="shared" si="10"/>
        <v/>
      </c>
    </row>
    <row r="554" spans="2:2">
      <c r="B554" s="50" t="str">
        <f t="shared" si="10"/>
        <v/>
      </c>
    </row>
    <row r="555" spans="2:2">
      <c r="B555" s="50" t="str">
        <f t="shared" si="10"/>
        <v/>
      </c>
    </row>
    <row r="556" spans="2:2">
      <c r="B556" s="50" t="str">
        <f t="shared" si="10"/>
        <v/>
      </c>
    </row>
    <row r="557" spans="2:2">
      <c r="B557" s="50" t="str">
        <f t="shared" si="10"/>
        <v/>
      </c>
    </row>
    <row r="558" spans="2:2">
      <c r="B558" s="50" t="str">
        <f t="shared" si="10"/>
        <v/>
      </c>
    </row>
    <row r="559" spans="2:2">
      <c r="B559" s="50" t="str">
        <f t="shared" si="10"/>
        <v/>
      </c>
    </row>
    <row r="560" spans="2:2">
      <c r="B560" s="50" t="str">
        <f t="shared" si="10"/>
        <v/>
      </c>
    </row>
    <row r="561" spans="2:2">
      <c r="B561" s="50" t="str">
        <f t="shared" si="10"/>
        <v/>
      </c>
    </row>
    <row r="562" spans="2:2">
      <c r="B562" s="50" t="str">
        <f t="shared" si="10"/>
        <v/>
      </c>
    </row>
    <row r="563" spans="2:2">
      <c r="B563" s="50" t="str">
        <f t="shared" si="10"/>
        <v/>
      </c>
    </row>
    <row r="564" spans="2:2">
      <c r="B564" s="50" t="str">
        <f t="shared" si="10"/>
        <v/>
      </c>
    </row>
    <row r="565" spans="2:2">
      <c r="B565" s="50" t="str">
        <f t="shared" si="10"/>
        <v/>
      </c>
    </row>
    <row r="566" spans="2:2">
      <c r="B566" s="50" t="str">
        <f t="shared" si="10"/>
        <v/>
      </c>
    </row>
    <row r="567" spans="2:2">
      <c r="B567" s="50" t="str">
        <f t="shared" si="10"/>
        <v/>
      </c>
    </row>
    <row r="568" spans="2:2">
      <c r="B568" s="50" t="str">
        <f t="shared" si="10"/>
        <v/>
      </c>
    </row>
    <row r="569" spans="2:2">
      <c r="B569" s="50" t="str">
        <f t="shared" si="10"/>
        <v/>
      </c>
    </row>
    <row r="570" spans="2:2">
      <c r="B570" s="50" t="str">
        <f t="shared" si="10"/>
        <v/>
      </c>
    </row>
    <row r="571" spans="2:2">
      <c r="B571" s="50" t="str">
        <f t="shared" si="10"/>
        <v/>
      </c>
    </row>
    <row r="572" spans="2:2">
      <c r="B572" s="50" t="str">
        <f t="shared" si="10"/>
        <v/>
      </c>
    </row>
    <row r="573" spans="2:2">
      <c r="B573" s="50" t="str">
        <f t="shared" si="10"/>
        <v/>
      </c>
    </row>
    <row r="574" spans="2:2">
      <c r="B574" s="50" t="str">
        <f t="shared" si="10"/>
        <v/>
      </c>
    </row>
    <row r="575" spans="2:2">
      <c r="B575" s="50" t="str">
        <f t="shared" si="10"/>
        <v/>
      </c>
    </row>
    <row r="576" spans="2:2">
      <c r="B576" s="50" t="str">
        <f t="shared" si="10"/>
        <v/>
      </c>
    </row>
    <row r="577" spans="2:2">
      <c r="B577" s="50" t="str">
        <f t="shared" si="10"/>
        <v/>
      </c>
    </row>
    <row r="578" spans="2:2">
      <c r="B578" s="50" t="str">
        <f t="shared" si="10"/>
        <v/>
      </c>
    </row>
    <row r="579" spans="2:2">
      <c r="B579" s="50" t="str">
        <f t="shared" si="10"/>
        <v/>
      </c>
    </row>
    <row r="580" spans="2:2">
      <c r="B580" s="50" t="str">
        <f t="shared" si="10"/>
        <v/>
      </c>
    </row>
    <row r="581" spans="2:2">
      <c r="B581" s="50" t="str">
        <f t="shared" si="10"/>
        <v/>
      </c>
    </row>
    <row r="582" spans="2:2">
      <c r="B582" s="50" t="str">
        <f t="shared" si="10"/>
        <v/>
      </c>
    </row>
    <row r="583" spans="2:2">
      <c r="B583" s="50" t="str">
        <f t="shared" si="10"/>
        <v/>
      </c>
    </row>
    <row r="584" spans="2:2">
      <c r="B584" s="50" t="str">
        <f t="shared" si="10"/>
        <v/>
      </c>
    </row>
    <row r="585" spans="2:2">
      <c r="B585" s="50" t="str">
        <f t="shared" si="10"/>
        <v/>
      </c>
    </row>
    <row r="586" spans="2:2">
      <c r="B586" s="50" t="str">
        <f t="shared" si="10"/>
        <v/>
      </c>
    </row>
    <row r="587" spans="2:2">
      <c r="B587" s="50" t="str">
        <f t="shared" si="10"/>
        <v/>
      </c>
    </row>
    <row r="588" spans="2:2">
      <c r="B588" s="50" t="str">
        <f t="shared" si="10"/>
        <v/>
      </c>
    </row>
    <row r="589" spans="2:2">
      <c r="B589" s="50" t="str">
        <f t="shared" si="10"/>
        <v/>
      </c>
    </row>
    <row r="590" spans="2:2">
      <c r="B590" s="50" t="str">
        <f t="shared" si="10"/>
        <v/>
      </c>
    </row>
    <row r="591" spans="2:2">
      <c r="B591" s="50" t="str">
        <f t="shared" si="10"/>
        <v/>
      </c>
    </row>
    <row r="592" spans="2:2">
      <c r="B592" s="50" t="str">
        <f t="shared" si="10"/>
        <v/>
      </c>
    </row>
    <row r="593" spans="2:2">
      <c r="B593" s="50" t="str">
        <f t="shared" si="10"/>
        <v/>
      </c>
    </row>
    <row r="594" spans="2:2">
      <c r="B594" s="50" t="str">
        <f t="shared" si="10"/>
        <v/>
      </c>
    </row>
    <row r="595" spans="2:2">
      <c r="B595" s="50" t="str">
        <f t="shared" si="10"/>
        <v/>
      </c>
    </row>
    <row r="596" spans="2:2">
      <c r="B596" s="50" t="str">
        <f t="shared" si="10"/>
        <v/>
      </c>
    </row>
    <row r="597" spans="2:2">
      <c r="B597" s="50" t="str">
        <f t="shared" si="10"/>
        <v/>
      </c>
    </row>
    <row r="598" spans="2:2">
      <c r="B598" s="50" t="str">
        <f t="shared" si="10"/>
        <v/>
      </c>
    </row>
    <row r="599" spans="2:2">
      <c r="B599" s="50" t="str">
        <f t="shared" si="10"/>
        <v/>
      </c>
    </row>
    <row r="600" spans="2:2">
      <c r="B600" s="50" t="str">
        <f t="shared" si="10"/>
        <v/>
      </c>
    </row>
    <row r="601" spans="2:2">
      <c r="B601" s="50" t="str">
        <f t="shared" si="10"/>
        <v/>
      </c>
    </row>
    <row r="602" spans="2:2">
      <c r="B602" s="50" t="str">
        <f t="shared" si="10"/>
        <v/>
      </c>
    </row>
    <row r="603" spans="2:2">
      <c r="B603" s="50" t="str">
        <f t="shared" si="10"/>
        <v/>
      </c>
    </row>
    <row r="604" spans="2:2">
      <c r="B604" s="50" t="str">
        <f t="shared" si="10"/>
        <v/>
      </c>
    </row>
    <row r="605" spans="2:2">
      <c r="B605" s="50" t="str">
        <f t="shared" si="10"/>
        <v/>
      </c>
    </row>
    <row r="606" spans="2:2">
      <c r="B606" s="50" t="str">
        <f t="shared" si="10"/>
        <v/>
      </c>
    </row>
    <row r="607" spans="2:2">
      <c r="B607" s="50" t="str">
        <f t="shared" ref="B607:B670" si="11">IF($C607="","",LEFT($C607,2))</f>
        <v/>
      </c>
    </row>
    <row r="608" spans="2:2">
      <c r="B608" s="50" t="str">
        <f t="shared" si="11"/>
        <v/>
      </c>
    </row>
    <row r="609" spans="2:2">
      <c r="B609" s="50" t="str">
        <f t="shared" si="11"/>
        <v/>
      </c>
    </row>
    <row r="610" spans="2:2">
      <c r="B610" s="50" t="str">
        <f t="shared" si="11"/>
        <v/>
      </c>
    </row>
    <row r="611" spans="2:2">
      <c r="B611" s="50" t="str">
        <f t="shared" si="11"/>
        <v/>
      </c>
    </row>
    <row r="612" spans="2:2">
      <c r="B612" s="50" t="str">
        <f t="shared" si="11"/>
        <v/>
      </c>
    </row>
    <row r="613" spans="2:2">
      <c r="B613" s="50" t="str">
        <f t="shared" si="11"/>
        <v/>
      </c>
    </row>
    <row r="614" spans="2:2">
      <c r="B614" s="50" t="str">
        <f t="shared" si="11"/>
        <v/>
      </c>
    </row>
    <row r="615" spans="2:2">
      <c r="B615" s="50" t="str">
        <f t="shared" si="11"/>
        <v/>
      </c>
    </row>
    <row r="616" spans="2:2">
      <c r="B616" s="50" t="str">
        <f t="shared" si="11"/>
        <v/>
      </c>
    </row>
    <row r="617" spans="2:2">
      <c r="B617" s="50" t="str">
        <f t="shared" si="11"/>
        <v/>
      </c>
    </row>
    <row r="618" spans="2:2">
      <c r="B618" s="50" t="str">
        <f t="shared" si="11"/>
        <v/>
      </c>
    </row>
    <row r="619" spans="2:2">
      <c r="B619" s="50" t="str">
        <f t="shared" si="11"/>
        <v/>
      </c>
    </row>
    <row r="620" spans="2:2">
      <c r="B620" s="50" t="str">
        <f t="shared" si="11"/>
        <v/>
      </c>
    </row>
    <row r="621" spans="2:2">
      <c r="B621" s="50" t="str">
        <f t="shared" si="11"/>
        <v/>
      </c>
    </row>
    <row r="622" spans="2:2">
      <c r="B622" s="50" t="str">
        <f t="shared" si="11"/>
        <v/>
      </c>
    </row>
    <row r="623" spans="2:2">
      <c r="B623" s="50" t="str">
        <f t="shared" si="11"/>
        <v/>
      </c>
    </row>
    <row r="624" spans="2:2">
      <c r="B624" s="50" t="str">
        <f t="shared" si="11"/>
        <v/>
      </c>
    </row>
    <row r="625" spans="2:2">
      <c r="B625" s="50" t="str">
        <f t="shared" si="11"/>
        <v/>
      </c>
    </row>
    <row r="626" spans="2:2">
      <c r="B626" s="50" t="str">
        <f t="shared" si="11"/>
        <v/>
      </c>
    </row>
    <row r="627" spans="2:2">
      <c r="B627" s="50" t="str">
        <f t="shared" si="11"/>
        <v/>
      </c>
    </row>
    <row r="628" spans="2:2">
      <c r="B628" s="50" t="str">
        <f t="shared" si="11"/>
        <v/>
      </c>
    </row>
    <row r="629" spans="2:2">
      <c r="B629" s="50" t="str">
        <f t="shared" si="11"/>
        <v/>
      </c>
    </row>
    <row r="630" spans="2:2">
      <c r="B630" s="50" t="str">
        <f t="shared" si="11"/>
        <v/>
      </c>
    </row>
    <row r="631" spans="2:2">
      <c r="B631" s="50" t="str">
        <f t="shared" si="11"/>
        <v/>
      </c>
    </row>
    <row r="632" spans="2:2">
      <c r="B632" s="50" t="str">
        <f t="shared" si="11"/>
        <v/>
      </c>
    </row>
    <row r="633" spans="2:2">
      <c r="B633" s="50" t="str">
        <f t="shared" si="11"/>
        <v/>
      </c>
    </row>
    <row r="634" spans="2:2">
      <c r="B634" s="50" t="str">
        <f t="shared" si="11"/>
        <v/>
      </c>
    </row>
    <row r="635" spans="2:2">
      <c r="B635" s="50" t="str">
        <f t="shared" si="11"/>
        <v/>
      </c>
    </row>
    <row r="636" spans="2:2">
      <c r="B636" s="50" t="str">
        <f t="shared" si="11"/>
        <v/>
      </c>
    </row>
    <row r="637" spans="2:2">
      <c r="B637" s="50" t="str">
        <f t="shared" si="11"/>
        <v/>
      </c>
    </row>
    <row r="638" spans="2:2">
      <c r="B638" s="50" t="str">
        <f t="shared" si="11"/>
        <v/>
      </c>
    </row>
    <row r="639" spans="2:2">
      <c r="B639" s="50" t="str">
        <f t="shared" si="11"/>
        <v/>
      </c>
    </row>
    <row r="640" spans="2:2">
      <c r="B640" s="50" t="str">
        <f t="shared" si="11"/>
        <v/>
      </c>
    </row>
    <row r="641" spans="2:2">
      <c r="B641" s="50" t="str">
        <f t="shared" si="11"/>
        <v/>
      </c>
    </row>
    <row r="642" spans="2:2">
      <c r="B642" s="50" t="str">
        <f t="shared" si="11"/>
        <v/>
      </c>
    </row>
    <row r="643" spans="2:2">
      <c r="B643" s="50" t="str">
        <f t="shared" si="11"/>
        <v/>
      </c>
    </row>
    <row r="644" spans="2:2">
      <c r="B644" s="50" t="str">
        <f t="shared" si="11"/>
        <v/>
      </c>
    </row>
    <row r="645" spans="2:2">
      <c r="B645" s="50" t="str">
        <f t="shared" si="11"/>
        <v/>
      </c>
    </row>
    <row r="646" spans="2:2">
      <c r="B646" s="50" t="str">
        <f t="shared" si="11"/>
        <v/>
      </c>
    </row>
    <row r="647" spans="2:2">
      <c r="B647" s="50" t="str">
        <f t="shared" si="11"/>
        <v/>
      </c>
    </row>
    <row r="648" spans="2:2">
      <c r="B648" s="50" t="str">
        <f t="shared" si="11"/>
        <v/>
      </c>
    </row>
    <row r="649" spans="2:2">
      <c r="B649" s="50" t="str">
        <f t="shared" si="11"/>
        <v/>
      </c>
    </row>
    <row r="650" spans="2:2">
      <c r="B650" s="50" t="str">
        <f t="shared" si="11"/>
        <v/>
      </c>
    </row>
    <row r="651" spans="2:2">
      <c r="B651" s="50" t="str">
        <f t="shared" si="11"/>
        <v/>
      </c>
    </row>
    <row r="652" spans="2:2">
      <c r="B652" s="50" t="str">
        <f t="shared" si="11"/>
        <v/>
      </c>
    </row>
    <row r="653" spans="2:2">
      <c r="B653" s="50" t="str">
        <f t="shared" si="11"/>
        <v/>
      </c>
    </row>
    <row r="654" spans="2:2">
      <c r="B654" s="50" t="str">
        <f t="shared" si="11"/>
        <v/>
      </c>
    </row>
    <row r="655" spans="2:2">
      <c r="B655" s="50" t="str">
        <f t="shared" si="11"/>
        <v/>
      </c>
    </row>
    <row r="656" spans="2:2">
      <c r="B656" s="50" t="str">
        <f t="shared" si="11"/>
        <v/>
      </c>
    </row>
    <row r="657" spans="2:2">
      <c r="B657" s="50" t="str">
        <f t="shared" si="11"/>
        <v/>
      </c>
    </row>
    <row r="658" spans="2:2">
      <c r="B658" s="50" t="str">
        <f t="shared" si="11"/>
        <v/>
      </c>
    </row>
    <row r="659" spans="2:2">
      <c r="B659" s="50" t="str">
        <f t="shared" si="11"/>
        <v/>
      </c>
    </row>
    <row r="660" spans="2:2">
      <c r="B660" s="50" t="str">
        <f t="shared" si="11"/>
        <v/>
      </c>
    </row>
    <row r="661" spans="2:2">
      <c r="B661" s="50" t="str">
        <f t="shared" si="11"/>
        <v/>
      </c>
    </row>
    <row r="662" spans="2:2">
      <c r="B662" s="50" t="str">
        <f t="shared" si="11"/>
        <v/>
      </c>
    </row>
    <row r="663" spans="2:2">
      <c r="B663" s="50" t="str">
        <f t="shared" si="11"/>
        <v/>
      </c>
    </row>
    <row r="664" spans="2:2">
      <c r="B664" s="50" t="str">
        <f t="shared" si="11"/>
        <v/>
      </c>
    </row>
    <row r="665" spans="2:2">
      <c r="B665" s="50" t="str">
        <f t="shared" si="11"/>
        <v/>
      </c>
    </row>
    <row r="666" spans="2:2">
      <c r="B666" s="50" t="str">
        <f t="shared" si="11"/>
        <v/>
      </c>
    </row>
    <row r="667" spans="2:2">
      <c r="B667" s="50" t="str">
        <f t="shared" si="11"/>
        <v/>
      </c>
    </row>
    <row r="668" spans="2:2">
      <c r="B668" s="50" t="str">
        <f t="shared" si="11"/>
        <v/>
      </c>
    </row>
    <row r="669" spans="2:2">
      <c r="B669" s="50" t="str">
        <f t="shared" si="11"/>
        <v/>
      </c>
    </row>
    <row r="670" spans="2:2">
      <c r="B670" s="50" t="str">
        <f t="shared" si="11"/>
        <v/>
      </c>
    </row>
    <row r="671" spans="2:2">
      <c r="B671" s="50" t="str">
        <f t="shared" ref="B671:B734" si="12">IF($C671="","",LEFT($C671,2))</f>
        <v/>
      </c>
    </row>
    <row r="672" spans="2:2">
      <c r="B672" s="50" t="str">
        <f t="shared" si="12"/>
        <v/>
      </c>
    </row>
    <row r="673" spans="2:2">
      <c r="B673" s="50" t="str">
        <f t="shared" si="12"/>
        <v/>
      </c>
    </row>
    <row r="674" spans="2:2">
      <c r="B674" s="50" t="str">
        <f t="shared" si="12"/>
        <v/>
      </c>
    </row>
    <row r="675" spans="2:2">
      <c r="B675" s="50" t="str">
        <f t="shared" si="12"/>
        <v/>
      </c>
    </row>
    <row r="676" spans="2:2">
      <c r="B676" s="50" t="str">
        <f t="shared" si="12"/>
        <v/>
      </c>
    </row>
    <row r="677" spans="2:2">
      <c r="B677" s="50" t="str">
        <f t="shared" si="12"/>
        <v/>
      </c>
    </row>
    <row r="678" spans="2:2">
      <c r="B678" s="50" t="str">
        <f t="shared" si="12"/>
        <v/>
      </c>
    </row>
    <row r="679" spans="2:2">
      <c r="B679" s="50" t="str">
        <f t="shared" si="12"/>
        <v/>
      </c>
    </row>
    <row r="680" spans="2:2">
      <c r="B680" s="50" t="str">
        <f t="shared" si="12"/>
        <v/>
      </c>
    </row>
    <row r="681" spans="2:2">
      <c r="B681" s="50" t="str">
        <f t="shared" si="12"/>
        <v/>
      </c>
    </row>
    <row r="682" spans="2:2">
      <c r="B682" s="50" t="str">
        <f t="shared" si="12"/>
        <v/>
      </c>
    </row>
    <row r="683" spans="2:2">
      <c r="B683" s="50" t="str">
        <f t="shared" si="12"/>
        <v/>
      </c>
    </row>
    <row r="684" spans="2:2">
      <c r="B684" s="50" t="str">
        <f t="shared" si="12"/>
        <v/>
      </c>
    </row>
    <row r="685" spans="2:2">
      <c r="B685" s="50" t="str">
        <f t="shared" si="12"/>
        <v/>
      </c>
    </row>
    <row r="686" spans="2:2">
      <c r="B686" s="50" t="str">
        <f t="shared" si="12"/>
        <v/>
      </c>
    </row>
    <row r="687" spans="2:2">
      <c r="B687" s="50" t="str">
        <f t="shared" si="12"/>
        <v/>
      </c>
    </row>
    <row r="688" spans="2:2">
      <c r="B688" s="50" t="str">
        <f t="shared" si="12"/>
        <v/>
      </c>
    </row>
    <row r="689" spans="2:2">
      <c r="B689" s="50" t="str">
        <f t="shared" si="12"/>
        <v/>
      </c>
    </row>
    <row r="690" spans="2:2">
      <c r="B690" s="50" t="str">
        <f t="shared" si="12"/>
        <v/>
      </c>
    </row>
    <row r="691" spans="2:2">
      <c r="B691" s="50" t="str">
        <f t="shared" si="12"/>
        <v/>
      </c>
    </row>
    <row r="692" spans="2:2">
      <c r="B692" s="50" t="str">
        <f t="shared" si="12"/>
        <v/>
      </c>
    </row>
    <row r="693" spans="2:2">
      <c r="B693" s="50" t="str">
        <f t="shared" si="12"/>
        <v/>
      </c>
    </row>
    <row r="694" spans="2:2">
      <c r="B694" s="50" t="str">
        <f t="shared" si="12"/>
        <v/>
      </c>
    </row>
    <row r="695" spans="2:2">
      <c r="B695" s="50" t="str">
        <f t="shared" si="12"/>
        <v/>
      </c>
    </row>
    <row r="696" spans="2:2">
      <c r="B696" s="50" t="str">
        <f t="shared" si="12"/>
        <v/>
      </c>
    </row>
    <row r="697" spans="2:2">
      <c r="B697" s="50" t="str">
        <f t="shared" si="12"/>
        <v/>
      </c>
    </row>
    <row r="698" spans="2:2">
      <c r="B698" s="50" t="str">
        <f t="shared" si="12"/>
        <v/>
      </c>
    </row>
    <row r="699" spans="2:2">
      <c r="B699" s="50" t="str">
        <f t="shared" si="12"/>
        <v/>
      </c>
    </row>
    <row r="700" spans="2:2">
      <c r="B700" s="50" t="str">
        <f t="shared" si="12"/>
        <v/>
      </c>
    </row>
    <row r="701" spans="2:2">
      <c r="B701" s="50" t="str">
        <f t="shared" si="12"/>
        <v/>
      </c>
    </row>
    <row r="702" spans="2:2">
      <c r="B702" s="50" t="str">
        <f t="shared" si="12"/>
        <v/>
      </c>
    </row>
    <row r="703" spans="2:2">
      <c r="B703" s="50" t="str">
        <f t="shared" si="12"/>
        <v/>
      </c>
    </row>
    <row r="704" spans="2:2">
      <c r="B704" s="50" t="str">
        <f t="shared" si="12"/>
        <v/>
      </c>
    </row>
    <row r="705" spans="2:2">
      <c r="B705" s="50" t="str">
        <f t="shared" si="12"/>
        <v/>
      </c>
    </row>
    <row r="706" spans="2:2">
      <c r="B706" s="50" t="str">
        <f t="shared" si="12"/>
        <v/>
      </c>
    </row>
    <row r="707" spans="2:2">
      <c r="B707" s="50" t="str">
        <f t="shared" si="12"/>
        <v/>
      </c>
    </row>
    <row r="708" spans="2:2">
      <c r="B708" s="50" t="str">
        <f t="shared" si="12"/>
        <v/>
      </c>
    </row>
    <row r="709" spans="2:2">
      <c r="B709" s="50" t="str">
        <f t="shared" si="12"/>
        <v/>
      </c>
    </row>
    <row r="710" spans="2:2">
      <c r="B710" s="50" t="str">
        <f t="shared" si="12"/>
        <v/>
      </c>
    </row>
    <row r="711" spans="2:2">
      <c r="B711" s="50" t="str">
        <f t="shared" si="12"/>
        <v/>
      </c>
    </row>
    <row r="712" spans="2:2">
      <c r="B712" s="50" t="str">
        <f t="shared" si="12"/>
        <v/>
      </c>
    </row>
    <row r="713" spans="2:2">
      <c r="B713" s="50" t="str">
        <f t="shared" si="12"/>
        <v/>
      </c>
    </row>
    <row r="714" spans="2:2">
      <c r="B714" s="50" t="str">
        <f t="shared" si="12"/>
        <v/>
      </c>
    </row>
    <row r="715" spans="2:2">
      <c r="B715" s="50" t="str">
        <f t="shared" si="12"/>
        <v/>
      </c>
    </row>
    <row r="716" spans="2:2">
      <c r="B716" s="50" t="str">
        <f t="shared" si="12"/>
        <v/>
      </c>
    </row>
    <row r="717" spans="2:2">
      <c r="B717" s="50" t="str">
        <f t="shared" si="12"/>
        <v/>
      </c>
    </row>
    <row r="718" spans="2:2">
      <c r="B718" s="50" t="str">
        <f t="shared" si="12"/>
        <v/>
      </c>
    </row>
    <row r="719" spans="2:2">
      <c r="B719" s="50" t="str">
        <f t="shared" si="12"/>
        <v/>
      </c>
    </row>
    <row r="720" spans="2:2">
      <c r="B720" s="50" t="str">
        <f t="shared" si="12"/>
        <v/>
      </c>
    </row>
    <row r="721" spans="2:2">
      <c r="B721" s="50" t="str">
        <f t="shared" si="12"/>
        <v/>
      </c>
    </row>
    <row r="722" spans="2:2">
      <c r="B722" s="50" t="str">
        <f t="shared" si="12"/>
        <v/>
      </c>
    </row>
    <row r="723" spans="2:2">
      <c r="B723" s="50" t="str">
        <f t="shared" si="12"/>
        <v/>
      </c>
    </row>
    <row r="724" spans="2:2">
      <c r="B724" s="50" t="str">
        <f t="shared" si="12"/>
        <v/>
      </c>
    </row>
    <row r="725" spans="2:2">
      <c r="B725" s="50" t="str">
        <f t="shared" si="12"/>
        <v/>
      </c>
    </row>
    <row r="726" spans="2:2">
      <c r="B726" s="50" t="str">
        <f t="shared" si="12"/>
        <v/>
      </c>
    </row>
    <row r="727" spans="2:2">
      <c r="B727" s="50" t="str">
        <f t="shared" si="12"/>
        <v/>
      </c>
    </row>
    <row r="728" spans="2:2">
      <c r="B728" s="50" t="str">
        <f t="shared" si="12"/>
        <v/>
      </c>
    </row>
    <row r="729" spans="2:2">
      <c r="B729" s="50" t="str">
        <f t="shared" si="12"/>
        <v/>
      </c>
    </row>
    <row r="730" spans="2:2">
      <c r="B730" s="50" t="str">
        <f t="shared" si="12"/>
        <v/>
      </c>
    </row>
    <row r="731" spans="2:2">
      <c r="B731" s="50" t="str">
        <f t="shared" si="12"/>
        <v/>
      </c>
    </row>
    <row r="732" spans="2:2">
      <c r="B732" s="50" t="str">
        <f t="shared" si="12"/>
        <v/>
      </c>
    </row>
    <row r="733" spans="2:2">
      <c r="B733" s="50" t="str">
        <f t="shared" si="12"/>
        <v/>
      </c>
    </row>
    <row r="734" spans="2:2">
      <c r="B734" s="50" t="str">
        <f t="shared" si="12"/>
        <v/>
      </c>
    </row>
    <row r="735" spans="2:2">
      <c r="B735" s="50" t="str">
        <f t="shared" ref="B735:B798" si="13">IF($C735="","",LEFT($C735,2))</f>
        <v/>
      </c>
    </row>
    <row r="736" spans="2:2">
      <c r="B736" s="50" t="str">
        <f t="shared" si="13"/>
        <v/>
      </c>
    </row>
    <row r="737" spans="2:2">
      <c r="B737" s="50" t="str">
        <f t="shared" si="13"/>
        <v/>
      </c>
    </row>
    <row r="738" spans="2:2">
      <c r="B738" s="50" t="str">
        <f t="shared" si="13"/>
        <v/>
      </c>
    </row>
    <row r="739" spans="2:2">
      <c r="B739" s="50" t="str">
        <f t="shared" si="13"/>
        <v/>
      </c>
    </row>
    <row r="740" spans="2:2">
      <c r="B740" s="50" t="str">
        <f t="shared" si="13"/>
        <v/>
      </c>
    </row>
    <row r="741" spans="2:2">
      <c r="B741" s="50" t="str">
        <f t="shared" si="13"/>
        <v/>
      </c>
    </row>
    <row r="742" spans="2:2">
      <c r="B742" s="50" t="str">
        <f t="shared" si="13"/>
        <v/>
      </c>
    </row>
    <row r="743" spans="2:2">
      <c r="B743" s="50" t="str">
        <f t="shared" si="13"/>
        <v/>
      </c>
    </row>
    <row r="744" spans="2:2">
      <c r="B744" s="50" t="str">
        <f t="shared" si="13"/>
        <v/>
      </c>
    </row>
    <row r="745" spans="2:2">
      <c r="B745" s="50" t="str">
        <f t="shared" si="13"/>
        <v/>
      </c>
    </row>
    <row r="746" spans="2:2">
      <c r="B746" s="50" t="str">
        <f t="shared" si="13"/>
        <v/>
      </c>
    </row>
    <row r="747" spans="2:2">
      <c r="B747" s="50" t="str">
        <f t="shared" si="13"/>
        <v/>
      </c>
    </row>
    <row r="748" spans="2:2">
      <c r="B748" s="50" t="str">
        <f t="shared" si="13"/>
        <v/>
      </c>
    </row>
    <row r="749" spans="2:2">
      <c r="B749" s="50" t="str">
        <f t="shared" si="13"/>
        <v/>
      </c>
    </row>
    <row r="750" spans="2:2">
      <c r="B750" s="50" t="str">
        <f t="shared" si="13"/>
        <v/>
      </c>
    </row>
    <row r="751" spans="2:2">
      <c r="B751" s="50" t="str">
        <f t="shared" si="13"/>
        <v/>
      </c>
    </row>
    <row r="752" spans="2:2">
      <c r="B752" s="50" t="str">
        <f t="shared" si="13"/>
        <v/>
      </c>
    </row>
    <row r="753" spans="2:2">
      <c r="B753" s="50" t="str">
        <f t="shared" si="13"/>
        <v/>
      </c>
    </row>
    <row r="754" spans="2:2">
      <c r="B754" s="50" t="str">
        <f t="shared" si="13"/>
        <v/>
      </c>
    </row>
    <row r="755" spans="2:2">
      <c r="B755" s="50" t="str">
        <f t="shared" si="13"/>
        <v/>
      </c>
    </row>
    <row r="756" spans="2:2">
      <c r="B756" s="50" t="str">
        <f t="shared" si="13"/>
        <v/>
      </c>
    </row>
    <row r="757" spans="2:2">
      <c r="B757" s="50" t="str">
        <f t="shared" si="13"/>
        <v/>
      </c>
    </row>
    <row r="758" spans="2:2">
      <c r="B758" s="50" t="str">
        <f t="shared" si="13"/>
        <v/>
      </c>
    </row>
    <row r="759" spans="2:2">
      <c r="B759" s="50" t="str">
        <f t="shared" si="13"/>
        <v/>
      </c>
    </row>
    <row r="760" spans="2:2">
      <c r="B760" s="50" t="str">
        <f t="shared" si="13"/>
        <v/>
      </c>
    </row>
    <row r="761" spans="2:2">
      <c r="B761" s="50" t="str">
        <f t="shared" si="13"/>
        <v/>
      </c>
    </row>
    <row r="762" spans="2:2">
      <c r="B762" s="50" t="str">
        <f t="shared" si="13"/>
        <v/>
      </c>
    </row>
    <row r="763" spans="2:2">
      <c r="B763" s="50" t="str">
        <f t="shared" si="13"/>
        <v/>
      </c>
    </row>
    <row r="764" spans="2:2">
      <c r="B764" s="50" t="str">
        <f t="shared" si="13"/>
        <v/>
      </c>
    </row>
    <row r="765" spans="2:2">
      <c r="B765" s="50" t="str">
        <f t="shared" si="13"/>
        <v/>
      </c>
    </row>
    <row r="766" spans="2:2">
      <c r="B766" s="50" t="str">
        <f t="shared" si="13"/>
        <v/>
      </c>
    </row>
    <row r="767" spans="2:2">
      <c r="B767" s="50" t="str">
        <f t="shared" si="13"/>
        <v/>
      </c>
    </row>
    <row r="768" spans="2:2">
      <c r="B768" s="50" t="str">
        <f t="shared" si="13"/>
        <v/>
      </c>
    </row>
    <row r="769" spans="2:2">
      <c r="B769" s="50" t="str">
        <f t="shared" si="13"/>
        <v/>
      </c>
    </row>
    <row r="770" spans="2:2">
      <c r="B770" s="50" t="str">
        <f t="shared" si="13"/>
        <v/>
      </c>
    </row>
    <row r="771" spans="2:2">
      <c r="B771" s="50" t="str">
        <f t="shared" si="13"/>
        <v/>
      </c>
    </row>
    <row r="772" spans="2:2">
      <c r="B772" s="50" t="str">
        <f t="shared" si="13"/>
        <v/>
      </c>
    </row>
    <row r="773" spans="2:2">
      <c r="B773" s="50" t="str">
        <f t="shared" si="13"/>
        <v/>
      </c>
    </row>
    <row r="774" spans="2:2">
      <c r="B774" s="50" t="str">
        <f t="shared" si="13"/>
        <v/>
      </c>
    </row>
    <row r="775" spans="2:2">
      <c r="B775" s="50" t="str">
        <f t="shared" si="13"/>
        <v/>
      </c>
    </row>
    <row r="776" spans="2:2">
      <c r="B776" s="50" t="str">
        <f t="shared" si="13"/>
        <v/>
      </c>
    </row>
    <row r="777" spans="2:2">
      <c r="B777" s="50" t="str">
        <f t="shared" si="13"/>
        <v/>
      </c>
    </row>
    <row r="778" spans="2:2">
      <c r="B778" s="50" t="str">
        <f t="shared" si="13"/>
        <v/>
      </c>
    </row>
    <row r="779" spans="2:2">
      <c r="B779" s="50" t="str">
        <f t="shared" si="13"/>
        <v/>
      </c>
    </row>
    <row r="780" spans="2:2">
      <c r="B780" s="50" t="str">
        <f t="shared" si="13"/>
        <v/>
      </c>
    </row>
    <row r="781" spans="2:2">
      <c r="B781" s="50" t="str">
        <f t="shared" si="13"/>
        <v/>
      </c>
    </row>
    <row r="782" spans="2:2">
      <c r="B782" s="50" t="str">
        <f t="shared" si="13"/>
        <v/>
      </c>
    </row>
    <row r="783" spans="2:2">
      <c r="B783" s="50" t="str">
        <f t="shared" si="13"/>
        <v/>
      </c>
    </row>
    <row r="784" spans="2:2">
      <c r="B784" s="50" t="str">
        <f t="shared" si="13"/>
        <v/>
      </c>
    </row>
    <row r="785" spans="2:2">
      <c r="B785" s="50" t="str">
        <f t="shared" si="13"/>
        <v/>
      </c>
    </row>
    <row r="786" spans="2:2">
      <c r="B786" s="50" t="str">
        <f t="shared" si="13"/>
        <v/>
      </c>
    </row>
    <row r="787" spans="2:2">
      <c r="B787" s="50" t="str">
        <f t="shared" si="13"/>
        <v/>
      </c>
    </row>
    <row r="788" spans="2:2">
      <c r="B788" s="50" t="str">
        <f t="shared" si="13"/>
        <v/>
      </c>
    </row>
    <row r="789" spans="2:2">
      <c r="B789" s="50" t="str">
        <f t="shared" si="13"/>
        <v/>
      </c>
    </row>
    <row r="790" spans="2:2">
      <c r="B790" s="50" t="str">
        <f t="shared" si="13"/>
        <v/>
      </c>
    </row>
    <row r="791" spans="2:2">
      <c r="B791" s="50" t="str">
        <f t="shared" si="13"/>
        <v/>
      </c>
    </row>
    <row r="792" spans="2:2">
      <c r="B792" s="50" t="str">
        <f t="shared" si="13"/>
        <v/>
      </c>
    </row>
    <row r="793" spans="2:2">
      <c r="B793" s="50" t="str">
        <f t="shared" si="13"/>
        <v/>
      </c>
    </row>
    <row r="794" spans="2:2">
      <c r="B794" s="50" t="str">
        <f t="shared" si="13"/>
        <v/>
      </c>
    </row>
    <row r="795" spans="2:2">
      <c r="B795" s="50" t="str">
        <f t="shared" si="13"/>
        <v/>
      </c>
    </row>
    <row r="796" spans="2:2">
      <c r="B796" s="50" t="str">
        <f t="shared" si="13"/>
        <v/>
      </c>
    </row>
    <row r="797" spans="2:2">
      <c r="B797" s="50" t="str">
        <f t="shared" si="13"/>
        <v/>
      </c>
    </row>
    <row r="798" spans="2:2">
      <c r="B798" s="50" t="str">
        <f t="shared" si="13"/>
        <v/>
      </c>
    </row>
    <row r="799" spans="2:2">
      <c r="B799" s="50" t="str">
        <f t="shared" ref="B799:B862" si="14">IF($C799="","",LEFT($C799,2))</f>
        <v/>
      </c>
    </row>
    <row r="800" spans="2:2">
      <c r="B800" s="50" t="str">
        <f t="shared" si="14"/>
        <v/>
      </c>
    </row>
    <row r="801" spans="2:2">
      <c r="B801" s="50" t="str">
        <f t="shared" si="14"/>
        <v/>
      </c>
    </row>
    <row r="802" spans="2:2">
      <c r="B802" s="50" t="str">
        <f t="shared" si="14"/>
        <v/>
      </c>
    </row>
    <row r="803" spans="2:2">
      <c r="B803" s="50" t="str">
        <f t="shared" si="14"/>
        <v/>
      </c>
    </row>
    <row r="804" spans="2:2">
      <c r="B804" s="50" t="str">
        <f t="shared" si="14"/>
        <v/>
      </c>
    </row>
    <row r="805" spans="2:2">
      <c r="B805" s="50" t="str">
        <f t="shared" si="14"/>
        <v/>
      </c>
    </row>
    <row r="806" spans="2:2">
      <c r="B806" s="50" t="str">
        <f t="shared" si="14"/>
        <v/>
      </c>
    </row>
    <row r="807" spans="2:2">
      <c r="B807" s="50" t="str">
        <f t="shared" si="14"/>
        <v/>
      </c>
    </row>
    <row r="808" spans="2:2">
      <c r="B808" s="50" t="str">
        <f t="shared" si="14"/>
        <v/>
      </c>
    </row>
    <row r="809" spans="2:2">
      <c r="B809" s="50" t="str">
        <f t="shared" si="14"/>
        <v/>
      </c>
    </row>
    <row r="810" spans="2:2">
      <c r="B810" s="50" t="str">
        <f t="shared" si="14"/>
        <v/>
      </c>
    </row>
    <row r="811" spans="2:2">
      <c r="B811" s="50" t="str">
        <f t="shared" si="14"/>
        <v/>
      </c>
    </row>
    <row r="812" spans="2:2">
      <c r="B812" s="50" t="str">
        <f t="shared" si="14"/>
        <v/>
      </c>
    </row>
    <row r="813" spans="2:2">
      <c r="B813" s="50" t="str">
        <f t="shared" si="14"/>
        <v/>
      </c>
    </row>
    <row r="814" spans="2:2">
      <c r="B814" s="50" t="str">
        <f t="shared" si="14"/>
        <v/>
      </c>
    </row>
    <row r="815" spans="2:2">
      <c r="B815" s="50" t="str">
        <f t="shared" si="14"/>
        <v/>
      </c>
    </row>
    <row r="816" spans="2:2">
      <c r="B816" s="50" t="str">
        <f t="shared" si="14"/>
        <v/>
      </c>
    </row>
    <row r="817" spans="2:2">
      <c r="B817" s="50" t="str">
        <f t="shared" si="14"/>
        <v/>
      </c>
    </row>
    <row r="818" spans="2:2">
      <c r="B818" s="50" t="str">
        <f t="shared" si="14"/>
        <v/>
      </c>
    </row>
    <row r="819" spans="2:2">
      <c r="B819" s="50" t="str">
        <f t="shared" si="14"/>
        <v/>
      </c>
    </row>
    <row r="820" spans="2:2">
      <c r="B820" s="50" t="str">
        <f t="shared" si="14"/>
        <v/>
      </c>
    </row>
    <row r="821" spans="2:2">
      <c r="B821" s="50" t="str">
        <f t="shared" si="14"/>
        <v/>
      </c>
    </row>
    <row r="822" spans="2:2">
      <c r="B822" s="50" t="str">
        <f t="shared" si="14"/>
        <v/>
      </c>
    </row>
    <row r="823" spans="2:2">
      <c r="B823" s="50" t="str">
        <f t="shared" si="14"/>
        <v/>
      </c>
    </row>
    <row r="824" spans="2:2">
      <c r="B824" s="50" t="str">
        <f t="shared" si="14"/>
        <v/>
      </c>
    </row>
    <row r="825" spans="2:2">
      <c r="B825" s="50" t="str">
        <f t="shared" si="14"/>
        <v/>
      </c>
    </row>
    <row r="826" spans="2:2">
      <c r="B826" s="50" t="str">
        <f t="shared" si="14"/>
        <v/>
      </c>
    </row>
    <row r="827" spans="2:2">
      <c r="B827" s="50" t="str">
        <f t="shared" si="14"/>
        <v/>
      </c>
    </row>
    <row r="828" spans="2:2">
      <c r="B828" s="50" t="str">
        <f t="shared" si="14"/>
        <v/>
      </c>
    </row>
    <row r="829" spans="2:2">
      <c r="B829" s="50" t="str">
        <f t="shared" si="14"/>
        <v/>
      </c>
    </row>
    <row r="830" spans="2:2">
      <c r="B830" s="50" t="str">
        <f t="shared" si="14"/>
        <v/>
      </c>
    </row>
    <row r="831" spans="2:2">
      <c r="B831" s="50" t="str">
        <f t="shared" si="14"/>
        <v/>
      </c>
    </row>
    <row r="832" spans="2:2">
      <c r="B832" s="50" t="str">
        <f t="shared" si="14"/>
        <v/>
      </c>
    </row>
    <row r="833" spans="2:2">
      <c r="B833" s="50" t="str">
        <f t="shared" si="14"/>
        <v/>
      </c>
    </row>
    <row r="834" spans="2:2">
      <c r="B834" s="50" t="str">
        <f t="shared" si="14"/>
        <v/>
      </c>
    </row>
    <row r="835" spans="2:2">
      <c r="B835" s="50" t="str">
        <f t="shared" si="14"/>
        <v/>
      </c>
    </row>
    <row r="836" spans="2:2">
      <c r="B836" s="50" t="str">
        <f t="shared" si="14"/>
        <v/>
      </c>
    </row>
    <row r="837" spans="2:2">
      <c r="B837" s="50" t="str">
        <f t="shared" si="14"/>
        <v/>
      </c>
    </row>
    <row r="838" spans="2:2">
      <c r="B838" s="50" t="str">
        <f t="shared" si="14"/>
        <v/>
      </c>
    </row>
    <row r="839" spans="2:2">
      <c r="B839" s="50" t="str">
        <f t="shared" si="14"/>
        <v/>
      </c>
    </row>
    <row r="840" spans="2:2">
      <c r="B840" s="50" t="str">
        <f t="shared" si="14"/>
        <v/>
      </c>
    </row>
    <row r="841" spans="2:2">
      <c r="B841" s="50" t="str">
        <f t="shared" si="14"/>
        <v/>
      </c>
    </row>
    <row r="842" spans="2:2">
      <c r="B842" s="50" t="str">
        <f t="shared" si="14"/>
        <v/>
      </c>
    </row>
    <row r="843" spans="2:2">
      <c r="B843" s="50" t="str">
        <f t="shared" si="14"/>
        <v/>
      </c>
    </row>
    <row r="844" spans="2:2">
      <c r="B844" s="50" t="str">
        <f t="shared" si="14"/>
        <v/>
      </c>
    </row>
    <row r="845" spans="2:2">
      <c r="B845" s="50" t="str">
        <f t="shared" si="14"/>
        <v/>
      </c>
    </row>
    <row r="846" spans="2:2">
      <c r="B846" s="50" t="str">
        <f t="shared" si="14"/>
        <v/>
      </c>
    </row>
    <row r="847" spans="2:2">
      <c r="B847" s="50" t="str">
        <f t="shared" si="14"/>
        <v/>
      </c>
    </row>
    <row r="848" spans="2:2">
      <c r="B848" s="50" t="str">
        <f t="shared" si="14"/>
        <v/>
      </c>
    </row>
    <row r="849" spans="2:2">
      <c r="B849" s="50" t="str">
        <f t="shared" si="14"/>
        <v/>
      </c>
    </row>
    <row r="850" spans="2:2">
      <c r="B850" s="50" t="str">
        <f t="shared" si="14"/>
        <v/>
      </c>
    </row>
    <row r="851" spans="2:2">
      <c r="B851" s="50" t="str">
        <f t="shared" si="14"/>
        <v/>
      </c>
    </row>
    <row r="852" spans="2:2">
      <c r="B852" s="50" t="str">
        <f t="shared" si="14"/>
        <v/>
      </c>
    </row>
    <row r="853" spans="2:2">
      <c r="B853" s="50" t="str">
        <f t="shared" si="14"/>
        <v/>
      </c>
    </row>
    <row r="854" spans="2:2">
      <c r="B854" s="50" t="str">
        <f t="shared" si="14"/>
        <v/>
      </c>
    </row>
    <row r="855" spans="2:2">
      <c r="B855" s="50" t="str">
        <f t="shared" si="14"/>
        <v/>
      </c>
    </row>
    <row r="856" spans="2:2">
      <c r="B856" s="50" t="str">
        <f t="shared" si="14"/>
        <v/>
      </c>
    </row>
    <row r="857" spans="2:2">
      <c r="B857" s="50" t="str">
        <f t="shared" si="14"/>
        <v/>
      </c>
    </row>
    <row r="858" spans="2:2">
      <c r="B858" s="50" t="str">
        <f t="shared" si="14"/>
        <v/>
      </c>
    </row>
    <row r="859" spans="2:2">
      <c r="B859" s="50" t="str">
        <f t="shared" si="14"/>
        <v/>
      </c>
    </row>
    <row r="860" spans="2:2">
      <c r="B860" s="50" t="str">
        <f t="shared" si="14"/>
        <v/>
      </c>
    </row>
    <row r="861" spans="2:2">
      <c r="B861" s="50" t="str">
        <f t="shared" si="14"/>
        <v/>
      </c>
    </row>
    <row r="862" spans="2:2">
      <c r="B862" s="50" t="str">
        <f t="shared" si="14"/>
        <v/>
      </c>
    </row>
    <row r="863" spans="2:2">
      <c r="B863" s="50" t="str">
        <f t="shared" ref="B863:B926" si="15">IF($C863="","",LEFT($C863,2))</f>
        <v/>
      </c>
    </row>
    <row r="864" spans="2:2">
      <c r="B864" s="50" t="str">
        <f t="shared" si="15"/>
        <v/>
      </c>
    </row>
    <row r="865" spans="2:2">
      <c r="B865" s="50" t="str">
        <f t="shared" si="15"/>
        <v/>
      </c>
    </row>
    <row r="866" spans="2:2">
      <c r="B866" s="50" t="str">
        <f t="shared" si="15"/>
        <v/>
      </c>
    </row>
    <row r="867" spans="2:2">
      <c r="B867" s="50" t="str">
        <f t="shared" si="15"/>
        <v/>
      </c>
    </row>
    <row r="868" spans="2:2">
      <c r="B868" s="50" t="str">
        <f t="shared" si="15"/>
        <v/>
      </c>
    </row>
    <row r="869" spans="2:2">
      <c r="B869" s="50" t="str">
        <f t="shared" si="15"/>
        <v/>
      </c>
    </row>
    <row r="870" spans="2:2">
      <c r="B870" s="50" t="str">
        <f t="shared" si="15"/>
        <v/>
      </c>
    </row>
    <row r="871" spans="2:2">
      <c r="B871" s="50" t="str">
        <f t="shared" si="15"/>
        <v/>
      </c>
    </row>
    <row r="872" spans="2:2">
      <c r="B872" s="50" t="str">
        <f t="shared" si="15"/>
        <v/>
      </c>
    </row>
    <row r="873" spans="2:2">
      <c r="B873" s="50" t="str">
        <f t="shared" si="15"/>
        <v/>
      </c>
    </row>
    <row r="874" spans="2:2">
      <c r="B874" s="50" t="str">
        <f t="shared" si="15"/>
        <v/>
      </c>
    </row>
    <row r="875" spans="2:2">
      <c r="B875" s="50" t="str">
        <f t="shared" si="15"/>
        <v/>
      </c>
    </row>
    <row r="876" spans="2:2">
      <c r="B876" s="50" t="str">
        <f t="shared" si="15"/>
        <v/>
      </c>
    </row>
    <row r="877" spans="2:2">
      <c r="B877" s="50" t="str">
        <f t="shared" si="15"/>
        <v/>
      </c>
    </row>
    <row r="878" spans="2:2">
      <c r="B878" s="50" t="str">
        <f t="shared" si="15"/>
        <v/>
      </c>
    </row>
    <row r="879" spans="2:2">
      <c r="B879" s="50" t="str">
        <f t="shared" si="15"/>
        <v/>
      </c>
    </row>
    <row r="880" spans="2:2">
      <c r="B880" s="50" t="str">
        <f t="shared" si="15"/>
        <v/>
      </c>
    </row>
    <row r="881" spans="2:2">
      <c r="B881" s="50" t="str">
        <f t="shared" si="15"/>
        <v/>
      </c>
    </row>
    <row r="882" spans="2:2">
      <c r="B882" s="50" t="str">
        <f t="shared" si="15"/>
        <v/>
      </c>
    </row>
    <row r="883" spans="2:2">
      <c r="B883" s="50" t="str">
        <f t="shared" si="15"/>
        <v/>
      </c>
    </row>
    <row r="884" spans="2:2">
      <c r="B884" s="50" t="str">
        <f t="shared" si="15"/>
        <v/>
      </c>
    </row>
    <row r="885" spans="2:2">
      <c r="B885" s="50" t="str">
        <f t="shared" si="15"/>
        <v/>
      </c>
    </row>
    <row r="886" spans="2:2">
      <c r="B886" s="50" t="str">
        <f t="shared" si="15"/>
        <v/>
      </c>
    </row>
    <row r="887" spans="2:2">
      <c r="B887" s="50" t="str">
        <f t="shared" si="15"/>
        <v/>
      </c>
    </row>
    <row r="888" spans="2:2">
      <c r="B888" s="50" t="str">
        <f t="shared" si="15"/>
        <v/>
      </c>
    </row>
    <row r="889" spans="2:2">
      <c r="B889" s="50" t="str">
        <f t="shared" si="15"/>
        <v/>
      </c>
    </row>
    <row r="890" spans="2:2">
      <c r="B890" s="50" t="str">
        <f t="shared" si="15"/>
        <v/>
      </c>
    </row>
    <row r="891" spans="2:2">
      <c r="B891" s="50" t="str">
        <f t="shared" si="15"/>
        <v/>
      </c>
    </row>
    <row r="892" spans="2:2">
      <c r="B892" s="50" t="str">
        <f t="shared" si="15"/>
        <v/>
      </c>
    </row>
    <row r="893" spans="2:2">
      <c r="B893" s="50" t="str">
        <f t="shared" si="15"/>
        <v/>
      </c>
    </row>
    <row r="894" spans="2:2">
      <c r="B894" s="50" t="str">
        <f t="shared" si="15"/>
        <v/>
      </c>
    </row>
    <row r="895" spans="2:2">
      <c r="B895" s="50" t="str">
        <f t="shared" si="15"/>
        <v/>
      </c>
    </row>
    <row r="896" spans="2:2">
      <c r="B896" s="50" t="str">
        <f t="shared" si="15"/>
        <v/>
      </c>
    </row>
    <row r="897" spans="2:2">
      <c r="B897" s="50" t="str">
        <f t="shared" si="15"/>
        <v/>
      </c>
    </row>
    <row r="898" spans="2:2">
      <c r="B898" s="50" t="str">
        <f t="shared" si="15"/>
        <v/>
      </c>
    </row>
    <row r="899" spans="2:2">
      <c r="B899" s="50" t="str">
        <f t="shared" si="15"/>
        <v/>
      </c>
    </row>
    <row r="900" spans="2:2">
      <c r="B900" s="50" t="str">
        <f t="shared" si="15"/>
        <v/>
      </c>
    </row>
    <row r="901" spans="2:2">
      <c r="B901" s="50" t="str">
        <f t="shared" si="15"/>
        <v/>
      </c>
    </row>
    <row r="902" spans="2:2">
      <c r="B902" s="50" t="str">
        <f t="shared" si="15"/>
        <v/>
      </c>
    </row>
    <row r="903" spans="2:2">
      <c r="B903" s="50" t="str">
        <f t="shared" si="15"/>
        <v/>
      </c>
    </row>
    <row r="904" spans="2:2">
      <c r="B904" s="50" t="str">
        <f t="shared" si="15"/>
        <v/>
      </c>
    </row>
    <row r="905" spans="2:2">
      <c r="B905" s="50" t="str">
        <f t="shared" si="15"/>
        <v/>
      </c>
    </row>
    <row r="906" spans="2:2">
      <c r="B906" s="50" t="str">
        <f t="shared" si="15"/>
        <v/>
      </c>
    </row>
    <row r="907" spans="2:2">
      <c r="B907" s="50" t="str">
        <f t="shared" si="15"/>
        <v/>
      </c>
    </row>
    <row r="908" spans="2:2">
      <c r="B908" s="50" t="str">
        <f t="shared" si="15"/>
        <v/>
      </c>
    </row>
    <row r="909" spans="2:2">
      <c r="B909" s="50" t="str">
        <f t="shared" si="15"/>
        <v/>
      </c>
    </row>
    <row r="910" spans="2:2">
      <c r="B910" s="50" t="str">
        <f t="shared" si="15"/>
        <v/>
      </c>
    </row>
    <row r="911" spans="2:2">
      <c r="B911" s="50" t="str">
        <f t="shared" si="15"/>
        <v/>
      </c>
    </row>
    <row r="912" spans="2:2">
      <c r="B912" s="50" t="str">
        <f t="shared" si="15"/>
        <v/>
      </c>
    </row>
    <row r="913" spans="2:2">
      <c r="B913" s="50" t="str">
        <f t="shared" si="15"/>
        <v/>
      </c>
    </row>
    <row r="914" spans="2:2">
      <c r="B914" s="50" t="str">
        <f t="shared" si="15"/>
        <v/>
      </c>
    </row>
    <row r="915" spans="2:2">
      <c r="B915" s="50" t="str">
        <f t="shared" si="15"/>
        <v/>
      </c>
    </row>
    <row r="916" spans="2:2">
      <c r="B916" s="50" t="str">
        <f t="shared" si="15"/>
        <v/>
      </c>
    </row>
    <row r="917" spans="2:2">
      <c r="B917" s="50" t="str">
        <f t="shared" si="15"/>
        <v/>
      </c>
    </row>
    <row r="918" spans="2:2">
      <c r="B918" s="50" t="str">
        <f t="shared" si="15"/>
        <v/>
      </c>
    </row>
    <row r="919" spans="2:2">
      <c r="B919" s="50" t="str">
        <f t="shared" si="15"/>
        <v/>
      </c>
    </row>
    <row r="920" spans="2:2">
      <c r="B920" s="50" t="str">
        <f t="shared" si="15"/>
        <v/>
      </c>
    </row>
    <row r="921" spans="2:2">
      <c r="B921" s="50" t="str">
        <f t="shared" si="15"/>
        <v/>
      </c>
    </row>
    <row r="922" spans="2:2">
      <c r="B922" s="50" t="str">
        <f t="shared" si="15"/>
        <v/>
      </c>
    </row>
    <row r="923" spans="2:2">
      <c r="B923" s="50" t="str">
        <f t="shared" si="15"/>
        <v/>
      </c>
    </row>
    <row r="924" spans="2:2">
      <c r="B924" s="50" t="str">
        <f t="shared" si="15"/>
        <v/>
      </c>
    </row>
    <row r="925" spans="2:2">
      <c r="B925" s="50" t="str">
        <f t="shared" si="15"/>
        <v/>
      </c>
    </row>
    <row r="926" spans="2:2">
      <c r="B926" s="50" t="str">
        <f t="shared" si="15"/>
        <v/>
      </c>
    </row>
    <row r="927" spans="2:2">
      <c r="B927" s="50" t="str">
        <f t="shared" ref="B927:B990" si="16">IF($C927="","",LEFT($C927,2))</f>
        <v/>
      </c>
    </row>
    <row r="928" spans="2:2">
      <c r="B928" s="50" t="str">
        <f t="shared" si="16"/>
        <v/>
      </c>
    </row>
    <row r="929" spans="2:2">
      <c r="B929" s="50" t="str">
        <f t="shared" si="16"/>
        <v/>
      </c>
    </row>
    <row r="930" spans="2:2">
      <c r="B930" s="50" t="str">
        <f t="shared" si="16"/>
        <v/>
      </c>
    </row>
    <row r="931" spans="2:2">
      <c r="B931" s="50" t="str">
        <f t="shared" si="16"/>
        <v/>
      </c>
    </row>
    <row r="932" spans="2:2">
      <c r="B932" s="50" t="str">
        <f t="shared" si="16"/>
        <v/>
      </c>
    </row>
    <row r="933" spans="2:2">
      <c r="B933" s="50" t="str">
        <f t="shared" si="16"/>
        <v/>
      </c>
    </row>
    <row r="934" spans="2:2">
      <c r="B934" s="50" t="str">
        <f t="shared" si="16"/>
        <v/>
      </c>
    </row>
    <row r="935" spans="2:2">
      <c r="B935" s="50" t="str">
        <f t="shared" si="16"/>
        <v/>
      </c>
    </row>
    <row r="936" spans="2:2">
      <c r="B936" s="50" t="str">
        <f t="shared" si="16"/>
        <v/>
      </c>
    </row>
    <row r="937" spans="2:2">
      <c r="B937" s="50" t="str">
        <f t="shared" si="16"/>
        <v/>
      </c>
    </row>
    <row r="938" spans="2:2">
      <c r="B938" s="50" t="str">
        <f t="shared" si="16"/>
        <v/>
      </c>
    </row>
    <row r="939" spans="2:2">
      <c r="B939" s="50" t="str">
        <f t="shared" si="16"/>
        <v/>
      </c>
    </row>
    <row r="940" spans="2:2">
      <c r="B940" s="50" t="str">
        <f t="shared" si="16"/>
        <v/>
      </c>
    </row>
    <row r="941" spans="2:2">
      <c r="B941" s="50" t="str">
        <f t="shared" si="16"/>
        <v/>
      </c>
    </row>
    <row r="942" spans="2:2">
      <c r="B942" s="50" t="str">
        <f t="shared" si="16"/>
        <v/>
      </c>
    </row>
    <row r="943" spans="2:2">
      <c r="B943" s="50" t="str">
        <f t="shared" si="16"/>
        <v/>
      </c>
    </row>
    <row r="944" spans="2:2">
      <c r="B944" s="50" t="str">
        <f t="shared" si="16"/>
        <v/>
      </c>
    </row>
    <row r="945" spans="2:2">
      <c r="B945" s="50" t="str">
        <f t="shared" si="16"/>
        <v/>
      </c>
    </row>
    <row r="946" spans="2:2">
      <c r="B946" s="50" t="str">
        <f t="shared" si="16"/>
        <v/>
      </c>
    </row>
    <row r="947" spans="2:2">
      <c r="B947" s="50" t="str">
        <f t="shared" si="16"/>
        <v/>
      </c>
    </row>
    <row r="948" spans="2:2">
      <c r="B948" s="50" t="str">
        <f t="shared" si="16"/>
        <v/>
      </c>
    </row>
    <row r="949" spans="2:2">
      <c r="B949" s="50" t="str">
        <f t="shared" si="16"/>
        <v/>
      </c>
    </row>
    <row r="950" spans="2:2">
      <c r="B950" s="50" t="str">
        <f t="shared" si="16"/>
        <v/>
      </c>
    </row>
    <row r="951" spans="2:2">
      <c r="B951" s="50" t="str">
        <f t="shared" si="16"/>
        <v/>
      </c>
    </row>
    <row r="952" spans="2:2">
      <c r="B952" s="50" t="str">
        <f t="shared" si="16"/>
        <v/>
      </c>
    </row>
    <row r="953" spans="2:2">
      <c r="B953" s="50" t="str">
        <f t="shared" si="16"/>
        <v/>
      </c>
    </row>
    <row r="954" spans="2:2">
      <c r="B954" s="50" t="str">
        <f t="shared" si="16"/>
        <v/>
      </c>
    </row>
    <row r="955" spans="2:2">
      <c r="B955" s="50" t="str">
        <f t="shared" si="16"/>
        <v/>
      </c>
    </row>
    <row r="956" spans="2:2">
      <c r="B956" s="50" t="str">
        <f t="shared" si="16"/>
        <v/>
      </c>
    </row>
    <row r="957" spans="2:2">
      <c r="B957" s="50" t="str">
        <f t="shared" si="16"/>
        <v/>
      </c>
    </row>
    <row r="958" spans="2:2">
      <c r="B958" s="50" t="str">
        <f t="shared" si="16"/>
        <v/>
      </c>
    </row>
    <row r="959" spans="2:2">
      <c r="B959" s="50" t="str">
        <f t="shared" si="16"/>
        <v/>
      </c>
    </row>
    <row r="960" spans="2:2">
      <c r="B960" s="50" t="str">
        <f t="shared" si="16"/>
        <v/>
      </c>
    </row>
    <row r="961" spans="2:2">
      <c r="B961" s="50" t="str">
        <f t="shared" si="16"/>
        <v/>
      </c>
    </row>
    <row r="962" spans="2:2">
      <c r="B962" s="50" t="str">
        <f t="shared" si="16"/>
        <v/>
      </c>
    </row>
    <row r="963" spans="2:2">
      <c r="B963" s="50" t="str">
        <f t="shared" si="16"/>
        <v/>
      </c>
    </row>
    <row r="964" spans="2:2">
      <c r="B964" s="50" t="str">
        <f t="shared" si="16"/>
        <v/>
      </c>
    </row>
    <row r="965" spans="2:2">
      <c r="B965" s="50" t="str">
        <f t="shared" si="16"/>
        <v/>
      </c>
    </row>
    <row r="966" spans="2:2">
      <c r="B966" s="50" t="str">
        <f t="shared" si="16"/>
        <v/>
      </c>
    </row>
    <row r="967" spans="2:2">
      <c r="B967" s="50" t="str">
        <f t="shared" si="16"/>
        <v/>
      </c>
    </row>
    <row r="968" spans="2:2">
      <c r="B968" s="50" t="str">
        <f t="shared" si="16"/>
        <v/>
      </c>
    </row>
    <row r="969" spans="2:2">
      <c r="B969" s="50" t="str">
        <f t="shared" si="16"/>
        <v/>
      </c>
    </row>
    <row r="970" spans="2:2">
      <c r="B970" s="50" t="str">
        <f t="shared" si="16"/>
        <v/>
      </c>
    </row>
    <row r="971" spans="2:2">
      <c r="B971" s="50" t="str">
        <f t="shared" si="16"/>
        <v/>
      </c>
    </row>
    <row r="972" spans="2:2">
      <c r="B972" s="50" t="str">
        <f t="shared" si="16"/>
        <v/>
      </c>
    </row>
    <row r="973" spans="2:2">
      <c r="B973" s="50" t="str">
        <f t="shared" si="16"/>
        <v/>
      </c>
    </row>
    <row r="974" spans="2:2">
      <c r="B974" s="50" t="str">
        <f t="shared" si="16"/>
        <v/>
      </c>
    </row>
    <row r="975" spans="2:2">
      <c r="B975" s="50" t="str">
        <f t="shared" si="16"/>
        <v/>
      </c>
    </row>
    <row r="976" spans="2:2">
      <c r="B976" s="50" t="str">
        <f t="shared" si="16"/>
        <v/>
      </c>
    </row>
    <row r="977" spans="2:2">
      <c r="B977" s="50" t="str">
        <f t="shared" si="16"/>
        <v/>
      </c>
    </row>
    <row r="978" spans="2:2">
      <c r="B978" s="50" t="str">
        <f t="shared" si="16"/>
        <v/>
      </c>
    </row>
    <row r="979" spans="2:2">
      <c r="B979" s="50" t="str">
        <f t="shared" si="16"/>
        <v/>
      </c>
    </row>
    <row r="980" spans="2:2">
      <c r="B980" s="50" t="str">
        <f t="shared" si="16"/>
        <v/>
      </c>
    </row>
    <row r="981" spans="2:2">
      <c r="B981" s="50" t="str">
        <f t="shared" si="16"/>
        <v/>
      </c>
    </row>
    <row r="982" spans="2:2">
      <c r="B982" s="50" t="str">
        <f t="shared" si="16"/>
        <v/>
      </c>
    </row>
    <row r="983" spans="2:2">
      <c r="B983" s="50" t="str">
        <f t="shared" si="16"/>
        <v/>
      </c>
    </row>
    <row r="984" spans="2:2">
      <c r="B984" s="50" t="str">
        <f t="shared" si="16"/>
        <v/>
      </c>
    </row>
    <row r="985" spans="2:2">
      <c r="B985" s="50" t="str">
        <f t="shared" si="16"/>
        <v/>
      </c>
    </row>
    <row r="986" spans="2:2">
      <c r="B986" s="50" t="str">
        <f t="shared" si="16"/>
        <v/>
      </c>
    </row>
    <row r="987" spans="2:2">
      <c r="B987" s="50" t="str">
        <f t="shared" si="16"/>
        <v/>
      </c>
    </row>
    <row r="988" spans="2:2">
      <c r="B988" s="50" t="str">
        <f t="shared" si="16"/>
        <v/>
      </c>
    </row>
    <row r="989" spans="2:2">
      <c r="B989" s="50" t="str">
        <f t="shared" si="16"/>
        <v/>
      </c>
    </row>
    <row r="990" spans="2:2">
      <c r="B990" s="50" t="str">
        <f t="shared" si="16"/>
        <v/>
      </c>
    </row>
    <row r="991" spans="2:2">
      <c r="B991" s="50" t="str">
        <f t="shared" ref="B991:B1054" si="17">IF($C991="","",LEFT($C991,2))</f>
        <v/>
      </c>
    </row>
    <row r="992" spans="2:2">
      <c r="B992" s="50" t="str">
        <f t="shared" si="17"/>
        <v/>
      </c>
    </row>
    <row r="993" spans="2:2">
      <c r="B993" s="50" t="str">
        <f t="shared" si="17"/>
        <v/>
      </c>
    </row>
    <row r="994" spans="2:2">
      <c r="B994" s="50" t="str">
        <f t="shared" si="17"/>
        <v/>
      </c>
    </row>
    <row r="995" spans="2:2">
      <c r="B995" s="50" t="str">
        <f t="shared" si="17"/>
        <v/>
      </c>
    </row>
    <row r="996" spans="2:2">
      <c r="B996" s="50" t="str">
        <f t="shared" si="17"/>
        <v/>
      </c>
    </row>
    <row r="997" spans="2:2">
      <c r="B997" s="50" t="str">
        <f t="shared" si="17"/>
        <v/>
      </c>
    </row>
    <row r="998" spans="2:2">
      <c r="B998" s="50" t="str">
        <f t="shared" si="17"/>
        <v/>
      </c>
    </row>
    <row r="999" spans="2:2">
      <c r="B999" s="50" t="str">
        <f t="shared" si="17"/>
        <v/>
      </c>
    </row>
    <row r="1000" spans="2:2">
      <c r="B1000" s="50" t="str">
        <f t="shared" si="17"/>
        <v/>
      </c>
    </row>
    <row r="1001" spans="2:2">
      <c r="B1001" s="50" t="str">
        <f t="shared" si="17"/>
        <v/>
      </c>
    </row>
    <row r="1002" spans="2:2">
      <c r="B1002" s="50" t="str">
        <f t="shared" si="17"/>
        <v/>
      </c>
    </row>
    <row r="1003" spans="2:2">
      <c r="B1003" s="50" t="str">
        <f t="shared" si="17"/>
        <v/>
      </c>
    </row>
    <row r="1004" spans="2:2">
      <c r="B1004" s="50" t="str">
        <f t="shared" si="17"/>
        <v/>
      </c>
    </row>
    <row r="1005" spans="2:2">
      <c r="B1005" s="50" t="str">
        <f t="shared" si="17"/>
        <v/>
      </c>
    </row>
    <row r="1006" spans="2:2">
      <c r="B1006" s="50" t="str">
        <f t="shared" si="17"/>
        <v/>
      </c>
    </row>
    <row r="1007" spans="2:2">
      <c r="B1007" s="50" t="str">
        <f t="shared" si="17"/>
        <v/>
      </c>
    </row>
    <row r="1008" spans="2:2">
      <c r="B1008" s="50" t="str">
        <f t="shared" si="17"/>
        <v/>
      </c>
    </row>
    <row r="1009" spans="2:2">
      <c r="B1009" s="50" t="str">
        <f t="shared" si="17"/>
        <v/>
      </c>
    </row>
    <row r="1010" spans="2:2">
      <c r="B1010" s="50" t="str">
        <f t="shared" si="17"/>
        <v/>
      </c>
    </row>
    <row r="1011" spans="2:2">
      <c r="B1011" s="50" t="str">
        <f t="shared" si="17"/>
        <v/>
      </c>
    </row>
    <row r="1012" spans="2:2">
      <c r="B1012" s="50" t="str">
        <f t="shared" si="17"/>
        <v/>
      </c>
    </row>
    <row r="1013" spans="2:2">
      <c r="B1013" s="50" t="str">
        <f t="shared" si="17"/>
        <v/>
      </c>
    </row>
    <row r="1014" spans="2:2">
      <c r="B1014" s="50" t="str">
        <f t="shared" si="17"/>
        <v/>
      </c>
    </row>
    <row r="1015" spans="2:2">
      <c r="B1015" s="50" t="str">
        <f t="shared" si="17"/>
        <v/>
      </c>
    </row>
    <row r="1016" spans="2:2">
      <c r="B1016" s="50" t="str">
        <f t="shared" si="17"/>
        <v/>
      </c>
    </row>
    <row r="1017" spans="2:2">
      <c r="B1017" s="50" t="str">
        <f t="shared" si="17"/>
        <v/>
      </c>
    </row>
    <row r="1018" spans="2:2">
      <c r="B1018" s="50" t="str">
        <f t="shared" si="17"/>
        <v/>
      </c>
    </row>
    <row r="1019" spans="2:2">
      <c r="B1019" s="50" t="str">
        <f t="shared" si="17"/>
        <v/>
      </c>
    </row>
    <row r="1020" spans="2:2">
      <c r="B1020" s="50" t="str">
        <f t="shared" si="17"/>
        <v/>
      </c>
    </row>
    <row r="1021" spans="2:2">
      <c r="B1021" s="50" t="str">
        <f t="shared" si="17"/>
        <v/>
      </c>
    </row>
    <row r="1022" spans="2:2">
      <c r="B1022" s="50" t="str">
        <f t="shared" si="17"/>
        <v/>
      </c>
    </row>
    <row r="1023" spans="2:2">
      <c r="B1023" s="50" t="str">
        <f t="shared" si="17"/>
        <v/>
      </c>
    </row>
    <row r="1024" spans="2:2">
      <c r="B1024" s="50" t="str">
        <f t="shared" si="17"/>
        <v/>
      </c>
    </row>
    <row r="1025" spans="2:2">
      <c r="B1025" s="50" t="str">
        <f t="shared" si="17"/>
        <v/>
      </c>
    </row>
    <row r="1026" spans="2:2">
      <c r="B1026" s="50" t="str">
        <f t="shared" si="17"/>
        <v/>
      </c>
    </row>
    <row r="1027" spans="2:2">
      <c r="B1027" s="50" t="str">
        <f t="shared" si="17"/>
        <v/>
      </c>
    </row>
    <row r="1028" spans="2:2">
      <c r="B1028" s="50" t="str">
        <f t="shared" si="17"/>
        <v/>
      </c>
    </row>
    <row r="1029" spans="2:2">
      <c r="B1029" s="50" t="str">
        <f t="shared" si="17"/>
        <v/>
      </c>
    </row>
    <row r="1030" spans="2:2">
      <c r="B1030" s="50" t="str">
        <f t="shared" si="17"/>
        <v/>
      </c>
    </row>
    <row r="1031" spans="2:2">
      <c r="B1031" s="50" t="str">
        <f t="shared" si="17"/>
        <v/>
      </c>
    </row>
    <row r="1032" spans="2:2">
      <c r="B1032" s="50" t="str">
        <f t="shared" si="17"/>
        <v/>
      </c>
    </row>
    <row r="1033" spans="2:2">
      <c r="B1033" s="50" t="str">
        <f t="shared" si="17"/>
        <v/>
      </c>
    </row>
    <row r="1034" spans="2:2">
      <c r="B1034" s="50" t="str">
        <f t="shared" si="17"/>
        <v/>
      </c>
    </row>
    <row r="1035" spans="2:2">
      <c r="B1035" s="50" t="str">
        <f t="shared" si="17"/>
        <v/>
      </c>
    </row>
    <row r="1036" spans="2:2">
      <c r="B1036" s="50" t="str">
        <f t="shared" si="17"/>
        <v/>
      </c>
    </row>
    <row r="1037" spans="2:2">
      <c r="B1037" s="50" t="str">
        <f t="shared" si="17"/>
        <v/>
      </c>
    </row>
    <row r="1038" spans="2:2">
      <c r="B1038" s="50" t="str">
        <f t="shared" si="17"/>
        <v/>
      </c>
    </row>
    <row r="1039" spans="2:2">
      <c r="B1039" s="50" t="str">
        <f t="shared" si="17"/>
        <v/>
      </c>
    </row>
    <row r="1040" spans="2:2">
      <c r="B1040" s="50" t="str">
        <f t="shared" si="17"/>
        <v/>
      </c>
    </row>
    <row r="1041" spans="2:2">
      <c r="B1041" s="50" t="str">
        <f t="shared" si="17"/>
        <v/>
      </c>
    </row>
    <row r="1042" spans="2:2">
      <c r="B1042" s="50" t="str">
        <f t="shared" si="17"/>
        <v/>
      </c>
    </row>
    <row r="1043" spans="2:2">
      <c r="B1043" s="50" t="str">
        <f t="shared" si="17"/>
        <v/>
      </c>
    </row>
    <row r="1044" spans="2:2">
      <c r="B1044" s="50" t="str">
        <f t="shared" si="17"/>
        <v/>
      </c>
    </row>
    <row r="1045" spans="2:2">
      <c r="B1045" s="50" t="str">
        <f t="shared" si="17"/>
        <v/>
      </c>
    </row>
    <row r="1046" spans="2:2">
      <c r="B1046" s="50" t="str">
        <f t="shared" si="17"/>
        <v/>
      </c>
    </row>
    <row r="1047" spans="2:2">
      <c r="B1047" s="50" t="str">
        <f t="shared" si="17"/>
        <v/>
      </c>
    </row>
    <row r="1048" spans="2:2">
      <c r="B1048" s="50" t="str">
        <f t="shared" si="17"/>
        <v/>
      </c>
    </row>
    <row r="1049" spans="2:2">
      <c r="B1049" s="50" t="str">
        <f t="shared" si="17"/>
        <v/>
      </c>
    </row>
    <row r="1050" spans="2:2">
      <c r="B1050" s="50" t="str">
        <f t="shared" si="17"/>
        <v/>
      </c>
    </row>
    <row r="1051" spans="2:2">
      <c r="B1051" s="50" t="str">
        <f t="shared" si="17"/>
        <v/>
      </c>
    </row>
    <row r="1052" spans="2:2">
      <c r="B1052" s="50" t="str">
        <f t="shared" si="17"/>
        <v/>
      </c>
    </row>
    <row r="1053" spans="2:2">
      <c r="B1053" s="50" t="str">
        <f t="shared" si="17"/>
        <v/>
      </c>
    </row>
    <row r="1054" spans="2:2">
      <c r="B1054" s="50" t="str">
        <f t="shared" si="17"/>
        <v/>
      </c>
    </row>
    <row r="1055" spans="2:2">
      <c r="B1055" s="50" t="str">
        <f t="shared" ref="B1055:B1118" si="18">IF($C1055="","",LEFT($C1055,2))</f>
        <v/>
      </c>
    </row>
    <row r="1056" spans="2:2">
      <c r="B1056" s="50" t="str">
        <f t="shared" si="18"/>
        <v/>
      </c>
    </row>
    <row r="1057" spans="2:2">
      <c r="B1057" s="50" t="str">
        <f t="shared" si="18"/>
        <v/>
      </c>
    </row>
    <row r="1058" spans="2:2">
      <c r="B1058" s="50" t="str">
        <f t="shared" si="18"/>
        <v/>
      </c>
    </row>
    <row r="1059" spans="2:2">
      <c r="B1059" s="50" t="str">
        <f t="shared" si="18"/>
        <v/>
      </c>
    </row>
    <row r="1060" spans="2:2">
      <c r="B1060" s="50" t="str">
        <f t="shared" si="18"/>
        <v/>
      </c>
    </row>
    <row r="1061" spans="2:2">
      <c r="B1061" s="50" t="str">
        <f t="shared" si="18"/>
        <v/>
      </c>
    </row>
    <row r="1062" spans="2:2">
      <c r="B1062" s="50" t="str">
        <f t="shared" si="18"/>
        <v/>
      </c>
    </row>
    <row r="1063" spans="2:2">
      <c r="B1063" s="50" t="str">
        <f t="shared" si="18"/>
        <v/>
      </c>
    </row>
    <row r="1064" spans="2:2">
      <c r="B1064" s="50" t="str">
        <f t="shared" si="18"/>
        <v/>
      </c>
    </row>
    <row r="1065" spans="2:2">
      <c r="B1065" s="50" t="str">
        <f t="shared" si="18"/>
        <v/>
      </c>
    </row>
    <row r="1066" spans="2:2">
      <c r="B1066" s="50" t="str">
        <f t="shared" si="18"/>
        <v/>
      </c>
    </row>
    <row r="1067" spans="2:2">
      <c r="B1067" s="50" t="str">
        <f t="shared" si="18"/>
        <v/>
      </c>
    </row>
    <row r="1068" spans="2:2">
      <c r="B1068" s="50" t="str">
        <f t="shared" si="18"/>
        <v/>
      </c>
    </row>
    <row r="1069" spans="2:2">
      <c r="B1069" s="50" t="str">
        <f t="shared" si="18"/>
        <v/>
      </c>
    </row>
    <row r="1070" spans="2:2">
      <c r="B1070" s="50" t="str">
        <f t="shared" si="18"/>
        <v/>
      </c>
    </row>
    <row r="1071" spans="2:2">
      <c r="B1071" s="50" t="str">
        <f t="shared" si="18"/>
        <v/>
      </c>
    </row>
    <row r="1072" spans="2:2">
      <c r="B1072" s="50" t="str">
        <f t="shared" si="18"/>
        <v/>
      </c>
    </row>
    <row r="1073" spans="2:2">
      <c r="B1073" s="50" t="str">
        <f t="shared" si="18"/>
        <v/>
      </c>
    </row>
    <row r="1074" spans="2:2">
      <c r="B1074" s="50" t="str">
        <f t="shared" si="18"/>
        <v/>
      </c>
    </row>
    <row r="1075" spans="2:2">
      <c r="B1075" s="50" t="str">
        <f t="shared" si="18"/>
        <v/>
      </c>
    </row>
    <row r="1076" spans="2:2">
      <c r="B1076" s="50" t="str">
        <f t="shared" si="18"/>
        <v/>
      </c>
    </row>
    <row r="1077" spans="2:2">
      <c r="B1077" s="50" t="str">
        <f t="shared" si="18"/>
        <v/>
      </c>
    </row>
    <row r="1078" spans="2:2">
      <c r="B1078" s="50" t="str">
        <f t="shared" si="18"/>
        <v/>
      </c>
    </row>
    <row r="1079" spans="2:2">
      <c r="B1079" s="50" t="str">
        <f t="shared" si="18"/>
        <v/>
      </c>
    </row>
    <row r="1080" spans="2:2">
      <c r="B1080" s="50" t="str">
        <f t="shared" si="18"/>
        <v/>
      </c>
    </row>
    <row r="1081" spans="2:2">
      <c r="B1081" s="50" t="str">
        <f t="shared" si="18"/>
        <v/>
      </c>
    </row>
    <row r="1082" spans="2:2">
      <c r="B1082" s="50" t="str">
        <f t="shared" si="18"/>
        <v/>
      </c>
    </row>
    <row r="1083" spans="2:2">
      <c r="B1083" s="50" t="str">
        <f t="shared" si="18"/>
        <v/>
      </c>
    </row>
    <row r="1084" spans="2:2">
      <c r="B1084" s="50" t="str">
        <f t="shared" si="18"/>
        <v/>
      </c>
    </row>
    <row r="1085" spans="2:2">
      <c r="B1085" s="50" t="str">
        <f t="shared" si="18"/>
        <v/>
      </c>
    </row>
    <row r="1086" spans="2:2">
      <c r="B1086" s="50" t="str">
        <f t="shared" si="18"/>
        <v/>
      </c>
    </row>
    <row r="1087" spans="2:2">
      <c r="B1087" s="50" t="str">
        <f t="shared" si="18"/>
        <v/>
      </c>
    </row>
    <row r="1088" spans="2:2">
      <c r="B1088" s="50" t="str">
        <f t="shared" si="18"/>
        <v/>
      </c>
    </row>
    <row r="1089" spans="2:2">
      <c r="B1089" s="50" t="str">
        <f t="shared" si="18"/>
        <v/>
      </c>
    </row>
    <row r="1090" spans="2:2">
      <c r="B1090" s="50" t="str">
        <f t="shared" si="18"/>
        <v/>
      </c>
    </row>
    <row r="1091" spans="2:2">
      <c r="B1091" s="50" t="str">
        <f t="shared" si="18"/>
        <v/>
      </c>
    </row>
    <row r="1092" spans="2:2">
      <c r="B1092" s="50" t="str">
        <f t="shared" si="18"/>
        <v/>
      </c>
    </row>
    <row r="1093" spans="2:2">
      <c r="B1093" s="50" t="str">
        <f t="shared" si="18"/>
        <v/>
      </c>
    </row>
    <row r="1094" spans="2:2">
      <c r="B1094" s="50" t="str">
        <f t="shared" si="18"/>
        <v/>
      </c>
    </row>
    <row r="1095" spans="2:2">
      <c r="B1095" s="50" t="str">
        <f t="shared" si="18"/>
        <v/>
      </c>
    </row>
    <row r="1096" spans="2:2">
      <c r="B1096" s="50" t="str">
        <f t="shared" si="18"/>
        <v/>
      </c>
    </row>
    <row r="1097" spans="2:2">
      <c r="B1097" s="50" t="str">
        <f t="shared" si="18"/>
        <v/>
      </c>
    </row>
    <row r="1098" spans="2:2">
      <c r="B1098" s="50" t="str">
        <f t="shared" si="18"/>
        <v/>
      </c>
    </row>
    <row r="1099" spans="2:2">
      <c r="B1099" s="50" t="str">
        <f t="shared" si="18"/>
        <v/>
      </c>
    </row>
    <row r="1100" spans="2:2">
      <c r="B1100" s="50" t="str">
        <f t="shared" si="18"/>
        <v/>
      </c>
    </row>
    <row r="1101" spans="2:2">
      <c r="B1101" s="50" t="str">
        <f t="shared" si="18"/>
        <v/>
      </c>
    </row>
    <row r="1102" spans="2:2">
      <c r="B1102" s="50" t="str">
        <f t="shared" si="18"/>
        <v/>
      </c>
    </row>
    <row r="1103" spans="2:2">
      <c r="B1103" s="50" t="str">
        <f t="shared" si="18"/>
        <v/>
      </c>
    </row>
    <row r="1104" spans="2:2">
      <c r="B1104" s="50" t="str">
        <f t="shared" si="18"/>
        <v/>
      </c>
    </row>
    <row r="1105" spans="2:2">
      <c r="B1105" s="50" t="str">
        <f t="shared" si="18"/>
        <v/>
      </c>
    </row>
    <row r="1106" spans="2:2">
      <c r="B1106" s="50" t="str">
        <f t="shared" si="18"/>
        <v/>
      </c>
    </row>
    <row r="1107" spans="2:2">
      <c r="B1107" s="50" t="str">
        <f t="shared" si="18"/>
        <v/>
      </c>
    </row>
    <row r="1108" spans="2:2">
      <c r="B1108" s="50" t="str">
        <f t="shared" si="18"/>
        <v/>
      </c>
    </row>
    <row r="1109" spans="2:2">
      <c r="B1109" s="50" t="str">
        <f t="shared" si="18"/>
        <v/>
      </c>
    </row>
    <row r="1110" spans="2:2">
      <c r="B1110" s="50" t="str">
        <f t="shared" si="18"/>
        <v/>
      </c>
    </row>
    <row r="1111" spans="2:2">
      <c r="B1111" s="50" t="str">
        <f t="shared" si="18"/>
        <v/>
      </c>
    </row>
    <row r="1112" spans="2:2">
      <c r="B1112" s="50" t="str">
        <f t="shared" si="18"/>
        <v/>
      </c>
    </row>
    <row r="1113" spans="2:2">
      <c r="B1113" s="50" t="str">
        <f t="shared" si="18"/>
        <v/>
      </c>
    </row>
    <row r="1114" spans="2:2">
      <c r="B1114" s="50" t="str">
        <f t="shared" si="18"/>
        <v/>
      </c>
    </row>
    <row r="1115" spans="2:2">
      <c r="B1115" s="50" t="str">
        <f t="shared" si="18"/>
        <v/>
      </c>
    </row>
    <row r="1116" spans="2:2">
      <c r="B1116" s="50" t="str">
        <f t="shared" si="18"/>
        <v/>
      </c>
    </row>
    <row r="1117" spans="2:2">
      <c r="B1117" s="50" t="str">
        <f t="shared" si="18"/>
        <v/>
      </c>
    </row>
    <row r="1118" spans="2:2">
      <c r="B1118" s="50" t="str">
        <f t="shared" si="18"/>
        <v/>
      </c>
    </row>
    <row r="1119" spans="2:2">
      <c r="B1119" s="50" t="str">
        <f t="shared" ref="B1119:B1182" si="19">IF($C1119="","",LEFT($C1119,2))</f>
        <v/>
      </c>
    </row>
    <row r="1120" spans="2:2">
      <c r="B1120" s="50" t="str">
        <f t="shared" si="19"/>
        <v/>
      </c>
    </row>
    <row r="1121" spans="2:2">
      <c r="B1121" s="50" t="str">
        <f t="shared" si="19"/>
        <v/>
      </c>
    </row>
    <row r="1122" spans="2:2">
      <c r="B1122" s="50" t="str">
        <f t="shared" si="19"/>
        <v/>
      </c>
    </row>
    <row r="1123" spans="2:2">
      <c r="B1123" s="50" t="str">
        <f t="shared" si="19"/>
        <v/>
      </c>
    </row>
    <row r="1124" spans="2:2">
      <c r="B1124" s="50" t="str">
        <f t="shared" si="19"/>
        <v/>
      </c>
    </row>
    <row r="1125" spans="2:2">
      <c r="B1125" s="50" t="str">
        <f t="shared" si="19"/>
        <v/>
      </c>
    </row>
    <row r="1126" spans="2:2">
      <c r="B1126" s="50" t="str">
        <f t="shared" si="19"/>
        <v/>
      </c>
    </row>
    <row r="1127" spans="2:2">
      <c r="B1127" s="50" t="str">
        <f t="shared" si="19"/>
        <v/>
      </c>
    </row>
    <row r="1128" spans="2:2">
      <c r="B1128" s="50" t="str">
        <f t="shared" si="19"/>
        <v/>
      </c>
    </row>
    <row r="1129" spans="2:2">
      <c r="B1129" s="50" t="str">
        <f t="shared" si="19"/>
        <v/>
      </c>
    </row>
    <row r="1130" spans="2:2">
      <c r="B1130" s="50" t="str">
        <f t="shared" si="19"/>
        <v/>
      </c>
    </row>
    <row r="1131" spans="2:2">
      <c r="B1131" s="50" t="str">
        <f t="shared" si="19"/>
        <v/>
      </c>
    </row>
    <row r="1132" spans="2:2">
      <c r="B1132" s="50" t="str">
        <f t="shared" si="19"/>
        <v/>
      </c>
    </row>
    <row r="1133" spans="2:2">
      <c r="B1133" s="50" t="str">
        <f t="shared" si="19"/>
        <v/>
      </c>
    </row>
    <row r="1134" spans="2:2">
      <c r="B1134" s="50" t="str">
        <f t="shared" si="19"/>
        <v/>
      </c>
    </row>
    <row r="1135" spans="2:2">
      <c r="B1135" s="50" t="str">
        <f t="shared" si="19"/>
        <v/>
      </c>
    </row>
    <row r="1136" spans="2:2">
      <c r="B1136" s="50" t="str">
        <f t="shared" si="19"/>
        <v/>
      </c>
    </row>
    <row r="1137" spans="2:2">
      <c r="B1137" s="50" t="str">
        <f t="shared" si="19"/>
        <v/>
      </c>
    </row>
    <row r="1138" spans="2:2">
      <c r="B1138" s="50" t="str">
        <f t="shared" si="19"/>
        <v/>
      </c>
    </row>
    <row r="1139" spans="2:2">
      <c r="B1139" s="50" t="str">
        <f t="shared" si="19"/>
        <v/>
      </c>
    </row>
    <row r="1140" spans="2:2">
      <c r="B1140" s="50" t="str">
        <f t="shared" si="19"/>
        <v/>
      </c>
    </row>
    <row r="1141" spans="2:2">
      <c r="B1141" s="50" t="str">
        <f t="shared" si="19"/>
        <v/>
      </c>
    </row>
    <row r="1142" spans="2:2">
      <c r="B1142" s="50" t="str">
        <f t="shared" si="19"/>
        <v/>
      </c>
    </row>
    <row r="1143" spans="2:2">
      <c r="B1143" s="50" t="str">
        <f t="shared" si="19"/>
        <v/>
      </c>
    </row>
    <row r="1144" spans="2:2">
      <c r="B1144" s="50" t="str">
        <f t="shared" si="19"/>
        <v/>
      </c>
    </row>
    <row r="1145" spans="2:2">
      <c r="B1145" s="50" t="str">
        <f t="shared" si="19"/>
        <v/>
      </c>
    </row>
    <row r="1146" spans="2:2">
      <c r="B1146" s="50" t="str">
        <f t="shared" si="19"/>
        <v/>
      </c>
    </row>
    <row r="1147" spans="2:2">
      <c r="B1147" s="50" t="str">
        <f t="shared" si="19"/>
        <v/>
      </c>
    </row>
    <row r="1148" spans="2:2">
      <c r="B1148" s="50" t="str">
        <f t="shared" si="19"/>
        <v/>
      </c>
    </row>
    <row r="1149" spans="2:2">
      <c r="B1149" s="50" t="str">
        <f t="shared" si="19"/>
        <v/>
      </c>
    </row>
    <row r="1150" spans="2:2">
      <c r="B1150" s="50" t="str">
        <f t="shared" si="19"/>
        <v/>
      </c>
    </row>
    <row r="1151" spans="2:2">
      <c r="B1151" s="50" t="str">
        <f t="shared" si="19"/>
        <v/>
      </c>
    </row>
    <row r="1152" spans="2:2">
      <c r="B1152" s="50" t="str">
        <f t="shared" si="19"/>
        <v/>
      </c>
    </row>
    <row r="1153" spans="2:2">
      <c r="B1153" s="50" t="str">
        <f t="shared" si="19"/>
        <v/>
      </c>
    </row>
    <row r="1154" spans="2:2">
      <c r="B1154" s="50" t="str">
        <f t="shared" si="19"/>
        <v/>
      </c>
    </row>
    <row r="1155" spans="2:2">
      <c r="B1155" s="50" t="str">
        <f t="shared" si="19"/>
        <v/>
      </c>
    </row>
    <row r="1156" spans="2:2">
      <c r="B1156" s="50" t="str">
        <f t="shared" si="19"/>
        <v/>
      </c>
    </row>
    <row r="1157" spans="2:2">
      <c r="B1157" s="50" t="str">
        <f t="shared" si="19"/>
        <v/>
      </c>
    </row>
    <row r="1158" spans="2:2">
      <c r="B1158" s="50" t="str">
        <f t="shared" si="19"/>
        <v/>
      </c>
    </row>
    <row r="1159" spans="2:2">
      <c r="B1159" s="50" t="str">
        <f t="shared" si="19"/>
        <v/>
      </c>
    </row>
    <row r="1160" spans="2:2">
      <c r="B1160" s="50" t="str">
        <f t="shared" si="19"/>
        <v/>
      </c>
    </row>
    <row r="1161" spans="2:2">
      <c r="B1161" s="50" t="str">
        <f t="shared" si="19"/>
        <v/>
      </c>
    </row>
    <row r="1162" spans="2:2">
      <c r="B1162" s="50" t="str">
        <f t="shared" si="19"/>
        <v/>
      </c>
    </row>
    <row r="1163" spans="2:2">
      <c r="B1163" s="50" t="str">
        <f t="shared" si="19"/>
        <v/>
      </c>
    </row>
    <row r="1164" spans="2:2">
      <c r="B1164" s="50" t="str">
        <f t="shared" si="19"/>
        <v/>
      </c>
    </row>
    <row r="1165" spans="2:2">
      <c r="B1165" s="50" t="str">
        <f t="shared" si="19"/>
        <v/>
      </c>
    </row>
    <row r="1166" spans="2:2">
      <c r="B1166" s="50" t="str">
        <f t="shared" si="19"/>
        <v/>
      </c>
    </row>
    <row r="1167" spans="2:2">
      <c r="B1167" s="50" t="str">
        <f t="shared" si="19"/>
        <v/>
      </c>
    </row>
    <row r="1168" spans="2:2">
      <c r="B1168" s="50" t="str">
        <f t="shared" si="19"/>
        <v/>
      </c>
    </row>
    <row r="1169" spans="2:2">
      <c r="B1169" s="50" t="str">
        <f t="shared" si="19"/>
        <v/>
      </c>
    </row>
    <row r="1170" spans="2:2">
      <c r="B1170" s="50" t="str">
        <f t="shared" si="19"/>
        <v/>
      </c>
    </row>
    <row r="1171" spans="2:2">
      <c r="B1171" s="50" t="str">
        <f t="shared" si="19"/>
        <v/>
      </c>
    </row>
    <row r="1172" spans="2:2">
      <c r="B1172" s="50" t="str">
        <f t="shared" si="19"/>
        <v/>
      </c>
    </row>
    <row r="1173" spans="2:2">
      <c r="B1173" s="50" t="str">
        <f t="shared" si="19"/>
        <v/>
      </c>
    </row>
    <row r="1174" spans="2:2">
      <c r="B1174" s="50" t="str">
        <f t="shared" si="19"/>
        <v/>
      </c>
    </row>
    <row r="1175" spans="2:2">
      <c r="B1175" s="50" t="str">
        <f t="shared" si="19"/>
        <v/>
      </c>
    </row>
    <row r="1176" spans="2:2">
      <c r="B1176" s="50" t="str">
        <f t="shared" si="19"/>
        <v/>
      </c>
    </row>
    <row r="1177" spans="2:2">
      <c r="B1177" s="50" t="str">
        <f t="shared" si="19"/>
        <v/>
      </c>
    </row>
    <row r="1178" spans="2:2">
      <c r="B1178" s="50" t="str">
        <f t="shared" si="19"/>
        <v/>
      </c>
    </row>
    <row r="1179" spans="2:2">
      <c r="B1179" s="50" t="str">
        <f t="shared" si="19"/>
        <v/>
      </c>
    </row>
    <row r="1180" spans="2:2">
      <c r="B1180" s="50" t="str">
        <f t="shared" si="19"/>
        <v/>
      </c>
    </row>
    <row r="1181" spans="2:2">
      <c r="B1181" s="50" t="str">
        <f t="shared" si="19"/>
        <v/>
      </c>
    </row>
    <row r="1182" spans="2:2">
      <c r="B1182" s="50" t="str">
        <f t="shared" si="19"/>
        <v/>
      </c>
    </row>
    <row r="1183" spans="2:2">
      <c r="B1183" s="50" t="str">
        <f t="shared" ref="B1183:B1246" si="20">IF($C1183="","",LEFT($C1183,2))</f>
        <v/>
      </c>
    </row>
    <row r="1184" spans="2:2">
      <c r="B1184" s="50" t="str">
        <f t="shared" si="20"/>
        <v/>
      </c>
    </row>
    <row r="1185" spans="2:2">
      <c r="B1185" s="50" t="str">
        <f t="shared" si="20"/>
        <v/>
      </c>
    </row>
    <row r="1186" spans="2:2">
      <c r="B1186" s="50" t="str">
        <f t="shared" si="20"/>
        <v/>
      </c>
    </row>
    <row r="1187" spans="2:2">
      <c r="B1187" s="50" t="str">
        <f t="shared" si="20"/>
        <v/>
      </c>
    </row>
    <row r="1188" spans="2:2">
      <c r="B1188" s="50" t="str">
        <f t="shared" si="20"/>
        <v/>
      </c>
    </row>
    <row r="1189" spans="2:2">
      <c r="B1189" s="50" t="str">
        <f t="shared" si="20"/>
        <v/>
      </c>
    </row>
    <row r="1190" spans="2:2">
      <c r="B1190" s="50" t="str">
        <f t="shared" si="20"/>
        <v/>
      </c>
    </row>
    <row r="1191" spans="2:2">
      <c r="B1191" s="50" t="str">
        <f t="shared" si="20"/>
        <v/>
      </c>
    </row>
    <row r="1192" spans="2:2">
      <c r="B1192" s="50" t="str">
        <f t="shared" si="20"/>
        <v/>
      </c>
    </row>
    <row r="1193" spans="2:2">
      <c r="B1193" s="50" t="str">
        <f t="shared" si="20"/>
        <v/>
      </c>
    </row>
    <row r="1194" spans="2:2">
      <c r="B1194" s="50" t="str">
        <f t="shared" si="20"/>
        <v/>
      </c>
    </row>
    <row r="1195" spans="2:2">
      <c r="B1195" s="50" t="str">
        <f t="shared" si="20"/>
        <v/>
      </c>
    </row>
    <row r="1196" spans="2:2">
      <c r="B1196" s="50" t="str">
        <f t="shared" si="20"/>
        <v/>
      </c>
    </row>
    <row r="1197" spans="2:2">
      <c r="B1197" s="50" t="str">
        <f t="shared" si="20"/>
        <v/>
      </c>
    </row>
    <row r="1198" spans="2:2">
      <c r="B1198" s="50" t="str">
        <f t="shared" si="20"/>
        <v/>
      </c>
    </row>
    <row r="1199" spans="2:2">
      <c r="B1199" s="50" t="str">
        <f t="shared" si="20"/>
        <v/>
      </c>
    </row>
    <row r="1200" spans="2:2">
      <c r="B1200" s="50" t="str">
        <f t="shared" si="20"/>
        <v/>
      </c>
    </row>
    <row r="1201" spans="2:2">
      <c r="B1201" s="50" t="str">
        <f t="shared" si="20"/>
        <v/>
      </c>
    </row>
    <row r="1202" spans="2:2">
      <c r="B1202" s="50" t="str">
        <f t="shared" si="20"/>
        <v/>
      </c>
    </row>
    <row r="1203" spans="2:2">
      <c r="B1203" s="50" t="str">
        <f t="shared" si="20"/>
        <v/>
      </c>
    </row>
    <row r="1204" spans="2:2">
      <c r="B1204" s="50" t="str">
        <f t="shared" si="20"/>
        <v/>
      </c>
    </row>
    <row r="1205" spans="2:2">
      <c r="B1205" s="50" t="str">
        <f t="shared" si="20"/>
        <v/>
      </c>
    </row>
    <row r="1206" spans="2:2">
      <c r="B1206" s="50" t="str">
        <f t="shared" si="20"/>
        <v/>
      </c>
    </row>
    <row r="1207" spans="2:2">
      <c r="B1207" s="50" t="str">
        <f t="shared" si="20"/>
        <v/>
      </c>
    </row>
    <row r="1208" spans="2:2">
      <c r="B1208" s="50" t="str">
        <f t="shared" si="20"/>
        <v/>
      </c>
    </row>
    <row r="1209" spans="2:2">
      <c r="B1209" s="50" t="str">
        <f t="shared" si="20"/>
        <v/>
      </c>
    </row>
    <row r="1210" spans="2:2">
      <c r="B1210" s="50" t="str">
        <f t="shared" si="20"/>
        <v/>
      </c>
    </row>
    <row r="1211" spans="2:2">
      <c r="B1211" s="50" t="str">
        <f t="shared" si="20"/>
        <v/>
      </c>
    </row>
    <row r="1212" spans="2:2">
      <c r="B1212" s="50" t="str">
        <f t="shared" si="20"/>
        <v/>
      </c>
    </row>
    <row r="1213" spans="2:2">
      <c r="B1213" s="50" t="str">
        <f t="shared" si="20"/>
        <v/>
      </c>
    </row>
    <row r="1214" spans="2:2">
      <c r="B1214" s="50" t="str">
        <f t="shared" si="20"/>
        <v/>
      </c>
    </row>
    <row r="1215" spans="2:2">
      <c r="B1215" s="50" t="str">
        <f t="shared" si="20"/>
        <v/>
      </c>
    </row>
    <row r="1216" spans="2:2">
      <c r="B1216" s="50" t="str">
        <f t="shared" si="20"/>
        <v/>
      </c>
    </row>
    <row r="1217" spans="2:2">
      <c r="B1217" s="50" t="str">
        <f t="shared" si="20"/>
        <v/>
      </c>
    </row>
    <row r="1218" spans="2:2">
      <c r="B1218" s="50" t="str">
        <f t="shared" si="20"/>
        <v/>
      </c>
    </row>
    <row r="1219" spans="2:2">
      <c r="B1219" s="50" t="str">
        <f t="shared" si="20"/>
        <v/>
      </c>
    </row>
    <row r="1220" spans="2:2">
      <c r="B1220" s="50" t="str">
        <f t="shared" si="20"/>
        <v/>
      </c>
    </row>
    <row r="1221" spans="2:2">
      <c r="B1221" s="50" t="str">
        <f t="shared" si="20"/>
        <v/>
      </c>
    </row>
    <row r="1222" spans="2:2">
      <c r="B1222" s="50" t="str">
        <f t="shared" si="20"/>
        <v/>
      </c>
    </row>
    <row r="1223" spans="2:2">
      <c r="B1223" s="50" t="str">
        <f t="shared" si="20"/>
        <v/>
      </c>
    </row>
    <row r="1224" spans="2:2">
      <c r="B1224" s="50" t="str">
        <f t="shared" si="20"/>
        <v/>
      </c>
    </row>
    <row r="1225" spans="2:2">
      <c r="B1225" s="50" t="str">
        <f t="shared" si="20"/>
        <v/>
      </c>
    </row>
    <row r="1226" spans="2:2">
      <c r="B1226" s="50" t="str">
        <f t="shared" si="20"/>
        <v/>
      </c>
    </row>
    <row r="1227" spans="2:2">
      <c r="B1227" s="50" t="str">
        <f t="shared" si="20"/>
        <v/>
      </c>
    </row>
    <row r="1228" spans="2:2">
      <c r="B1228" s="50" t="str">
        <f t="shared" si="20"/>
        <v/>
      </c>
    </row>
    <row r="1229" spans="2:2">
      <c r="B1229" s="50" t="str">
        <f t="shared" si="20"/>
        <v/>
      </c>
    </row>
    <row r="1230" spans="2:2">
      <c r="B1230" s="50" t="str">
        <f t="shared" si="20"/>
        <v/>
      </c>
    </row>
    <row r="1231" spans="2:2">
      <c r="B1231" s="50" t="str">
        <f t="shared" si="20"/>
        <v/>
      </c>
    </row>
    <row r="1232" spans="2:2">
      <c r="B1232" s="50" t="str">
        <f t="shared" si="20"/>
        <v/>
      </c>
    </row>
    <row r="1233" spans="2:2">
      <c r="B1233" s="50" t="str">
        <f t="shared" si="20"/>
        <v/>
      </c>
    </row>
    <row r="1234" spans="2:2">
      <c r="B1234" s="50" t="str">
        <f t="shared" si="20"/>
        <v/>
      </c>
    </row>
    <row r="1235" spans="2:2">
      <c r="B1235" s="50" t="str">
        <f t="shared" si="20"/>
        <v/>
      </c>
    </row>
    <row r="1236" spans="2:2">
      <c r="B1236" s="50" t="str">
        <f t="shared" si="20"/>
        <v/>
      </c>
    </row>
    <row r="1237" spans="2:2">
      <c r="B1237" s="50" t="str">
        <f t="shared" si="20"/>
        <v/>
      </c>
    </row>
    <row r="1238" spans="2:2">
      <c r="B1238" s="50" t="str">
        <f t="shared" si="20"/>
        <v/>
      </c>
    </row>
    <row r="1239" spans="2:2">
      <c r="B1239" s="50" t="str">
        <f t="shared" si="20"/>
        <v/>
      </c>
    </row>
    <row r="1240" spans="2:2">
      <c r="B1240" s="50" t="str">
        <f t="shared" si="20"/>
        <v/>
      </c>
    </row>
    <row r="1241" spans="2:2">
      <c r="B1241" s="50" t="str">
        <f t="shared" si="20"/>
        <v/>
      </c>
    </row>
    <row r="1242" spans="2:2">
      <c r="B1242" s="50" t="str">
        <f t="shared" si="20"/>
        <v/>
      </c>
    </row>
    <row r="1243" spans="2:2">
      <c r="B1243" s="50" t="str">
        <f t="shared" si="20"/>
        <v/>
      </c>
    </row>
    <row r="1244" spans="2:2">
      <c r="B1244" s="50" t="str">
        <f t="shared" si="20"/>
        <v/>
      </c>
    </row>
    <row r="1245" spans="2:2">
      <c r="B1245" s="50" t="str">
        <f t="shared" si="20"/>
        <v/>
      </c>
    </row>
    <row r="1246" spans="2:2">
      <c r="B1246" s="50" t="str">
        <f t="shared" si="20"/>
        <v/>
      </c>
    </row>
    <row r="1247" spans="2:2">
      <c r="B1247" s="50" t="str">
        <f t="shared" ref="B1247:B1310" si="21">IF($C1247="","",LEFT($C1247,2))</f>
        <v/>
      </c>
    </row>
    <row r="1248" spans="2:2">
      <c r="B1248" s="50" t="str">
        <f t="shared" si="21"/>
        <v/>
      </c>
    </row>
    <row r="1249" spans="2:2">
      <c r="B1249" s="50" t="str">
        <f t="shared" si="21"/>
        <v/>
      </c>
    </row>
    <row r="1250" spans="2:2">
      <c r="B1250" s="50" t="str">
        <f t="shared" si="21"/>
        <v/>
      </c>
    </row>
    <row r="1251" spans="2:2">
      <c r="B1251" s="50" t="str">
        <f t="shared" si="21"/>
        <v/>
      </c>
    </row>
    <row r="1252" spans="2:2">
      <c r="B1252" s="50" t="str">
        <f t="shared" si="21"/>
        <v/>
      </c>
    </row>
    <row r="1253" spans="2:2">
      <c r="B1253" s="50" t="str">
        <f t="shared" si="21"/>
        <v/>
      </c>
    </row>
    <row r="1254" spans="2:2">
      <c r="B1254" s="50" t="str">
        <f t="shared" si="21"/>
        <v/>
      </c>
    </row>
    <row r="1255" spans="2:2">
      <c r="B1255" s="50" t="str">
        <f t="shared" si="21"/>
        <v/>
      </c>
    </row>
    <row r="1256" spans="2:2">
      <c r="B1256" s="50" t="str">
        <f t="shared" si="21"/>
        <v/>
      </c>
    </row>
    <row r="1257" spans="2:2">
      <c r="B1257" s="50" t="str">
        <f t="shared" si="21"/>
        <v/>
      </c>
    </row>
    <row r="1258" spans="2:2">
      <c r="B1258" s="50" t="str">
        <f t="shared" si="21"/>
        <v/>
      </c>
    </row>
    <row r="1259" spans="2:2">
      <c r="B1259" s="50" t="str">
        <f t="shared" si="21"/>
        <v/>
      </c>
    </row>
    <row r="1260" spans="2:2">
      <c r="B1260" s="50" t="str">
        <f t="shared" si="21"/>
        <v/>
      </c>
    </row>
    <row r="1261" spans="2:2">
      <c r="B1261" s="50" t="str">
        <f t="shared" si="21"/>
        <v/>
      </c>
    </row>
    <row r="1262" spans="2:2">
      <c r="B1262" s="50" t="str">
        <f t="shared" si="21"/>
        <v/>
      </c>
    </row>
    <row r="1263" spans="2:2">
      <c r="B1263" s="50" t="str">
        <f t="shared" si="21"/>
        <v/>
      </c>
    </row>
    <row r="1264" spans="2:2">
      <c r="B1264" s="50" t="str">
        <f t="shared" si="21"/>
        <v/>
      </c>
    </row>
    <row r="1265" spans="2:2">
      <c r="B1265" s="50" t="str">
        <f t="shared" si="21"/>
        <v/>
      </c>
    </row>
    <row r="1266" spans="2:2">
      <c r="B1266" s="50" t="str">
        <f t="shared" si="21"/>
        <v/>
      </c>
    </row>
    <row r="1267" spans="2:2">
      <c r="B1267" s="50" t="str">
        <f t="shared" si="21"/>
        <v/>
      </c>
    </row>
    <row r="1268" spans="2:2">
      <c r="B1268" s="50" t="str">
        <f t="shared" si="21"/>
        <v/>
      </c>
    </row>
    <row r="1269" spans="2:2">
      <c r="B1269" s="50" t="str">
        <f t="shared" si="21"/>
        <v/>
      </c>
    </row>
    <row r="1270" spans="2:2">
      <c r="B1270" s="50" t="str">
        <f t="shared" si="21"/>
        <v/>
      </c>
    </row>
    <row r="1271" spans="2:2">
      <c r="B1271" s="50" t="str">
        <f t="shared" si="21"/>
        <v/>
      </c>
    </row>
    <row r="1272" spans="2:2">
      <c r="B1272" s="50" t="str">
        <f t="shared" si="21"/>
        <v/>
      </c>
    </row>
    <row r="1273" spans="2:2">
      <c r="B1273" s="50" t="str">
        <f t="shared" si="21"/>
        <v/>
      </c>
    </row>
    <row r="1274" spans="2:2">
      <c r="B1274" s="50" t="str">
        <f t="shared" si="21"/>
        <v/>
      </c>
    </row>
    <row r="1275" spans="2:2">
      <c r="B1275" s="50" t="str">
        <f t="shared" si="21"/>
        <v/>
      </c>
    </row>
    <row r="1276" spans="2:2">
      <c r="B1276" s="50" t="str">
        <f t="shared" si="21"/>
        <v/>
      </c>
    </row>
    <row r="1277" spans="2:2">
      <c r="B1277" s="50" t="str">
        <f t="shared" si="21"/>
        <v/>
      </c>
    </row>
    <row r="1278" spans="2:2">
      <c r="B1278" s="50" t="str">
        <f t="shared" si="21"/>
        <v/>
      </c>
    </row>
    <row r="1279" spans="2:2">
      <c r="B1279" s="50" t="str">
        <f t="shared" si="21"/>
        <v/>
      </c>
    </row>
    <row r="1280" spans="2:2">
      <c r="B1280" s="50" t="str">
        <f t="shared" si="21"/>
        <v/>
      </c>
    </row>
    <row r="1281" spans="2:2">
      <c r="B1281" s="50" t="str">
        <f t="shared" si="21"/>
        <v/>
      </c>
    </row>
    <row r="1282" spans="2:2">
      <c r="B1282" s="50" t="str">
        <f t="shared" si="21"/>
        <v/>
      </c>
    </row>
    <row r="1283" spans="2:2">
      <c r="B1283" s="50" t="str">
        <f t="shared" si="21"/>
        <v/>
      </c>
    </row>
    <row r="1284" spans="2:2">
      <c r="B1284" s="50" t="str">
        <f t="shared" si="21"/>
        <v/>
      </c>
    </row>
    <row r="1285" spans="2:2">
      <c r="B1285" s="50" t="str">
        <f t="shared" si="21"/>
        <v/>
      </c>
    </row>
    <row r="1286" spans="2:2">
      <c r="B1286" s="50" t="str">
        <f t="shared" si="21"/>
        <v/>
      </c>
    </row>
    <row r="1287" spans="2:2">
      <c r="B1287" s="50" t="str">
        <f t="shared" si="21"/>
        <v/>
      </c>
    </row>
    <row r="1288" spans="2:2">
      <c r="B1288" s="50" t="str">
        <f t="shared" si="21"/>
        <v/>
      </c>
    </row>
    <row r="1289" spans="2:2">
      <c r="B1289" s="50" t="str">
        <f t="shared" si="21"/>
        <v/>
      </c>
    </row>
    <row r="1290" spans="2:2">
      <c r="B1290" s="50" t="str">
        <f t="shared" si="21"/>
        <v/>
      </c>
    </row>
    <row r="1291" spans="2:2">
      <c r="B1291" s="50" t="str">
        <f t="shared" si="21"/>
        <v/>
      </c>
    </row>
    <row r="1292" spans="2:2">
      <c r="B1292" s="50" t="str">
        <f t="shared" si="21"/>
        <v/>
      </c>
    </row>
    <row r="1293" spans="2:2">
      <c r="B1293" s="50" t="str">
        <f t="shared" si="21"/>
        <v/>
      </c>
    </row>
    <row r="1294" spans="2:2">
      <c r="B1294" s="50" t="str">
        <f t="shared" si="21"/>
        <v/>
      </c>
    </row>
    <row r="1295" spans="2:2">
      <c r="B1295" s="50" t="str">
        <f t="shared" si="21"/>
        <v/>
      </c>
    </row>
    <row r="1296" spans="2:2">
      <c r="B1296" s="50" t="str">
        <f t="shared" si="21"/>
        <v/>
      </c>
    </row>
    <row r="1297" spans="2:2">
      <c r="B1297" s="50" t="str">
        <f t="shared" si="21"/>
        <v/>
      </c>
    </row>
    <row r="1298" spans="2:2">
      <c r="B1298" s="50" t="str">
        <f t="shared" si="21"/>
        <v/>
      </c>
    </row>
    <row r="1299" spans="2:2">
      <c r="B1299" s="50" t="str">
        <f t="shared" si="21"/>
        <v/>
      </c>
    </row>
    <row r="1300" spans="2:2">
      <c r="B1300" s="50" t="str">
        <f t="shared" si="21"/>
        <v/>
      </c>
    </row>
    <row r="1301" spans="2:2">
      <c r="B1301" s="50" t="str">
        <f t="shared" si="21"/>
        <v/>
      </c>
    </row>
    <row r="1302" spans="2:2">
      <c r="B1302" s="50" t="str">
        <f t="shared" si="21"/>
        <v/>
      </c>
    </row>
    <row r="1303" spans="2:2">
      <c r="B1303" s="50" t="str">
        <f t="shared" si="21"/>
        <v/>
      </c>
    </row>
    <row r="1304" spans="2:2">
      <c r="B1304" s="50" t="str">
        <f t="shared" si="21"/>
        <v/>
      </c>
    </row>
    <row r="1305" spans="2:2">
      <c r="B1305" s="50" t="str">
        <f t="shared" si="21"/>
        <v/>
      </c>
    </row>
    <row r="1306" spans="2:2">
      <c r="B1306" s="50" t="str">
        <f t="shared" si="21"/>
        <v/>
      </c>
    </row>
    <row r="1307" spans="2:2">
      <c r="B1307" s="50" t="str">
        <f t="shared" si="21"/>
        <v/>
      </c>
    </row>
    <row r="1308" spans="2:2">
      <c r="B1308" s="50" t="str">
        <f t="shared" si="21"/>
        <v/>
      </c>
    </row>
    <row r="1309" spans="2:2">
      <c r="B1309" s="50" t="str">
        <f t="shared" si="21"/>
        <v/>
      </c>
    </row>
    <row r="1310" spans="2:2">
      <c r="B1310" s="50" t="str">
        <f t="shared" si="21"/>
        <v/>
      </c>
    </row>
    <row r="1311" spans="2:2">
      <c r="B1311" s="50" t="str">
        <f t="shared" ref="B1311:B1374" si="22">IF($C1311="","",LEFT($C1311,2))</f>
        <v/>
      </c>
    </row>
    <row r="1312" spans="2:2">
      <c r="B1312" s="50" t="str">
        <f t="shared" si="22"/>
        <v/>
      </c>
    </row>
    <row r="1313" spans="2:2">
      <c r="B1313" s="50" t="str">
        <f t="shared" si="22"/>
        <v/>
      </c>
    </row>
    <row r="1314" spans="2:2">
      <c r="B1314" s="50" t="str">
        <f t="shared" si="22"/>
        <v/>
      </c>
    </row>
    <row r="1315" spans="2:2">
      <c r="B1315" s="50" t="str">
        <f t="shared" si="22"/>
        <v/>
      </c>
    </row>
    <row r="1316" spans="2:2">
      <c r="B1316" s="50" t="str">
        <f t="shared" si="22"/>
        <v/>
      </c>
    </row>
    <row r="1317" spans="2:2">
      <c r="B1317" s="50" t="str">
        <f t="shared" si="22"/>
        <v/>
      </c>
    </row>
    <row r="1318" spans="2:2">
      <c r="B1318" s="50" t="str">
        <f t="shared" si="22"/>
        <v/>
      </c>
    </row>
    <row r="1319" spans="2:2">
      <c r="B1319" s="50" t="str">
        <f t="shared" si="22"/>
        <v/>
      </c>
    </row>
    <row r="1320" spans="2:2">
      <c r="B1320" s="50" t="str">
        <f t="shared" si="22"/>
        <v/>
      </c>
    </row>
    <row r="1321" spans="2:2">
      <c r="B1321" s="50" t="str">
        <f t="shared" si="22"/>
        <v/>
      </c>
    </row>
    <row r="1322" spans="2:2">
      <c r="B1322" s="50" t="str">
        <f t="shared" si="22"/>
        <v/>
      </c>
    </row>
    <row r="1323" spans="2:2">
      <c r="B1323" s="50" t="str">
        <f t="shared" si="22"/>
        <v/>
      </c>
    </row>
    <row r="1324" spans="2:2">
      <c r="B1324" s="50" t="str">
        <f t="shared" si="22"/>
        <v/>
      </c>
    </row>
    <row r="1325" spans="2:2">
      <c r="B1325" s="50" t="str">
        <f t="shared" si="22"/>
        <v/>
      </c>
    </row>
    <row r="1326" spans="2:2">
      <c r="B1326" s="50" t="str">
        <f t="shared" si="22"/>
        <v/>
      </c>
    </row>
    <row r="1327" spans="2:2">
      <c r="B1327" s="50" t="str">
        <f t="shared" si="22"/>
        <v/>
      </c>
    </row>
    <row r="1328" spans="2:2">
      <c r="B1328" s="50" t="str">
        <f t="shared" si="22"/>
        <v/>
      </c>
    </row>
    <row r="1329" spans="2:2">
      <c r="B1329" s="50" t="str">
        <f t="shared" si="22"/>
        <v/>
      </c>
    </row>
    <row r="1330" spans="2:2">
      <c r="B1330" s="50" t="str">
        <f t="shared" si="22"/>
        <v/>
      </c>
    </row>
    <row r="1331" spans="2:2">
      <c r="B1331" s="50" t="str">
        <f t="shared" si="22"/>
        <v/>
      </c>
    </row>
    <row r="1332" spans="2:2">
      <c r="B1332" s="50" t="str">
        <f t="shared" si="22"/>
        <v/>
      </c>
    </row>
    <row r="1333" spans="2:2">
      <c r="B1333" s="50" t="str">
        <f t="shared" si="22"/>
        <v/>
      </c>
    </row>
    <row r="1334" spans="2:2">
      <c r="B1334" s="50" t="str">
        <f t="shared" si="22"/>
        <v/>
      </c>
    </row>
    <row r="1335" spans="2:2">
      <c r="B1335" s="50" t="str">
        <f t="shared" si="22"/>
        <v/>
      </c>
    </row>
    <row r="1336" spans="2:2">
      <c r="B1336" s="50" t="str">
        <f t="shared" si="22"/>
        <v/>
      </c>
    </row>
    <row r="1337" spans="2:2">
      <c r="B1337" s="50" t="str">
        <f t="shared" si="22"/>
        <v/>
      </c>
    </row>
    <row r="1338" spans="2:2">
      <c r="B1338" s="50" t="str">
        <f t="shared" si="22"/>
        <v/>
      </c>
    </row>
    <row r="1339" spans="2:2">
      <c r="B1339" s="50" t="str">
        <f t="shared" si="22"/>
        <v/>
      </c>
    </row>
    <row r="1340" spans="2:2">
      <c r="B1340" s="50" t="str">
        <f t="shared" si="22"/>
        <v/>
      </c>
    </row>
    <row r="1341" spans="2:2">
      <c r="B1341" s="50" t="str">
        <f t="shared" si="22"/>
        <v/>
      </c>
    </row>
    <row r="1342" spans="2:2">
      <c r="B1342" s="50" t="str">
        <f t="shared" si="22"/>
        <v/>
      </c>
    </row>
    <row r="1343" spans="2:2">
      <c r="B1343" s="50" t="str">
        <f t="shared" si="22"/>
        <v/>
      </c>
    </row>
    <row r="1344" spans="2:2">
      <c r="B1344" s="50" t="str">
        <f t="shared" si="22"/>
        <v/>
      </c>
    </row>
    <row r="1345" spans="2:2">
      <c r="B1345" s="50" t="str">
        <f t="shared" si="22"/>
        <v/>
      </c>
    </row>
    <row r="1346" spans="2:2">
      <c r="B1346" s="50" t="str">
        <f t="shared" si="22"/>
        <v/>
      </c>
    </row>
    <row r="1347" spans="2:2">
      <c r="B1347" s="50" t="str">
        <f t="shared" si="22"/>
        <v/>
      </c>
    </row>
    <row r="1348" spans="2:2">
      <c r="B1348" s="50" t="str">
        <f t="shared" si="22"/>
        <v/>
      </c>
    </row>
    <row r="1349" spans="2:2">
      <c r="B1349" s="50" t="str">
        <f t="shared" si="22"/>
        <v/>
      </c>
    </row>
    <row r="1350" spans="2:2">
      <c r="B1350" s="50" t="str">
        <f t="shared" si="22"/>
        <v/>
      </c>
    </row>
    <row r="1351" spans="2:2">
      <c r="B1351" s="50" t="str">
        <f t="shared" si="22"/>
        <v/>
      </c>
    </row>
    <row r="1352" spans="2:2">
      <c r="B1352" s="50" t="str">
        <f t="shared" si="22"/>
        <v/>
      </c>
    </row>
    <row r="1353" spans="2:2">
      <c r="B1353" s="50" t="str">
        <f t="shared" si="22"/>
        <v/>
      </c>
    </row>
    <row r="1354" spans="2:2">
      <c r="B1354" s="50" t="str">
        <f t="shared" si="22"/>
        <v/>
      </c>
    </row>
    <row r="1355" spans="2:2">
      <c r="B1355" s="50" t="str">
        <f t="shared" si="22"/>
        <v/>
      </c>
    </row>
    <row r="1356" spans="2:2">
      <c r="B1356" s="50" t="str">
        <f t="shared" si="22"/>
        <v/>
      </c>
    </row>
    <row r="1357" spans="2:2">
      <c r="B1357" s="50" t="str">
        <f t="shared" si="22"/>
        <v/>
      </c>
    </row>
    <row r="1358" spans="2:2">
      <c r="B1358" s="50" t="str">
        <f t="shared" si="22"/>
        <v/>
      </c>
    </row>
    <row r="1359" spans="2:2">
      <c r="B1359" s="50" t="str">
        <f t="shared" si="22"/>
        <v/>
      </c>
    </row>
    <row r="1360" spans="2:2">
      <c r="B1360" s="50" t="str">
        <f t="shared" si="22"/>
        <v/>
      </c>
    </row>
    <row r="1361" spans="2:2">
      <c r="B1361" s="50" t="str">
        <f t="shared" si="22"/>
        <v/>
      </c>
    </row>
    <row r="1362" spans="2:2">
      <c r="B1362" s="50" t="str">
        <f t="shared" si="22"/>
        <v/>
      </c>
    </row>
    <row r="1363" spans="2:2">
      <c r="B1363" s="50" t="str">
        <f t="shared" si="22"/>
        <v/>
      </c>
    </row>
    <row r="1364" spans="2:2">
      <c r="B1364" s="50" t="str">
        <f t="shared" si="22"/>
        <v/>
      </c>
    </row>
    <row r="1365" spans="2:2">
      <c r="B1365" s="50" t="str">
        <f t="shared" si="22"/>
        <v/>
      </c>
    </row>
    <row r="1366" spans="2:2">
      <c r="B1366" s="50" t="str">
        <f t="shared" si="22"/>
        <v/>
      </c>
    </row>
    <row r="1367" spans="2:2">
      <c r="B1367" s="50" t="str">
        <f t="shared" si="22"/>
        <v/>
      </c>
    </row>
    <row r="1368" spans="2:2">
      <c r="B1368" s="50" t="str">
        <f t="shared" si="22"/>
        <v/>
      </c>
    </row>
    <row r="1369" spans="2:2">
      <c r="B1369" s="50" t="str">
        <f t="shared" si="22"/>
        <v/>
      </c>
    </row>
    <row r="1370" spans="2:2">
      <c r="B1370" s="50" t="str">
        <f t="shared" si="22"/>
        <v/>
      </c>
    </row>
    <row r="1371" spans="2:2">
      <c r="B1371" s="50" t="str">
        <f t="shared" si="22"/>
        <v/>
      </c>
    </row>
    <row r="1372" spans="2:2">
      <c r="B1372" s="50" t="str">
        <f t="shared" si="22"/>
        <v/>
      </c>
    </row>
    <row r="1373" spans="2:2">
      <c r="B1373" s="50" t="str">
        <f t="shared" si="22"/>
        <v/>
      </c>
    </row>
    <row r="1374" spans="2:2">
      <c r="B1374" s="50" t="str">
        <f t="shared" si="22"/>
        <v/>
      </c>
    </row>
    <row r="1375" spans="2:2">
      <c r="B1375" s="50" t="str">
        <f t="shared" ref="B1375:B1438" si="23">IF($C1375="","",LEFT($C1375,2))</f>
        <v/>
      </c>
    </row>
    <row r="1376" spans="2:2">
      <c r="B1376" s="50" t="str">
        <f t="shared" si="23"/>
        <v/>
      </c>
    </row>
    <row r="1377" spans="2:2">
      <c r="B1377" s="50" t="str">
        <f t="shared" si="23"/>
        <v/>
      </c>
    </row>
    <row r="1378" spans="2:2">
      <c r="B1378" s="50" t="str">
        <f t="shared" si="23"/>
        <v/>
      </c>
    </row>
    <row r="1379" spans="2:2">
      <c r="B1379" s="50" t="str">
        <f t="shared" si="23"/>
        <v/>
      </c>
    </row>
    <row r="1380" spans="2:2">
      <c r="B1380" s="50" t="str">
        <f t="shared" si="23"/>
        <v/>
      </c>
    </row>
    <row r="1381" spans="2:2">
      <c r="B1381" s="50" t="str">
        <f t="shared" si="23"/>
        <v/>
      </c>
    </row>
    <row r="1382" spans="2:2">
      <c r="B1382" s="50" t="str">
        <f t="shared" si="23"/>
        <v/>
      </c>
    </row>
    <row r="1383" spans="2:2">
      <c r="B1383" s="50" t="str">
        <f t="shared" si="23"/>
        <v/>
      </c>
    </row>
    <row r="1384" spans="2:2">
      <c r="B1384" s="50" t="str">
        <f t="shared" si="23"/>
        <v/>
      </c>
    </row>
    <row r="1385" spans="2:2">
      <c r="B1385" s="50" t="str">
        <f t="shared" si="23"/>
        <v/>
      </c>
    </row>
    <row r="1386" spans="2:2">
      <c r="B1386" s="50" t="str">
        <f t="shared" si="23"/>
        <v/>
      </c>
    </row>
    <row r="1387" spans="2:2">
      <c r="B1387" s="50" t="str">
        <f t="shared" si="23"/>
        <v/>
      </c>
    </row>
    <row r="1388" spans="2:2">
      <c r="B1388" s="50" t="str">
        <f t="shared" si="23"/>
        <v/>
      </c>
    </row>
    <row r="1389" spans="2:2">
      <c r="B1389" s="50" t="str">
        <f t="shared" si="23"/>
        <v/>
      </c>
    </row>
    <row r="1390" spans="2:2">
      <c r="B1390" s="50" t="str">
        <f t="shared" si="23"/>
        <v/>
      </c>
    </row>
    <row r="1391" spans="2:2">
      <c r="B1391" s="50" t="str">
        <f t="shared" si="23"/>
        <v/>
      </c>
    </row>
    <row r="1392" spans="2:2">
      <c r="B1392" s="50" t="str">
        <f t="shared" si="23"/>
        <v/>
      </c>
    </row>
    <row r="1393" spans="2:2">
      <c r="B1393" s="50" t="str">
        <f t="shared" si="23"/>
        <v/>
      </c>
    </row>
    <row r="1394" spans="2:2">
      <c r="B1394" s="50" t="str">
        <f t="shared" si="23"/>
        <v/>
      </c>
    </row>
    <row r="1395" spans="2:2">
      <c r="B1395" s="50" t="str">
        <f t="shared" si="23"/>
        <v/>
      </c>
    </row>
    <row r="1396" spans="2:2">
      <c r="B1396" s="50" t="str">
        <f t="shared" si="23"/>
        <v/>
      </c>
    </row>
    <row r="1397" spans="2:2">
      <c r="B1397" s="50" t="str">
        <f t="shared" si="23"/>
        <v/>
      </c>
    </row>
    <row r="1398" spans="2:2">
      <c r="B1398" s="50" t="str">
        <f t="shared" si="23"/>
        <v/>
      </c>
    </row>
    <row r="1399" spans="2:2">
      <c r="B1399" s="50" t="str">
        <f t="shared" si="23"/>
        <v/>
      </c>
    </row>
    <row r="1400" spans="2:2">
      <c r="B1400" s="50" t="str">
        <f t="shared" si="23"/>
        <v/>
      </c>
    </row>
    <row r="1401" spans="2:2">
      <c r="B1401" s="50" t="str">
        <f t="shared" si="23"/>
        <v/>
      </c>
    </row>
    <row r="1402" spans="2:2">
      <c r="B1402" s="50" t="str">
        <f t="shared" si="23"/>
        <v/>
      </c>
    </row>
    <row r="1403" spans="2:2">
      <c r="B1403" s="50" t="str">
        <f t="shared" si="23"/>
        <v/>
      </c>
    </row>
    <row r="1404" spans="2:2">
      <c r="B1404" s="50" t="str">
        <f t="shared" si="23"/>
        <v/>
      </c>
    </row>
    <row r="1405" spans="2:2">
      <c r="B1405" s="50" t="str">
        <f t="shared" si="23"/>
        <v/>
      </c>
    </row>
    <row r="1406" spans="2:2">
      <c r="B1406" s="50" t="str">
        <f t="shared" si="23"/>
        <v/>
      </c>
    </row>
    <row r="1407" spans="2:2">
      <c r="B1407" s="50" t="str">
        <f t="shared" si="23"/>
        <v/>
      </c>
    </row>
    <row r="1408" spans="2:2">
      <c r="B1408" s="50" t="str">
        <f t="shared" si="23"/>
        <v/>
      </c>
    </row>
    <row r="1409" spans="2:2">
      <c r="B1409" s="50" t="str">
        <f t="shared" si="23"/>
        <v/>
      </c>
    </row>
    <row r="1410" spans="2:2">
      <c r="B1410" s="50" t="str">
        <f t="shared" si="23"/>
        <v/>
      </c>
    </row>
    <row r="1411" spans="2:2">
      <c r="B1411" s="50" t="str">
        <f t="shared" si="23"/>
        <v/>
      </c>
    </row>
    <row r="1412" spans="2:2">
      <c r="B1412" s="50" t="str">
        <f t="shared" si="23"/>
        <v/>
      </c>
    </row>
    <row r="1413" spans="2:2">
      <c r="B1413" s="50" t="str">
        <f t="shared" si="23"/>
        <v/>
      </c>
    </row>
    <row r="1414" spans="2:2">
      <c r="B1414" s="50" t="str">
        <f t="shared" si="23"/>
        <v/>
      </c>
    </row>
    <row r="1415" spans="2:2">
      <c r="B1415" s="50" t="str">
        <f t="shared" si="23"/>
        <v/>
      </c>
    </row>
    <row r="1416" spans="2:2">
      <c r="B1416" s="50" t="str">
        <f t="shared" si="23"/>
        <v/>
      </c>
    </row>
    <row r="1417" spans="2:2">
      <c r="B1417" s="50" t="str">
        <f t="shared" si="23"/>
        <v/>
      </c>
    </row>
    <row r="1418" spans="2:2">
      <c r="B1418" s="50" t="str">
        <f t="shared" si="23"/>
        <v/>
      </c>
    </row>
    <row r="1419" spans="2:2">
      <c r="B1419" s="50" t="str">
        <f t="shared" si="23"/>
        <v/>
      </c>
    </row>
    <row r="1420" spans="2:2">
      <c r="B1420" s="50" t="str">
        <f t="shared" si="23"/>
        <v/>
      </c>
    </row>
    <row r="1421" spans="2:2">
      <c r="B1421" s="50" t="str">
        <f t="shared" si="23"/>
        <v/>
      </c>
    </row>
    <row r="1422" spans="2:2">
      <c r="B1422" s="50" t="str">
        <f t="shared" si="23"/>
        <v/>
      </c>
    </row>
    <row r="1423" spans="2:2">
      <c r="B1423" s="50" t="str">
        <f t="shared" si="23"/>
        <v/>
      </c>
    </row>
    <row r="1424" spans="2:2">
      <c r="B1424" s="50" t="str">
        <f t="shared" si="23"/>
        <v/>
      </c>
    </row>
    <row r="1425" spans="2:2">
      <c r="B1425" s="50" t="str">
        <f t="shared" si="23"/>
        <v/>
      </c>
    </row>
    <row r="1426" spans="2:2">
      <c r="B1426" s="50" t="str">
        <f t="shared" si="23"/>
        <v/>
      </c>
    </row>
    <row r="1427" spans="2:2">
      <c r="B1427" s="50" t="str">
        <f t="shared" si="23"/>
        <v/>
      </c>
    </row>
    <row r="1428" spans="2:2">
      <c r="B1428" s="50" t="str">
        <f t="shared" si="23"/>
        <v/>
      </c>
    </row>
    <row r="1429" spans="2:2">
      <c r="B1429" s="50" t="str">
        <f t="shared" si="23"/>
        <v/>
      </c>
    </row>
    <row r="1430" spans="2:2">
      <c r="B1430" s="50" t="str">
        <f t="shared" si="23"/>
        <v/>
      </c>
    </row>
    <row r="1431" spans="2:2">
      <c r="B1431" s="50" t="str">
        <f t="shared" si="23"/>
        <v/>
      </c>
    </row>
    <row r="1432" spans="2:2">
      <c r="B1432" s="50" t="str">
        <f t="shared" si="23"/>
        <v/>
      </c>
    </row>
    <row r="1433" spans="2:2">
      <c r="B1433" s="50" t="str">
        <f t="shared" si="23"/>
        <v/>
      </c>
    </row>
    <row r="1434" spans="2:2">
      <c r="B1434" s="50" t="str">
        <f t="shared" si="23"/>
        <v/>
      </c>
    </row>
    <row r="1435" spans="2:2">
      <c r="B1435" s="50" t="str">
        <f t="shared" si="23"/>
        <v/>
      </c>
    </row>
    <row r="1436" spans="2:2">
      <c r="B1436" s="50" t="str">
        <f t="shared" si="23"/>
        <v/>
      </c>
    </row>
    <row r="1437" spans="2:2">
      <c r="B1437" s="50" t="str">
        <f t="shared" si="23"/>
        <v/>
      </c>
    </row>
    <row r="1438" spans="2:2">
      <c r="B1438" s="50" t="str">
        <f t="shared" si="23"/>
        <v/>
      </c>
    </row>
    <row r="1439" spans="2:2">
      <c r="B1439" s="50" t="str">
        <f t="shared" ref="B1439:B1502" si="24">IF($C1439="","",LEFT($C1439,2))</f>
        <v/>
      </c>
    </row>
    <row r="1440" spans="2:2">
      <c r="B1440" s="50" t="str">
        <f t="shared" si="24"/>
        <v/>
      </c>
    </row>
    <row r="1441" spans="2:2">
      <c r="B1441" s="50" t="str">
        <f t="shared" si="24"/>
        <v/>
      </c>
    </row>
    <row r="1442" spans="2:2">
      <c r="B1442" s="50" t="str">
        <f t="shared" si="24"/>
        <v/>
      </c>
    </row>
    <row r="1443" spans="2:2">
      <c r="B1443" s="50" t="str">
        <f t="shared" si="24"/>
        <v/>
      </c>
    </row>
    <row r="1444" spans="2:2">
      <c r="B1444" s="50" t="str">
        <f t="shared" si="24"/>
        <v/>
      </c>
    </row>
    <row r="1445" spans="2:2">
      <c r="B1445" s="50" t="str">
        <f t="shared" si="24"/>
        <v/>
      </c>
    </row>
    <row r="1446" spans="2:2">
      <c r="B1446" s="50" t="str">
        <f t="shared" si="24"/>
        <v/>
      </c>
    </row>
    <row r="1447" spans="2:2">
      <c r="B1447" s="50" t="str">
        <f t="shared" si="24"/>
        <v/>
      </c>
    </row>
    <row r="1448" spans="2:2">
      <c r="B1448" s="50" t="str">
        <f t="shared" si="24"/>
        <v/>
      </c>
    </row>
    <row r="1449" spans="2:2">
      <c r="B1449" s="50" t="str">
        <f t="shared" si="24"/>
        <v/>
      </c>
    </row>
    <row r="1450" spans="2:2">
      <c r="B1450" s="50" t="str">
        <f t="shared" si="24"/>
        <v/>
      </c>
    </row>
    <row r="1451" spans="2:2">
      <c r="B1451" s="50" t="str">
        <f t="shared" si="24"/>
        <v/>
      </c>
    </row>
    <row r="1452" spans="2:2">
      <c r="B1452" s="50" t="str">
        <f t="shared" si="24"/>
        <v/>
      </c>
    </row>
    <row r="1453" spans="2:2">
      <c r="B1453" s="50" t="str">
        <f t="shared" si="24"/>
        <v/>
      </c>
    </row>
    <row r="1454" spans="2:2">
      <c r="B1454" s="50" t="str">
        <f t="shared" si="24"/>
        <v/>
      </c>
    </row>
    <row r="1455" spans="2:2">
      <c r="B1455" s="50" t="str">
        <f t="shared" si="24"/>
        <v/>
      </c>
    </row>
    <row r="1456" spans="2:2">
      <c r="B1456" s="50" t="str">
        <f t="shared" si="24"/>
        <v/>
      </c>
    </row>
    <row r="1457" spans="2:2">
      <c r="B1457" s="50" t="str">
        <f t="shared" si="24"/>
        <v/>
      </c>
    </row>
    <row r="1458" spans="2:2">
      <c r="B1458" s="50" t="str">
        <f t="shared" si="24"/>
        <v/>
      </c>
    </row>
    <row r="1459" spans="2:2">
      <c r="B1459" s="50" t="str">
        <f t="shared" si="24"/>
        <v/>
      </c>
    </row>
    <row r="1460" spans="2:2">
      <c r="B1460" s="50" t="str">
        <f t="shared" si="24"/>
        <v/>
      </c>
    </row>
    <row r="1461" spans="2:2">
      <c r="B1461" s="50" t="str">
        <f t="shared" si="24"/>
        <v/>
      </c>
    </row>
    <row r="1462" spans="2:2">
      <c r="B1462" s="50" t="str">
        <f t="shared" si="24"/>
        <v/>
      </c>
    </row>
    <row r="1463" spans="2:2">
      <c r="B1463" s="50" t="str">
        <f t="shared" si="24"/>
        <v/>
      </c>
    </row>
    <row r="1464" spans="2:2">
      <c r="B1464" s="50" t="str">
        <f t="shared" si="24"/>
        <v/>
      </c>
    </row>
    <row r="1465" spans="2:2">
      <c r="B1465" s="50" t="str">
        <f t="shared" si="24"/>
        <v/>
      </c>
    </row>
    <row r="1466" spans="2:2">
      <c r="B1466" s="50" t="str">
        <f t="shared" si="24"/>
        <v/>
      </c>
    </row>
    <row r="1467" spans="2:2">
      <c r="B1467" s="50" t="str">
        <f t="shared" si="24"/>
        <v/>
      </c>
    </row>
    <row r="1468" spans="2:2">
      <c r="B1468" s="50" t="str">
        <f t="shared" si="24"/>
        <v/>
      </c>
    </row>
    <row r="1469" spans="2:2">
      <c r="B1469" s="50" t="str">
        <f t="shared" si="24"/>
        <v/>
      </c>
    </row>
    <row r="1470" spans="2:2">
      <c r="B1470" s="50" t="str">
        <f t="shared" si="24"/>
        <v/>
      </c>
    </row>
    <row r="1471" spans="2:2">
      <c r="B1471" s="50" t="str">
        <f t="shared" si="24"/>
        <v/>
      </c>
    </row>
    <row r="1472" spans="2:2">
      <c r="B1472" s="50" t="str">
        <f t="shared" si="24"/>
        <v/>
      </c>
    </row>
    <row r="1473" spans="2:2">
      <c r="B1473" s="50" t="str">
        <f t="shared" si="24"/>
        <v/>
      </c>
    </row>
    <row r="1474" spans="2:2">
      <c r="B1474" s="50" t="str">
        <f t="shared" si="24"/>
        <v/>
      </c>
    </row>
    <row r="1475" spans="2:2">
      <c r="B1475" s="50" t="str">
        <f t="shared" si="24"/>
        <v/>
      </c>
    </row>
    <row r="1476" spans="2:2">
      <c r="B1476" s="50" t="str">
        <f t="shared" si="24"/>
        <v/>
      </c>
    </row>
    <row r="1477" spans="2:2">
      <c r="B1477" s="50" t="str">
        <f t="shared" si="24"/>
        <v/>
      </c>
    </row>
    <row r="1478" spans="2:2">
      <c r="B1478" s="50" t="str">
        <f t="shared" si="24"/>
        <v/>
      </c>
    </row>
    <row r="1479" spans="2:2">
      <c r="B1479" s="50" t="str">
        <f t="shared" si="24"/>
        <v/>
      </c>
    </row>
    <row r="1480" spans="2:2">
      <c r="B1480" s="50" t="str">
        <f t="shared" si="24"/>
        <v/>
      </c>
    </row>
    <row r="1481" spans="2:2">
      <c r="B1481" s="50" t="str">
        <f t="shared" si="24"/>
        <v/>
      </c>
    </row>
    <row r="1482" spans="2:2">
      <c r="B1482" s="50" t="str">
        <f t="shared" si="24"/>
        <v/>
      </c>
    </row>
    <row r="1483" spans="2:2">
      <c r="B1483" s="50" t="str">
        <f t="shared" si="24"/>
        <v/>
      </c>
    </row>
    <row r="1484" spans="2:2">
      <c r="B1484" s="50" t="str">
        <f t="shared" si="24"/>
        <v/>
      </c>
    </row>
    <row r="1485" spans="2:2">
      <c r="B1485" s="50" t="str">
        <f t="shared" si="24"/>
        <v/>
      </c>
    </row>
    <row r="1486" spans="2:2">
      <c r="B1486" s="50" t="str">
        <f t="shared" si="24"/>
        <v/>
      </c>
    </row>
    <row r="1487" spans="2:2">
      <c r="B1487" s="50" t="str">
        <f t="shared" si="24"/>
        <v/>
      </c>
    </row>
    <row r="1488" spans="2:2">
      <c r="B1488" s="50" t="str">
        <f t="shared" si="24"/>
        <v/>
      </c>
    </row>
    <row r="1489" spans="2:2">
      <c r="B1489" s="50" t="str">
        <f t="shared" si="24"/>
        <v/>
      </c>
    </row>
    <row r="1490" spans="2:2">
      <c r="B1490" s="50" t="str">
        <f t="shared" si="24"/>
        <v/>
      </c>
    </row>
    <row r="1491" spans="2:2">
      <c r="B1491" s="50" t="str">
        <f t="shared" si="24"/>
        <v/>
      </c>
    </row>
    <row r="1492" spans="2:2">
      <c r="B1492" s="50" t="str">
        <f t="shared" si="24"/>
        <v/>
      </c>
    </row>
    <row r="1493" spans="2:2">
      <c r="B1493" s="50" t="str">
        <f t="shared" si="24"/>
        <v/>
      </c>
    </row>
    <row r="1494" spans="2:2">
      <c r="B1494" s="50" t="str">
        <f t="shared" si="24"/>
        <v/>
      </c>
    </row>
    <row r="1495" spans="2:2">
      <c r="B1495" s="50" t="str">
        <f t="shared" si="24"/>
        <v/>
      </c>
    </row>
    <row r="1496" spans="2:2">
      <c r="B1496" s="50" t="str">
        <f t="shared" si="24"/>
        <v/>
      </c>
    </row>
    <row r="1497" spans="2:2">
      <c r="B1497" s="50" t="str">
        <f t="shared" si="24"/>
        <v/>
      </c>
    </row>
    <row r="1498" spans="2:2">
      <c r="B1498" s="50" t="str">
        <f t="shared" si="24"/>
        <v/>
      </c>
    </row>
    <row r="1499" spans="2:2">
      <c r="B1499" s="50" t="str">
        <f t="shared" si="24"/>
        <v/>
      </c>
    </row>
    <row r="1500" spans="2:2">
      <c r="B1500" s="50" t="str">
        <f t="shared" si="24"/>
        <v/>
      </c>
    </row>
    <row r="1501" spans="2:2">
      <c r="B1501" s="50" t="str">
        <f t="shared" si="24"/>
        <v/>
      </c>
    </row>
    <row r="1502" spans="2:2">
      <c r="B1502" s="50" t="str">
        <f t="shared" si="24"/>
        <v/>
      </c>
    </row>
    <row r="1503" spans="2:2">
      <c r="B1503" s="50" t="str">
        <f t="shared" ref="B1503:B1566" si="25">IF($C1503="","",LEFT($C1503,2))</f>
        <v/>
      </c>
    </row>
    <row r="1504" spans="2:2">
      <c r="B1504" s="50" t="str">
        <f t="shared" si="25"/>
        <v/>
      </c>
    </row>
    <row r="1505" spans="2:2">
      <c r="B1505" s="50" t="str">
        <f t="shared" si="25"/>
        <v/>
      </c>
    </row>
    <row r="1506" spans="2:2">
      <c r="B1506" s="50" t="str">
        <f t="shared" si="25"/>
        <v/>
      </c>
    </row>
    <row r="1507" spans="2:2">
      <c r="B1507" s="50" t="str">
        <f t="shared" si="25"/>
        <v/>
      </c>
    </row>
    <row r="1508" spans="2:2">
      <c r="B1508" s="50" t="str">
        <f t="shared" si="25"/>
        <v/>
      </c>
    </row>
    <row r="1509" spans="2:2">
      <c r="B1509" s="50" t="str">
        <f t="shared" si="25"/>
        <v/>
      </c>
    </row>
    <row r="1510" spans="2:2">
      <c r="B1510" s="50" t="str">
        <f t="shared" si="25"/>
        <v/>
      </c>
    </row>
    <row r="1511" spans="2:2">
      <c r="B1511" s="50" t="str">
        <f t="shared" si="25"/>
        <v/>
      </c>
    </row>
    <row r="1512" spans="2:2">
      <c r="B1512" s="50" t="str">
        <f t="shared" si="25"/>
        <v/>
      </c>
    </row>
    <row r="1513" spans="2:2">
      <c r="B1513" s="50" t="str">
        <f t="shared" si="25"/>
        <v/>
      </c>
    </row>
    <row r="1514" spans="2:2">
      <c r="B1514" s="50" t="str">
        <f t="shared" si="25"/>
        <v/>
      </c>
    </row>
    <row r="1515" spans="2:2">
      <c r="B1515" s="50" t="str">
        <f t="shared" si="25"/>
        <v/>
      </c>
    </row>
    <row r="1516" spans="2:2">
      <c r="B1516" s="50" t="str">
        <f t="shared" si="25"/>
        <v/>
      </c>
    </row>
    <row r="1517" spans="2:2">
      <c r="B1517" s="50" t="str">
        <f t="shared" si="25"/>
        <v/>
      </c>
    </row>
    <row r="1518" spans="2:2">
      <c r="B1518" s="50" t="str">
        <f t="shared" si="25"/>
        <v/>
      </c>
    </row>
    <row r="1519" spans="2:2">
      <c r="B1519" s="50" t="str">
        <f t="shared" si="25"/>
        <v/>
      </c>
    </row>
    <row r="1520" spans="2:2">
      <c r="B1520" s="50" t="str">
        <f t="shared" si="25"/>
        <v/>
      </c>
    </row>
    <row r="1521" spans="2:2">
      <c r="B1521" s="50" t="str">
        <f t="shared" si="25"/>
        <v/>
      </c>
    </row>
    <row r="1522" spans="2:2">
      <c r="B1522" s="50" t="str">
        <f t="shared" si="25"/>
        <v/>
      </c>
    </row>
    <row r="1523" spans="2:2">
      <c r="B1523" s="50" t="str">
        <f t="shared" si="25"/>
        <v/>
      </c>
    </row>
    <row r="1524" spans="2:2">
      <c r="B1524" s="50" t="str">
        <f t="shared" si="25"/>
        <v/>
      </c>
    </row>
    <row r="1525" spans="2:2">
      <c r="B1525" s="50" t="str">
        <f t="shared" si="25"/>
        <v/>
      </c>
    </row>
    <row r="1526" spans="2:2">
      <c r="B1526" s="50" t="str">
        <f t="shared" si="25"/>
        <v/>
      </c>
    </row>
    <row r="1527" spans="2:2">
      <c r="B1527" s="50" t="str">
        <f t="shared" si="25"/>
        <v/>
      </c>
    </row>
    <row r="1528" spans="2:2">
      <c r="B1528" s="50" t="str">
        <f t="shared" si="25"/>
        <v/>
      </c>
    </row>
    <row r="1529" spans="2:2">
      <c r="B1529" s="50" t="str">
        <f t="shared" si="25"/>
        <v/>
      </c>
    </row>
    <row r="1530" spans="2:2">
      <c r="B1530" s="50" t="str">
        <f t="shared" si="25"/>
        <v/>
      </c>
    </row>
    <row r="1531" spans="2:2">
      <c r="B1531" s="50" t="str">
        <f t="shared" si="25"/>
        <v/>
      </c>
    </row>
    <row r="1532" spans="2:2">
      <c r="B1532" s="50" t="str">
        <f t="shared" si="25"/>
        <v/>
      </c>
    </row>
    <row r="1533" spans="2:2">
      <c r="B1533" s="50" t="str">
        <f t="shared" si="25"/>
        <v/>
      </c>
    </row>
    <row r="1534" spans="2:2">
      <c r="B1534" s="50" t="str">
        <f t="shared" si="25"/>
        <v/>
      </c>
    </row>
    <row r="1535" spans="2:2">
      <c r="B1535" s="50" t="str">
        <f t="shared" si="25"/>
        <v/>
      </c>
    </row>
    <row r="1536" spans="2:2">
      <c r="B1536" s="50" t="str">
        <f t="shared" si="25"/>
        <v/>
      </c>
    </row>
    <row r="1537" spans="2:2">
      <c r="B1537" s="50" t="str">
        <f t="shared" si="25"/>
        <v/>
      </c>
    </row>
    <row r="1538" spans="2:2">
      <c r="B1538" s="50" t="str">
        <f t="shared" si="25"/>
        <v/>
      </c>
    </row>
    <row r="1539" spans="2:2">
      <c r="B1539" s="50" t="str">
        <f t="shared" si="25"/>
        <v/>
      </c>
    </row>
    <row r="1540" spans="2:2">
      <c r="B1540" s="50" t="str">
        <f t="shared" si="25"/>
        <v/>
      </c>
    </row>
    <row r="1541" spans="2:2">
      <c r="B1541" s="50" t="str">
        <f t="shared" si="25"/>
        <v/>
      </c>
    </row>
    <row r="1542" spans="2:2">
      <c r="B1542" s="50" t="str">
        <f t="shared" si="25"/>
        <v/>
      </c>
    </row>
    <row r="1543" spans="2:2">
      <c r="B1543" s="50" t="str">
        <f t="shared" si="25"/>
        <v/>
      </c>
    </row>
    <row r="1544" spans="2:2">
      <c r="B1544" s="50" t="str">
        <f t="shared" si="25"/>
        <v/>
      </c>
    </row>
    <row r="1545" spans="2:2">
      <c r="B1545" s="50" t="str">
        <f t="shared" si="25"/>
        <v/>
      </c>
    </row>
    <row r="1546" spans="2:2">
      <c r="B1546" s="50" t="str">
        <f t="shared" si="25"/>
        <v/>
      </c>
    </row>
    <row r="1547" spans="2:2">
      <c r="B1547" s="50" t="str">
        <f t="shared" si="25"/>
        <v/>
      </c>
    </row>
    <row r="1548" spans="2:2">
      <c r="B1548" s="50" t="str">
        <f t="shared" si="25"/>
        <v/>
      </c>
    </row>
    <row r="1549" spans="2:2">
      <c r="B1549" s="50" t="str">
        <f t="shared" si="25"/>
        <v/>
      </c>
    </row>
    <row r="1550" spans="2:2">
      <c r="B1550" s="50" t="str">
        <f t="shared" si="25"/>
        <v/>
      </c>
    </row>
    <row r="1551" spans="2:2">
      <c r="B1551" s="50" t="str">
        <f t="shared" si="25"/>
        <v/>
      </c>
    </row>
    <row r="1552" spans="2:2">
      <c r="B1552" s="50" t="str">
        <f t="shared" si="25"/>
        <v/>
      </c>
    </row>
    <row r="1553" spans="2:2">
      <c r="B1553" s="50" t="str">
        <f t="shared" si="25"/>
        <v/>
      </c>
    </row>
    <row r="1554" spans="2:2">
      <c r="B1554" s="50" t="str">
        <f t="shared" si="25"/>
        <v/>
      </c>
    </row>
    <row r="1555" spans="2:2">
      <c r="B1555" s="50" t="str">
        <f t="shared" si="25"/>
        <v/>
      </c>
    </row>
    <row r="1556" spans="2:2">
      <c r="B1556" s="50" t="str">
        <f t="shared" si="25"/>
        <v/>
      </c>
    </row>
    <row r="1557" spans="2:2">
      <c r="B1557" s="50" t="str">
        <f t="shared" si="25"/>
        <v/>
      </c>
    </row>
    <row r="1558" spans="2:2">
      <c r="B1558" s="50" t="str">
        <f t="shared" si="25"/>
        <v/>
      </c>
    </row>
    <row r="1559" spans="2:2">
      <c r="B1559" s="50" t="str">
        <f t="shared" si="25"/>
        <v/>
      </c>
    </row>
    <row r="1560" spans="2:2">
      <c r="B1560" s="50" t="str">
        <f t="shared" si="25"/>
        <v/>
      </c>
    </row>
    <row r="1561" spans="2:2">
      <c r="B1561" s="50" t="str">
        <f t="shared" si="25"/>
        <v/>
      </c>
    </row>
    <row r="1562" spans="2:2">
      <c r="B1562" s="50" t="str">
        <f t="shared" si="25"/>
        <v/>
      </c>
    </row>
    <row r="1563" spans="2:2">
      <c r="B1563" s="50" t="str">
        <f t="shared" si="25"/>
        <v/>
      </c>
    </row>
    <row r="1564" spans="2:2">
      <c r="B1564" s="50" t="str">
        <f t="shared" si="25"/>
        <v/>
      </c>
    </row>
    <row r="1565" spans="2:2">
      <c r="B1565" s="50" t="str">
        <f t="shared" si="25"/>
        <v/>
      </c>
    </row>
    <row r="1566" spans="2:2">
      <c r="B1566" s="50" t="str">
        <f t="shared" si="25"/>
        <v/>
      </c>
    </row>
    <row r="1567" spans="2:2">
      <c r="B1567" s="50" t="str">
        <f t="shared" ref="B1567:B1630" si="26">IF($C1567="","",LEFT($C1567,2))</f>
        <v/>
      </c>
    </row>
    <row r="1568" spans="2:2">
      <c r="B1568" s="50" t="str">
        <f t="shared" si="26"/>
        <v/>
      </c>
    </row>
    <row r="1569" spans="2:2">
      <c r="B1569" s="50" t="str">
        <f t="shared" si="26"/>
        <v/>
      </c>
    </row>
    <row r="1570" spans="2:2">
      <c r="B1570" s="50" t="str">
        <f t="shared" si="26"/>
        <v/>
      </c>
    </row>
    <row r="1571" spans="2:2">
      <c r="B1571" s="50" t="str">
        <f t="shared" si="26"/>
        <v/>
      </c>
    </row>
    <row r="1572" spans="2:2">
      <c r="B1572" s="50" t="str">
        <f t="shared" si="26"/>
        <v/>
      </c>
    </row>
    <row r="1573" spans="2:2">
      <c r="B1573" s="50" t="str">
        <f t="shared" si="26"/>
        <v/>
      </c>
    </row>
    <row r="1574" spans="2:2">
      <c r="B1574" s="50" t="str">
        <f t="shared" si="26"/>
        <v/>
      </c>
    </row>
    <row r="1575" spans="2:2">
      <c r="B1575" s="50" t="str">
        <f t="shared" si="26"/>
        <v/>
      </c>
    </row>
    <row r="1576" spans="2:2">
      <c r="B1576" s="50" t="str">
        <f t="shared" si="26"/>
        <v/>
      </c>
    </row>
    <row r="1577" spans="2:2">
      <c r="B1577" s="50" t="str">
        <f t="shared" si="26"/>
        <v/>
      </c>
    </row>
    <row r="1578" spans="2:2">
      <c r="B1578" s="50" t="str">
        <f t="shared" si="26"/>
        <v/>
      </c>
    </row>
    <row r="1579" spans="2:2">
      <c r="B1579" s="50" t="str">
        <f t="shared" si="26"/>
        <v/>
      </c>
    </row>
    <row r="1580" spans="2:2">
      <c r="B1580" s="50" t="str">
        <f t="shared" si="26"/>
        <v/>
      </c>
    </row>
    <row r="1581" spans="2:2">
      <c r="B1581" s="50" t="str">
        <f t="shared" si="26"/>
        <v/>
      </c>
    </row>
    <row r="1582" spans="2:2">
      <c r="B1582" s="50" t="str">
        <f t="shared" si="26"/>
        <v/>
      </c>
    </row>
    <row r="1583" spans="2:2">
      <c r="B1583" s="50" t="str">
        <f t="shared" si="26"/>
        <v/>
      </c>
    </row>
    <row r="1584" spans="2:2">
      <c r="B1584" s="50" t="str">
        <f t="shared" si="26"/>
        <v/>
      </c>
    </row>
    <row r="1585" spans="2:2">
      <c r="B1585" s="50" t="str">
        <f t="shared" si="26"/>
        <v/>
      </c>
    </row>
    <row r="1586" spans="2:2">
      <c r="B1586" s="50" t="str">
        <f t="shared" si="26"/>
        <v/>
      </c>
    </row>
    <row r="1587" spans="2:2">
      <c r="B1587" s="50" t="str">
        <f t="shared" si="26"/>
        <v/>
      </c>
    </row>
    <row r="1588" spans="2:2">
      <c r="B1588" s="50" t="str">
        <f t="shared" si="26"/>
        <v/>
      </c>
    </row>
    <row r="1589" spans="2:2">
      <c r="B1589" s="50" t="str">
        <f t="shared" si="26"/>
        <v/>
      </c>
    </row>
    <row r="1590" spans="2:2">
      <c r="B1590" s="50" t="str">
        <f t="shared" si="26"/>
        <v/>
      </c>
    </row>
    <row r="1591" spans="2:2">
      <c r="B1591" s="50" t="str">
        <f t="shared" si="26"/>
        <v/>
      </c>
    </row>
    <row r="1592" spans="2:2">
      <c r="B1592" s="50" t="str">
        <f t="shared" si="26"/>
        <v/>
      </c>
    </row>
    <row r="1593" spans="2:2">
      <c r="B1593" s="50" t="str">
        <f t="shared" si="26"/>
        <v/>
      </c>
    </row>
    <row r="1594" spans="2:2">
      <c r="B1594" s="50" t="str">
        <f t="shared" si="26"/>
        <v/>
      </c>
    </row>
    <row r="1595" spans="2:2">
      <c r="B1595" s="50" t="str">
        <f t="shared" si="26"/>
        <v/>
      </c>
    </row>
    <row r="1596" spans="2:2">
      <c r="B1596" s="50" t="str">
        <f t="shared" si="26"/>
        <v/>
      </c>
    </row>
    <row r="1597" spans="2:2">
      <c r="B1597" s="50" t="str">
        <f t="shared" si="26"/>
        <v/>
      </c>
    </row>
    <row r="1598" spans="2:2">
      <c r="B1598" s="50" t="str">
        <f t="shared" si="26"/>
        <v/>
      </c>
    </row>
    <row r="1599" spans="2:2">
      <c r="B1599" s="50" t="str">
        <f t="shared" si="26"/>
        <v/>
      </c>
    </row>
    <row r="1600" spans="2:2">
      <c r="B1600" s="50" t="str">
        <f t="shared" si="26"/>
        <v/>
      </c>
    </row>
    <row r="1601" spans="2:2">
      <c r="B1601" s="50" t="str">
        <f t="shared" si="26"/>
        <v/>
      </c>
    </row>
    <row r="1602" spans="2:2">
      <c r="B1602" s="50" t="str">
        <f t="shared" si="26"/>
        <v/>
      </c>
    </row>
    <row r="1603" spans="2:2">
      <c r="B1603" s="50" t="str">
        <f t="shared" si="26"/>
        <v/>
      </c>
    </row>
    <row r="1604" spans="2:2">
      <c r="B1604" s="50" t="str">
        <f t="shared" si="26"/>
        <v/>
      </c>
    </row>
    <row r="1605" spans="2:2">
      <c r="B1605" s="50" t="str">
        <f t="shared" si="26"/>
        <v/>
      </c>
    </row>
    <row r="1606" spans="2:2">
      <c r="B1606" s="50" t="str">
        <f t="shared" si="26"/>
        <v/>
      </c>
    </row>
    <row r="1607" spans="2:2">
      <c r="B1607" s="50" t="str">
        <f t="shared" si="26"/>
        <v/>
      </c>
    </row>
    <row r="1608" spans="2:2">
      <c r="B1608" s="50" t="str">
        <f t="shared" si="26"/>
        <v/>
      </c>
    </row>
    <row r="1609" spans="2:2">
      <c r="B1609" s="50" t="str">
        <f t="shared" si="26"/>
        <v/>
      </c>
    </row>
    <row r="1610" spans="2:2">
      <c r="B1610" s="50" t="str">
        <f t="shared" si="26"/>
        <v/>
      </c>
    </row>
    <row r="1611" spans="2:2">
      <c r="B1611" s="50" t="str">
        <f t="shared" si="26"/>
        <v/>
      </c>
    </row>
    <row r="1612" spans="2:2">
      <c r="B1612" s="50" t="str">
        <f t="shared" si="26"/>
        <v/>
      </c>
    </row>
    <row r="1613" spans="2:2">
      <c r="B1613" s="50" t="str">
        <f t="shared" si="26"/>
        <v/>
      </c>
    </row>
    <row r="1614" spans="2:2">
      <c r="B1614" s="50" t="str">
        <f t="shared" si="26"/>
        <v/>
      </c>
    </row>
    <row r="1615" spans="2:2">
      <c r="B1615" s="50" t="str">
        <f t="shared" si="26"/>
        <v/>
      </c>
    </row>
    <row r="1616" spans="2:2">
      <c r="B1616" s="50" t="str">
        <f t="shared" si="26"/>
        <v/>
      </c>
    </row>
    <row r="1617" spans="2:2">
      <c r="B1617" s="50" t="str">
        <f t="shared" si="26"/>
        <v/>
      </c>
    </row>
    <row r="1618" spans="2:2">
      <c r="B1618" s="50" t="str">
        <f t="shared" si="26"/>
        <v/>
      </c>
    </row>
    <row r="1619" spans="2:2">
      <c r="B1619" s="50" t="str">
        <f t="shared" si="26"/>
        <v/>
      </c>
    </row>
    <row r="1620" spans="2:2">
      <c r="B1620" s="50" t="str">
        <f t="shared" si="26"/>
        <v/>
      </c>
    </row>
    <row r="1621" spans="2:2">
      <c r="B1621" s="50" t="str">
        <f t="shared" si="26"/>
        <v/>
      </c>
    </row>
    <row r="1622" spans="2:2">
      <c r="B1622" s="50" t="str">
        <f t="shared" si="26"/>
        <v/>
      </c>
    </row>
    <row r="1623" spans="2:2">
      <c r="B1623" s="50" t="str">
        <f t="shared" si="26"/>
        <v/>
      </c>
    </row>
    <row r="1624" spans="2:2">
      <c r="B1624" s="50" t="str">
        <f t="shared" si="26"/>
        <v/>
      </c>
    </row>
    <row r="1625" spans="2:2">
      <c r="B1625" s="50" t="str">
        <f t="shared" si="26"/>
        <v/>
      </c>
    </row>
    <row r="1626" spans="2:2">
      <c r="B1626" s="50" t="str">
        <f t="shared" si="26"/>
        <v/>
      </c>
    </row>
    <row r="1627" spans="2:2">
      <c r="B1627" s="50" t="str">
        <f t="shared" si="26"/>
        <v/>
      </c>
    </row>
    <row r="1628" spans="2:2">
      <c r="B1628" s="50" t="str">
        <f t="shared" si="26"/>
        <v/>
      </c>
    </row>
    <row r="1629" spans="2:2">
      <c r="B1629" s="50" t="str">
        <f t="shared" si="26"/>
        <v/>
      </c>
    </row>
    <row r="1630" spans="2:2">
      <c r="B1630" s="50" t="str">
        <f t="shared" si="26"/>
        <v/>
      </c>
    </row>
    <row r="1631" spans="2:2">
      <c r="B1631" s="50" t="str">
        <f t="shared" ref="B1631:B1694" si="27">IF($C1631="","",LEFT($C1631,2))</f>
        <v/>
      </c>
    </row>
    <row r="1632" spans="2:2">
      <c r="B1632" s="50" t="str">
        <f t="shared" si="27"/>
        <v/>
      </c>
    </row>
    <row r="1633" spans="2:2">
      <c r="B1633" s="50" t="str">
        <f t="shared" si="27"/>
        <v/>
      </c>
    </row>
    <row r="1634" spans="2:2">
      <c r="B1634" s="50" t="str">
        <f t="shared" si="27"/>
        <v/>
      </c>
    </row>
    <row r="1635" spans="2:2">
      <c r="B1635" s="50" t="str">
        <f t="shared" si="27"/>
        <v/>
      </c>
    </row>
    <row r="1636" spans="2:2">
      <c r="B1636" s="50" t="str">
        <f t="shared" si="27"/>
        <v/>
      </c>
    </row>
    <row r="1637" spans="2:2">
      <c r="B1637" s="50" t="str">
        <f t="shared" si="27"/>
        <v/>
      </c>
    </row>
    <row r="1638" spans="2:2">
      <c r="B1638" s="50" t="str">
        <f t="shared" si="27"/>
        <v/>
      </c>
    </row>
    <row r="1639" spans="2:2">
      <c r="B1639" s="50" t="str">
        <f t="shared" si="27"/>
        <v/>
      </c>
    </row>
    <row r="1640" spans="2:2">
      <c r="B1640" s="50" t="str">
        <f t="shared" si="27"/>
        <v/>
      </c>
    </row>
    <row r="1641" spans="2:2">
      <c r="B1641" s="50" t="str">
        <f t="shared" si="27"/>
        <v/>
      </c>
    </row>
    <row r="1642" spans="2:2">
      <c r="B1642" s="50" t="str">
        <f t="shared" si="27"/>
        <v/>
      </c>
    </row>
    <row r="1643" spans="2:2">
      <c r="B1643" s="50" t="str">
        <f t="shared" si="27"/>
        <v/>
      </c>
    </row>
    <row r="1644" spans="2:2">
      <c r="B1644" s="50" t="str">
        <f t="shared" si="27"/>
        <v/>
      </c>
    </row>
    <row r="1645" spans="2:2">
      <c r="B1645" s="50" t="str">
        <f t="shared" si="27"/>
        <v/>
      </c>
    </row>
    <row r="1646" spans="2:2">
      <c r="B1646" s="50" t="str">
        <f t="shared" si="27"/>
        <v/>
      </c>
    </row>
    <row r="1647" spans="2:2">
      <c r="B1647" s="50" t="str">
        <f t="shared" si="27"/>
        <v/>
      </c>
    </row>
    <row r="1648" spans="2:2">
      <c r="B1648" s="50" t="str">
        <f t="shared" si="27"/>
        <v/>
      </c>
    </row>
    <row r="1649" spans="2:2">
      <c r="B1649" s="50" t="str">
        <f t="shared" si="27"/>
        <v/>
      </c>
    </row>
    <row r="1650" spans="2:2">
      <c r="B1650" s="50" t="str">
        <f t="shared" si="27"/>
        <v/>
      </c>
    </row>
    <row r="1651" spans="2:2">
      <c r="B1651" s="50" t="str">
        <f t="shared" si="27"/>
        <v/>
      </c>
    </row>
    <row r="1652" spans="2:2">
      <c r="B1652" s="50" t="str">
        <f t="shared" si="27"/>
        <v/>
      </c>
    </row>
    <row r="1653" spans="2:2">
      <c r="B1653" s="50" t="str">
        <f t="shared" si="27"/>
        <v/>
      </c>
    </row>
    <row r="1654" spans="2:2">
      <c r="B1654" s="50" t="str">
        <f t="shared" si="27"/>
        <v/>
      </c>
    </row>
    <row r="1655" spans="2:2">
      <c r="B1655" s="50" t="str">
        <f t="shared" si="27"/>
        <v/>
      </c>
    </row>
    <row r="1656" spans="2:2">
      <c r="B1656" s="50" t="str">
        <f t="shared" si="27"/>
        <v/>
      </c>
    </row>
    <row r="1657" spans="2:2">
      <c r="B1657" s="50" t="str">
        <f t="shared" si="27"/>
        <v/>
      </c>
    </row>
    <row r="1658" spans="2:2">
      <c r="B1658" s="50" t="str">
        <f t="shared" si="27"/>
        <v/>
      </c>
    </row>
    <row r="1659" spans="2:2">
      <c r="B1659" s="50" t="str">
        <f t="shared" si="27"/>
        <v/>
      </c>
    </row>
    <row r="1660" spans="2:2">
      <c r="B1660" s="50" t="str">
        <f t="shared" si="27"/>
        <v/>
      </c>
    </row>
    <row r="1661" spans="2:2">
      <c r="B1661" s="50" t="str">
        <f t="shared" si="27"/>
        <v/>
      </c>
    </row>
    <row r="1662" spans="2:2">
      <c r="B1662" s="50" t="str">
        <f t="shared" si="27"/>
        <v/>
      </c>
    </row>
    <row r="1663" spans="2:2">
      <c r="B1663" s="50" t="str">
        <f t="shared" si="27"/>
        <v/>
      </c>
    </row>
    <row r="1664" spans="2:2">
      <c r="B1664" s="50" t="str">
        <f t="shared" si="27"/>
        <v/>
      </c>
    </row>
    <row r="1665" spans="2:2">
      <c r="B1665" s="50" t="str">
        <f t="shared" si="27"/>
        <v/>
      </c>
    </row>
    <row r="1666" spans="2:2">
      <c r="B1666" s="50" t="str">
        <f t="shared" si="27"/>
        <v/>
      </c>
    </row>
    <row r="1667" spans="2:2">
      <c r="B1667" s="50" t="str">
        <f t="shared" si="27"/>
        <v/>
      </c>
    </row>
    <row r="1668" spans="2:2">
      <c r="B1668" s="50" t="str">
        <f t="shared" si="27"/>
        <v/>
      </c>
    </row>
    <row r="1669" spans="2:2">
      <c r="B1669" s="50" t="str">
        <f t="shared" si="27"/>
        <v/>
      </c>
    </row>
    <row r="1670" spans="2:2">
      <c r="B1670" s="50" t="str">
        <f t="shared" si="27"/>
        <v/>
      </c>
    </row>
    <row r="1671" spans="2:2">
      <c r="B1671" s="50" t="str">
        <f t="shared" si="27"/>
        <v/>
      </c>
    </row>
    <row r="1672" spans="2:2">
      <c r="B1672" s="50" t="str">
        <f t="shared" si="27"/>
        <v/>
      </c>
    </row>
    <row r="1673" spans="2:2">
      <c r="B1673" s="50" t="str">
        <f t="shared" si="27"/>
        <v/>
      </c>
    </row>
    <row r="1674" spans="2:2">
      <c r="B1674" s="50" t="str">
        <f t="shared" si="27"/>
        <v/>
      </c>
    </row>
    <row r="1675" spans="2:2">
      <c r="B1675" s="50" t="str">
        <f t="shared" si="27"/>
        <v/>
      </c>
    </row>
    <row r="1676" spans="2:2">
      <c r="B1676" s="50" t="str">
        <f t="shared" si="27"/>
        <v/>
      </c>
    </row>
    <row r="1677" spans="2:2">
      <c r="B1677" s="50" t="str">
        <f t="shared" si="27"/>
        <v/>
      </c>
    </row>
    <row r="1678" spans="2:2">
      <c r="B1678" s="50" t="str">
        <f t="shared" si="27"/>
        <v/>
      </c>
    </row>
    <row r="1679" spans="2:2">
      <c r="B1679" s="50" t="str">
        <f t="shared" si="27"/>
        <v/>
      </c>
    </row>
    <row r="1680" spans="2:2">
      <c r="B1680" s="50" t="str">
        <f t="shared" si="27"/>
        <v/>
      </c>
    </row>
    <row r="1681" spans="2:2">
      <c r="B1681" s="50" t="str">
        <f t="shared" si="27"/>
        <v/>
      </c>
    </row>
    <row r="1682" spans="2:2">
      <c r="B1682" s="50" t="str">
        <f t="shared" si="27"/>
        <v/>
      </c>
    </row>
    <row r="1683" spans="2:2">
      <c r="B1683" s="50" t="str">
        <f t="shared" si="27"/>
        <v/>
      </c>
    </row>
    <row r="1684" spans="2:2">
      <c r="B1684" s="50" t="str">
        <f t="shared" si="27"/>
        <v/>
      </c>
    </row>
    <row r="1685" spans="2:2">
      <c r="B1685" s="50" t="str">
        <f t="shared" si="27"/>
        <v/>
      </c>
    </row>
    <row r="1686" spans="2:2">
      <c r="B1686" s="50" t="str">
        <f t="shared" si="27"/>
        <v/>
      </c>
    </row>
    <row r="1687" spans="2:2">
      <c r="B1687" s="50" t="str">
        <f t="shared" si="27"/>
        <v/>
      </c>
    </row>
    <row r="1688" spans="2:2">
      <c r="B1688" s="50" t="str">
        <f t="shared" si="27"/>
        <v/>
      </c>
    </row>
    <row r="1689" spans="2:2">
      <c r="B1689" s="50" t="str">
        <f t="shared" si="27"/>
        <v/>
      </c>
    </row>
    <row r="1690" spans="2:2">
      <c r="B1690" s="50" t="str">
        <f t="shared" si="27"/>
        <v/>
      </c>
    </row>
    <row r="1691" spans="2:2">
      <c r="B1691" s="50" t="str">
        <f t="shared" si="27"/>
        <v/>
      </c>
    </row>
    <row r="1692" spans="2:2">
      <c r="B1692" s="50" t="str">
        <f t="shared" si="27"/>
        <v/>
      </c>
    </row>
    <row r="1693" spans="2:2">
      <c r="B1693" s="50" t="str">
        <f t="shared" si="27"/>
        <v/>
      </c>
    </row>
    <row r="1694" spans="2:2">
      <c r="B1694" s="50" t="str">
        <f t="shared" si="27"/>
        <v/>
      </c>
    </row>
    <row r="1695" spans="2:2">
      <c r="B1695" s="50" t="str">
        <f t="shared" ref="B1695:B1758" si="28">IF($C1695="","",LEFT($C1695,2))</f>
        <v/>
      </c>
    </row>
    <row r="1696" spans="2:2">
      <c r="B1696" s="50" t="str">
        <f t="shared" si="28"/>
        <v/>
      </c>
    </row>
    <row r="1697" spans="2:2">
      <c r="B1697" s="50" t="str">
        <f t="shared" si="28"/>
        <v/>
      </c>
    </row>
    <row r="1698" spans="2:2">
      <c r="B1698" s="50" t="str">
        <f t="shared" si="28"/>
        <v/>
      </c>
    </row>
    <row r="1699" spans="2:2">
      <c r="B1699" s="50" t="str">
        <f t="shared" si="28"/>
        <v/>
      </c>
    </row>
    <row r="1700" spans="2:2">
      <c r="B1700" s="50" t="str">
        <f t="shared" si="28"/>
        <v/>
      </c>
    </row>
    <row r="1701" spans="2:2">
      <c r="B1701" s="50" t="str">
        <f t="shared" si="28"/>
        <v/>
      </c>
    </row>
    <row r="1702" spans="2:2">
      <c r="B1702" s="50" t="str">
        <f t="shared" si="28"/>
        <v/>
      </c>
    </row>
    <row r="1703" spans="2:2">
      <c r="B1703" s="50" t="str">
        <f t="shared" si="28"/>
        <v/>
      </c>
    </row>
    <row r="1704" spans="2:2">
      <c r="B1704" s="50" t="str">
        <f t="shared" si="28"/>
        <v/>
      </c>
    </row>
    <row r="1705" spans="2:2">
      <c r="B1705" s="50" t="str">
        <f t="shared" si="28"/>
        <v/>
      </c>
    </row>
    <row r="1706" spans="2:2">
      <c r="B1706" s="50" t="str">
        <f t="shared" si="28"/>
        <v/>
      </c>
    </row>
    <row r="1707" spans="2:2">
      <c r="B1707" s="50" t="str">
        <f t="shared" si="28"/>
        <v/>
      </c>
    </row>
    <row r="1708" spans="2:2">
      <c r="B1708" s="50" t="str">
        <f t="shared" si="28"/>
        <v/>
      </c>
    </row>
    <row r="1709" spans="2:2">
      <c r="B1709" s="50" t="str">
        <f t="shared" si="28"/>
        <v/>
      </c>
    </row>
    <row r="1710" spans="2:2">
      <c r="B1710" s="50" t="str">
        <f t="shared" si="28"/>
        <v/>
      </c>
    </row>
    <row r="1711" spans="2:2">
      <c r="B1711" s="50" t="str">
        <f t="shared" si="28"/>
        <v/>
      </c>
    </row>
    <row r="1712" spans="2:2">
      <c r="B1712" s="50" t="str">
        <f t="shared" si="28"/>
        <v/>
      </c>
    </row>
    <row r="1713" spans="2:2">
      <c r="B1713" s="50" t="str">
        <f t="shared" si="28"/>
        <v/>
      </c>
    </row>
    <row r="1714" spans="2:2">
      <c r="B1714" s="50" t="str">
        <f t="shared" si="28"/>
        <v/>
      </c>
    </row>
    <row r="1715" spans="2:2">
      <c r="B1715" s="50" t="str">
        <f t="shared" si="28"/>
        <v/>
      </c>
    </row>
    <row r="1716" spans="2:2">
      <c r="B1716" s="50" t="str">
        <f t="shared" si="28"/>
        <v/>
      </c>
    </row>
    <row r="1717" spans="2:2">
      <c r="B1717" s="50" t="str">
        <f t="shared" si="28"/>
        <v/>
      </c>
    </row>
    <row r="1718" spans="2:2">
      <c r="B1718" s="50" t="str">
        <f t="shared" si="28"/>
        <v/>
      </c>
    </row>
    <row r="1719" spans="2:2">
      <c r="B1719" s="50" t="str">
        <f t="shared" si="28"/>
        <v/>
      </c>
    </row>
    <row r="1720" spans="2:2">
      <c r="B1720" s="50" t="str">
        <f t="shared" si="28"/>
        <v/>
      </c>
    </row>
    <row r="1721" spans="2:2">
      <c r="B1721" s="50" t="str">
        <f t="shared" si="28"/>
        <v/>
      </c>
    </row>
    <row r="1722" spans="2:2">
      <c r="B1722" s="50" t="str">
        <f t="shared" si="28"/>
        <v/>
      </c>
    </row>
    <row r="1723" spans="2:2">
      <c r="B1723" s="50" t="str">
        <f t="shared" si="28"/>
        <v/>
      </c>
    </row>
    <row r="1724" spans="2:2">
      <c r="B1724" s="50" t="str">
        <f t="shared" si="28"/>
        <v/>
      </c>
    </row>
    <row r="1725" spans="2:2">
      <c r="B1725" s="50" t="str">
        <f t="shared" si="28"/>
        <v/>
      </c>
    </row>
    <row r="1726" spans="2:2">
      <c r="B1726" s="50" t="str">
        <f t="shared" si="28"/>
        <v/>
      </c>
    </row>
    <row r="1727" spans="2:2">
      <c r="B1727" s="50" t="str">
        <f t="shared" si="28"/>
        <v/>
      </c>
    </row>
    <row r="1728" spans="2:2">
      <c r="B1728" s="50" t="str">
        <f t="shared" si="28"/>
        <v/>
      </c>
    </row>
    <row r="1729" spans="2:2">
      <c r="B1729" s="50" t="str">
        <f t="shared" si="28"/>
        <v/>
      </c>
    </row>
    <row r="1730" spans="2:2">
      <c r="B1730" s="50" t="str">
        <f t="shared" si="28"/>
        <v/>
      </c>
    </row>
    <row r="1731" spans="2:2">
      <c r="B1731" s="50" t="str">
        <f t="shared" si="28"/>
        <v/>
      </c>
    </row>
    <row r="1732" spans="2:2">
      <c r="B1732" s="50" t="str">
        <f t="shared" si="28"/>
        <v/>
      </c>
    </row>
    <row r="1733" spans="2:2">
      <c r="B1733" s="50" t="str">
        <f t="shared" si="28"/>
        <v/>
      </c>
    </row>
    <row r="1734" spans="2:2">
      <c r="B1734" s="50" t="str">
        <f t="shared" si="28"/>
        <v/>
      </c>
    </row>
    <row r="1735" spans="2:2">
      <c r="B1735" s="50" t="str">
        <f t="shared" si="28"/>
        <v/>
      </c>
    </row>
    <row r="1736" spans="2:2">
      <c r="B1736" s="50" t="str">
        <f t="shared" si="28"/>
        <v/>
      </c>
    </row>
    <row r="1737" spans="2:2">
      <c r="B1737" s="50" t="str">
        <f t="shared" si="28"/>
        <v/>
      </c>
    </row>
    <row r="1738" spans="2:2">
      <c r="B1738" s="50" t="str">
        <f t="shared" si="28"/>
        <v/>
      </c>
    </row>
    <row r="1739" spans="2:2">
      <c r="B1739" s="50" t="str">
        <f t="shared" si="28"/>
        <v/>
      </c>
    </row>
    <row r="1740" spans="2:2">
      <c r="B1740" s="50" t="str">
        <f t="shared" si="28"/>
        <v/>
      </c>
    </row>
    <row r="1741" spans="2:2">
      <c r="B1741" s="50" t="str">
        <f t="shared" si="28"/>
        <v/>
      </c>
    </row>
    <row r="1742" spans="2:2">
      <c r="B1742" s="50" t="str">
        <f t="shared" si="28"/>
        <v/>
      </c>
    </row>
    <row r="1743" spans="2:2">
      <c r="B1743" s="50" t="str">
        <f t="shared" si="28"/>
        <v/>
      </c>
    </row>
    <row r="1744" spans="2:2">
      <c r="B1744" s="50" t="str">
        <f t="shared" si="28"/>
        <v/>
      </c>
    </row>
    <row r="1745" spans="2:2">
      <c r="B1745" s="50" t="str">
        <f t="shared" si="28"/>
        <v/>
      </c>
    </row>
    <row r="1746" spans="2:2">
      <c r="B1746" s="50" t="str">
        <f t="shared" si="28"/>
        <v/>
      </c>
    </row>
    <row r="1747" spans="2:2">
      <c r="B1747" s="50" t="str">
        <f t="shared" si="28"/>
        <v/>
      </c>
    </row>
    <row r="1748" spans="2:2">
      <c r="B1748" s="50" t="str">
        <f t="shared" si="28"/>
        <v/>
      </c>
    </row>
    <row r="1749" spans="2:2">
      <c r="B1749" s="50" t="str">
        <f t="shared" si="28"/>
        <v/>
      </c>
    </row>
    <row r="1750" spans="2:2">
      <c r="B1750" s="50" t="str">
        <f t="shared" si="28"/>
        <v/>
      </c>
    </row>
    <row r="1751" spans="2:2">
      <c r="B1751" s="50" t="str">
        <f t="shared" si="28"/>
        <v/>
      </c>
    </row>
    <row r="1752" spans="2:2">
      <c r="B1752" s="50" t="str">
        <f t="shared" si="28"/>
        <v/>
      </c>
    </row>
    <row r="1753" spans="2:2">
      <c r="B1753" s="50" t="str">
        <f t="shared" si="28"/>
        <v/>
      </c>
    </row>
    <row r="1754" spans="2:2">
      <c r="B1754" s="50" t="str">
        <f t="shared" si="28"/>
        <v/>
      </c>
    </row>
    <row r="1755" spans="2:2">
      <c r="B1755" s="50" t="str">
        <f t="shared" si="28"/>
        <v/>
      </c>
    </row>
    <row r="1756" spans="2:2">
      <c r="B1756" s="50" t="str">
        <f t="shared" si="28"/>
        <v/>
      </c>
    </row>
    <row r="1757" spans="2:2">
      <c r="B1757" s="50" t="str">
        <f t="shared" si="28"/>
        <v/>
      </c>
    </row>
    <row r="1758" spans="2:2">
      <c r="B1758" s="50" t="str">
        <f t="shared" si="28"/>
        <v/>
      </c>
    </row>
    <row r="1759" spans="2:2">
      <c r="B1759" s="50" t="str">
        <f t="shared" ref="B1759:B1822" si="29">IF($C1759="","",LEFT($C1759,2))</f>
        <v/>
      </c>
    </row>
    <row r="1760" spans="2:2">
      <c r="B1760" s="50" t="str">
        <f t="shared" si="29"/>
        <v/>
      </c>
    </row>
    <row r="1761" spans="2:2">
      <c r="B1761" s="50" t="str">
        <f t="shared" si="29"/>
        <v/>
      </c>
    </row>
    <row r="1762" spans="2:2">
      <c r="B1762" s="50" t="str">
        <f t="shared" si="29"/>
        <v/>
      </c>
    </row>
    <row r="1763" spans="2:2">
      <c r="B1763" s="50" t="str">
        <f t="shared" si="29"/>
        <v/>
      </c>
    </row>
    <row r="1764" spans="2:2">
      <c r="B1764" s="50" t="str">
        <f t="shared" si="29"/>
        <v/>
      </c>
    </row>
    <row r="1765" spans="2:2">
      <c r="B1765" s="50" t="str">
        <f t="shared" si="29"/>
        <v/>
      </c>
    </row>
    <row r="1766" spans="2:2">
      <c r="B1766" s="50" t="str">
        <f t="shared" si="29"/>
        <v/>
      </c>
    </row>
    <row r="1767" spans="2:2">
      <c r="B1767" s="50" t="str">
        <f t="shared" si="29"/>
        <v/>
      </c>
    </row>
    <row r="1768" spans="2:2">
      <c r="B1768" s="50" t="str">
        <f t="shared" si="29"/>
        <v/>
      </c>
    </row>
    <row r="1769" spans="2:2">
      <c r="B1769" s="50" t="str">
        <f t="shared" si="29"/>
        <v/>
      </c>
    </row>
    <row r="1770" spans="2:2">
      <c r="B1770" s="50" t="str">
        <f t="shared" si="29"/>
        <v/>
      </c>
    </row>
    <row r="1771" spans="2:2">
      <c r="B1771" s="50" t="str">
        <f t="shared" si="29"/>
        <v/>
      </c>
    </row>
    <row r="1772" spans="2:2">
      <c r="B1772" s="50" t="str">
        <f t="shared" si="29"/>
        <v/>
      </c>
    </row>
    <row r="1773" spans="2:2">
      <c r="B1773" s="50" t="str">
        <f t="shared" si="29"/>
        <v/>
      </c>
    </row>
    <row r="1774" spans="2:2">
      <c r="B1774" s="50" t="str">
        <f t="shared" si="29"/>
        <v/>
      </c>
    </row>
    <row r="1775" spans="2:2">
      <c r="B1775" s="50" t="str">
        <f t="shared" si="29"/>
        <v/>
      </c>
    </row>
    <row r="1776" spans="2:2">
      <c r="B1776" s="50" t="str">
        <f t="shared" si="29"/>
        <v/>
      </c>
    </row>
    <row r="1777" spans="2:2">
      <c r="B1777" s="50" t="str">
        <f t="shared" si="29"/>
        <v/>
      </c>
    </row>
    <row r="1778" spans="2:2">
      <c r="B1778" s="50" t="str">
        <f t="shared" si="29"/>
        <v/>
      </c>
    </row>
    <row r="1779" spans="2:2">
      <c r="B1779" s="50" t="str">
        <f t="shared" si="29"/>
        <v/>
      </c>
    </row>
    <row r="1780" spans="2:2">
      <c r="B1780" s="50" t="str">
        <f t="shared" si="29"/>
        <v/>
      </c>
    </row>
    <row r="1781" spans="2:2">
      <c r="B1781" s="50" t="str">
        <f t="shared" si="29"/>
        <v/>
      </c>
    </row>
    <row r="1782" spans="2:2">
      <c r="B1782" s="50" t="str">
        <f t="shared" si="29"/>
        <v/>
      </c>
    </row>
    <row r="1783" spans="2:2">
      <c r="B1783" s="50" t="str">
        <f t="shared" si="29"/>
        <v/>
      </c>
    </row>
    <row r="1784" spans="2:2">
      <c r="B1784" s="50" t="str">
        <f t="shared" si="29"/>
        <v/>
      </c>
    </row>
    <row r="1785" spans="2:2">
      <c r="B1785" s="50" t="str">
        <f t="shared" si="29"/>
        <v/>
      </c>
    </row>
    <row r="1786" spans="2:2">
      <c r="B1786" s="50" t="str">
        <f t="shared" si="29"/>
        <v/>
      </c>
    </row>
    <row r="1787" spans="2:2">
      <c r="B1787" s="50" t="str">
        <f t="shared" si="29"/>
        <v/>
      </c>
    </row>
    <row r="1788" spans="2:2">
      <c r="B1788" s="50" t="str">
        <f t="shared" si="29"/>
        <v/>
      </c>
    </row>
    <row r="1789" spans="2:2">
      <c r="B1789" s="50" t="str">
        <f t="shared" si="29"/>
        <v/>
      </c>
    </row>
    <row r="1790" spans="2:2">
      <c r="B1790" s="50" t="str">
        <f t="shared" si="29"/>
        <v/>
      </c>
    </row>
    <row r="1791" spans="2:2">
      <c r="B1791" s="50" t="str">
        <f t="shared" si="29"/>
        <v/>
      </c>
    </row>
    <row r="1792" spans="2:2">
      <c r="B1792" s="50" t="str">
        <f t="shared" si="29"/>
        <v/>
      </c>
    </row>
    <row r="1793" spans="2:2">
      <c r="B1793" s="50" t="str">
        <f t="shared" si="29"/>
        <v/>
      </c>
    </row>
    <row r="1794" spans="2:2">
      <c r="B1794" s="50" t="str">
        <f t="shared" si="29"/>
        <v/>
      </c>
    </row>
    <row r="1795" spans="2:2">
      <c r="B1795" s="50" t="str">
        <f t="shared" si="29"/>
        <v/>
      </c>
    </row>
    <row r="1796" spans="2:2">
      <c r="B1796" s="50" t="str">
        <f t="shared" si="29"/>
        <v/>
      </c>
    </row>
    <row r="1797" spans="2:2">
      <c r="B1797" s="50" t="str">
        <f t="shared" si="29"/>
        <v/>
      </c>
    </row>
    <row r="1798" spans="2:2">
      <c r="B1798" s="50" t="str">
        <f t="shared" si="29"/>
        <v/>
      </c>
    </row>
    <row r="1799" spans="2:2">
      <c r="B1799" s="50" t="str">
        <f t="shared" si="29"/>
        <v/>
      </c>
    </row>
    <row r="1800" spans="2:2">
      <c r="B1800" s="50" t="str">
        <f t="shared" si="29"/>
        <v/>
      </c>
    </row>
    <row r="1801" spans="2:2">
      <c r="B1801" s="50" t="str">
        <f t="shared" si="29"/>
        <v/>
      </c>
    </row>
    <row r="1802" spans="2:2">
      <c r="B1802" s="50" t="str">
        <f t="shared" si="29"/>
        <v/>
      </c>
    </row>
    <row r="1803" spans="2:2">
      <c r="B1803" s="50" t="str">
        <f t="shared" si="29"/>
        <v/>
      </c>
    </row>
    <row r="1804" spans="2:2">
      <c r="B1804" s="50" t="str">
        <f t="shared" si="29"/>
        <v/>
      </c>
    </row>
    <row r="1805" spans="2:2">
      <c r="B1805" s="50" t="str">
        <f t="shared" si="29"/>
        <v/>
      </c>
    </row>
    <row r="1806" spans="2:2">
      <c r="B1806" s="50" t="str">
        <f t="shared" si="29"/>
        <v/>
      </c>
    </row>
    <row r="1807" spans="2:2">
      <c r="B1807" s="50" t="str">
        <f t="shared" si="29"/>
        <v/>
      </c>
    </row>
    <row r="1808" spans="2:2">
      <c r="B1808" s="50" t="str">
        <f t="shared" si="29"/>
        <v/>
      </c>
    </row>
    <row r="1809" spans="2:2">
      <c r="B1809" s="50" t="str">
        <f t="shared" si="29"/>
        <v/>
      </c>
    </row>
    <row r="1810" spans="2:2">
      <c r="B1810" s="50" t="str">
        <f t="shared" si="29"/>
        <v/>
      </c>
    </row>
    <row r="1811" spans="2:2">
      <c r="B1811" s="50" t="str">
        <f t="shared" si="29"/>
        <v/>
      </c>
    </row>
    <row r="1812" spans="2:2">
      <c r="B1812" s="50" t="str">
        <f t="shared" si="29"/>
        <v/>
      </c>
    </row>
    <row r="1813" spans="2:2">
      <c r="B1813" s="50" t="str">
        <f t="shared" si="29"/>
        <v/>
      </c>
    </row>
    <row r="1814" spans="2:2">
      <c r="B1814" s="50" t="str">
        <f t="shared" si="29"/>
        <v/>
      </c>
    </row>
    <row r="1815" spans="2:2">
      <c r="B1815" s="50" t="str">
        <f t="shared" si="29"/>
        <v/>
      </c>
    </row>
    <row r="1816" spans="2:2">
      <c r="B1816" s="50" t="str">
        <f t="shared" si="29"/>
        <v/>
      </c>
    </row>
    <row r="1817" spans="2:2">
      <c r="B1817" s="50" t="str">
        <f t="shared" si="29"/>
        <v/>
      </c>
    </row>
    <row r="1818" spans="2:2">
      <c r="B1818" s="50" t="str">
        <f t="shared" si="29"/>
        <v/>
      </c>
    </row>
    <row r="1819" spans="2:2">
      <c r="B1819" s="50" t="str">
        <f t="shared" si="29"/>
        <v/>
      </c>
    </row>
    <row r="1820" spans="2:2">
      <c r="B1820" s="50" t="str">
        <f t="shared" si="29"/>
        <v/>
      </c>
    </row>
    <row r="1821" spans="2:2">
      <c r="B1821" s="50" t="str">
        <f t="shared" si="29"/>
        <v/>
      </c>
    </row>
    <row r="1822" spans="2:2">
      <c r="B1822" s="50" t="str">
        <f t="shared" si="29"/>
        <v/>
      </c>
    </row>
    <row r="1823" spans="2:2">
      <c r="B1823" s="50" t="str">
        <f t="shared" ref="B1823:B1886" si="30">IF($C1823="","",LEFT($C1823,2))</f>
        <v/>
      </c>
    </row>
    <row r="1824" spans="2:2">
      <c r="B1824" s="50" t="str">
        <f t="shared" si="30"/>
        <v/>
      </c>
    </row>
    <row r="1825" spans="2:2">
      <c r="B1825" s="50" t="str">
        <f t="shared" si="30"/>
        <v/>
      </c>
    </row>
    <row r="1826" spans="2:2">
      <c r="B1826" s="50" t="str">
        <f t="shared" si="30"/>
        <v/>
      </c>
    </row>
    <row r="1827" spans="2:2">
      <c r="B1827" s="50" t="str">
        <f t="shared" si="30"/>
        <v/>
      </c>
    </row>
    <row r="1828" spans="2:2">
      <c r="B1828" s="50" t="str">
        <f t="shared" si="30"/>
        <v/>
      </c>
    </row>
    <row r="1829" spans="2:2">
      <c r="B1829" s="50" t="str">
        <f t="shared" si="30"/>
        <v/>
      </c>
    </row>
    <row r="1830" spans="2:2">
      <c r="B1830" s="50" t="str">
        <f t="shared" si="30"/>
        <v/>
      </c>
    </row>
    <row r="1831" spans="2:2">
      <c r="B1831" s="50" t="str">
        <f t="shared" si="30"/>
        <v/>
      </c>
    </row>
    <row r="1832" spans="2:2">
      <c r="B1832" s="50" t="str">
        <f t="shared" si="30"/>
        <v/>
      </c>
    </row>
    <row r="1833" spans="2:2">
      <c r="B1833" s="50" t="str">
        <f t="shared" si="30"/>
        <v/>
      </c>
    </row>
    <row r="1834" spans="2:2">
      <c r="B1834" s="50" t="str">
        <f t="shared" si="30"/>
        <v/>
      </c>
    </row>
    <row r="1835" spans="2:2">
      <c r="B1835" s="50" t="str">
        <f t="shared" si="30"/>
        <v/>
      </c>
    </row>
    <row r="1836" spans="2:2">
      <c r="B1836" s="50" t="str">
        <f t="shared" si="30"/>
        <v/>
      </c>
    </row>
    <row r="1837" spans="2:2">
      <c r="B1837" s="50" t="str">
        <f t="shared" si="30"/>
        <v/>
      </c>
    </row>
    <row r="1838" spans="2:2">
      <c r="B1838" s="50" t="str">
        <f t="shared" si="30"/>
        <v/>
      </c>
    </row>
    <row r="1839" spans="2:2">
      <c r="B1839" s="50" t="str">
        <f t="shared" si="30"/>
        <v/>
      </c>
    </row>
    <row r="1840" spans="2:2">
      <c r="B1840" s="50" t="str">
        <f t="shared" si="30"/>
        <v/>
      </c>
    </row>
    <row r="1841" spans="2:2">
      <c r="B1841" s="50" t="str">
        <f t="shared" si="30"/>
        <v/>
      </c>
    </row>
    <row r="1842" spans="2:2">
      <c r="B1842" s="50" t="str">
        <f t="shared" si="30"/>
        <v/>
      </c>
    </row>
    <row r="1843" spans="2:2">
      <c r="B1843" s="50" t="str">
        <f t="shared" si="30"/>
        <v/>
      </c>
    </row>
    <row r="1844" spans="2:2">
      <c r="B1844" s="50" t="str">
        <f t="shared" si="30"/>
        <v/>
      </c>
    </row>
    <row r="1845" spans="2:2">
      <c r="B1845" s="50" t="str">
        <f t="shared" si="30"/>
        <v/>
      </c>
    </row>
    <row r="1846" spans="2:2">
      <c r="B1846" s="50" t="str">
        <f t="shared" si="30"/>
        <v/>
      </c>
    </row>
    <row r="1847" spans="2:2">
      <c r="B1847" s="50" t="str">
        <f t="shared" si="30"/>
        <v/>
      </c>
    </row>
    <row r="1848" spans="2:2">
      <c r="B1848" s="50" t="str">
        <f t="shared" si="30"/>
        <v/>
      </c>
    </row>
    <row r="1849" spans="2:2">
      <c r="B1849" s="50" t="str">
        <f t="shared" si="30"/>
        <v/>
      </c>
    </row>
    <row r="1850" spans="2:2">
      <c r="B1850" s="50" t="str">
        <f t="shared" si="30"/>
        <v/>
      </c>
    </row>
    <row r="1851" spans="2:2">
      <c r="B1851" s="50" t="str">
        <f t="shared" si="30"/>
        <v/>
      </c>
    </row>
    <row r="1852" spans="2:2">
      <c r="B1852" s="50" t="str">
        <f t="shared" si="30"/>
        <v/>
      </c>
    </row>
    <row r="1853" spans="2:2">
      <c r="B1853" s="50" t="str">
        <f t="shared" si="30"/>
        <v/>
      </c>
    </row>
    <row r="1854" spans="2:2">
      <c r="B1854" s="50" t="str">
        <f t="shared" si="30"/>
        <v/>
      </c>
    </row>
    <row r="1855" spans="2:2">
      <c r="B1855" s="50" t="str">
        <f t="shared" si="30"/>
        <v/>
      </c>
    </row>
    <row r="1856" spans="2:2">
      <c r="B1856" s="50" t="str">
        <f t="shared" si="30"/>
        <v/>
      </c>
    </row>
    <row r="1857" spans="2:2">
      <c r="B1857" s="50" t="str">
        <f t="shared" si="30"/>
        <v/>
      </c>
    </row>
    <row r="1858" spans="2:2">
      <c r="B1858" s="50" t="str">
        <f t="shared" si="30"/>
        <v/>
      </c>
    </row>
    <row r="1859" spans="2:2">
      <c r="B1859" s="50" t="str">
        <f t="shared" si="30"/>
        <v/>
      </c>
    </row>
    <row r="1860" spans="2:2">
      <c r="B1860" s="50" t="str">
        <f t="shared" si="30"/>
        <v/>
      </c>
    </row>
    <row r="1861" spans="2:2">
      <c r="B1861" s="50" t="str">
        <f t="shared" si="30"/>
        <v/>
      </c>
    </row>
    <row r="1862" spans="2:2">
      <c r="B1862" s="50" t="str">
        <f t="shared" si="30"/>
        <v/>
      </c>
    </row>
    <row r="1863" spans="2:2">
      <c r="B1863" s="50" t="str">
        <f t="shared" si="30"/>
        <v/>
      </c>
    </row>
    <row r="1864" spans="2:2">
      <c r="B1864" s="50" t="str">
        <f t="shared" si="30"/>
        <v/>
      </c>
    </row>
    <row r="1865" spans="2:2">
      <c r="B1865" s="50" t="str">
        <f t="shared" si="30"/>
        <v/>
      </c>
    </row>
    <row r="1866" spans="2:2">
      <c r="B1866" s="50" t="str">
        <f t="shared" si="30"/>
        <v/>
      </c>
    </row>
    <row r="1867" spans="2:2">
      <c r="B1867" s="50" t="str">
        <f t="shared" si="30"/>
        <v/>
      </c>
    </row>
    <row r="1868" spans="2:2">
      <c r="B1868" s="50" t="str">
        <f t="shared" si="30"/>
        <v/>
      </c>
    </row>
    <row r="1869" spans="2:2">
      <c r="B1869" s="50" t="str">
        <f t="shared" si="30"/>
        <v/>
      </c>
    </row>
    <row r="1870" spans="2:2">
      <c r="B1870" s="50" t="str">
        <f t="shared" si="30"/>
        <v/>
      </c>
    </row>
    <row r="1871" spans="2:2">
      <c r="B1871" s="50" t="str">
        <f t="shared" si="30"/>
        <v/>
      </c>
    </row>
    <row r="1872" spans="2:2">
      <c r="B1872" s="50" t="str">
        <f t="shared" si="30"/>
        <v/>
      </c>
    </row>
    <row r="1873" spans="2:2">
      <c r="B1873" s="50" t="str">
        <f t="shared" si="30"/>
        <v/>
      </c>
    </row>
    <row r="1874" spans="2:2">
      <c r="B1874" s="50" t="str">
        <f t="shared" si="30"/>
        <v/>
      </c>
    </row>
    <row r="1875" spans="2:2">
      <c r="B1875" s="50" t="str">
        <f t="shared" si="30"/>
        <v/>
      </c>
    </row>
    <row r="1876" spans="2:2">
      <c r="B1876" s="50" t="str">
        <f t="shared" si="30"/>
        <v/>
      </c>
    </row>
    <row r="1877" spans="2:2">
      <c r="B1877" s="50" t="str">
        <f t="shared" si="30"/>
        <v/>
      </c>
    </row>
    <row r="1878" spans="2:2">
      <c r="B1878" s="50" t="str">
        <f t="shared" si="30"/>
        <v/>
      </c>
    </row>
    <row r="1879" spans="2:2">
      <c r="B1879" s="50" t="str">
        <f t="shared" si="30"/>
        <v/>
      </c>
    </row>
    <row r="1880" spans="2:2">
      <c r="B1880" s="50" t="str">
        <f t="shared" si="30"/>
        <v/>
      </c>
    </row>
    <row r="1881" spans="2:2">
      <c r="B1881" s="50" t="str">
        <f t="shared" si="30"/>
        <v/>
      </c>
    </row>
    <row r="1882" spans="2:2">
      <c r="B1882" s="50" t="str">
        <f t="shared" si="30"/>
        <v/>
      </c>
    </row>
    <row r="1883" spans="2:2">
      <c r="B1883" s="50" t="str">
        <f t="shared" si="30"/>
        <v/>
      </c>
    </row>
    <row r="1884" spans="2:2">
      <c r="B1884" s="50" t="str">
        <f t="shared" si="30"/>
        <v/>
      </c>
    </row>
    <row r="1885" spans="2:2">
      <c r="B1885" s="50" t="str">
        <f t="shared" si="30"/>
        <v/>
      </c>
    </row>
    <row r="1886" spans="2:2">
      <c r="B1886" s="50" t="str">
        <f t="shared" si="30"/>
        <v/>
      </c>
    </row>
    <row r="1887" spans="2:2">
      <c r="B1887" s="50" t="str">
        <f t="shared" ref="B1887:B1950" si="31">IF($C1887="","",LEFT($C1887,2))</f>
        <v/>
      </c>
    </row>
    <row r="1888" spans="2:2">
      <c r="B1888" s="50" t="str">
        <f t="shared" si="31"/>
        <v/>
      </c>
    </row>
    <row r="1889" spans="2:2">
      <c r="B1889" s="50" t="str">
        <f t="shared" si="31"/>
        <v/>
      </c>
    </row>
    <row r="1890" spans="2:2">
      <c r="B1890" s="50" t="str">
        <f t="shared" si="31"/>
        <v/>
      </c>
    </row>
    <row r="1891" spans="2:2">
      <c r="B1891" s="50" t="str">
        <f t="shared" si="31"/>
        <v/>
      </c>
    </row>
    <row r="1892" spans="2:2">
      <c r="B1892" s="50" t="str">
        <f t="shared" si="31"/>
        <v/>
      </c>
    </row>
    <row r="1893" spans="2:2">
      <c r="B1893" s="50" t="str">
        <f t="shared" si="31"/>
        <v/>
      </c>
    </row>
    <row r="1894" spans="2:2">
      <c r="B1894" s="50" t="str">
        <f t="shared" si="31"/>
        <v/>
      </c>
    </row>
    <row r="1895" spans="2:2">
      <c r="B1895" s="50" t="str">
        <f t="shared" si="31"/>
        <v/>
      </c>
    </row>
    <row r="1896" spans="2:2">
      <c r="B1896" s="50" t="str">
        <f t="shared" si="31"/>
        <v/>
      </c>
    </row>
    <row r="1897" spans="2:2">
      <c r="B1897" s="50" t="str">
        <f t="shared" si="31"/>
        <v/>
      </c>
    </row>
    <row r="1898" spans="2:2">
      <c r="B1898" s="50" t="str">
        <f t="shared" si="31"/>
        <v/>
      </c>
    </row>
    <row r="1899" spans="2:2">
      <c r="B1899" s="50" t="str">
        <f t="shared" si="31"/>
        <v/>
      </c>
    </row>
    <row r="1900" spans="2:2">
      <c r="B1900" s="50" t="str">
        <f t="shared" si="31"/>
        <v/>
      </c>
    </row>
    <row r="1901" spans="2:2">
      <c r="B1901" s="50" t="str">
        <f t="shared" si="31"/>
        <v/>
      </c>
    </row>
    <row r="1902" spans="2:2">
      <c r="B1902" s="50" t="str">
        <f t="shared" si="31"/>
        <v/>
      </c>
    </row>
    <row r="1903" spans="2:2">
      <c r="B1903" s="50" t="str">
        <f t="shared" si="31"/>
        <v/>
      </c>
    </row>
    <row r="1904" spans="2:2">
      <c r="B1904" s="50" t="str">
        <f t="shared" si="31"/>
        <v/>
      </c>
    </row>
    <row r="1905" spans="2:2">
      <c r="B1905" s="50" t="str">
        <f t="shared" si="31"/>
        <v/>
      </c>
    </row>
    <row r="1906" spans="2:2">
      <c r="B1906" s="50" t="str">
        <f t="shared" si="31"/>
        <v/>
      </c>
    </row>
    <row r="1907" spans="2:2">
      <c r="B1907" s="50" t="str">
        <f t="shared" si="31"/>
        <v/>
      </c>
    </row>
    <row r="1908" spans="2:2">
      <c r="B1908" s="50" t="str">
        <f t="shared" si="31"/>
        <v/>
      </c>
    </row>
    <row r="1909" spans="2:2">
      <c r="B1909" s="50" t="str">
        <f t="shared" si="31"/>
        <v/>
      </c>
    </row>
    <row r="1910" spans="2:2">
      <c r="B1910" s="50" t="str">
        <f t="shared" si="31"/>
        <v/>
      </c>
    </row>
    <row r="1911" spans="2:2">
      <c r="B1911" s="50" t="str">
        <f t="shared" si="31"/>
        <v/>
      </c>
    </row>
    <row r="1912" spans="2:2">
      <c r="B1912" s="50" t="str">
        <f t="shared" si="31"/>
        <v/>
      </c>
    </row>
    <row r="1913" spans="2:2">
      <c r="B1913" s="50" t="str">
        <f t="shared" si="31"/>
        <v/>
      </c>
    </row>
    <row r="1914" spans="2:2">
      <c r="B1914" s="50" t="str">
        <f t="shared" si="31"/>
        <v/>
      </c>
    </row>
    <row r="1915" spans="2:2">
      <c r="B1915" s="50" t="str">
        <f t="shared" si="31"/>
        <v/>
      </c>
    </row>
    <row r="1916" spans="2:2">
      <c r="B1916" s="50" t="str">
        <f t="shared" si="31"/>
        <v/>
      </c>
    </row>
    <row r="1917" spans="2:2">
      <c r="B1917" s="50" t="str">
        <f t="shared" si="31"/>
        <v/>
      </c>
    </row>
    <row r="1918" spans="2:2">
      <c r="B1918" s="50" t="str">
        <f t="shared" si="31"/>
        <v/>
      </c>
    </row>
    <row r="1919" spans="2:2">
      <c r="B1919" s="50" t="str">
        <f t="shared" si="31"/>
        <v/>
      </c>
    </row>
    <row r="1920" spans="2:2">
      <c r="B1920" s="50" t="str">
        <f t="shared" si="31"/>
        <v/>
      </c>
    </row>
    <row r="1921" spans="2:2">
      <c r="B1921" s="50" t="str">
        <f t="shared" si="31"/>
        <v/>
      </c>
    </row>
    <row r="1922" spans="2:2">
      <c r="B1922" s="50" t="str">
        <f t="shared" si="31"/>
        <v/>
      </c>
    </row>
    <row r="1923" spans="2:2">
      <c r="B1923" s="50" t="str">
        <f t="shared" si="31"/>
        <v/>
      </c>
    </row>
    <row r="1924" spans="2:2">
      <c r="B1924" s="50" t="str">
        <f t="shared" si="31"/>
        <v/>
      </c>
    </row>
    <row r="1925" spans="2:2">
      <c r="B1925" s="50" t="str">
        <f t="shared" si="31"/>
        <v/>
      </c>
    </row>
    <row r="1926" spans="2:2">
      <c r="B1926" s="50" t="str">
        <f t="shared" si="31"/>
        <v/>
      </c>
    </row>
    <row r="1927" spans="2:2">
      <c r="B1927" s="50" t="str">
        <f t="shared" si="31"/>
        <v/>
      </c>
    </row>
    <row r="1928" spans="2:2">
      <c r="B1928" s="50" t="str">
        <f t="shared" si="31"/>
        <v/>
      </c>
    </row>
    <row r="1929" spans="2:2">
      <c r="B1929" s="50" t="str">
        <f t="shared" si="31"/>
        <v/>
      </c>
    </row>
    <row r="1930" spans="2:2">
      <c r="B1930" s="50" t="str">
        <f t="shared" si="31"/>
        <v/>
      </c>
    </row>
    <row r="1931" spans="2:2">
      <c r="B1931" s="50" t="str">
        <f t="shared" si="31"/>
        <v/>
      </c>
    </row>
    <row r="1932" spans="2:2">
      <c r="B1932" s="50" t="str">
        <f t="shared" si="31"/>
        <v/>
      </c>
    </row>
    <row r="1933" spans="2:2">
      <c r="B1933" s="50" t="str">
        <f t="shared" si="31"/>
        <v/>
      </c>
    </row>
    <row r="1934" spans="2:2">
      <c r="B1934" s="50" t="str">
        <f t="shared" si="31"/>
        <v/>
      </c>
    </row>
    <row r="1935" spans="2:2">
      <c r="B1935" s="50" t="str">
        <f t="shared" si="31"/>
        <v/>
      </c>
    </row>
    <row r="1936" spans="2:2">
      <c r="B1936" s="50" t="str">
        <f t="shared" si="31"/>
        <v/>
      </c>
    </row>
    <row r="1937" spans="2:2">
      <c r="B1937" s="50" t="str">
        <f t="shared" si="31"/>
        <v/>
      </c>
    </row>
    <row r="1938" spans="2:2">
      <c r="B1938" s="50" t="str">
        <f t="shared" si="31"/>
        <v/>
      </c>
    </row>
    <row r="1939" spans="2:2">
      <c r="B1939" s="50" t="str">
        <f t="shared" si="31"/>
        <v/>
      </c>
    </row>
    <row r="1940" spans="2:2">
      <c r="B1940" s="50" t="str">
        <f t="shared" si="31"/>
        <v/>
      </c>
    </row>
    <row r="1941" spans="2:2">
      <c r="B1941" s="50" t="str">
        <f t="shared" si="31"/>
        <v/>
      </c>
    </row>
    <row r="1942" spans="2:2">
      <c r="B1942" s="50" t="str">
        <f t="shared" si="31"/>
        <v/>
      </c>
    </row>
    <row r="1943" spans="2:2">
      <c r="B1943" s="50" t="str">
        <f t="shared" si="31"/>
        <v/>
      </c>
    </row>
    <row r="1944" spans="2:2">
      <c r="B1944" s="50" t="str">
        <f t="shared" si="31"/>
        <v/>
      </c>
    </row>
    <row r="1945" spans="2:2">
      <c r="B1945" s="50" t="str">
        <f t="shared" si="31"/>
        <v/>
      </c>
    </row>
    <row r="1946" spans="2:2">
      <c r="B1946" s="50" t="str">
        <f t="shared" si="31"/>
        <v/>
      </c>
    </row>
    <row r="1947" spans="2:2">
      <c r="B1947" s="50" t="str">
        <f t="shared" si="31"/>
        <v/>
      </c>
    </row>
    <row r="1948" spans="2:2">
      <c r="B1948" s="50" t="str">
        <f t="shared" si="31"/>
        <v/>
      </c>
    </row>
    <row r="1949" spans="2:2">
      <c r="B1949" s="50" t="str">
        <f t="shared" si="31"/>
        <v/>
      </c>
    </row>
    <row r="1950" spans="2:2">
      <c r="B1950" s="50" t="str">
        <f t="shared" si="31"/>
        <v/>
      </c>
    </row>
    <row r="1951" spans="2:2">
      <c r="B1951" s="50" t="str">
        <f t="shared" ref="B1951:B1999" si="32">IF($C1951="","",LEFT($C1951,2))</f>
        <v/>
      </c>
    </row>
    <row r="1952" spans="2:2">
      <c r="B1952" s="50" t="str">
        <f t="shared" si="32"/>
        <v/>
      </c>
    </row>
    <row r="1953" spans="2:2">
      <c r="B1953" s="50" t="str">
        <f t="shared" si="32"/>
        <v/>
      </c>
    </row>
    <row r="1954" spans="2:2">
      <c r="B1954" s="50" t="str">
        <f t="shared" si="32"/>
        <v/>
      </c>
    </row>
    <row r="1955" spans="2:2">
      <c r="B1955" s="50" t="str">
        <f t="shared" si="32"/>
        <v/>
      </c>
    </row>
    <row r="1956" spans="2:2">
      <c r="B1956" s="50" t="str">
        <f t="shared" si="32"/>
        <v/>
      </c>
    </row>
    <row r="1957" spans="2:2">
      <c r="B1957" s="50" t="str">
        <f t="shared" si="32"/>
        <v/>
      </c>
    </row>
    <row r="1958" spans="2:2">
      <c r="B1958" s="50" t="str">
        <f t="shared" si="32"/>
        <v/>
      </c>
    </row>
    <row r="1959" spans="2:2">
      <c r="B1959" s="50" t="str">
        <f t="shared" si="32"/>
        <v/>
      </c>
    </row>
    <row r="1960" spans="2:2">
      <c r="B1960" s="50" t="str">
        <f t="shared" si="32"/>
        <v/>
      </c>
    </row>
    <row r="1961" spans="2:2">
      <c r="B1961" s="50" t="str">
        <f t="shared" si="32"/>
        <v/>
      </c>
    </row>
    <row r="1962" spans="2:2">
      <c r="B1962" s="50" t="str">
        <f t="shared" si="32"/>
        <v/>
      </c>
    </row>
    <row r="1963" spans="2:2">
      <c r="B1963" s="50" t="str">
        <f t="shared" si="32"/>
        <v/>
      </c>
    </row>
    <row r="1964" spans="2:2">
      <c r="B1964" s="50" t="str">
        <f t="shared" si="32"/>
        <v/>
      </c>
    </row>
    <row r="1965" spans="2:2">
      <c r="B1965" s="50" t="str">
        <f t="shared" si="32"/>
        <v/>
      </c>
    </row>
    <row r="1966" spans="2:2">
      <c r="B1966" s="50" t="str">
        <f t="shared" si="32"/>
        <v/>
      </c>
    </row>
    <row r="1967" spans="2:2">
      <c r="B1967" s="50" t="str">
        <f t="shared" si="32"/>
        <v/>
      </c>
    </row>
    <row r="1968" spans="2:2">
      <c r="B1968" s="50" t="str">
        <f t="shared" si="32"/>
        <v/>
      </c>
    </row>
    <row r="1969" spans="2:2">
      <c r="B1969" s="50" t="str">
        <f t="shared" si="32"/>
        <v/>
      </c>
    </row>
    <row r="1970" spans="2:2">
      <c r="B1970" s="50" t="str">
        <f t="shared" si="32"/>
        <v/>
      </c>
    </row>
    <row r="1971" spans="2:2">
      <c r="B1971" s="50" t="str">
        <f t="shared" si="32"/>
        <v/>
      </c>
    </row>
    <row r="1972" spans="2:2">
      <c r="B1972" s="50" t="str">
        <f t="shared" si="32"/>
        <v/>
      </c>
    </row>
    <row r="1973" spans="2:2">
      <c r="B1973" s="50" t="str">
        <f t="shared" si="32"/>
        <v/>
      </c>
    </row>
    <row r="1974" spans="2:2">
      <c r="B1974" s="50" t="str">
        <f t="shared" si="32"/>
        <v/>
      </c>
    </row>
    <row r="1975" spans="2:2">
      <c r="B1975" s="50" t="str">
        <f t="shared" si="32"/>
        <v/>
      </c>
    </row>
    <row r="1976" spans="2:2">
      <c r="B1976" s="50" t="str">
        <f t="shared" si="32"/>
        <v/>
      </c>
    </row>
    <row r="1977" spans="2:2">
      <c r="B1977" s="50" t="str">
        <f t="shared" si="32"/>
        <v/>
      </c>
    </row>
    <row r="1978" spans="2:2">
      <c r="B1978" s="50" t="str">
        <f t="shared" si="32"/>
        <v/>
      </c>
    </row>
    <row r="1979" spans="2:2">
      <c r="B1979" s="50" t="str">
        <f t="shared" si="32"/>
        <v/>
      </c>
    </row>
    <row r="1980" spans="2:2">
      <c r="B1980" s="50" t="str">
        <f t="shared" si="32"/>
        <v/>
      </c>
    </row>
    <row r="1981" spans="2:2">
      <c r="B1981" s="50" t="str">
        <f t="shared" si="32"/>
        <v/>
      </c>
    </row>
    <row r="1982" spans="2:2">
      <c r="B1982" s="50" t="str">
        <f t="shared" si="32"/>
        <v/>
      </c>
    </row>
    <row r="1983" spans="2:2">
      <c r="B1983" s="50" t="str">
        <f t="shared" si="32"/>
        <v/>
      </c>
    </row>
    <row r="1984" spans="2:2">
      <c r="B1984" s="50" t="str">
        <f t="shared" si="32"/>
        <v/>
      </c>
    </row>
    <row r="1985" spans="1:10">
      <c r="B1985" s="50" t="str">
        <f t="shared" si="32"/>
        <v/>
      </c>
    </row>
    <row r="1986" spans="1:10">
      <c r="B1986" s="50" t="str">
        <f t="shared" si="32"/>
        <v/>
      </c>
    </row>
    <row r="1987" spans="1:10">
      <c r="B1987" s="50" t="str">
        <f t="shared" si="32"/>
        <v/>
      </c>
    </row>
    <row r="1988" spans="1:10">
      <c r="B1988" s="50" t="str">
        <f t="shared" si="32"/>
        <v/>
      </c>
    </row>
    <row r="1989" spans="1:10">
      <c r="B1989" s="50" t="str">
        <f t="shared" si="32"/>
        <v/>
      </c>
    </row>
    <row r="1990" spans="1:10">
      <c r="B1990" s="50" t="str">
        <f t="shared" si="32"/>
        <v/>
      </c>
    </row>
    <row r="1991" spans="1:10">
      <c r="B1991" s="50" t="str">
        <f t="shared" si="32"/>
        <v/>
      </c>
    </row>
    <row r="1992" spans="1:10">
      <c r="B1992" s="50" t="str">
        <f t="shared" si="32"/>
        <v/>
      </c>
    </row>
    <row r="1993" spans="1:10">
      <c r="B1993" s="50" t="str">
        <f t="shared" si="32"/>
        <v/>
      </c>
    </row>
    <row r="1994" spans="1:10">
      <c r="B1994" s="50" t="str">
        <f t="shared" si="32"/>
        <v/>
      </c>
    </row>
    <row r="1995" spans="1:10">
      <c r="B1995" s="50" t="str">
        <f t="shared" si="32"/>
        <v/>
      </c>
    </row>
    <row r="1996" spans="1:10">
      <c r="B1996" s="50" t="str">
        <f t="shared" si="32"/>
        <v/>
      </c>
    </row>
    <row r="1997" spans="1:10">
      <c r="B1997" s="50" t="str">
        <f t="shared" si="32"/>
        <v/>
      </c>
    </row>
    <row r="1998" spans="1:10">
      <c r="B1998" s="50" t="str">
        <f t="shared" si="32"/>
        <v/>
      </c>
    </row>
    <row r="1999" spans="1:10">
      <c r="A1999" s="46"/>
      <c r="B1999" s="50" t="str">
        <f t="shared" si="32"/>
        <v/>
      </c>
      <c r="C1999" s="47"/>
      <c r="D1999" s="46"/>
      <c r="E1999" s="46"/>
      <c r="F1999" s="46"/>
      <c r="G1999" s="46"/>
      <c r="H1999" s="46"/>
      <c r="I1999" s="48"/>
      <c r="J1999" s="48"/>
    </row>
  </sheetData>
  <autoFilter ref="A1:J1999"/>
  <sortState ref="A2:L478">
    <sortCondition ref="D2:D478"/>
  </sortState>
  <phoneticPr fontId="20" type="noConversion"/>
  <conditionalFormatting sqref="D2:D1451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詢價單據--- Excel 格式輸出</vt:lpstr>
      <vt:lpstr>廠商資料</vt:lpstr>
      <vt:lpstr>'詢價單據--- Excel 格式輸出'!Print_Area</vt:lpstr>
      <vt:lpstr>廠商名稱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bbvw</dc:creator>
  <cp:lastModifiedBy>awt33</cp:lastModifiedBy>
  <cp:lastPrinted>2024-12-19T04:01:01Z</cp:lastPrinted>
  <dcterms:created xsi:type="dcterms:W3CDTF">2021-09-11T01:47:46Z</dcterms:created>
  <dcterms:modified xsi:type="dcterms:W3CDTF">2024-12-19T04:02:29Z</dcterms:modified>
</cp:coreProperties>
</file>