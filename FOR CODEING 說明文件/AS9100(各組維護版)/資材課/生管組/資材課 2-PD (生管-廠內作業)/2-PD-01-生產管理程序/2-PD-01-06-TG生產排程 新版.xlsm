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fileSharing userName="awt33" reservationPassword="E863"/>
  <workbookPr codeName="ThisWorkbook" defaultThemeVersion="124226"/>
  <bookViews>
    <workbookView xWindow="-276" yWindow="4176" windowWidth="13872" windowHeight="5352"/>
  </bookViews>
  <sheets>
    <sheet name="齒研加工表" sheetId="1" r:id="rId1"/>
    <sheet name="已完工" sheetId="6" state="hidden" r:id="rId2"/>
    <sheet name="齒研庫存表" sheetId="3" state="hidden" r:id="rId3"/>
    <sheet name="齒研完工記錄" sheetId="4" state="hidden" r:id="rId4"/>
    <sheet name="機台清單" sheetId="5" state="hidden" r:id="rId5"/>
  </sheets>
  <externalReferences>
    <externalReference r:id="rId6"/>
    <externalReference r:id="rId7"/>
  </externalReferences>
  <definedNames>
    <definedName name="_xlnm._FilterDatabase" localSheetId="1" hidden="1">已完工!$A$3:$Q$63</definedName>
    <definedName name="_xlnm._FilterDatabase" localSheetId="0" hidden="1">齒研加工表!$A$3:$K$3</definedName>
    <definedName name="_xlnm._FilterDatabase" localSheetId="2" hidden="1">齒研庫存表!$E$1:$E$44</definedName>
    <definedName name="_xlnm.Print_Titles" localSheetId="0">齒研加工表!$1:$3</definedName>
    <definedName name="客戶電話基準">[1]客戶表!$P$1</definedName>
    <definedName name="客戶電話範圍">[1]客戶表!$P$2:$P$200</definedName>
    <definedName name="訂單交期基準">[2]訂單!$AE$4</definedName>
    <definedName name="訂單基準">[2]訂單!$B$4</definedName>
    <definedName name="訂單範圍">[2]訂單!$D$5:$D$955</definedName>
    <definedName name="結單範圍">#REF!</definedName>
  </definedNames>
  <calcPr calcId="144525"/>
</workbook>
</file>

<file path=xl/calcChain.xml><?xml version="1.0" encoding="utf-8"?>
<calcChain xmlns="http://schemas.openxmlformats.org/spreadsheetml/2006/main">
  <c r="B3" i="6" l="1"/>
  <c r="K2" i="6"/>
  <c r="B3" i="1" l="1"/>
  <c r="J2" i="3" l="1"/>
</calcChain>
</file>

<file path=xl/sharedStrings.xml><?xml version="1.0" encoding="utf-8"?>
<sst xmlns="http://schemas.openxmlformats.org/spreadsheetml/2006/main" count="3287" uniqueCount="2185">
  <si>
    <t>寶嘉誠</t>
    <phoneticPr fontId="6" type="noConversion"/>
  </si>
  <si>
    <t>KA-004C</t>
    <phoneticPr fontId="6" type="noConversion"/>
  </si>
  <si>
    <t>B-1090928004</t>
    <phoneticPr fontId="6" type="noConversion"/>
  </si>
  <si>
    <t>5007002511</t>
    <phoneticPr fontId="6" type="noConversion"/>
  </si>
  <si>
    <t>請白班同仁先把工件找出來交班給夜班</t>
    <phoneticPr fontId="6" type="noConversion"/>
  </si>
  <si>
    <t>工件在志方桌上</t>
    <phoneticPr fontId="6" type="noConversion"/>
  </si>
  <si>
    <t>備庫</t>
    <phoneticPr fontId="6" type="noConversion"/>
  </si>
  <si>
    <t>寶嘉誠</t>
    <phoneticPr fontId="6" type="noConversion"/>
  </si>
  <si>
    <t>製令單號</t>
    <phoneticPr fontId="6" type="noConversion"/>
  </si>
  <si>
    <t>製令生產量</t>
    <phoneticPr fontId="6" type="noConversion"/>
  </si>
  <si>
    <t>齒研數量</t>
    <phoneticPr fontId="6" type="noConversion"/>
  </si>
  <si>
    <t>客戶</t>
    <phoneticPr fontId="6" type="noConversion"/>
  </si>
  <si>
    <t>生管</t>
    <phoneticPr fontId="6" type="noConversion"/>
  </si>
  <si>
    <t>交期</t>
    <phoneticPr fontId="6" type="noConversion"/>
  </si>
  <si>
    <t>寶嘉誠</t>
    <phoneticPr fontId="6" type="noConversion"/>
  </si>
  <si>
    <t>立式</t>
    <phoneticPr fontId="6" type="noConversion"/>
  </si>
  <si>
    <t>臥式</t>
    <phoneticPr fontId="6" type="noConversion"/>
  </si>
  <si>
    <t>KAPP</t>
    <phoneticPr fontId="6" type="noConversion"/>
  </si>
  <si>
    <t>寶嘉誠</t>
    <phoneticPr fontId="6" type="noConversion"/>
  </si>
  <si>
    <t>備庫</t>
    <phoneticPr fontId="6" type="noConversion"/>
  </si>
  <si>
    <t>泳建</t>
    <phoneticPr fontId="6" type="noConversion"/>
  </si>
  <si>
    <t>M2 T42</t>
    <phoneticPr fontId="6" type="noConversion"/>
  </si>
  <si>
    <t>DD-27</t>
  </si>
  <si>
    <t>.</t>
    <phoneticPr fontId="6" type="noConversion"/>
  </si>
  <si>
    <t>M2 T50</t>
    <phoneticPr fontId="6" type="noConversion"/>
  </si>
  <si>
    <t>DD-24</t>
  </si>
  <si>
    <t>B-1100528004</t>
  </si>
  <si>
    <t>備庫</t>
    <phoneticPr fontId="6" type="noConversion"/>
  </si>
  <si>
    <t>KA-003C</t>
    <phoneticPr fontId="6" type="noConversion"/>
  </si>
  <si>
    <t>備庫</t>
    <phoneticPr fontId="6" type="noConversion"/>
  </si>
  <si>
    <t>3015002544</t>
  </si>
  <si>
    <t>B-1100326010</t>
  </si>
  <si>
    <t>5008042501</t>
  </si>
  <si>
    <t>B-1070822001</t>
  </si>
  <si>
    <t>齒研加工排程</t>
    <phoneticPr fontId="6" type="noConversion"/>
  </si>
  <si>
    <t>ACL160J103DEX003</t>
  </si>
  <si>
    <t>M1*90T*14W*21L</t>
  </si>
  <si>
    <t>備註</t>
    <phoneticPr fontId="6" type="noConversion"/>
  </si>
  <si>
    <t>備庫</t>
    <phoneticPr fontId="6" type="noConversion"/>
  </si>
  <si>
    <t>B-1100927001</t>
  </si>
  <si>
    <t>備庫</t>
    <phoneticPr fontId="6" type="noConversion"/>
  </si>
  <si>
    <t>RC-120</t>
  </si>
  <si>
    <t>M1T72W20L22</t>
    <phoneticPr fontId="6" type="noConversion"/>
  </si>
  <si>
    <t>2.5M*38T</t>
    <phoneticPr fontId="6" type="noConversion"/>
  </si>
  <si>
    <t>M2.5 T20</t>
    <phoneticPr fontId="6" type="noConversion"/>
  </si>
  <si>
    <t>M2.5 T27</t>
    <phoneticPr fontId="6" type="noConversion"/>
  </si>
  <si>
    <t>M1.5 T40</t>
    <phoneticPr fontId="6" type="noConversion"/>
  </si>
  <si>
    <t>泳建</t>
    <phoneticPr fontId="6" type="noConversion"/>
  </si>
  <si>
    <t>寶嘉誠</t>
    <phoneticPr fontId="6" type="noConversion"/>
  </si>
  <si>
    <t>郡業</t>
    <phoneticPr fontId="6" type="noConversion"/>
  </si>
  <si>
    <t>泳建</t>
    <phoneticPr fontId="6" type="noConversion"/>
  </si>
  <si>
    <t>B-1100917004</t>
    <phoneticPr fontId="6" type="noConversion"/>
  </si>
  <si>
    <t>B-1100608001</t>
    <phoneticPr fontId="6" type="noConversion"/>
  </si>
  <si>
    <t>M1.5T28W16L35</t>
    <phoneticPr fontId="6" type="noConversion"/>
  </si>
  <si>
    <t>結合RD140J103DEX001</t>
    <phoneticPr fontId="6" type="noConversion"/>
  </si>
  <si>
    <t>DD-10</t>
  </si>
  <si>
    <t>B-1100928008</t>
  </si>
  <si>
    <t>結合件(大)未到</t>
    <phoneticPr fontId="6" type="noConversion"/>
  </si>
  <si>
    <t>RD140J103DEX002</t>
    <phoneticPr fontId="6" type="noConversion"/>
  </si>
  <si>
    <t>DD-22</t>
  </si>
  <si>
    <t>M2 T27</t>
    <phoneticPr fontId="6" type="noConversion"/>
  </si>
  <si>
    <t>B-1100928015</t>
    <phoneticPr fontId="6" type="noConversion"/>
  </si>
  <si>
    <t>M2T45</t>
  </si>
  <si>
    <t>B-1101026001</t>
  </si>
  <si>
    <t>DD-3</t>
    <phoneticPr fontId="6" type="noConversion"/>
  </si>
  <si>
    <t>M2T43W14</t>
    <phoneticPr fontId="6" type="noConversion"/>
  </si>
  <si>
    <t>DD-12</t>
  </si>
  <si>
    <t>泳建</t>
    <phoneticPr fontId="6" type="noConversion"/>
  </si>
  <si>
    <t>M2T27</t>
  </si>
  <si>
    <t>B-1100928010</t>
    <phoneticPr fontId="6" type="noConversion"/>
  </si>
  <si>
    <t>DB-3</t>
  </si>
  <si>
    <t>2M*59T</t>
  </si>
  <si>
    <t>B-1100928006</t>
  </si>
  <si>
    <t>DD-23</t>
  </si>
  <si>
    <t>2M*73T</t>
  </si>
  <si>
    <t>B-1100928016</t>
  </si>
  <si>
    <t>結合件(小)未到</t>
    <phoneticPr fontId="6" type="noConversion"/>
  </si>
  <si>
    <t>結合ACL160J103DEX002</t>
    <phoneticPr fontId="6" type="noConversion"/>
  </si>
  <si>
    <t>.</t>
    <phoneticPr fontId="6" type="noConversion"/>
  </si>
  <si>
    <t>B-1100531001</t>
    <phoneticPr fontId="6" type="noConversion"/>
  </si>
  <si>
    <t>B-1100720012</t>
    <phoneticPr fontId="6" type="noConversion"/>
  </si>
  <si>
    <t>DD-9</t>
  </si>
  <si>
    <t>B-1100928023</t>
  </si>
  <si>
    <t>DD-13</t>
  </si>
  <si>
    <t>2M*58T</t>
  </si>
  <si>
    <t>B-1100928011</t>
  </si>
  <si>
    <t>DD-15</t>
  </si>
  <si>
    <t>2M*66T</t>
  </si>
  <si>
    <t>B-1100928013</t>
  </si>
  <si>
    <t>AC650J103DEXN20</t>
  </si>
  <si>
    <t>M2*60T*W16</t>
  </si>
  <si>
    <t>B-1110214005</t>
  </si>
  <si>
    <t>結合RD320J103DEX002</t>
    <phoneticPr fontId="6" type="noConversion"/>
  </si>
  <si>
    <t>卿雅</t>
  </si>
  <si>
    <t>M1.5T40</t>
    <phoneticPr fontId="6" type="noConversion"/>
  </si>
  <si>
    <t>B-1110211001</t>
  </si>
  <si>
    <t>德士</t>
  </si>
  <si>
    <t>產品編號</t>
    <phoneticPr fontId="6" type="noConversion"/>
  </si>
  <si>
    <t>規格</t>
    <phoneticPr fontId="6" type="noConversion"/>
  </si>
  <si>
    <t>寶嘉誠</t>
    <phoneticPr fontId="6" type="noConversion"/>
  </si>
  <si>
    <t>備庫</t>
    <phoneticPr fontId="6" type="noConversion"/>
  </si>
  <si>
    <t>M1.5T45</t>
    <phoneticPr fontId="6" type="noConversion"/>
  </si>
  <si>
    <t>B-1110211003</t>
  </si>
  <si>
    <t>原億昌</t>
    <phoneticPr fontId="6" type="noConversion"/>
  </si>
  <si>
    <t>M2.5 T26</t>
    <phoneticPr fontId="6" type="noConversion"/>
  </si>
  <si>
    <t>B-1110223001</t>
  </si>
  <si>
    <t>寶嘉誠</t>
    <phoneticPr fontId="6" type="noConversion"/>
  </si>
  <si>
    <t>備庫</t>
    <phoneticPr fontId="6" type="noConversion"/>
  </si>
  <si>
    <t>寶嘉誠</t>
    <phoneticPr fontId="6" type="noConversion"/>
  </si>
  <si>
    <t>備庫</t>
    <phoneticPr fontId="6" type="noConversion"/>
  </si>
  <si>
    <t>M2.5 T38</t>
    <phoneticPr fontId="6" type="noConversion"/>
  </si>
  <si>
    <t>B-1110217009</t>
  </si>
  <si>
    <t>M3 T20</t>
    <phoneticPr fontId="6" type="noConversion"/>
  </si>
  <si>
    <t>M3H-20Z-N001-1902181</t>
  </si>
  <si>
    <t>B-1101112001</t>
  </si>
  <si>
    <t>B-1110211007</t>
  </si>
  <si>
    <t>M2.5 T21</t>
  </si>
  <si>
    <t>更新時間</t>
    <phoneticPr fontId="6" type="noConversion"/>
  </si>
  <si>
    <t>已完工未印報告</t>
    <phoneticPr fontId="6" type="noConversion"/>
  </si>
  <si>
    <t>RZ400</t>
    <phoneticPr fontId="6" type="noConversion"/>
  </si>
  <si>
    <t>B-1110323016</t>
  </si>
  <si>
    <t>M2.5T28</t>
  </si>
  <si>
    <t>B-1110419003</t>
  </si>
  <si>
    <t>M1.5T27</t>
  </si>
  <si>
    <t>彥驊</t>
  </si>
  <si>
    <t>預估校機時間</t>
    <phoneticPr fontId="6" type="noConversion"/>
  </si>
  <si>
    <t>預估上機製作總工時</t>
    <phoneticPr fontId="6" type="noConversion"/>
  </si>
  <si>
    <t>治具確認</t>
    <phoneticPr fontId="6" type="noConversion"/>
  </si>
  <si>
    <t>備註</t>
    <phoneticPr fontId="6" type="noConversion"/>
  </si>
  <si>
    <t>請在上線前先協助確認</t>
    <phoneticPr fontId="6" type="noConversion"/>
  </si>
  <si>
    <t>M4T40W3</t>
  </si>
  <si>
    <t>B-1110527016</t>
  </si>
  <si>
    <t>日期</t>
    <phoneticPr fontId="6" type="noConversion"/>
  </si>
  <si>
    <t>客戶</t>
  </si>
  <si>
    <t>製令單號</t>
  </si>
  <si>
    <t>產品編號</t>
  </si>
  <si>
    <t>總數</t>
    <phoneticPr fontId="6" type="noConversion"/>
  </si>
  <si>
    <t>機型</t>
    <phoneticPr fontId="6" type="noConversion"/>
  </si>
  <si>
    <t>M2*30T*18W</t>
    <phoneticPr fontId="6" type="noConversion"/>
  </si>
  <si>
    <t>B-1110606010</t>
  </si>
  <si>
    <t>M2.5*39T*25</t>
  </si>
  <si>
    <t>B-1110614004</t>
  </si>
  <si>
    <t>M2.5T26W27</t>
  </si>
  <si>
    <t>B-1110810012</t>
  </si>
  <si>
    <t>M1.5T30W21</t>
  </si>
  <si>
    <t>B-1110816010</t>
  </si>
  <si>
    <t>M2.5*27T*22W</t>
  </si>
  <si>
    <t>B-1110810014</t>
  </si>
  <si>
    <t>M2.5T52W20</t>
  </si>
  <si>
    <t>B-1110810011</t>
  </si>
  <si>
    <t>M2.5T45W16</t>
  </si>
  <si>
    <t>B-1110816013</t>
  </si>
  <si>
    <t>M4*28T*30W</t>
  </si>
  <si>
    <t>B-1110810013</t>
  </si>
  <si>
    <t>M2.5*28T*20W</t>
  </si>
  <si>
    <t>B-1110816009</t>
  </si>
  <si>
    <t>臥式-C</t>
    <phoneticPr fontId="6" type="noConversion"/>
  </si>
  <si>
    <t>臥式-A</t>
    <phoneticPr fontId="6" type="noConversion"/>
  </si>
  <si>
    <t>臥式-B</t>
    <phoneticPr fontId="6" type="noConversion"/>
  </si>
  <si>
    <t>立式</t>
    <phoneticPr fontId="6" type="noConversion"/>
  </si>
  <si>
    <t>齒研機</t>
    <phoneticPr fontId="6" type="noConversion"/>
  </si>
  <si>
    <t>RZ400</t>
    <phoneticPr fontId="6" type="noConversion"/>
  </si>
  <si>
    <t>KX500</t>
    <phoneticPr fontId="6" type="noConversion"/>
  </si>
  <si>
    <t>KX500</t>
    <phoneticPr fontId="6" type="noConversion"/>
  </si>
  <si>
    <t>RZ400</t>
    <phoneticPr fontId="6" type="noConversion"/>
  </si>
  <si>
    <t>KAPP</t>
    <phoneticPr fontId="6" type="noConversion"/>
  </si>
  <si>
    <t>1P</t>
    <phoneticPr fontId="6" type="noConversion"/>
  </si>
  <si>
    <t>2P</t>
    <phoneticPr fontId="6" type="noConversion"/>
  </si>
  <si>
    <t>1P</t>
    <phoneticPr fontId="6" type="noConversion"/>
  </si>
  <si>
    <t>KX500</t>
  </si>
  <si>
    <t>臥式-A</t>
  </si>
  <si>
    <t>GT2055-00100</t>
  </si>
  <si>
    <t>M2*55T*22L</t>
  </si>
  <si>
    <t>MN32017-A</t>
  </si>
  <si>
    <t>M2T54W15</t>
  </si>
  <si>
    <t>MN32018-A</t>
  </si>
  <si>
    <t>B-1120323026</t>
  </si>
  <si>
    <t>6P</t>
    <phoneticPr fontId="6" type="noConversion"/>
  </si>
  <si>
    <t>B-1121109008</t>
    <phoneticPr fontId="6" type="noConversion"/>
  </si>
  <si>
    <t>40399009-02</t>
    <phoneticPr fontId="6" type="noConversion"/>
  </si>
  <si>
    <t>M0.8T21L120</t>
    <phoneticPr fontId="6" type="noConversion"/>
  </si>
  <si>
    <t>臥式-C</t>
  </si>
  <si>
    <t>臥式-B</t>
  </si>
  <si>
    <t>B-1121106001</t>
    <phoneticPr fontId="6" type="noConversion"/>
  </si>
  <si>
    <t>22150-5008</t>
  </si>
  <si>
    <t>1P</t>
    <phoneticPr fontId="6" type="noConversion"/>
  </si>
  <si>
    <t>M2T26W30L30</t>
    <phoneticPr fontId="6" type="noConversion"/>
  </si>
  <si>
    <t>40G08</t>
  </si>
  <si>
    <t>B-1120905010</t>
    <phoneticPr fontId="6" type="noConversion"/>
  </si>
  <si>
    <t>1P</t>
    <phoneticPr fontId="6" type="noConversion"/>
  </si>
  <si>
    <t>B-1120905011</t>
    <phoneticPr fontId="6" type="noConversion"/>
  </si>
  <si>
    <t>40G09</t>
  </si>
  <si>
    <t>M2T40W22L73</t>
    <phoneticPr fontId="6" type="noConversion"/>
  </si>
  <si>
    <t>M2T46W24L75</t>
    <phoneticPr fontId="6" type="noConversion"/>
  </si>
  <si>
    <r>
      <rPr>
        <b/>
        <sz val="14"/>
        <color theme="1"/>
        <rFont val="細明體"/>
        <family val="3"/>
        <charset val="136"/>
      </rPr>
      <t>志方</t>
    </r>
  </si>
  <si>
    <r>
      <rPr>
        <b/>
        <sz val="14"/>
        <rFont val="微軟正黑體"/>
        <family val="2"/>
        <charset val="136"/>
      </rPr>
      <t>順序</t>
    </r>
    <phoneticPr fontId="6" type="noConversion"/>
  </si>
  <si>
    <r>
      <rPr>
        <b/>
        <sz val="14"/>
        <rFont val="微軟正黑體"/>
        <family val="2"/>
        <charset val="136"/>
      </rPr>
      <t>客戶</t>
    </r>
    <phoneticPr fontId="6" type="noConversion"/>
  </si>
  <si>
    <r>
      <rPr>
        <b/>
        <sz val="14"/>
        <rFont val="微軟正黑體"/>
        <family val="2"/>
        <charset val="136"/>
      </rPr>
      <t>產品編號</t>
    </r>
    <phoneticPr fontId="6" type="noConversion"/>
  </si>
  <si>
    <r>
      <rPr>
        <b/>
        <sz val="14"/>
        <rFont val="微軟正黑體"/>
        <family val="2"/>
        <charset val="136"/>
      </rPr>
      <t>生管</t>
    </r>
    <phoneticPr fontId="6" type="noConversion"/>
  </si>
  <si>
    <t>凱鈺</t>
    <phoneticPr fontId="6" type="noConversion"/>
  </si>
  <si>
    <t>成大</t>
  </si>
  <si>
    <t>康普</t>
    <phoneticPr fontId="6" type="noConversion"/>
  </si>
  <si>
    <t xml:space="preserve">M1T81W15L26.5 </t>
    <phoneticPr fontId="6" type="noConversion"/>
  </si>
  <si>
    <t>M1T39W10L54</t>
  </si>
  <si>
    <t>SP-1111-002-1-01</t>
  </si>
  <si>
    <t>M2T9W18L32</t>
  </si>
  <si>
    <t>B-1121116011</t>
  </si>
  <si>
    <t>308+5</t>
    <phoneticPr fontId="6" type="noConversion"/>
  </si>
  <si>
    <t>3P</t>
    <phoneticPr fontId="6" type="noConversion"/>
  </si>
  <si>
    <t>志方</t>
  </si>
  <si>
    <t>JKGC07717L1</t>
  </si>
  <si>
    <t>M1.25*17T*W33</t>
  </si>
  <si>
    <t>B-1120925010</t>
  </si>
  <si>
    <t>M2T48W17L20</t>
  </si>
  <si>
    <t>B-1121020009</t>
  </si>
  <si>
    <t>RTD170EC0003</t>
    <phoneticPr fontId="6" type="noConversion"/>
  </si>
  <si>
    <t>立式</t>
  </si>
  <si>
    <t>2T</t>
    <phoneticPr fontId="6" type="noConversion"/>
  </si>
  <si>
    <t>B-1121116014</t>
    <phoneticPr fontId="6" type="noConversion"/>
  </si>
  <si>
    <t>M2.5T96W25.5L42</t>
  </si>
  <si>
    <t>HM1-32080</t>
    <phoneticPr fontId="6" type="noConversion"/>
  </si>
  <si>
    <t>文俐</t>
  </si>
  <si>
    <t>文俐</t>
    <phoneticPr fontId="6" type="noConversion"/>
  </si>
  <si>
    <t>M1T30W20L34</t>
  </si>
  <si>
    <t>B-1121027018</t>
    <phoneticPr fontId="6" type="noConversion"/>
  </si>
  <si>
    <t>XM360-288-201V0-B</t>
  </si>
  <si>
    <t>M1.5T190W16L21.32</t>
  </si>
  <si>
    <t>1T</t>
    <phoneticPr fontId="6" type="noConversion"/>
  </si>
  <si>
    <t>B-1121026005</t>
    <phoneticPr fontId="6" type="noConversion"/>
  </si>
  <si>
    <t>M2.5T144W20L32</t>
  </si>
  <si>
    <t>RTD170EC0B01</t>
  </si>
  <si>
    <t>M1T45W15L40</t>
  </si>
  <si>
    <t>30</t>
    <phoneticPr fontId="6" type="noConversion"/>
  </si>
  <si>
    <t>20231117</t>
    <phoneticPr fontId="6" type="noConversion"/>
  </si>
  <si>
    <t>弘旺</t>
    <phoneticPr fontId="6" type="noConversion"/>
  </si>
  <si>
    <t>B-1120928009</t>
    <phoneticPr fontId="6" type="noConversion"/>
  </si>
  <si>
    <t>HE3003A-L</t>
  </si>
  <si>
    <t>M1T42W15L20</t>
  </si>
  <si>
    <r>
      <rPr>
        <b/>
        <sz val="14"/>
        <rFont val="微軟正黑體"/>
        <family val="2"/>
        <charset val="136"/>
      </rPr>
      <t>文俐</t>
    </r>
    <phoneticPr fontId="6" type="noConversion"/>
  </si>
  <si>
    <t>22150-3017-00</t>
    <phoneticPr fontId="6" type="noConversion"/>
  </si>
  <si>
    <t>B-1120823015</t>
  </si>
  <si>
    <t>JKGASS20R1</t>
  </si>
  <si>
    <t>M1*20T</t>
  </si>
  <si>
    <t>齒研已完工明細表</t>
    <phoneticPr fontId="6" type="noConversion"/>
  </si>
  <si>
    <t>B-1121117003</t>
    <phoneticPr fontId="6" type="noConversion"/>
  </si>
  <si>
    <t>CX-2184</t>
  </si>
  <si>
    <t>CX-2184</t>
    <phoneticPr fontId="6" type="noConversion"/>
  </si>
  <si>
    <t>2</t>
    <phoneticPr fontId="6" type="noConversion"/>
  </si>
  <si>
    <t>M3T25W25</t>
  </si>
  <si>
    <t>B-1121025006</t>
    <phoneticPr fontId="6" type="noConversion"/>
  </si>
  <si>
    <t>M1.5T36W16L23</t>
  </si>
  <si>
    <t>1P</t>
    <phoneticPr fontId="6" type="noConversion"/>
  </si>
  <si>
    <t>RTC320EC0C02</t>
  </si>
  <si>
    <t>M1.5T38W17L52</t>
  </si>
  <si>
    <r>
      <rPr>
        <b/>
        <sz val="14"/>
        <rFont val="細明體"/>
        <family val="3"/>
        <charset val="136"/>
      </rPr>
      <t>文俐</t>
    </r>
    <phoneticPr fontId="6" type="noConversion"/>
  </si>
  <si>
    <r>
      <rPr>
        <b/>
        <sz val="14"/>
        <color theme="1"/>
        <rFont val="細明體"/>
        <family val="3"/>
        <charset val="136"/>
      </rPr>
      <t>本土</t>
    </r>
  </si>
  <si>
    <r>
      <rPr>
        <b/>
        <sz val="14"/>
        <rFont val="細明體"/>
        <family val="3"/>
        <charset val="136"/>
      </rPr>
      <t>和昕</t>
    </r>
  </si>
  <si>
    <r>
      <rPr>
        <b/>
        <sz val="14"/>
        <rFont val="細明體"/>
        <family val="3"/>
        <charset val="136"/>
      </rPr>
      <t>志方</t>
    </r>
  </si>
  <si>
    <r>
      <rPr>
        <b/>
        <sz val="14"/>
        <rFont val="細明體"/>
        <family val="3"/>
        <charset val="136"/>
      </rPr>
      <t>寶嘉誠</t>
    </r>
    <phoneticPr fontId="6" type="noConversion"/>
  </si>
  <si>
    <t>86-39546-01</t>
    <phoneticPr fontId="6" type="noConversion"/>
  </si>
  <si>
    <t>M1.5T54W15L15</t>
    <phoneticPr fontId="6" type="noConversion"/>
  </si>
  <si>
    <t>B-1121017008</t>
    <phoneticPr fontId="6" type="noConversion"/>
  </si>
  <si>
    <t>M2.25*26T</t>
  </si>
  <si>
    <t>150A-05-00</t>
    <phoneticPr fontId="6" type="noConversion"/>
  </si>
  <si>
    <t>GT2048-00200</t>
    <phoneticPr fontId="6" type="noConversion"/>
  </si>
  <si>
    <r>
      <rPr>
        <b/>
        <sz val="14"/>
        <rFont val="細明體"/>
        <family val="3"/>
        <charset val="136"/>
      </rPr>
      <t>府毅</t>
    </r>
    <phoneticPr fontId="6" type="noConversion"/>
  </si>
  <si>
    <r>
      <t>2</t>
    </r>
    <r>
      <rPr>
        <b/>
        <sz val="14"/>
        <rFont val="細明體"/>
        <family val="3"/>
        <charset val="136"/>
      </rPr>
      <t>鐵盤</t>
    </r>
    <phoneticPr fontId="6" type="noConversion"/>
  </si>
  <si>
    <t>20231121</t>
    <phoneticPr fontId="6" type="noConversion"/>
  </si>
  <si>
    <t>3</t>
    <phoneticPr fontId="6" type="noConversion"/>
  </si>
  <si>
    <t>康普</t>
    <phoneticPr fontId="6" type="noConversion"/>
  </si>
  <si>
    <t>RTB400BTA230EC0A00</t>
    <phoneticPr fontId="6" type="noConversion"/>
  </si>
  <si>
    <t>M2T50W15L41.5</t>
  </si>
  <si>
    <t>1P</t>
  </si>
  <si>
    <t>20231121</t>
    <phoneticPr fontId="6" type="noConversion"/>
  </si>
  <si>
    <t>20231122</t>
  </si>
  <si>
    <t>優廉</t>
    <phoneticPr fontId="6" type="noConversion"/>
  </si>
  <si>
    <t>B-1120905012</t>
    <phoneticPr fontId="6" type="noConversion"/>
  </si>
  <si>
    <t>40G10</t>
  </si>
  <si>
    <t>M2T55W24L36</t>
  </si>
  <si>
    <t>10</t>
    <phoneticPr fontId="6" type="noConversion"/>
  </si>
  <si>
    <t>B-1121101003</t>
    <phoneticPr fontId="6" type="noConversion"/>
  </si>
  <si>
    <t>RTB400BTC350EC0A00</t>
  </si>
  <si>
    <t>M2T50W15L43</t>
  </si>
  <si>
    <t>20231122</t>
    <phoneticPr fontId="6" type="noConversion"/>
  </si>
  <si>
    <t>20231121</t>
    <phoneticPr fontId="6" type="noConversion"/>
  </si>
  <si>
    <t>GT3028-00100</t>
    <phoneticPr fontId="6" type="noConversion"/>
  </si>
  <si>
    <t>M3T28W19.5L20.5</t>
  </si>
  <si>
    <t>20231121</t>
    <phoneticPr fontId="6" type="noConversion"/>
  </si>
  <si>
    <t>1P</t>
    <phoneticPr fontId="6" type="noConversion"/>
  </si>
  <si>
    <t>和昕</t>
    <phoneticPr fontId="6" type="noConversion"/>
  </si>
  <si>
    <t>B-1121020010</t>
    <phoneticPr fontId="6" type="noConversion"/>
  </si>
  <si>
    <t>10</t>
    <phoneticPr fontId="6" type="noConversion"/>
  </si>
  <si>
    <t>康普</t>
    <phoneticPr fontId="6" type="noConversion"/>
  </si>
  <si>
    <t>B-1121101001</t>
    <phoneticPr fontId="6" type="noConversion"/>
  </si>
  <si>
    <t>3</t>
    <phoneticPr fontId="6" type="noConversion"/>
  </si>
  <si>
    <t>1</t>
    <phoneticPr fontId="6" type="noConversion"/>
  </si>
  <si>
    <t>20231121</t>
    <phoneticPr fontId="6" type="noConversion"/>
  </si>
  <si>
    <t>B-1121121006</t>
  </si>
  <si>
    <t>義高</t>
    <phoneticPr fontId="6" type="noConversion"/>
  </si>
  <si>
    <t>ZZ019033</t>
  </si>
  <si>
    <t>M1T31W8L14</t>
  </si>
  <si>
    <t>1P</t>
    <phoneticPr fontId="6" type="noConversion"/>
  </si>
  <si>
    <t>B-1121121007</t>
  </si>
  <si>
    <t>ZZ024008</t>
  </si>
  <si>
    <t>M1T45W8</t>
  </si>
  <si>
    <t>B-1121025011</t>
  </si>
  <si>
    <t>康普</t>
  </si>
  <si>
    <t>RTC320EC0B02</t>
  </si>
  <si>
    <t>M1.5T95W17L26</t>
  </si>
  <si>
    <t>1E</t>
    <phoneticPr fontId="6" type="noConversion"/>
  </si>
  <si>
    <t>20231121</t>
    <phoneticPr fontId="6" type="noConversion"/>
  </si>
  <si>
    <t>GT3045-00100</t>
  </si>
  <si>
    <t>B-1120920019</t>
  </si>
  <si>
    <t>和昕</t>
  </si>
  <si>
    <t>M3T45W20L32</t>
  </si>
  <si>
    <t>SP-X04020469</t>
  </si>
  <si>
    <t>M1.625T41W9L37.5</t>
  </si>
  <si>
    <t>28+4</t>
    <phoneticPr fontId="6" type="noConversion"/>
  </si>
  <si>
    <t>M1.25T36W21L56</t>
  </si>
  <si>
    <t>20231122</t>
    <phoneticPr fontId="6" type="noConversion"/>
  </si>
  <si>
    <t>急件</t>
    <phoneticPr fontId="6" type="noConversion"/>
  </si>
  <si>
    <t>B-1120421008</t>
  </si>
  <si>
    <t>GT3049-00100</t>
  </si>
  <si>
    <t>M3T49W20L22</t>
  </si>
  <si>
    <t>4</t>
    <phoneticPr fontId="6" type="noConversion"/>
  </si>
  <si>
    <t>20231122</t>
    <phoneticPr fontId="6" type="noConversion"/>
  </si>
  <si>
    <t>1P</t>
    <phoneticPr fontId="6" type="noConversion"/>
  </si>
  <si>
    <t>JKGA1222R</t>
  </si>
  <si>
    <t>M1T22W18</t>
  </si>
  <si>
    <t>B-1120925008</t>
  </si>
  <si>
    <t>最上面一層有25只內孔黑皮，若無法加工則另放</t>
    <phoneticPr fontId="6" type="noConversion"/>
  </si>
  <si>
    <t>20231123</t>
    <phoneticPr fontId="6" type="noConversion"/>
  </si>
  <si>
    <t>20231123</t>
    <phoneticPr fontId="6" type="noConversion"/>
  </si>
  <si>
    <t>2</t>
    <phoneticPr fontId="6" type="noConversion"/>
  </si>
  <si>
    <t>1</t>
    <phoneticPr fontId="6" type="noConversion"/>
  </si>
  <si>
    <t>M2T27W20L42</t>
  </si>
  <si>
    <t>M0.8T17W18</t>
  </si>
  <si>
    <t>B-1120925007</t>
    <phoneticPr fontId="6" type="noConversion"/>
  </si>
  <si>
    <t>JKGA1017R</t>
    <phoneticPr fontId="6" type="noConversion"/>
  </si>
  <si>
    <t>150A-19-00</t>
  </si>
  <si>
    <t>鋐穎</t>
    <phoneticPr fontId="6" type="noConversion"/>
  </si>
  <si>
    <t>B-1121017011</t>
    <phoneticPr fontId="6" type="noConversion"/>
  </si>
  <si>
    <t>20231123</t>
    <phoneticPr fontId="6" type="noConversion"/>
  </si>
  <si>
    <t>20231123</t>
    <phoneticPr fontId="6" type="noConversion"/>
  </si>
  <si>
    <t>B-1120920013</t>
    <phoneticPr fontId="6" type="noConversion"/>
  </si>
  <si>
    <t>GT2027-00200</t>
    <phoneticPr fontId="6" type="noConversion"/>
  </si>
  <si>
    <t>志方</t>
    <phoneticPr fontId="6" type="noConversion"/>
  </si>
  <si>
    <t>M2.5T16W22L184.9</t>
    <phoneticPr fontId="6" type="noConversion"/>
  </si>
  <si>
    <t>20231124</t>
    <phoneticPr fontId="6" type="noConversion"/>
  </si>
  <si>
    <t>B-1121110001</t>
    <phoneticPr fontId="6" type="noConversion"/>
  </si>
  <si>
    <t>I5025365</t>
  </si>
  <si>
    <t>M2T16W28L38</t>
  </si>
  <si>
    <t>2</t>
    <phoneticPr fontId="6" type="noConversion"/>
  </si>
  <si>
    <t>喬揚</t>
    <phoneticPr fontId="6" type="noConversion"/>
  </si>
  <si>
    <t>B-1121011014</t>
    <phoneticPr fontId="6" type="noConversion"/>
  </si>
  <si>
    <t>50190-003</t>
    <phoneticPr fontId="6" type="noConversion"/>
  </si>
  <si>
    <t>M2.5T60W19L50</t>
  </si>
  <si>
    <t>5</t>
    <phoneticPr fontId="6" type="noConversion"/>
  </si>
  <si>
    <t>20231124</t>
    <phoneticPr fontId="6" type="noConversion"/>
  </si>
  <si>
    <t>1P</t>
    <phoneticPr fontId="6" type="noConversion"/>
  </si>
  <si>
    <t>B-1121030009</t>
    <phoneticPr fontId="6" type="noConversion"/>
  </si>
  <si>
    <t>XM072-288-201V0</t>
  </si>
  <si>
    <t>M1.5T190W16L22.6</t>
  </si>
  <si>
    <t>B-1120926007</t>
    <phoneticPr fontId="6" type="noConversion"/>
  </si>
  <si>
    <t>M4T36W29L30</t>
  </si>
  <si>
    <t>1P</t>
    <phoneticPr fontId="6" type="noConversion"/>
  </si>
  <si>
    <t>20231127</t>
    <phoneticPr fontId="6" type="noConversion"/>
  </si>
  <si>
    <t>20231127</t>
    <phoneticPr fontId="6" type="noConversion"/>
  </si>
  <si>
    <t>B-1121023009</t>
  </si>
  <si>
    <t>P14-M2Z22-1</t>
  </si>
  <si>
    <t>M2T22W26L33</t>
  </si>
  <si>
    <t>30</t>
    <phoneticPr fontId="6" type="noConversion"/>
  </si>
  <si>
    <t>20231127</t>
    <phoneticPr fontId="6" type="noConversion"/>
  </si>
  <si>
    <r>
      <rPr>
        <b/>
        <sz val="20"/>
        <rFont val="微軟正黑體"/>
        <family val="2"/>
        <charset val="136"/>
      </rPr>
      <t>齒研加工排程</t>
    </r>
    <r>
      <rPr>
        <b/>
        <sz val="20"/>
        <rFont val="Times New Roman"/>
        <family val="1"/>
      </rPr>
      <t xml:space="preserve"> TG</t>
    </r>
    <phoneticPr fontId="6" type="noConversion"/>
  </si>
  <si>
    <r>
      <rPr>
        <b/>
        <sz val="26"/>
        <color rgb="FFFF0000"/>
        <rFont val="微軟正黑體"/>
        <family val="2"/>
        <charset val="136"/>
      </rPr>
      <t>請白班同仁先把工件找出來交班給夜班</t>
    </r>
    <phoneticPr fontId="6" type="noConversion"/>
  </si>
  <si>
    <r>
      <rPr>
        <b/>
        <sz val="14"/>
        <rFont val="微軟正黑體"/>
        <family val="2"/>
        <charset val="136"/>
      </rPr>
      <t>立式</t>
    </r>
    <phoneticPr fontId="6" type="noConversion"/>
  </si>
  <si>
    <r>
      <rPr>
        <b/>
        <sz val="14"/>
        <rFont val="微軟正黑體"/>
        <family val="2"/>
        <charset val="136"/>
      </rPr>
      <t>交期</t>
    </r>
    <phoneticPr fontId="6" type="noConversion"/>
  </si>
  <si>
    <r>
      <rPr>
        <b/>
        <sz val="14"/>
        <rFont val="微軟正黑體"/>
        <family val="2"/>
        <charset val="136"/>
      </rPr>
      <t>順序</t>
    </r>
    <phoneticPr fontId="6" type="noConversion"/>
  </si>
  <si>
    <r>
      <rPr>
        <b/>
        <sz val="14"/>
        <rFont val="微軟正黑體"/>
        <family val="2"/>
        <charset val="136"/>
      </rPr>
      <t>客戶</t>
    </r>
    <phoneticPr fontId="6" type="noConversion"/>
  </si>
  <si>
    <r>
      <rPr>
        <b/>
        <sz val="14"/>
        <rFont val="微軟正黑體"/>
        <family val="2"/>
        <charset val="136"/>
      </rPr>
      <t>製令單號</t>
    </r>
    <phoneticPr fontId="6" type="noConversion"/>
  </si>
  <si>
    <r>
      <rPr>
        <b/>
        <sz val="14"/>
        <rFont val="微軟正黑體"/>
        <family val="2"/>
        <charset val="136"/>
      </rPr>
      <t>產品編號</t>
    </r>
    <phoneticPr fontId="6" type="noConversion"/>
  </si>
  <si>
    <r>
      <rPr>
        <b/>
        <sz val="14"/>
        <rFont val="微軟正黑體"/>
        <family val="2"/>
        <charset val="136"/>
      </rPr>
      <t>規格</t>
    </r>
    <phoneticPr fontId="6" type="noConversion"/>
  </si>
  <si>
    <r>
      <rPr>
        <b/>
        <sz val="14"/>
        <rFont val="微軟正黑體"/>
        <family val="2"/>
        <charset val="136"/>
      </rPr>
      <t>齒研數量</t>
    </r>
    <phoneticPr fontId="6" type="noConversion"/>
  </si>
  <si>
    <r>
      <rPr>
        <b/>
        <sz val="14"/>
        <rFont val="微軟正黑體"/>
        <family val="2"/>
        <charset val="136"/>
      </rPr>
      <t>生管</t>
    </r>
    <phoneticPr fontId="6" type="noConversion"/>
  </si>
  <si>
    <r>
      <rPr>
        <b/>
        <sz val="14"/>
        <color rgb="FFFF0000"/>
        <rFont val="微軟正黑體"/>
        <family val="2"/>
        <charset val="136"/>
      </rPr>
      <t>備註</t>
    </r>
    <r>
      <rPr>
        <b/>
        <sz val="14"/>
        <color rgb="FFFF0000"/>
        <rFont val="Times New Roman"/>
        <family val="1"/>
      </rPr>
      <t>(</t>
    </r>
    <r>
      <rPr>
        <b/>
        <sz val="14"/>
        <color rgb="FFFF0000"/>
        <rFont val="微軟正黑體"/>
        <family val="2"/>
        <charset val="136"/>
      </rPr>
      <t>務必填寫不可下修</t>
    </r>
    <r>
      <rPr>
        <b/>
        <sz val="14"/>
        <color rgb="FFFF0000"/>
        <rFont val="Times New Roman"/>
        <family val="1"/>
      </rPr>
      <t>&amp;</t>
    </r>
    <r>
      <rPr>
        <b/>
        <sz val="14"/>
        <color rgb="FFFF0000"/>
        <rFont val="微軟正黑體"/>
        <family val="2"/>
        <charset val="136"/>
      </rPr>
      <t>可下修尺寸</t>
    </r>
    <r>
      <rPr>
        <b/>
        <sz val="14"/>
        <color rgb="FFFF0000"/>
        <rFont val="Times New Roman"/>
        <family val="1"/>
      </rPr>
      <t>)</t>
    </r>
    <phoneticPr fontId="6" type="noConversion"/>
  </si>
  <si>
    <r>
      <rPr>
        <b/>
        <sz val="14"/>
        <color theme="1"/>
        <rFont val="微軟正黑體"/>
        <family val="2"/>
        <charset val="136"/>
      </rPr>
      <t>預估校機時間</t>
    </r>
    <phoneticPr fontId="6" type="noConversion"/>
  </si>
  <si>
    <r>
      <rPr>
        <b/>
        <sz val="14"/>
        <color theme="1"/>
        <rFont val="微軟正黑體"/>
        <family val="2"/>
        <charset val="136"/>
      </rPr>
      <t>預估上機製作總工時</t>
    </r>
    <phoneticPr fontId="6" type="noConversion"/>
  </si>
  <si>
    <r>
      <rPr>
        <b/>
        <sz val="14"/>
        <color theme="1"/>
        <rFont val="微軟正黑體"/>
        <family val="2"/>
        <charset val="136"/>
      </rPr>
      <t>治具確認</t>
    </r>
    <phoneticPr fontId="6" type="noConversion"/>
  </si>
  <si>
    <r>
      <rPr>
        <b/>
        <sz val="14"/>
        <rFont val="微軟正黑體"/>
        <family val="2"/>
        <charset val="136"/>
      </rPr>
      <t>容器</t>
    </r>
    <phoneticPr fontId="6" type="noConversion"/>
  </si>
  <si>
    <r>
      <rPr>
        <b/>
        <sz val="14"/>
        <color theme="1"/>
        <rFont val="微軟正黑體"/>
        <family val="2"/>
        <charset val="136"/>
      </rPr>
      <t>預捉完工班數</t>
    </r>
    <phoneticPr fontId="6" type="noConversion"/>
  </si>
  <si>
    <r>
      <rPr>
        <b/>
        <sz val="14"/>
        <color theme="1"/>
        <rFont val="微軟正黑體"/>
        <family val="2"/>
        <charset val="136"/>
      </rPr>
      <t>備註</t>
    </r>
    <phoneticPr fontId="6" type="noConversion"/>
  </si>
  <si>
    <r>
      <rPr>
        <b/>
        <sz val="14"/>
        <rFont val="細明體"/>
        <family val="3"/>
        <charset val="136"/>
      </rPr>
      <t>文俐</t>
    </r>
    <phoneticPr fontId="6" type="noConversion"/>
  </si>
  <si>
    <r>
      <rPr>
        <b/>
        <sz val="14"/>
        <rFont val="細明體"/>
        <family val="3"/>
        <charset val="136"/>
      </rPr>
      <t>成大</t>
    </r>
    <phoneticPr fontId="6" type="noConversion"/>
  </si>
  <si>
    <r>
      <rPr>
        <b/>
        <sz val="14"/>
        <rFont val="細明體"/>
        <family val="3"/>
        <charset val="136"/>
      </rPr>
      <t>志方</t>
    </r>
    <phoneticPr fontId="6" type="noConversion"/>
  </si>
  <si>
    <r>
      <rPr>
        <b/>
        <sz val="14"/>
        <rFont val="細明體"/>
        <family val="3"/>
        <charset val="136"/>
      </rPr>
      <t>文俐</t>
    </r>
  </si>
  <si>
    <r>
      <rPr>
        <b/>
        <sz val="14"/>
        <rFont val="細明體"/>
        <family val="3"/>
        <charset val="136"/>
      </rPr>
      <t>和昕</t>
    </r>
    <phoneticPr fontId="6" type="noConversion"/>
  </si>
  <si>
    <r>
      <t>5</t>
    </r>
    <r>
      <rPr>
        <b/>
        <sz val="14"/>
        <color theme="1"/>
        <rFont val="細明體"/>
        <family val="3"/>
        <charset val="136"/>
      </rPr>
      <t>只管制勿混</t>
    </r>
    <r>
      <rPr>
        <b/>
        <sz val="14"/>
        <color theme="1"/>
        <rFont val="Times New Roman"/>
        <family val="1"/>
      </rPr>
      <t xml:space="preserve"> / </t>
    </r>
    <r>
      <rPr>
        <b/>
        <sz val="14"/>
        <color theme="1"/>
        <rFont val="細明體"/>
        <family val="3"/>
        <charset val="136"/>
      </rPr>
      <t>首件確認</t>
    </r>
    <r>
      <rPr>
        <b/>
        <sz val="14"/>
        <color theme="1"/>
        <rFont val="Times New Roman"/>
        <family val="1"/>
      </rPr>
      <t>(</t>
    </r>
    <r>
      <rPr>
        <b/>
        <sz val="14"/>
        <color theme="1"/>
        <rFont val="細明體"/>
        <family val="3"/>
        <charset val="136"/>
      </rPr>
      <t>廖士賢</t>
    </r>
    <r>
      <rPr>
        <b/>
        <sz val="14"/>
        <color theme="1"/>
        <rFont val="Times New Roman"/>
        <family val="1"/>
      </rPr>
      <t>)</t>
    </r>
    <phoneticPr fontId="6" type="noConversion"/>
  </si>
  <si>
    <r>
      <rPr>
        <b/>
        <sz val="14"/>
        <rFont val="細明體"/>
        <family val="3"/>
        <charset val="136"/>
      </rPr>
      <t>志方</t>
    </r>
    <phoneticPr fontId="6" type="noConversion"/>
  </si>
  <si>
    <r>
      <t>KAPP</t>
    </r>
    <r>
      <rPr>
        <b/>
        <sz val="14"/>
        <rFont val="細明體"/>
        <family val="3"/>
        <charset val="136"/>
      </rPr>
      <t>無法做</t>
    </r>
    <phoneticPr fontId="6" type="noConversion"/>
  </si>
  <si>
    <r>
      <rPr>
        <b/>
        <sz val="14"/>
        <color theme="1"/>
        <rFont val="細明體"/>
        <family val="3"/>
        <charset val="136"/>
      </rPr>
      <t>文俐</t>
    </r>
    <phoneticPr fontId="6" type="noConversion"/>
  </si>
  <si>
    <r>
      <rPr>
        <b/>
        <sz val="14"/>
        <rFont val="細明體"/>
        <family val="3"/>
        <charset val="136"/>
      </rPr>
      <t>原億昌</t>
    </r>
    <phoneticPr fontId="6" type="noConversion"/>
  </si>
  <si>
    <r>
      <rPr>
        <b/>
        <sz val="14"/>
        <rFont val="細明體"/>
        <family val="3"/>
        <charset val="136"/>
      </rPr>
      <t>寶嘉誠</t>
    </r>
    <phoneticPr fontId="6" type="noConversion"/>
  </si>
  <si>
    <r>
      <rPr>
        <b/>
        <sz val="14"/>
        <rFont val="細明體"/>
        <family val="3"/>
        <charset val="136"/>
      </rPr>
      <t>結合</t>
    </r>
    <r>
      <rPr>
        <b/>
        <sz val="14"/>
        <rFont val="Times New Roman"/>
        <family val="1"/>
      </rPr>
      <t>GT3028-00100</t>
    </r>
    <r>
      <rPr>
        <b/>
        <sz val="14"/>
        <rFont val="細明體"/>
        <family val="3"/>
        <charset val="136"/>
      </rPr>
      <t>後齒研</t>
    </r>
    <phoneticPr fontId="6" type="noConversion"/>
  </si>
  <si>
    <t>1</t>
    <phoneticPr fontId="6" type="noConversion"/>
  </si>
  <si>
    <t>2</t>
    <phoneticPr fontId="6" type="noConversion"/>
  </si>
  <si>
    <t>運輪</t>
    <phoneticPr fontId="6" type="noConversion"/>
  </si>
  <si>
    <t>B-1121124007</t>
  </si>
  <si>
    <t>B-1121124008</t>
  </si>
  <si>
    <t>E01-MX8045-01</t>
  </si>
  <si>
    <t>M1.25T94W22.5L22.5</t>
  </si>
  <si>
    <t>5</t>
    <phoneticPr fontId="6" type="noConversion"/>
  </si>
  <si>
    <t>E01-MX8045-02</t>
  </si>
  <si>
    <t>20231127</t>
    <phoneticPr fontId="6" type="noConversion"/>
  </si>
  <si>
    <t>20231128</t>
  </si>
  <si>
    <t>20231128</t>
    <phoneticPr fontId="6" type="noConversion"/>
  </si>
  <si>
    <t>B-1120927007</t>
    <phoneticPr fontId="6" type="noConversion"/>
  </si>
  <si>
    <t>JKGA01716R</t>
  </si>
  <si>
    <t>M1T16W14L24</t>
  </si>
  <si>
    <t>105</t>
    <phoneticPr fontId="6" type="noConversion"/>
  </si>
  <si>
    <t>1P</t>
    <phoneticPr fontId="6" type="noConversion"/>
  </si>
  <si>
    <t>成大</t>
    <phoneticPr fontId="6" type="noConversion"/>
  </si>
  <si>
    <t>B-1120927008</t>
    <phoneticPr fontId="6" type="noConversion"/>
  </si>
  <si>
    <t>JKGASS19R</t>
  </si>
  <si>
    <t>M1*19T</t>
  </si>
  <si>
    <t>2P</t>
    <phoneticPr fontId="6" type="noConversion"/>
  </si>
  <si>
    <t>20231128</t>
    <phoneticPr fontId="6" type="noConversion"/>
  </si>
  <si>
    <t>1P</t>
    <phoneticPr fontId="6" type="noConversion"/>
  </si>
  <si>
    <t>康普</t>
    <phoneticPr fontId="6" type="noConversion"/>
  </si>
  <si>
    <t>B-1121013006</t>
    <phoneticPr fontId="6" type="noConversion"/>
  </si>
  <si>
    <t>B-1121013005</t>
    <phoneticPr fontId="6" type="noConversion"/>
  </si>
  <si>
    <t>2P</t>
    <phoneticPr fontId="6" type="noConversion"/>
  </si>
  <si>
    <t>B-1121120008</t>
    <phoneticPr fontId="6" type="noConversion"/>
  </si>
  <si>
    <t>B-1121120007</t>
    <phoneticPr fontId="6" type="noConversion"/>
  </si>
  <si>
    <t>86-39538-01</t>
    <phoneticPr fontId="6" type="noConversion"/>
  </si>
  <si>
    <t>M1.5T18W18L19</t>
    <phoneticPr fontId="6" type="noConversion"/>
  </si>
  <si>
    <t>B-1121025012</t>
    <phoneticPr fontId="6" type="noConversion"/>
  </si>
  <si>
    <t>20231127</t>
    <phoneticPr fontId="6" type="noConversion"/>
  </si>
  <si>
    <t>1</t>
    <phoneticPr fontId="6" type="noConversion"/>
  </si>
  <si>
    <t>和昕</t>
    <phoneticPr fontId="6" type="noConversion"/>
  </si>
  <si>
    <t>10</t>
    <phoneticPr fontId="6" type="noConversion"/>
  </si>
  <si>
    <t>20231123</t>
    <phoneticPr fontId="6" type="noConversion"/>
  </si>
  <si>
    <t>20231124</t>
    <phoneticPr fontId="6" type="noConversion"/>
  </si>
  <si>
    <t>旭陽</t>
    <phoneticPr fontId="6" type="noConversion"/>
  </si>
  <si>
    <t>B-1121108015</t>
    <phoneticPr fontId="6" type="noConversion"/>
  </si>
  <si>
    <t>2000030360000</t>
    <phoneticPr fontId="6" type="noConversion"/>
  </si>
  <si>
    <t>30</t>
    <phoneticPr fontId="6" type="noConversion"/>
  </si>
  <si>
    <t>志方</t>
    <phoneticPr fontId="6" type="noConversion"/>
  </si>
  <si>
    <t>20231122</t>
    <phoneticPr fontId="6" type="noConversion"/>
  </si>
  <si>
    <t>金大</t>
    <phoneticPr fontId="6" type="noConversion"/>
  </si>
  <si>
    <t>B-1121011010</t>
    <phoneticPr fontId="6" type="noConversion"/>
  </si>
  <si>
    <t>B-1</t>
    <phoneticPr fontId="6" type="noConversion"/>
  </si>
  <si>
    <t>2</t>
    <phoneticPr fontId="6" type="noConversion"/>
  </si>
  <si>
    <t>20231120</t>
    <phoneticPr fontId="6" type="noConversion"/>
  </si>
  <si>
    <t>1P</t>
    <phoneticPr fontId="6" type="noConversion"/>
  </si>
  <si>
    <t>B-1121026006</t>
    <phoneticPr fontId="6" type="noConversion"/>
  </si>
  <si>
    <t>CB31RGSIC050100001-0</t>
    <phoneticPr fontId="6" type="noConversion"/>
  </si>
  <si>
    <r>
      <rPr>
        <b/>
        <sz val="14"/>
        <rFont val="細明體"/>
        <family val="3"/>
        <charset val="136"/>
      </rPr>
      <t>文俐</t>
    </r>
    <phoneticPr fontId="6" type="noConversion"/>
  </si>
  <si>
    <t>弘旺</t>
    <phoneticPr fontId="6" type="noConversion"/>
  </si>
  <si>
    <t>B-1120928010</t>
    <phoneticPr fontId="6" type="noConversion"/>
  </si>
  <si>
    <t>HE3004C-L</t>
    <phoneticPr fontId="6" type="noConversion"/>
  </si>
  <si>
    <t>郡業</t>
    <phoneticPr fontId="6" type="noConversion"/>
  </si>
  <si>
    <t>B-1121116013</t>
    <phoneticPr fontId="6" type="noConversion"/>
  </si>
  <si>
    <t>卿雅</t>
    <phoneticPr fontId="6" type="noConversion"/>
  </si>
  <si>
    <t>M2.5T68W29L55</t>
    <phoneticPr fontId="6" type="noConversion"/>
  </si>
  <si>
    <t>1E</t>
    <phoneticPr fontId="6" type="noConversion"/>
  </si>
  <si>
    <t>華宇</t>
    <phoneticPr fontId="6" type="noConversion"/>
  </si>
  <si>
    <t>B-1121002003</t>
    <phoneticPr fontId="6" type="noConversion"/>
  </si>
  <si>
    <t>W156-B01-022-A1</t>
    <phoneticPr fontId="6" type="noConversion"/>
  </si>
  <si>
    <t>M2.5T23L40</t>
    <phoneticPr fontId="6" type="noConversion"/>
  </si>
  <si>
    <t>B-1121115005</t>
    <phoneticPr fontId="6" type="noConversion"/>
  </si>
  <si>
    <t>10060C-011</t>
    <phoneticPr fontId="6" type="noConversion"/>
  </si>
  <si>
    <t>M1T60W10L42</t>
    <phoneticPr fontId="6" type="noConversion"/>
  </si>
  <si>
    <t>B-1121017009</t>
    <phoneticPr fontId="6" type="noConversion"/>
  </si>
  <si>
    <t>150A-14-00</t>
    <phoneticPr fontId="6" type="noConversion"/>
  </si>
  <si>
    <t>M2.5T17W39L142</t>
    <phoneticPr fontId="6" type="noConversion"/>
  </si>
  <si>
    <t>B-1121011011</t>
    <phoneticPr fontId="6" type="noConversion"/>
  </si>
  <si>
    <t>B-2</t>
    <phoneticPr fontId="6" type="noConversion"/>
  </si>
  <si>
    <t>M3T34W18</t>
    <phoneticPr fontId="6" type="noConversion"/>
  </si>
  <si>
    <t>新富昌</t>
    <phoneticPr fontId="6" type="noConversion"/>
  </si>
  <si>
    <t>文俐</t>
    <phoneticPr fontId="6" type="noConversion"/>
  </si>
  <si>
    <r>
      <rPr>
        <b/>
        <sz val="26"/>
        <rFont val="微軟正黑體"/>
        <family val="2"/>
        <charset val="136"/>
      </rPr>
      <t>請白班同仁先把工件找出來交班給夜班</t>
    </r>
    <phoneticPr fontId="6" type="noConversion"/>
  </si>
  <si>
    <r>
      <rPr>
        <b/>
        <sz val="12"/>
        <rFont val="微軟正黑體"/>
        <family val="2"/>
        <charset val="136"/>
      </rPr>
      <t>臥式</t>
    </r>
    <phoneticPr fontId="6" type="noConversion"/>
  </si>
  <si>
    <r>
      <rPr>
        <b/>
        <sz val="14"/>
        <rFont val="微軟正黑體"/>
        <family val="2"/>
        <charset val="136"/>
      </rPr>
      <t>齒研數量</t>
    </r>
    <phoneticPr fontId="6" type="noConversion"/>
  </si>
  <si>
    <r>
      <rPr>
        <b/>
        <sz val="14"/>
        <rFont val="微軟正黑體"/>
        <family val="2"/>
        <charset val="136"/>
      </rPr>
      <t>備註</t>
    </r>
    <r>
      <rPr>
        <b/>
        <sz val="14"/>
        <rFont val="Times New Roman"/>
        <family val="1"/>
      </rPr>
      <t>(</t>
    </r>
    <r>
      <rPr>
        <b/>
        <sz val="14"/>
        <rFont val="微軟正黑體"/>
        <family val="2"/>
        <charset val="136"/>
      </rPr>
      <t>務必填寫不可下修</t>
    </r>
    <r>
      <rPr>
        <b/>
        <sz val="14"/>
        <rFont val="Times New Roman"/>
        <family val="1"/>
      </rPr>
      <t>&amp;</t>
    </r>
    <r>
      <rPr>
        <b/>
        <sz val="14"/>
        <rFont val="微軟正黑體"/>
        <family val="2"/>
        <charset val="136"/>
      </rPr>
      <t>可下修尺寸</t>
    </r>
    <r>
      <rPr>
        <b/>
        <sz val="14"/>
        <rFont val="Times New Roman"/>
        <family val="1"/>
      </rPr>
      <t>)</t>
    </r>
    <phoneticPr fontId="6" type="noConversion"/>
  </si>
  <si>
    <r>
      <rPr>
        <b/>
        <sz val="14"/>
        <rFont val="微軟正黑體"/>
        <family val="2"/>
        <charset val="136"/>
      </rPr>
      <t>預估校機時間</t>
    </r>
    <phoneticPr fontId="6" type="noConversion"/>
  </si>
  <si>
    <r>
      <rPr>
        <b/>
        <sz val="14"/>
        <rFont val="微軟正黑體"/>
        <family val="2"/>
        <charset val="136"/>
      </rPr>
      <t>預估上機製作總工時</t>
    </r>
    <phoneticPr fontId="6" type="noConversion"/>
  </si>
  <si>
    <r>
      <rPr>
        <b/>
        <sz val="14"/>
        <rFont val="微軟正黑體"/>
        <family val="2"/>
        <charset val="136"/>
      </rPr>
      <t>治具確認</t>
    </r>
    <phoneticPr fontId="6" type="noConversion"/>
  </si>
  <si>
    <r>
      <rPr>
        <b/>
        <sz val="14"/>
        <rFont val="微軟正黑體"/>
        <family val="2"/>
        <charset val="136"/>
      </rPr>
      <t>容器</t>
    </r>
    <phoneticPr fontId="6" type="noConversion"/>
  </si>
  <si>
    <r>
      <rPr>
        <b/>
        <sz val="14"/>
        <rFont val="微軟正黑體"/>
        <family val="2"/>
        <charset val="136"/>
      </rPr>
      <t>預捉完工班數</t>
    </r>
    <phoneticPr fontId="6" type="noConversion"/>
  </si>
  <si>
    <r>
      <rPr>
        <b/>
        <sz val="14"/>
        <rFont val="微軟正黑體"/>
        <family val="2"/>
        <charset val="136"/>
      </rPr>
      <t>備註</t>
    </r>
    <phoneticPr fontId="6" type="noConversion"/>
  </si>
  <si>
    <r>
      <rPr>
        <b/>
        <sz val="14"/>
        <rFont val="細明體"/>
        <family val="3"/>
        <charset val="136"/>
      </rPr>
      <t>鋐穎</t>
    </r>
    <r>
      <rPr>
        <b/>
        <sz val="14"/>
        <rFont val="Times New Roman"/>
        <family val="1"/>
      </rPr>
      <t>/</t>
    </r>
    <r>
      <rPr>
        <b/>
        <sz val="14"/>
        <rFont val="細明體"/>
        <family val="3"/>
        <charset val="136"/>
      </rPr>
      <t>鋐橙</t>
    </r>
    <phoneticPr fontId="6" type="noConversion"/>
  </si>
  <si>
    <t>文俐</t>
    <phoneticPr fontId="6" type="noConversion"/>
  </si>
  <si>
    <r>
      <rPr>
        <b/>
        <sz val="14"/>
        <rFont val="細明體"/>
        <family val="3"/>
        <charset val="136"/>
      </rPr>
      <t>優廉</t>
    </r>
    <phoneticPr fontId="6" type="noConversion"/>
  </si>
  <si>
    <r>
      <rPr>
        <b/>
        <sz val="14"/>
        <rFont val="微軟正黑體"/>
        <family val="2"/>
        <charset val="136"/>
      </rPr>
      <t>文俐</t>
    </r>
    <phoneticPr fontId="6" type="noConversion"/>
  </si>
  <si>
    <r>
      <t>142+13 (</t>
    </r>
    <r>
      <rPr>
        <b/>
        <sz val="14"/>
        <rFont val="細明體"/>
        <family val="3"/>
        <charset val="136"/>
      </rPr>
      <t>勿混</t>
    </r>
    <r>
      <rPr>
        <b/>
        <sz val="14"/>
        <rFont val="Times New Roman"/>
        <family val="1"/>
      </rPr>
      <t>)</t>
    </r>
    <phoneticPr fontId="6" type="noConversion"/>
  </si>
  <si>
    <r>
      <rPr>
        <b/>
        <sz val="14"/>
        <rFont val="細明體"/>
        <family val="3"/>
        <charset val="136"/>
      </rPr>
      <t>急件</t>
    </r>
    <phoneticPr fontId="6" type="noConversion"/>
  </si>
  <si>
    <r>
      <rPr>
        <b/>
        <sz val="14"/>
        <rFont val="微軟正黑體"/>
        <family val="2"/>
        <charset val="136"/>
      </rPr>
      <t>文俐</t>
    </r>
    <phoneticPr fontId="6" type="noConversion"/>
  </si>
  <si>
    <r>
      <rPr>
        <b/>
        <sz val="14"/>
        <rFont val="細明體"/>
        <family val="3"/>
        <charset val="136"/>
      </rPr>
      <t>玖成</t>
    </r>
    <phoneticPr fontId="6" type="noConversion"/>
  </si>
  <si>
    <r>
      <rPr>
        <b/>
        <sz val="14"/>
        <rFont val="細明體"/>
        <family val="3"/>
        <charset val="136"/>
      </rPr>
      <t>粗齒研</t>
    </r>
    <phoneticPr fontId="6" type="noConversion"/>
  </si>
  <si>
    <r>
      <t>11/20(</t>
    </r>
    <r>
      <rPr>
        <b/>
        <sz val="14"/>
        <rFont val="細明體"/>
        <family val="3"/>
        <charset val="136"/>
      </rPr>
      <t>一</t>
    </r>
    <r>
      <rPr>
        <b/>
        <sz val="14"/>
        <rFont val="Times New Roman"/>
        <family val="1"/>
      </rPr>
      <t>)</t>
    </r>
    <r>
      <rPr>
        <b/>
        <sz val="14"/>
        <rFont val="細明體"/>
        <family val="3"/>
        <charset val="136"/>
      </rPr>
      <t>出貨，急件</t>
    </r>
    <phoneticPr fontId="6" type="noConversion"/>
  </si>
  <si>
    <r>
      <t>1</t>
    </r>
    <r>
      <rPr>
        <b/>
        <sz val="14"/>
        <rFont val="細明體"/>
        <family val="3"/>
        <charset val="136"/>
      </rPr>
      <t>棧板</t>
    </r>
    <phoneticPr fontId="6" type="noConversion"/>
  </si>
  <si>
    <r>
      <rPr>
        <b/>
        <sz val="14"/>
        <rFont val="細明體"/>
        <family val="3"/>
        <charset val="136"/>
      </rPr>
      <t>松田</t>
    </r>
    <phoneticPr fontId="6" type="noConversion"/>
  </si>
  <si>
    <r>
      <rPr>
        <b/>
        <sz val="14"/>
        <rFont val="細明體"/>
        <family val="3"/>
        <charset val="136"/>
      </rPr>
      <t>急件</t>
    </r>
    <phoneticPr fontId="6" type="noConversion"/>
  </si>
  <si>
    <r>
      <rPr>
        <b/>
        <sz val="14"/>
        <rFont val="細明體"/>
        <family val="3"/>
        <charset val="136"/>
      </rPr>
      <t>鋐穎</t>
    </r>
    <r>
      <rPr>
        <b/>
        <sz val="14"/>
        <rFont val="Times New Roman"/>
        <family val="1"/>
      </rPr>
      <t>/</t>
    </r>
    <r>
      <rPr>
        <b/>
        <sz val="14"/>
        <rFont val="細明體"/>
        <family val="3"/>
        <charset val="136"/>
      </rPr>
      <t>鋐橙</t>
    </r>
    <phoneticPr fontId="6" type="noConversion"/>
  </si>
  <si>
    <r>
      <rPr>
        <b/>
        <sz val="14"/>
        <rFont val="細明體"/>
        <family val="3"/>
        <charset val="136"/>
      </rPr>
      <t>金大</t>
    </r>
    <phoneticPr fontId="6" type="noConversion"/>
  </si>
  <si>
    <r>
      <rPr>
        <b/>
        <sz val="14"/>
        <rFont val="細明體"/>
        <family val="3"/>
        <charset val="136"/>
      </rPr>
      <t>用六栓軸齒研，齒研方向同樣品組</t>
    </r>
    <phoneticPr fontId="6" type="noConversion"/>
  </si>
  <si>
    <t>育林</t>
    <phoneticPr fontId="6" type="noConversion"/>
  </si>
  <si>
    <r>
      <rPr>
        <b/>
        <sz val="14"/>
        <rFont val="細明體"/>
        <family val="3"/>
        <charset val="136"/>
      </rPr>
      <t>待後補</t>
    </r>
    <phoneticPr fontId="6" type="noConversion"/>
  </si>
  <si>
    <t>寶正</t>
    <phoneticPr fontId="6" type="noConversion"/>
  </si>
  <si>
    <r>
      <rPr>
        <b/>
        <sz val="14"/>
        <rFont val="細明體"/>
        <family val="3"/>
        <charset val="136"/>
      </rPr>
      <t>齒研後結合</t>
    </r>
    <r>
      <rPr>
        <b/>
        <sz val="14"/>
        <rFont val="Times New Roman"/>
        <family val="1"/>
      </rPr>
      <t>GT3049-00100</t>
    </r>
    <phoneticPr fontId="6" type="noConversion"/>
  </si>
  <si>
    <r>
      <rPr>
        <b/>
        <sz val="14"/>
        <rFont val="細明體"/>
        <family val="3"/>
        <charset val="136"/>
      </rPr>
      <t>成大</t>
    </r>
  </si>
  <si>
    <r>
      <rPr>
        <b/>
        <sz val="14"/>
        <rFont val="細明體"/>
        <family val="3"/>
        <charset val="136"/>
      </rPr>
      <t>進德</t>
    </r>
    <phoneticPr fontId="6" type="noConversion"/>
  </si>
  <si>
    <r>
      <rPr>
        <b/>
        <sz val="14"/>
        <rFont val="細明體"/>
        <family val="3"/>
        <charset val="136"/>
      </rPr>
      <t>預計</t>
    </r>
    <r>
      <rPr>
        <b/>
        <sz val="14"/>
        <rFont val="Times New Roman"/>
        <family val="1"/>
      </rPr>
      <t>11/25(</t>
    </r>
    <r>
      <rPr>
        <b/>
        <sz val="14"/>
        <rFont val="細明體"/>
        <family val="3"/>
        <charset val="136"/>
      </rPr>
      <t>六</t>
    </r>
    <r>
      <rPr>
        <b/>
        <sz val="14"/>
        <rFont val="Times New Roman"/>
        <family val="1"/>
      </rPr>
      <t>)</t>
    </r>
    <r>
      <rPr>
        <b/>
        <sz val="14"/>
        <rFont val="細明體"/>
        <family val="3"/>
        <charset val="136"/>
      </rPr>
      <t>晚班完成</t>
    </r>
    <phoneticPr fontId="6" type="noConversion"/>
  </si>
  <si>
    <r>
      <rPr>
        <b/>
        <sz val="14"/>
        <color theme="1"/>
        <rFont val="細明體"/>
        <family val="3"/>
        <charset val="136"/>
      </rPr>
      <t>原億昌</t>
    </r>
    <phoneticPr fontId="6" type="noConversion"/>
  </si>
  <si>
    <t>20231128</t>
    <phoneticPr fontId="6" type="noConversion"/>
  </si>
  <si>
    <r>
      <rPr>
        <b/>
        <sz val="14"/>
        <rFont val="細明體"/>
        <family val="3"/>
        <charset val="136"/>
      </rPr>
      <t>和昕</t>
    </r>
    <phoneticPr fontId="6" type="noConversion"/>
  </si>
  <si>
    <t>B-1120920016</t>
    <phoneticPr fontId="6" type="noConversion"/>
  </si>
  <si>
    <r>
      <rPr>
        <b/>
        <sz val="14"/>
        <rFont val="細明體"/>
        <family val="3"/>
        <charset val="136"/>
      </rPr>
      <t>志方</t>
    </r>
    <phoneticPr fontId="6" type="noConversion"/>
  </si>
  <si>
    <t>B-1121017010</t>
    <phoneticPr fontId="6" type="noConversion"/>
  </si>
  <si>
    <t>150A-17-00</t>
    <phoneticPr fontId="6" type="noConversion"/>
  </si>
  <si>
    <t>M2.5T60W18L47.5</t>
  </si>
  <si>
    <t>鋐穎/鋐橙</t>
    <phoneticPr fontId="6" type="noConversion"/>
  </si>
  <si>
    <t>30</t>
    <phoneticPr fontId="6" type="noConversion"/>
  </si>
  <si>
    <t>文俐</t>
    <phoneticPr fontId="6" type="noConversion"/>
  </si>
  <si>
    <t>20231128</t>
    <phoneticPr fontId="6" type="noConversion"/>
  </si>
  <si>
    <t>1E</t>
    <phoneticPr fontId="6" type="noConversion"/>
  </si>
  <si>
    <t>B-1121027007</t>
  </si>
  <si>
    <t>M2.25*16T*54W*131L</t>
  </si>
  <si>
    <t>JKKE06716R</t>
  </si>
  <si>
    <t>品管檢驗中</t>
    <phoneticPr fontId="6" type="noConversion"/>
  </si>
  <si>
    <t>永新峰</t>
    <phoneticPr fontId="6" type="noConversion"/>
  </si>
  <si>
    <t>B-1121004012</t>
    <phoneticPr fontId="6" type="noConversion"/>
  </si>
  <si>
    <t>HG17T</t>
  </si>
  <si>
    <t>M1.5T17W18L19</t>
  </si>
  <si>
    <t>文俐</t>
    <phoneticPr fontId="6" type="noConversion"/>
  </si>
  <si>
    <t>1P</t>
    <phoneticPr fontId="6" type="noConversion"/>
  </si>
  <si>
    <t>NG3</t>
    <phoneticPr fontId="6" type="noConversion"/>
  </si>
  <si>
    <t>20231129</t>
  </si>
  <si>
    <t>20231129</t>
    <phoneticPr fontId="6" type="noConversion"/>
  </si>
  <si>
    <r>
      <rPr>
        <b/>
        <sz val="14"/>
        <rFont val="細明體"/>
        <family val="3"/>
        <charset val="136"/>
      </rPr>
      <t>需先結合</t>
    </r>
    <r>
      <rPr>
        <b/>
        <sz val="14"/>
        <rFont val="Times New Roman"/>
        <family val="1"/>
      </rPr>
      <t>GT2044-00100</t>
    </r>
    <r>
      <rPr>
        <b/>
        <sz val="14"/>
        <rFont val="細明體"/>
        <family val="3"/>
        <charset val="136"/>
      </rPr>
      <t>後齒研</t>
    </r>
    <phoneticPr fontId="6" type="noConversion"/>
  </si>
  <si>
    <t>CR-3011</t>
    <phoneticPr fontId="6" type="noConversion"/>
  </si>
  <si>
    <t>M3T90W40L40</t>
    <phoneticPr fontId="6" type="noConversion"/>
  </si>
  <si>
    <t>114TX2-B13-011</t>
  </si>
  <si>
    <t>M2T68W12L12</t>
  </si>
  <si>
    <t>B-1121128010</t>
  </si>
  <si>
    <t>昱盛</t>
  </si>
  <si>
    <t>6</t>
    <phoneticPr fontId="6" type="noConversion"/>
  </si>
  <si>
    <t>5</t>
    <phoneticPr fontId="6" type="noConversion"/>
  </si>
  <si>
    <t>20231129</t>
    <phoneticPr fontId="6" type="noConversion"/>
  </si>
  <si>
    <t>1P</t>
    <phoneticPr fontId="6" type="noConversion"/>
  </si>
  <si>
    <t>請注意基準面(有綠色點點)</t>
    <phoneticPr fontId="6" type="noConversion"/>
  </si>
  <si>
    <t>114TX2-B13-012</t>
  </si>
  <si>
    <t>B-1121128011</t>
  </si>
  <si>
    <t>2</t>
    <phoneticPr fontId="6" type="noConversion"/>
  </si>
  <si>
    <t>M2T34W12L17</t>
  </si>
  <si>
    <t>1</t>
    <phoneticPr fontId="6" type="noConversion"/>
  </si>
  <si>
    <r>
      <rPr>
        <b/>
        <sz val="14"/>
        <color theme="1"/>
        <rFont val="細明體"/>
        <family val="3"/>
        <charset val="136"/>
      </rPr>
      <t>本土</t>
    </r>
    <phoneticPr fontId="6" type="noConversion"/>
  </si>
  <si>
    <t>B-1121121018</t>
    <phoneticPr fontId="6" type="noConversion"/>
  </si>
  <si>
    <r>
      <rPr>
        <b/>
        <sz val="14"/>
        <color theme="1"/>
        <rFont val="細明體"/>
        <family val="3"/>
        <charset val="136"/>
      </rPr>
      <t>志方</t>
    </r>
    <phoneticPr fontId="6" type="noConversion"/>
  </si>
  <si>
    <t>1P</t>
    <phoneticPr fontId="6" type="noConversion"/>
  </si>
  <si>
    <t>40G06</t>
  </si>
  <si>
    <t>優廉</t>
    <phoneticPr fontId="6" type="noConversion"/>
  </si>
  <si>
    <t>B-1120905008</t>
    <phoneticPr fontId="6" type="noConversion"/>
  </si>
  <si>
    <r>
      <t>入力齒輪</t>
    </r>
    <r>
      <rPr>
        <b/>
        <sz val="14"/>
        <rFont val="Times New Roman"/>
        <family val="1"/>
      </rPr>
      <t>(C)M2T37W29L100</t>
    </r>
  </si>
  <si>
    <t>10</t>
    <phoneticPr fontId="6" type="noConversion"/>
  </si>
  <si>
    <t>20231129</t>
    <phoneticPr fontId="6" type="noConversion"/>
  </si>
  <si>
    <t>1P</t>
    <phoneticPr fontId="6" type="noConversion"/>
  </si>
  <si>
    <t>伍宏</t>
    <phoneticPr fontId="6" type="noConversion"/>
  </si>
  <si>
    <t>B-1121128006</t>
    <phoneticPr fontId="6" type="noConversion"/>
  </si>
  <si>
    <t>O-HS-20-5753</t>
  </si>
  <si>
    <t>M1.5875T88W20.32L50.8</t>
  </si>
  <si>
    <t>6</t>
    <phoneticPr fontId="6" type="noConversion"/>
  </si>
  <si>
    <t>客附檢具/有治具</t>
    <phoneticPr fontId="6" type="noConversion"/>
  </si>
  <si>
    <t>20231130</t>
    <phoneticPr fontId="6" type="noConversion"/>
  </si>
  <si>
    <t>20231130</t>
    <phoneticPr fontId="6" type="noConversion"/>
  </si>
  <si>
    <t>20231130</t>
    <phoneticPr fontId="6" type="noConversion"/>
  </si>
  <si>
    <t>KAPP 3G</t>
  </si>
  <si>
    <t>KAPP 3G</t>
    <phoneticPr fontId="6" type="noConversion"/>
  </si>
  <si>
    <t>KAPP 3G</t>
    <phoneticPr fontId="6" type="noConversion"/>
  </si>
  <si>
    <t>成大</t>
    <phoneticPr fontId="6" type="noConversion"/>
  </si>
  <si>
    <t>B-1120925009</t>
    <phoneticPr fontId="6" type="noConversion"/>
  </si>
  <si>
    <t>JKGA1822R</t>
    <phoneticPr fontId="6" type="noConversion"/>
  </si>
  <si>
    <t>M1.25T22W21.2</t>
    <phoneticPr fontId="6" type="noConversion"/>
  </si>
  <si>
    <r>
      <rPr>
        <b/>
        <sz val="14"/>
        <color theme="1"/>
        <rFont val="細明體"/>
        <family val="3"/>
        <charset val="136"/>
      </rPr>
      <t>志方</t>
    </r>
    <phoneticPr fontId="6" type="noConversion"/>
  </si>
  <si>
    <t>1E</t>
    <phoneticPr fontId="6" type="noConversion"/>
  </si>
  <si>
    <t>進德</t>
    <phoneticPr fontId="6" type="noConversion"/>
  </si>
  <si>
    <t>B-1121025013</t>
    <phoneticPr fontId="6" type="noConversion"/>
  </si>
  <si>
    <r>
      <rPr>
        <b/>
        <sz val="14"/>
        <rFont val="細明體"/>
        <family val="3"/>
        <charset val="136"/>
      </rPr>
      <t>文俐</t>
    </r>
    <phoneticPr fontId="6" type="noConversion"/>
  </si>
  <si>
    <t>立式</t>
    <phoneticPr fontId="6" type="noConversion"/>
  </si>
  <si>
    <t>寶嘉誠</t>
    <phoneticPr fontId="6" type="noConversion"/>
  </si>
  <si>
    <t>B-1120816014</t>
    <phoneticPr fontId="6" type="noConversion"/>
  </si>
  <si>
    <t>M5T36W50L131</t>
  </si>
  <si>
    <t>1E</t>
    <phoneticPr fontId="6" type="noConversion"/>
  </si>
  <si>
    <t>崴立(新竹)</t>
    <phoneticPr fontId="6" type="noConversion"/>
  </si>
  <si>
    <t>B-1121101010</t>
    <phoneticPr fontId="6" type="noConversion"/>
  </si>
  <si>
    <t>13006-0006-00</t>
  </si>
  <si>
    <t>M4T16W34L35</t>
  </si>
  <si>
    <t>文俐</t>
    <phoneticPr fontId="6" type="noConversion"/>
  </si>
  <si>
    <t>B-1121110003</t>
    <phoneticPr fontId="6" type="noConversion"/>
  </si>
  <si>
    <t>1P</t>
    <phoneticPr fontId="6" type="noConversion"/>
  </si>
  <si>
    <t>50190-009</t>
  </si>
  <si>
    <t>喬揚</t>
    <phoneticPr fontId="6" type="noConversion"/>
  </si>
  <si>
    <t>B-1121011015</t>
    <phoneticPr fontId="6" type="noConversion"/>
  </si>
  <si>
    <t>5</t>
    <phoneticPr fontId="6" type="noConversion"/>
  </si>
  <si>
    <t>急件</t>
    <phoneticPr fontId="6" type="noConversion"/>
  </si>
  <si>
    <t>20231130</t>
    <phoneticPr fontId="6" type="noConversion"/>
  </si>
  <si>
    <t>1P</t>
    <phoneticPr fontId="6" type="noConversion"/>
  </si>
  <si>
    <t>20231129</t>
    <phoneticPr fontId="6" type="noConversion"/>
  </si>
  <si>
    <t>1P</t>
    <phoneticPr fontId="6" type="noConversion"/>
  </si>
  <si>
    <t>B-1121011017</t>
    <phoneticPr fontId="6" type="noConversion"/>
  </si>
  <si>
    <t>50190-011</t>
    <phoneticPr fontId="6" type="noConversion"/>
  </si>
  <si>
    <t>5</t>
    <phoneticPr fontId="6" type="noConversion"/>
  </si>
  <si>
    <t>齒研完搓鍵 NG*18</t>
    <phoneticPr fontId="6" type="noConversion"/>
  </si>
  <si>
    <t>NG*8</t>
    <phoneticPr fontId="6" type="noConversion"/>
  </si>
  <si>
    <t>JKGD04794R</t>
    <phoneticPr fontId="6" type="noConversion"/>
  </si>
  <si>
    <t>M1*94T*17W20L</t>
  </si>
  <si>
    <t>B-1121019013</t>
  </si>
  <si>
    <t>志方</t>
    <phoneticPr fontId="6" type="noConversion"/>
  </si>
  <si>
    <t>出貨前須搓鍵</t>
    <phoneticPr fontId="6" type="noConversion"/>
  </si>
  <si>
    <t>JKGA1020R</t>
  </si>
  <si>
    <t>B-1120923001</t>
  </si>
  <si>
    <t>M0.8*20T*18L</t>
  </si>
  <si>
    <t>1</t>
    <phoneticPr fontId="6" type="noConversion"/>
  </si>
  <si>
    <t>M2T16W28L38</t>
    <phoneticPr fontId="6" type="noConversion"/>
  </si>
  <si>
    <t>M2.5T45W20L225</t>
    <phoneticPr fontId="6" type="noConversion"/>
  </si>
  <si>
    <t>1</t>
    <phoneticPr fontId="6" type="noConversion"/>
  </si>
  <si>
    <t>SP-1111-001-1-D3-01</t>
  </si>
  <si>
    <t>M2T9W18L44</t>
  </si>
  <si>
    <t>B-1121201002</t>
  </si>
  <si>
    <t>本土</t>
  </si>
  <si>
    <t>355+2</t>
    <phoneticPr fontId="6" type="noConversion"/>
  </si>
  <si>
    <t>3P</t>
    <phoneticPr fontId="6" type="noConversion"/>
  </si>
  <si>
    <t>2950250080100</t>
  </si>
  <si>
    <t>M3T26W35L55</t>
  </si>
  <si>
    <t>5</t>
    <phoneticPr fontId="6" type="noConversion"/>
  </si>
  <si>
    <t>旭陽</t>
  </si>
  <si>
    <t>B-1121006022</t>
  </si>
  <si>
    <t>20231201</t>
    <phoneticPr fontId="6" type="noConversion"/>
  </si>
  <si>
    <t>2103440180003</t>
    <phoneticPr fontId="6" type="noConversion"/>
  </si>
  <si>
    <t>B-1120905002</t>
  </si>
  <si>
    <t>M1.25T45W25</t>
  </si>
  <si>
    <t>1P</t>
    <phoneticPr fontId="6" type="noConversion"/>
  </si>
  <si>
    <t>急件</t>
    <phoneticPr fontId="6" type="noConversion"/>
  </si>
  <si>
    <t>急件</t>
    <phoneticPr fontId="6" type="noConversion"/>
  </si>
  <si>
    <t>TN5-1-58-1</t>
  </si>
  <si>
    <t>文俐</t>
    <phoneticPr fontId="6" type="noConversion"/>
  </si>
  <si>
    <r>
      <rPr>
        <b/>
        <sz val="14"/>
        <rFont val="細明體"/>
        <family val="3"/>
        <charset val="136"/>
      </rPr>
      <t>首件確認傳報告</t>
    </r>
    <r>
      <rPr>
        <b/>
        <sz val="14"/>
        <rFont val="Times New Roman"/>
        <family val="1"/>
      </rPr>
      <t>(</t>
    </r>
    <r>
      <rPr>
        <b/>
        <sz val="14"/>
        <rFont val="細明體"/>
        <family val="3"/>
        <charset val="136"/>
      </rPr>
      <t>廖士賢</t>
    </r>
    <r>
      <rPr>
        <b/>
        <sz val="14"/>
        <rFont val="Times New Roman"/>
        <family val="1"/>
      </rPr>
      <t xml:space="preserve">) / </t>
    </r>
    <r>
      <rPr>
        <b/>
        <sz val="14"/>
        <rFont val="細明體"/>
        <family val="3"/>
        <charset val="136"/>
      </rPr>
      <t>管制件</t>
    </r>
    <r>
      <rPr>
        <b/>
        <sz val="14"/>
        <rFont val="Times New Roman"/>
        <family val="1"/>
      </rPr>
      <t>2</t>
    </r>
    <r>
      <rPr>
        <b/>
        <sz val="14"/>
        <rFont val="細明體"/>
        <family val="3"/>
        <charset val="136"/>
      </rPr>
      <t>只勿混</t>
    </r>
    <phoneticPr fontId="6" type="noConversion"/>
  </si>
  <si>
    <t>TR17020</t>
  </si>
  <si>
    <t>M1.5*50T*W20</t>
  </si>
  <si>
    <t>B-1121027015</t>
  </si>
  <si>
    <t>原億昌</t>
    <phoneticPr fontId="6" type="noConversion"/>
  </si>
  <si>
    <t>B-1121017007</t>
    <phoneticPr fontId="6" type="noConversion"/>
  </si>
  <si>
    <t>ZQJ00-01-10</t>
  </si>
  <si>
    <t>文俐</t>
    <phoneticPr fontId="6" type="noConversion"/>
  </si>
  <si>
    <t>急件</t>
    <phoneticPr fontId="6" type="noConversion"/>
  </si>
  <si>
    <t>1P</t>
    <phoneticPr fontId="6" type="noConversion"/>
  </si>
  <si>
    <t>M1.5*20T*38L</t>
    <phoneticPr fontId="6" type="noConversion"/>
  </si>
  <si>
    <t>JKKE06714R</t>
  </si>
  <si>
    <t>B-1121027006</t>
  </si>
  <si>
    <t>M1.5*14T*131L</t>
  </si>
  <si>
    <t>急出貨102只</t>
    <phoneticPr fontId="6" type="noConversion"/>
  </si>
  <si>
    <r>
      <t>此單總數</t>
    </r>
    <r>
      <rPr>
        <b/>
        <sz val="14"/>
        <color theme="1"/>
        <rFont val="Times New Roman"/>
        <family val="1"/>
      </rPr>
      <t>300(</t>
    </r>
    <r>
      <rPr>
        <b/>
        <sz val="14"/>
        <color theme="1"/>
        <rFont val="細明體"/>
        <family val="3"/>
        <charset val="136"/>
      </rPr>
      <t>餘數還在孔平研</t>
    </r>
    <r>
      <rPr>
        <b/>
        <sz val="14"/>
        <color theme="1"/>
        <rFont val="Times New Roman"/>
        <family val="1"/>
      </rPr>
      <t>)</t>
    </r>
    <phoneticPr fontId="6" type="noConversion"/>
  </si>
  <si>
    <t>20231204</t>
  </si>
  <si>
    <t>登裕</t>
    <phoneticPr fontId="6" type="noConversion"/>
  </si>
  <si>
    <t>B-1121130008</t>
    <phoneticPr fontId="6" type="noConversion"/>
  </si>
  <si>
    <t>084-00017-01</t>
  </si>
  <si>
    <t>M1T14W11.5L32 M1*14T</t>
  </si>
  <si>
    <t>文俐</t>
    <phoneticPr fontId="6" type="noConversion"/>
  </si>
  <si>
    <t>1P</t>
    <phoneticPr fontId="6" type="noConversion"/>
  </si>
  <si>
    <t>鈦鉿興</t>
    <phoneticPr fontId="6" type="noConversion"/>
  </si>
  <si>
    <t>B-1121201004</t>
    <phoneticPr fontId="6" type="noConversion"/>
  </si>
  <si>
    <t>M1.5T15W10L22.4</t>
    <phoneticPr fontId="6" type="noConversion"/>
  </si>
  <si>
    <t>文俐</t>
    <phoneticPr fontId="6" type="noConversion"/>
  </si>
  <si>
    <t>1P</t>
    <phoneticPr fontId="6" type="noConversion"/>
  </si>
  <si>
    <t>1</t>
    <phoneticPr fontId="6" type="noConversion"/>
  </si>
  <si>
    <t>10</t>
    <phoneticPr fontId="6" type="noConversion"/>
  </si>
  <si>
    <t>20231201</t>
    <phoneticPr fontId="6" type="noConversion"/>
  </si>
  <si>
    <t>1P</t>
    <phoneticPr fontId="6" type="noConversion"/>
  </si>
  <si>
    <t>1</t>
    <phoneticPr fontId="6" type="noConversion"/>
  </si>
  <si>
    <t>鋐穎/鋐橙</t>
    <phoneticPr fontId="6" type="noConversion"/>
  </si>
  <si>
    <t>B-1121019018</t>
    <phoneticPr fontId="6" type="noConversion"/>
  </si>
  <si>
    <t>ATK-2540120</t>
  </si>
  <si>
    <t>M1T80W16L18</t>
  </si>
  <si>
    <t>30</t>
    <phoneticPr fontId="6" type="noConversion"/>
  </si>
  <si>
    <t>文俐</t>
    <phoneticPr fontId="6" type="noConversion"/>
  </si>
  <si>
    <t>20231204</t>
    <phoneticPr fontId="6" type="noConversion"/>
  </si>
  <si>
    <t>1P</t>
    <phoneticPr fontId="6" type="noConversion"/>
  </si>
  <si>
    <t>2</t>
    <phoneticPr fontId="6" type="noConversion"/>
  </si>
  <si>
    <t>玖成</t>
    <phoneticPr fontId="6" type="noConversion"/>
  </si>
  <si>
    <t>B-1121120006</t>
    <phoneticPr fontId="6" type="noConversion"/>
  </si>
  <si>
    <t>22150-5014-00</t>
  </si>
  <si>
    <t>M2.5T16W23L83</t>
  </si>
  <si>
    <t>文俐</t>
    <phoneticPr fontId="6" type="noConversion"/>
  </si>
  <si>
    <t>20231204</t>
    <phoneticPr fontId="6" type="noConversion"/>
  </si>
  <si>
    <t>1P</t>
    <phoneticPr fontId="6" type="noConversion"/>
  </si>
  <si>
    <t>鋐穎/鋐橙</t>
    <phoneticPr fontId="6" type="noConversion"/>
  </si>
  <si>
    <t>B-111017009</t>
    <phoneticPr fontId="6" type="noConversion"/>
  </si>
  <si>
    <t>150A-14-00</t>
    <phoneticPr fontId="6" type="noConversion"/>
  </si>
  <si>
    <r>
      <t>惰齒輪軸</t>
    </r>
    <r>
      <rPr>
        <b/>
        <sz val="14"/>
        <rFont val="Times New Roman"/>
        <family val="1"/>
      </rPr>
      <t xml:space="preserve"> M2.5T17W39L142</t>
    </r>
  </si>
  <si>
    <t>4</t>
    <phoneticPr fontId="6" type="noConversion"/>
  </si>
  <si>
    <t>20231204</t>
    <phoneticPr fontId="6" type="noConversion"/>
  </si>
  <si>
    <t>1P</t>
    <phoneticPr fontId="6" type="noConversion"/>
  </si>
  <si>
    <t>不急,等有條件一樣的在一起做就好</t>
    <phoneticPr fontId="6" type="noConversion"/>
  </si>
  <si>
    <t>附治具*1 ng*4</t>
    <phoneticPr fontId="6" type="noConversion"/>
  </si>
  <si>
    <t>B-1121025010</t>
    <phoneticPr fontId="6" type="noConversion"/>
  </si>
  <si>
    <t>ATK-2540110</t>
  </si>
  <si>
    <t>M1T64W16L28</t>
  </si>
  <si>
    <t>1P</t>
    <phoneticPr fontId="6" type="noConversion"/>
  </si>
  <si>
    <t>B-1121025009</t>
    <phoneticPr fontId="6" type="noConversion"/>
  </si>
  <si>
    <t>ATK-2540100</t>
  </si>
  <si>
    <t>M1T96W16L28</t>
  </si>
  <si>
    <t>1P</t>
    <phoneticPr fontId="6" type="noConversion"/>
  </si>
  <si>
    <t>群燁</t>
    <phoneticPr fontId="6" type="noConversion"/>
  </si>
  <si>
    <t>B-1121205009</t>
    <phoneticPr fontId="6" type="noConversion"/>
  </si>
  <si>
    <t>E23000024508</t>
    <phoneticPr fontId="6" type="noConversion"/>
  </si>
  <si>
    <t>6</t>
    <phoneticPr fontId="6" type="noConversion"/>
  </si>
  <si>
    <t>20231205</t>
    <phoneticPr fontId="6" type="noConversion"/>
  </si>
  <si>
    <t>1P</t>
    <phoneticPr fontId="6" type="noConversion"/>
  </si>
  <si>
    <t>急件</t>
    <phoneticPr fontId="6" type="noConversion"/>
  </si>
  <si>
    <r>
      <t>第一齒輪</t>
    </r>
    <r>
      <rPr>
        <b/>
        <sz val="14"/>
        <color rgb="FFFF0000"/>
        <rFont val="Times New Roman"/>
        <family val="1"/>
      </rPr>
      <t>M3.5T14W60L236</t>
    </r>
  </si>
  <si>
    <t>20231206</t>
  </si>
  <si>
    <t>B-1121205008</t>
    <phoneticPr fontId="6" type="noConversion"/>
  </si>
  <si>
    <t>HR025008-00</t>
    <phoneticPr fontId="6" type="noConversion"/>
  </si>
  <si>
    <t>B-1121205007</t>
    <phoneticPr fontId="6" type="noConversion"/>
  </si>
  <si>
    <t>3853-C530-0701</t>
    <phoneticPr fontId="6" type="noConversion"/>
  </si>
  <si>
    <t>20231206</t>
    <phoneticPr fontId="6" type="noConversion"/>
  </si>
  <si>
    <t>1</t>
    <phoneticPr fontId="6" type="noConversion"/>
  </si>
  <si>
    <t>金大</t>
    <phoneticPr fontId="6" type="noConversion"/>
  </si>
  <si>
    <t>B-1121011009</t>
    <phoneticPr fontId="6" type="noConversion"/>
  </si>
  <si>
    <t>A-3</t>
    <phoneticPr fontId="6" type="noConversion"/>
  </si>
  <si>
    <t>1</t>
    <phoneticPr fontId="6" type="noConversion"/>
  </si>
  <si>
    <t>文俐</t>
    <phoneticPr fontId="6" type="noConversion"/>
  </si>
  <si>
    <t>20231206</t>
    <phoneticPr fontId="6" type="noConversion"/>
  </si>
  <si>
    <t>臥式-A</t>
    <phoneticPr fontId="6" type="noConversion"/>
  </si>
  <si>
    <t>B-1121011008</t>
    <phoneticPr fontId="6" type="noConversion"/>
  </si>
  <si>
    <t>A-2</t>
    <phoneticPr fontId="6" type="noConversion"/>
  </si>
  <si>
    <t>轉位齒輪M3T45W18</t>
    <phoneticPr fontId="6" type="noConversion"/>
  </si>
  <si>
    <t>2</t>
    <phoneticPr fontId="6" type="noConversion"/>
  </si>
  <si>
    <t>文俐</t>
    <phoneticPr fontId="6" type="noConversion"/>
  </si>
  <si>
    <t>20231206</t>
    <phoneticPr fontId="6" type="noConversion"/>
  </si>
  <si>
    <t>3</t>
    <phoneticPr fontId="6" type="noConversion"/>
  </si>
  <si>
    <t>B-1121011007</t>
    <phoneticPr fontId="6" type="noConversion"/>
  </si>
  <si>
    <t>A-1</t>
    <phoneticPr fontId="6" type="noConversion"/>
  </si>
  <si>
    <t>轉位齒輪M3T54W24</t>
    <phoneticPr fontId="6" type="noConversion"/>
  </si>
  <si>
    <t>高工</t>
    <phoneticPr fontId="6" type="noConversion"/>
  </si>
  <si>
    <t>B-1120224004</t>
    <phoneticPr fontId="6" type="noConversion"/>
  </si>
  <si>
    <t>EG-MF-M2T13L145</t>
    <phoneticPr fontId="6" type="noConversion"/>
  </si>
  <si>
    <t>23</t>
    <phoneticPr fontId="6" type="noConversion"/>
  </si>
  <si>
    <t>文俐</t>
    <phoneticPr fontId="6" type="noConversion"/>
  </si>
  <si>
    <t>結合EG-MF-M2T32L30</t>
    <phoneticPr fontId="6" type="noConversion"/>
  </si>
  <si>
    <t>德士</t>
    <phoneticPr fontId="6" type="noConversion"/>
  </si>
  <si>
    <t>B-1121026002</t>
    <phoneticPr fontId="6" type="noConversion"/>
  </si>
  <si>
    <t>RD200J103DEX004</t>
  </si>
  <si>
    <t>M1.5T22W20</t>
  </si>
  <si>
    <t>文俐</t>
    <phoneticPr fontId="6" type="noConversion"/>
  </si>
  <si>
    <t>臥式-B</t>
    <phoneticPr fontId="6" type="noConversion"/>
  </si>
  <si>
    <t>1</t>
    <phoneticPr fontId="6" type="noConversion"/>
  </si>
  <si>
    <t>德士</t>
    <phoneticPr fontId="6" type="noConversion"/>
  </si>
  <si>
    <t>B-1121113025</t>
    <phoneticPr fontId="6" type="noConversion"/>
  </si>
  <si>
    <t>ACYJ500J103DEX001</t>
  </si>
  <si>
    <t>M2T44W16L18</t>
  </si>
  <si>
    <t>3</t>
    <phoneticPr fontId="6" type="noConversion"/>
  </si>
  <si>
    <t>ACYJ500J103DEX002</t>
  </si>
  <si>
    <t>M2T64W16L19</t>
  </si>
  <si>
    <t>20231206</t>
    <phoneticPr fontId="6" type="noConversion"/>
  </si>
  <si>
    <t>1P</t>
    <phoneticPr fontId="6" type="noConversion"/>
  </si>
  <si>
    <t>1P</t>
    <phoneticPr fontId="6" type="noConversion"/>
  </si>
  <si>
    <t>玖成</t>
    <phoneticPr fontId="6" type="noConversion"/>
  </si>
  <si>
    <r>
      <t>擺心惰輪</t>
    </r>
    <r>
      <rPr>
        <b/>
        <sz val="14"/>
        <rFont val="Times New Roman"/>
        <family val="1"/>
      </rPr>
      <t>M3T41W30L111</t>
    </r>
  </si>
  <si>
    <t>22150-5012</t>
  </si>
  <si>
    <t>20231206</t>
    <phoneticPr fontId="6" type="noConversion"/>
  </si>
  <si>
    <t>1P</t>
    <phoneticPr fontId="6" type="noConversion"/>
  </si>
  <si>
    <t>22150-5017-00</t>
  </si>
  <si>
    <t>齒輪M3T50W30L111</t>
  </si>
  <si>
    <t>2</t>
    <phoneticPr fontId="6" type="noConversion"/>
  </si>
  <si>
    <t>B-1121031007</t>
    <phoneticPr fontId="6" type="noConversion"/>
  </si>
  <si>
    <t>22150-5016-00</t>
  </si>
  <si>
    <t>齒輪M3T38W33L48</t>
  </si>
  <si>
    <t>2</t>
    <phoneticPr fontId="6" type="noConversion"/>
  </si>
  <si>
    <t>B-1121031006</t>
    <phoneticPr fontId="6" type="noConversion"/>
  </si>
  <si>
    <t>22150-5011</t>
  </si>
  <si>
    <t>齒輪M3T33W30L42</t>
  </si>
  <si>
    <t>6</t>
    <phoneticPr fontId="6" type="noConversion"/>
  </si>
  <si>
    <t>B-1121106002</t>
    <phoneticPr fontId="6" type="noConversion"/>
  </si>
  <si>
    <t>5</t>
  </si>
  <si>
    <t>35</t>
  </si>
  <si>
    <t>1</t>
  </si>
  <si>
    <t>喬揚</t>
    <phoneticPr fontId="6" type="noConversion"/>
  </si>
  <si>
    <t>B-1121011013</t>
    <phoneticPr fontId="6" type="noConversion"/>
  </si>
  <si>
    <t>50190-002</t>
  </si>
  <si>
    <t>5</t>
    <phoneticPr fontId="6" type="noConversion"/>
  </si>
  <si>
    <t>20231206</t>
    <phoneticPr fontId="6" type="noConversion"/>
  </si>
  <si>
    <t>1E</t>
    <phoneticPr fontId="6" type="noConversion"/>
  </si>
  <si>
    <t>急件</t>
    <phoneticPr fontId="6" type="noConversion"/>
  </si>
  <si>
    <t>轉位齒輪M3T50W20</t>
    <phoneticPr fontId="6" type="noConversion"/>
  </si>
  <si>
    <r>
      <t>主軸大齒輪</t>
    </r>
    <r>
      <rPr>
        <b/>
        <sz val="14"/>
        <color rgb="FFFF0000"/>
        <rFont val="Times New Roman"/>
        <family val="1"/>
      </rPr>
      <t>M3.5T74W29L72</t>
    </r>
  </si>
  <si>
    <t>寶嘉誠</t>
    <phoneticPr fontId="6" type="noConversion"/>
  </si>
  <si>
    <t>-B1121101028</t>
    <phoneticPr fontId="6" type="noConversion"/>
  </si>
  <si>
    <t>5004002511</t>
  </si>
  <si>
    <t>惰齒輪 M4*28T*31L</t>
  </si>
  <si>
    <t>20</t>
    <phoneticPr fontId="6" type="noConversion"/>
  </si>
  <si>
    <t>20231206</t>
    <phoneticPr fontId="6" type="noConversion"/>
  </si>
  <si>
    <t>1P</t>
    <phoneticPr fontId="6" type="noConversion"/>
  </si>
  <si>
    <t>4P</t>
    <phoneticPr fontId="6" type="noConversion"/>
  </si>
  <si>
    <t>1P</t>
    <phoneticPr fontId="6" type="noConversion"/>
  </si>
  <si>
    <t>2P</t>
    <phoneticPr fontId="6" type="noConversion"/>
  </si>
  <si>
    <t>2103440180003</t>
    <phoneticPr fontId="6" type="noConversion"/>
  </si>
  <si>
    <t>志方</t>
    <phoneticPr fontId="6" type="noConversion"/>
  </si>
  <si>
    <t>1E</t>
    <phoneticPr fontId="6" type="noConversion"/>
  </si>
  <si>
    <r>
      <rPr>
        <b/>
        <sz val="12"/>
        <color theme="1"/>
        <rFont val="微軟正黑體"/>
        <family val="2"/>
        <charset val="136"/>
      </rPr>
      <t>更新時間</t>
    </r>
    <phoneticPr fontId="6" type="noConversion"/>
  </si>
  <si>
    <t>M2.5*18T*W20</t>
    <phoneticPr fontId="6" type="noConversion"/>
  </si>
  <si>
    <t>M2*35T*W20</t>
    <phoneticPr fontId="6" type="noConversion"/>
  </si>
  <si>
    <t>20231207</t>
    <phoneticPr fontId="6" type="noConversion"/>
  </si>
  <si>
    <t>20231207</t>
    <phoneticPr fontId="6" type="noConversion"/>
  </si>
  <si>
    <t>20231207</t>
    <phoneticPr fontId="6" type="noConversion"/>
  </si>
  <si>
    <t>陸聯</t>
    <phoneticPr fontId="6" type="noConversion"/>
  </si>
  <si>
    <t>B-1121204001</t>
    <phoneticPr fontId="6" type="noConversion"/>
  </si>
  <si>
    <t>M1.5-T85</t>
  </si>
  <si>
    <t>10</t>
    <phoneticPr fontId="6" type="noConversion"/>
  </si>
  <si>
    <t>20231207</t>
    <phoneticPr fontId="6" type="noConversion"/>
  </si>
  <si>
    <t>KKYC36006821</t>
  </si>
  <si>
    <t>B-1121207001</t>
  </si>
  <si>
    <t>M4.5T68W49L51</t>
  </si>
  <si>
    <t>LKND128027L22</t>
  </si>
  <si>
    <t>B-1121207002</t>
  </si>
  <si>
    <t>M2.35T27W41L143.5</t>
  </si>
  <si>
    <t>B-1121011012</t>
    <phoneticPr fontId="6" type="noConversion"/>
  </si>
  <si>
    <t>B-3</t>
    <phoneticPr fontId="6" type="noConversion"/>
  </si>
  <si>
    <t>轉位齒輪M3T29W21</t>
    <phoneticPr fontId="6" type="noConversion"/>
  </si>
  <si>
    <t>2</t>
    <phoneticPr fontId="6" type="noConversion"/>
  </si>
  <si>
    <t>1P</t>
    <phoneticPr fontId="6" type="noConversion"/>
  </si>
  <si>
    <t>7</t>
    <phoneticPr fontId="6" type="noConversion"/>
  </si>
  <si>
    <t>8</t>
    <phoneticPr fontId="6" type="noConversion"/>
  </si>
  <si>
    <t>B-1121113020</t>
  </si>
  <si>
    <t>詠酆</t>
  </si>
  <si>
    <t>M6.5T19W147L833</t>
    <phoneticPr fontId="6" type="noConversion"/>
  </si>
  <si>
    <t>模數為6.5，若有需要可看樣品(在移轉區一籠內)</t>
    <phoneticPr fontId="6" type="noConversion"/>
  </si>
  <si>
    <t>4P</t>
    <phoneticPr fontId="6" type="noConversion"/>
  </si>
  <si>
    <t>RTD320EC0000</t>
    <phoneticPr fontId="6" type="noConversion"/>
  </si>
  <si>
    <r>
      <t>正齒輪</t>
    </r>
    <r>
      <rPr>
        <b/>
        <sz val="14"/>
        <rFont val="Times New Roman"/>
        <family val="1"/>
      </rPr>
      <t>(80T)</t>
    </r>
    <r>
      <rPr>
        <b/>
        <sz val="14"/>
        <rFont val="細明體"/>
        <family val="3"/>
        <charset val="136"/>
      </rPr>
      <t>模數</t>
    </r>
    <r>
      <rPr>
        <b/>
        <sz val="14"/>
        <rFont val="Times New Roman"/>
        <family val="1"/>
      </rPr>
      <t>1.5 M1.5T80W17L31</t>
    </r>
    <phoneticPr fontId="6" type="noConversion"/>
  </si>
  <si>
    <t>M6.5T19-MZ002A</t>
    <phoneticPr fontId="6" type="noConversion"/>
  </si>
  <si>
    <t>B-112</t>
    <phoneticPr fontId="6" type="noConversion"/>
  </si>
  <si>
    <t>玖成</t>
    <phoneticPr fontId="6" type="noConversion"/>
  </si>
  <si>
    <t>B-1121106003</t>
    <phoneticPr fontId="6" type="noConversion"/>
  </si>
  <si>
    <t>6</t>
    <phoneticPr fontId="6" type="noConversion"/>
  </si>
  <si>
    <t>20231206</t>
    <phoneticPr fontId="6" type="noConversion"/>
  </si>
  <si>
    <t>1P</t>
    <phoneticPr fontId="6" type="noConversion"/>
  </si>
  <si>
    <t>2091360110003</t>
  </si>
  <si>
    <t>M2.25*56T*22W</t>
  </si>
  <si>
    <t>B-1121208001</t>
  </si>
  <si>
    <t>2</t>
    <phoneticPr fontId="6" type="noConversion"/>
  </si>
  <si>
    <t>志方</t>
    <phoneticPr fontId="6" type="noConversion"/>
  </si>
  <si>
    <t>20231208</t>
    <phoneticPr fontId="6" type="noConversion"/>
  </si>
  <si>
    <t>1P</t>
    <phoneticPr fontId="6" type="noConversion"/>
  </si>
  <si>
    <t>1</t>
    <phoneticPr fontId="6" type="noConversion"/>
  </si>
  <si>
    <t>W156-B07-003-A0</t>
  </si>
  <si>
    <t>M2.5T19W60L285.5</t>
  </si>
  <si>
    <t>B-1121002004</t>
  </si>
  <si>
    <t>華宇</t>
  </si>
  <si>
    <t>5</t>
    <phoneticPr fontId="6" type="noConversion"/>
  </si>
  <si>
    <t>W156-B08-013-A0</t>
  </si>
  <si>
    <t>B-1121002005</t>
  </si>
  <si>
    <t>20231208</t>
    <phoneticPr fontId="6" type="noConversion"/>
  </si>
  <si>
    <t>和昕</t>
    <phoneticPr fontId="6" type="noConversion"/>
  </si>
  <si>
    <t>B-1121113022</t>
    <phoneticPr fontId="6" type="noConversion"/>
  </si>
  <si>
    <t>GT2048-00100</t>
    <phoneticPr fontId="6" type="noConversion"/>
  </si>
  <si>
    <t>M2*48T*43L</t>
    <phoneticPr fontId="6" type="noConversion"/>
  </si>
  <si>
    <t>志方</t>
    <phoneticPr fontId="6" type="noConversion"/>
  </si>
  <si>
    <t>B-1120920017</t>
    <phoneticPr fontId="6" type="noConversion"/>
  </si>
  <si>
    <t>GT2060-00100</t>
    <phoneticPr fontId="6" type="noConversion"/>
  </si>
  <si>
    <t>M2*60T*22L</t>
    <phoneticPr fontId="6" type="noConversion"/>
  </si>
  <si>
    <t>齒研後結合GT2060-00100</t>
    <phoneticPr fontId="6" type="noConversion"/>
  </si>
  <si>
    <r>
      <t>需先結合GT2048-00100</t>
    </r>
    <r>
      <rPr>
        <b/>
        <sz val="14"/>
        <rFont val="細明體"/>
        <family val="3"/>
        <charset val="136"/>
      </rPr>
      <t>後齒研</t>
    </r>
    <phoneticPr fontId="6" type="noConversion"/>
  </si>
  <si>
    <r>
      <t>1</t>
    </r>
    <r>
      <rPr>
        <b/>
        <sz val="12"/>
        <rFont val="細明體"/>
        <family val="3"/>
        <charset val="136"/>
      </rPr>
      <t>紙箱</t>
    </r>
    <phoneticPr fontId="6" type="noConversion"/>
  </si>
  <si>
    <t>成大</t>
    <phoneticPr fontId="6" type="noConversion"/>
  </si>
  <si>
    <t>B-1121201001</t>
    <phoneticPr fontId="6" type="noConversion"/>
  </si>
  <si>
    <t>KKYC28609521</t>
    <phoneticPr fontId="6" type="noConversion"/>
  </si>
  <si>
    <t>M3.25*95T41.5W*41.5L</t>
    <phoneticPr fontId="6" type="noConversion"/>
  </si>
  <si>
    <t>志方</t>
    <phoneticPr fontId="6" type="noConversion"/>
  </si>
  <si>
    <t>注意防鏽</t>
    <phoneticPr fontId="6" type="noConversion"/>
  </si>
  <si>
    <t>M1.5T85W128L25</t>
    <phoneticPr fontId="6" type="noConversion"/>
  </si>
  <si>
    <t>1P</t>
    <phoneticPr fontId="6" type="noConversion"/>
  </si>
  <si>
    <r>
      <rPr>
        <b/>
        <sz val="14"/>
        <rFont val="細明體"/>
        <family val="3"/>
        <charset val="136"/>
      </rPr>
      <t>齒研後結合</t>
    </r>
    <r>
      <rPr>
        <b/>
        <sz val="14"/>
        <rFont val="Times New Roman"/>
        <family val="1"/>
      </rPr>
      <t>GT2055-00100</t>
    </r>
    <phoneticPr fontId="6" type="noConversion"/>
  </si>
  <si>
    <t>GT2044-00100</t>
  </si>
  <si>
    <t>B-1121113021</t>
  </si>
  <si>
    <t>M2*44T*43L</t>
  </si>
  <si>
    <t>B-1121019014</t>
    <phoneticPr fontId="6" type="noConversion"/>
  </si>
  <si>
    <t>GT2036-00200</t>
  </si>
  <si>
    <r>
      <t>馬達齒輪</t>
    </r>
    <r>
      <rPr>
        <b/>
        <sz val="14"/>
        <rFont val="Times New Roman"/>
        <family val="1"/>
      </rPr>
      <t>M2T36W15</t>
    </r>
  </si>
  <si>
    <t>1P</t>
    <phoneticPr fontId="6" type="noConversion"/>
  </si>
  <si>
    <t>20231211</t>
    <phoneticPr fontId="6" type="noConversion"/>
  </si>
  <si>
    <t>20231211</t>
    <phoneticPr fontId="6" type="noConversion"/>
  </si>
  <si>
    <t>20231211</t>
    <phoneticPr fontId="6" type="noConversion"/>
  </si>
  <si>
    <t>20231211</t>
    <phoneticPr fontId="6" type="noConversion"/>
  </si>
  <si>
    <t>1P</t>
    <phoneticPr fontId="6" type="noConversion"/>
  </si>
  <si>
    <t>KAPP 3G</t>
    <phoneticPr fontId="6" type="noConversion"/>
  </si>
  <si>
    <t>德士</t>
    <phoneticPr fontId="6" type="noConversion"/>
  </si>
  <si>
    <t>B-1121211015</t>
    <phoneticPr fontId="6" type="noConversion"/>
  </si>
  <si>
    <t>RD200J103DEX003</t>
    <phoneticPr fontId="6" type="noConversion"/>
  </si>
  <si>
    <t>M1.5T22W18</t>
    <phoneticPr fontId="6" type="noConversion"/>
  </si>
  <si>
    <t>文俐</t>
    <phoneticPr fontId="6" type="noConversion"/>
  </si>
  <si>
    <t>寶嘉誠</t>
    <phoneticPr fontId="6" type="noConversion"/>
  </si>
  <si>
    <t>B-1121101029</t>
    <phoneticPr fontId="6" type="noConversion"/>
  </si>
  <si>
    <t>6007002523</t>
  </si>
  <si>
    <t>5</t>
    <phoneticPr fontId="6" type="noConversion"/>
  </si>
  <si>
    <t>急件</t>
    <phoneticPr fontId="6" type="noConversion"/>
  </si>
  <si>
    <t>20231211</t>
    <phoneticPr fontId="6" type="noConversion"/>
  </si>
  <si>
    <t>1P</t>
    <phoneticPr fontId="6" type="noConversion"/>
  </si>
  <si>
    <t>高鋒</t>
    <phoneticPr fontId="6" type="noConversion"/>
  </si>
  <si>
    <t>B-1121006005</t>
    <phoneticPr fontId="6" type="noConversion"/>
  </si>
  <si>
    <t>3109330190</t>
    <phoneticPr fontId="6" type="noConversion"/>
  </si>
  <si>
    <t>5</t>
    <phoneticPr fontId="6" type="noConversion"/>
  </si>
  <si>
    <t>結合3109330180齒研  急件</t>
    <phoneticPr fontId="6" type="noConversion"/>
  </si>
  <si>
    <t>20231211</t>
    <phoneticPr fontId="6" type="noConversion"/>
  </si>
  <si>
    <t>健發</t>
    <phoneticPr fontId="6" type="noConversion"/>
  </si>
  <si>
    <t>B-1121211010</t>
    <phoneticPr fontId="6" type="noConversion"/>
  </si>
  <si>
    <t>M23074F01-T35</t>
  </si>
  <si>
    <t>文俐</t>
    <phoneticPr fontId="6" type="noConversion"/>
  </si>
  <si>
    <t>急件</t>
    <phoneticPr fontId="6" type="noConversion"/>
  </si>
  <si>
    <t>1E</t>
    <phoneticPr fontId="6" type="noConversion"/>
  </si>
  <si>
    <t>M23074F01-T33</t>
  </si>
  <si>
    <t>453-1756-0</t>
  </si>
  <si>
    <t>聰穎</t>
    <phoneticPr fontId="6" type="noConversion"/>
  </si>
  <si>
    <t>B-1121211026</t>
    <phoneticPr fontId="6" type="noConversion"/>
  </si>
  <si>
    <t>1</t>
    <phoneticPr fontId="6" type="noConversion"/>
  </si>
  <si>
    <t>20231211</t>
    <phoneticPr fontId="6" type="noConversion"/>
  </si>
  <si>
    <t>1P</t>
    <phoneticPr fontId="6" type="noConversion"/>
  </si>
  <si>
    <t>1P</t>
    <phoneticPr fontId="6" type="noConversion"/>
  </si>
  <si>
    <t>聰穎</t>
  </si>
  <si>
    <t>聰穎</t>
    <phoneticPr fontId="6" type="noConversion"/>
  </si>
  <si>
    <t>B-1121211025</t>
    <phoneticPr fontId="6" type="noConversion"/>
  </si>
  <si>
    <t>453-1755-0</t>
  </si>
  <si>
    <t>M1.25T65W14L18</t>
  </si>
  <si>
    <t>文俐</t>
    <phoneticPr fontId="6" type="noConversion"/>
  </si>
  <si>
    <t>1P</t>
    <phoneticPr fontId="6" type="noConversion"/>
  </si>
  <si>
    <t>1P</t>
    <phoneticPr fontId="6" type="noConversion"/>
  </si>
  <si>
    <t>B-1121211027</t>
    <phoneticPr fontId="6" type="noConversion"/>
  </si>
  <si>
    <t>453-1757-0</t>
  </si>
  <si>
    <t>M1.5T97W27W27</t>
  </si>
  <si>
    <r>
      <t>1</t>
    </r>
    <r>
      <rPr>
        <b/>
        <sz val="14"/>
        <rFont val="細明體"/>
        <family val="3"/>
        <charset val="136"/>
      </rPr>
      <t>木板</t>
    </r>
    <phoneticPr fontId="6" type="noConversion"/>
  </si>
  <si>
    <r>
      <rPr>
        <b/>
        <sz val="14"/>
        <rFont val="細明體"/>
        <family val="3"/>
        <charset val="136"/>
      </rPr>
      <t>齒研</t>
    </r>
    <r>
      <rPr>
        <b/>
        <sz val="14"/>
        <rFont val="Times New Roman"/>
        <family val="1"/>
      </rPr>
      <t>+</t>
    </r>
    <r>
      <rPr>
        <b/>
        <sz val="14"/>
        <rFont val="細明體"/>
        <family val="3"/>
        <charset val="136"/>
      </rPr>
      <t>齒部外研</t>
    </r>
    <r>
      <rPr>
        <b/>
        <sz val="14"/>
        <rFont val="Times New Roman"/>
        <family val="1"/>
      </rPr>
      <t xml:space="preserve">  // </t>
    </r>
    <r>
      <rPr>
        <b/>
        <sz val="14"/>
        <rFont val="細明體"/>
        <family val="3"/>
        <charset val="136"/>
      </rPr>
      <t>急件</t>
    </r>
    <phoneticPr fontId="6" type="noConversion"/>
  </si>
  <si>
    <t>LKND066017R23</t>
  </si>
  <si>
    <t>B-1121027009</t>
  </si>
  <si>
    <t>M1.25T17W32L105</t>
  </si>
  <si>
    <t>1E+2P</t>
    <phoneticPr fontId="6" type="noConversion"/>
  </si>
  <si>
    <t>M5T36W40</t>
    <phoneticPr fontId="6" type="noConversion"/>
  </si>
  <si>
    <t>M2.5T40W35</t>
    <phoneticPr fontId="6" type="noConversion"/>
  </si>
  <si>
    <t>M2T13L145</t>
    <phoneticPr fontId="6" type="noConversion"/>
  </si>
  <si>
    <t>M1.5T12W28L163</t>
    <phoneticPr fontId="6" type="noConversion"/>
  </si>
  <si>
    <t>M4T67W30L30</t>
    <phoneticPr fontId="6" type="noConversion"/>
  </si>
  <si>
    <t>M5T61W50L50</t>
    <phoneticPr fontId="6" type="noConversion"/>
  </si>
  <si>
    <t>JKKE03718R</t>
  </si>
  <si>
    <t>B-1121103010</t>
  </si>
  <si>
    <t>成大</t>
    <phoneticPr fontId="6" type="noConversion"/>
  </si>
  <si>
    <t>成大</t>
    <phoneticPr fontId="6" type="noConversion"/>
  </si>
  <si>
    <t>M1T18W38</t>
  </si>
  <si>
    <t>志方</t>
    <phoneticPr fontId="6" type="noConversion"/>
  </si>
  <si>
    <t>志方</t>
    <phoneticPr fontId="6" type="noConversion"/>
  </si>
  <si>
    <t>20231212</t>
    <phoneticPr fontId="6" type="noConversion"/>
  </si>
  <si>
    <t>20231212</t>
    <phoneticPr fontId="6" type="noConversion"/>
  </si>
  <si>
    <t>20231212</t>
    <phoneticPr fontId="6" type="noConversion"/>
  </si>
  <si>
    <t>20231212</t>
    <phoneticPr fontId="6" type="noConversion"/>
  </si>
  <si>
    <t>SP-2682912</t>
  </si>
  <si>
    <t>B-1121212010</t>
  </si>
  <si>
    <t>DP12T10W19.13</t>
    <phoneticPr fontId="6" type="noConversion"/>
  </si>
  <si>
    <t>日紳</t>
    <phoneticPr fontId="6" type="noConversion"/>
  </si>
  <si>
    <t>B-1121211028</t>
    <phoneticPr fontId="6" type="noConversion"/>
  </si>
  <si>
    <t>9MDH829A</t>
  </si>
  <si>
    <t>正齒輪(一) M4*23T*30L</t>
  </si>
  <si>
    <t>5</t>
    <phoneticPr fontId="6" type="noConversion"/>
  </si>
  <si>
    <t>20231212</t>
    <phoneticPr fontId="6" type="noConversion"/>
  </si>
  <si>
    <t>1P</t>
    <phoneticPr fontId="6" type="noConversion"/>
  </si>
  <si>
    <t>1E</t>
    <phoneticPr fontId="6" type="noConversion"/>
  </si>
  <si>
    <t>KAPP 3G</t>
    <phoneticPr fontId="6" type="noConversion"/>
  </si>
  <si>
    <t>力旭</t>
    <phoneticPr fontId="6" type="noConversion"/>
  </si>
  <si>
    <t>B-1121212009</t>
    <phoneticPr fontId="6" type="noConversion"/>
  </si>
  <si>
    <t>016-M1C005-0013</t>
    <phoneticPr fontId="6" type="noConversion"/>
  </si>
  <si>
    <r>
      <t>齒輪</t>
    </r>
    <r>
      <rPr>
        <b/>
        <sz val="14"/>
        <color rgb="FFFF0000"/>
        <rFont val="Times New Roman"/>
        <family val="1"/>
      </rPr>
      <t>M2T59W47L47</t>
    </r>
    <phoneticPr fontId="6" type="noConversion"/>
  </si>
  <si>
    <r>
      <rPr>
        <b/>
        <sz val="14"/>
        <color rgb="FFFF0000"/>
        <rFont val="細明體"/>
        <family val="3"/>
        <charset val="136"/>
      </rPr>
      <t>急件</t>
    </r>
    <r>
      <rPr>
        <b/>
        <sz val="14"/>
        <color rgb="FFFF0000"/>
        <rFont val="Times New Roman"/>
        <family val="1"/>
      </rPr>
      <t xml:space="preserve"> / 9</t>
    </r>
    <r>
      <rPr>
        <b/>
        <sz val="14"/>
        <color rgb="FFFF0000"/>
        <rFont val="細明體"/>
        <family val="3"/>
        <charset val="136"/>
      </rPr>
      <t>只勿混</t>
    </r>
    <r>
      <rPr>
        <b/>
        <sz val="14"/>
        <color rgb="FFFF0000"/>
        <rFont val="Times New Roman"/>
        <family val="1"/>
      </rPr>
      <t>/</t>
    </r>
    <r>
      <rPr>
        <b/>
        <sz val="14"/>
        <color rgb="FFFF0000"/>
        <rFont val="細明體"/>
        <family val="3"/>
        <charset val="136"/>
      </rPr>
      <t>雷刻</t>
    </r>
    <r>
      <rPr>
        <b/>
        <sz val="14"/>
        <color rgb="FFFF0000"/>
        <rFont val="Times New Roman"/>
        <family val="1"/>
      </rPr>
      <t>439-DF 2312 D8</t>
    </r>
    <phoneticPr fontId="6" type="noConversion"/>
  </si>
  <si>
    <t>20231213</t>
    <phoneticPr fontId="6" type="noConversion"/>
  </si>
  <si>
    <t>20231213</t>
    <phoneticPr fontId="6" type="noConversion"/>
  </si>
  <si>
    <t>1</t>
    <phoneticPr fontId="6" type="noConversion"/>
  </si>
  <si>
    <t>2</t>
    <phoneticPr fontId="6" type="noConversion"/>
  </si>
  <si>
    <t>4</t>
    <phoneticPr fontId="6" type="noConversion"/>
  </si>
  <si>
    <t>B-1121006006</t>
    <phoneticPr fontId="6" type="noConversion"/>
  </si>
  <si>
    <t>3109330200</t>
    <phoneticPr fontId="6" type="noConversion"/>
  </si>
  <si>
    <t>M2.5T86W25</t>
  </si>
  <si>
    <t>5</t>
    <phoneticPr fontId="6" type="noConversion"/>
  </si>
  <si>
    <t>文俐</t>
    <phoneticPr fontId="6" type="noConversion"/>
  </si>
  <si>
    <t>急件</t>
    <phoneticPr fontId="6" type="noConversion"/>
  </si>
  <si>
    <t>20231213</t>
    <phoneticPr fontId="6" type="noConversion"/>
  </si>
  <si>
    <t>1E</t>
    <phoneticPr fontId="6" type="noConversion"/>
  </si>
  <si>
    <t>健發</t>
    <phoneticPr fontId="6" type="noConversion"/>
  </si>
  <si>
    <t>B-1121211009</t>
    <phoneticPr fontId="6" type="noConversion"/>
  </si>
  <si>
    <t>1E</t>
    <phoneticPr fontId="6" type="noConversion"/>
  </si>
  <si>
    <t>優廉</t>
    <phoneticPr fontId="6" type="noConversion"/>
  </si>
  <si>
    <t>B-1121024014</t>
    <phoneticPr fontId="6" type="noConversion"/>
  </si>
  <si>
    <t>50H57</t>
  </si>
  <si>
    <t>5</t>
    <phoneticPr fontId="6" type="noConversion"/>
  </si>
  <si>
    <t>20231213</t>
    <phoneticPr fontId="6" type="noConversion"/>
  </si>
  <si>
    <t>1P</t>
    <phoneticPr fontId="6" type="noConversion"/>
  </si>
  <si>
    <t>453-1754-0</t>
  </si>
  <si>
    <t>聰穎</t>
    <phoneticPr fontId="6" type="noConversion"/>
  </si>
  <si>
    <t>B-1121211024</t>
    <phoneticPr fontId="6" type="noConversion"/>
  </si>
  <si>
    <t>一段小齒軸M1.25T24W16L16</t>
  </si>
  <si>
    <t>1</t>
    <phoneticPr fontId="6" type="noConversion"/>
  </si>
  <si>
    <t>20231213</t>
    <phoneticPr fontId="6" type="noConversion"/>
  </si>
  <si>
    <t>1E</t>
    <phoneticPr fontId="6" type="noConversion"/>
  </si>
  <si>
    <t>KAPP 3G</t>
    <phoneticPr fontId="6" type="noConversion"/>
  </si>
  <si>
    <t>B-1120925013</t>
    <phoneticPr fontId="6" type="noConversion"/>
  </si>
  <si>
    <t>JKGF03788L</t>
    <phoneticPr fontId="6" type="noConversion"/>
  </si>
  <si>
    <t>M1*88T*25W25L</t>
    <phoneticPr fontId="6" type="noConversion"/>
  </si>
  <si>
    <t>20231214</t>
    <phoneticPr fontId="6" type="noConversion"/>
  </si>
  <si>
    <t>20231214</t>
    <phoneticPr fontId="6" type="noConversion"/>
  </si>
  <si>
    <t>20231214</t>
    <phoneticPr fontId="6" type="noConversion"/>
  </si>
  <si>
    <t>府毅</t>
    <phoneticPr fontId="6" type="noConversion"/>
  </si>
  <si>
    <t>B-1121101009</t>
    <phoneticPr fontId="6" type="noConversion"/>
  </si>
  <si>
    <t>XM018-182-112V0</t>
  </si>
  <si>
    <t>文俐</t>
    <phoneticPr fontId="6" type="noConversion"/>
  </si>
  <si>
    <t>1T</t>
    <phoneticPr fontId="6" type="noConversion"/>
  </si>
  <si>
    <t>1T</t>
    <phoneticPr fontId="6" type="noConversion"/>
  </si>
  <si>
    <t>府毅</t>
    <phoneticPr fontId="6" type="noConversion"/>
  </si>
  <si>
    <t>B-1121116002</t>
    <phoneticPr fontId="6" type="noConversion"/>
  </si>
  <si>
    <t>XM360-328-305-426A</t>
    <phoneticPr fontId="6" type="noConversion"/>
  </si>
  <si>
    <t>M3T140W28L34.45</t>
    <phoneticPr fontId="6" type="noConversion"/>
  </si>
  <si>
    <t>文俐</t>
    <phoneticPr fontId="6" type="noConversion"/>
  </si>
  <si>
    <t>急件</t>
    <phoneticPr fontId="6" type="noConversion"/>
  </si>
  <si>
    <t>德士</t>
    <phoneticPr fontId="6" type="noConversion"/>
  </si>
  <si>
    <t>B-1121214005</t>
    <phoneticPr fontId="6" type="noConversion"/>
  </si>
  <si>
    <t>RD320J103DEX004</t>
  </si>
  <si>
    <t>88</t>
    <phoneticPr fontId="6" type="noConversion"/>
  </si>
  <si>
    <t>20231214</t>
    <phoneticPr fontId="6" type="noConversion"/>
  </si>
  <si>
    <t>2P</t>
    <phoneticPr fontId="6" type="noConversion"/>
  </si>
  <si>
    <t>M1.25T144W23L33.5</t>
    <phoneticPr fontId="6" type="noConversion"/>
  </si>
  <si>
    <t>2</t>
    <phoneticPr fontId="6" type="noConversion"/>
  </si>
  <si>
    <t>M2T26W16L59</t>
    <phoneticPr fontId="6" type="noConversion"/>
  </si>
  <si>
    <t>M4T42W50L60</t>
    <phoneticPr fontId="6" type="noConversion"/>
  </si>
  <si>
    <t>1121104C</t>
  </si>
  <si>
    <t>B-1121115013</t>
  </si>
  <si>
    <t>華宏</t>
  </si>
  <si>
    <t>4</t>
    <phoneticPr fontId="6" type="noConversion"/>
  </si>
  <si>
    <t>M1T38W8L19</t>
  </si>
  <si>
    <t>1121104B</t>
    <phoneticPr fontId="6" type="noConversion"/>
  </si>
  <si>
    <t>20231214</t>
    <phoneticPr fontId="6" type="noConversion"/>
  </si>
  <si>
    <t>B-1121115012</t>
  </si>
  <si>
    <t>M1T56W8L19</t>
  </si>
  <si>
    <t>錡夆</t>
    <phoneticPr fontId="6" type="noConversion"/>
  </si>
  <si>
    <t>B-1121106005</t>
    <phoneticPr fontId="6" type="noConversion"/>
  </si>
  <si>
    <t>3281-T040-0400-1</t>
  </si>
  <si>
    <t>40</t>
    <phoneticPr fontId="6" type="noConversion"/>
  </si>
  <si>
    <t>20231214</t>
    <phoneticPr fontId="6" type="noConversion"/>
  </si>
  <si>
    <t>1P</t>
    <phoneticPr fontId="6" type="noConversion"/>
  </si>
  <si>
    <t>3</t>
    <phoneticPr fontId="6" type="noConversion"/>
  </si>
  <si>
    <t>20231215</t>
    <phoneticPr fontId="6" type="noConversion"/>
  </si>
  <si>
    <t>20231215</t>
    <phoneticPr fontId="6" type="noConversion"/>
  </si>
  <si>
    <t>20231215</t>
    <phoneticPr fontId="6" type="noConversion"/>
  </si>
  <si>
    <t>1</t>
    <phoneticPr fontId="6" type="noConversion"/>
  </si>
  <si>
    <t>2</t>
    <phoneticPr fontId="6" type="noConversion"/>
  </si>
  <si>
    <t>優廉</t>
    <phoneticPr fontId="6" type="noConversion"/>
  </si>
  <si>
    <t>B-1121024013</t>
    <phoneticPr fontId="6" type="noConversion"/>
  </si>
  <si>
    <t>50H52</t>
    <phoneticPr fontId="6" type="noConversion"/>
  </si>
  <si>
    <t>M4T32W50L60</t>
  </si>
  <si>
    <t>10</t>
    <phoneticPr fontId="6" type="noConversion"/>
  </si>
  <si>
    <t>20231215</t>
    <phoneticPr fontId="6" type="noConversion"/>
  </si>
  <si>
    <t>2P</t>
    <phoneticPr fontId="6" type="noConversion"/>
  </si>
  <si>
    <t>M1T43W14L51</t>
    <phoneticPr fontId="6" type="noConversion"/>
  </si>
  <si>
    <t>B-1121213008</t>
    <phoneticPr fontId="6" type="noConversion"/>
  </si>
  <si>
    <t>已通知本土12/18(一)早上要來設定P40</t>
    <phoneticPr fontId="6" type="noConversion"/>
  </si>
  <si>
    <t>HYB-234</t>
    <phoneticPr fontId="6" type="noConversion"/>
  </si>
  <si>
    <t>20231218</t>
    <phoneticPr fontId="6" type="noConversion"/>
  </si>
  <si>
    <t>20231218</t>
    <phoneticPr fontId="6" type="noConversion"/>
  </si>
  <si>
    <t>JKGC08715L1</t>
  </si>
  <si>
    <t>B-1121114016</t>
  </si>
  <si>
    <t>M2*15T*97L</t>
  </si>
  <si>
    <t>1P</t>
    <phoneticPr fontId="6" type="noConversion"/>
  </si>
  <si>
    <t>M1.25T14W22L93.9</t>
  </si>
  <si>
    <t>康普</t>
    <phoneticPr fontId="6" type="noConversion"/>
  </si>
  <si>
    <t>B-1121129017</t>
    <phoneticPr fontId="6" type="noConversion"/>
  </si>
  <si>
    <t>RTB250C250EC0003</t>
    <phoneticPr fontId="6" type="noConversion"/>
  </si>
  <si>
    <t>26</t>
    <phoneticPr fontId="6" type="noConversion"/>
  </si>
  <si>
    <t>20231218</t>
    <phoneticPr fontId="6" type="noConversion"/>
  </si>
  <si>
    <t>1P</t>
    <phoneticPr fontId="6" type="noConversion"/>
  </si>
  <si>
    <t>高鋒</t>
  </si>
  <si>
    <t>M2.5T90W35</t>
  </si>
  <si>
    <t>B-1121006002</t>
  </si>
  <si>
    <t>文俐</t>
    <phoneticPr fontId="6" type="noConversion"/>
  </si>
  <si>
    <t>1E</t>
    <phoneticPr fontId="6" type="noConversion"/>
  </si>
  <si>
    <t>成大</t>
    <phoneticPr fontId="6" type="noConversion"/>
  </si>
  <si>
    <t>B-1121218005</t>
    <phoneticPr fontId="6" type="noConversion"/>
  </si>
  <si>
    <t>LKND048014R23</t>
    <phoneticPr fontId="6" type="noConversion"/>
  </si>
  <si>
    <t>志方</t>
    <phoneticPr fontId="6" type="noConversion"/>
  </si>
  <si>
    <t>1E</t>
    <phoneticPr fontId="6" type="noConversion"/>
  </si>
  <si>
    <t>總數1050，已完成620</t>
    <phoneticPr fontId="6" type="noConversion"/>
  </si>
  <si>
    <t>M1.5T54W15L28</t>
    <phoneticPr fontId="6" type="noConversion"/>
  </si>
  <si>
    <r>
      <rPr>
        <b/>
        <sz val="14"/>
        <color theme="1"/>
        <rFont val="細明體"/>
        <family val="3"/>
        <charset val="136"/>
      </rPr>
      <t>首件確認</t>
    </r>
    <r>
      <rPr>
        <b/>
        <sz val="14"/>
        <color theme="1"/>
        <rFont val="Times New Roman"/>
        <family val="1"/>
      </rPr>
      <t>(</t>
    </r>
    <r>
      <rPr>
        <b/>
        <sz val="14"/>
        <color theme="1"/>
        <rFont val="細明體"/>
        <family val="3"/>
        <charset val="136"/>
      </rPr>
      <t>李丞豐</t>
    </r>
    <r>
      <rPr>
        <b/>
        <sz val="14"/>
        <color theme="1"/>
        <rFont val="Times New Roman"/>
        <family val="1"/>
      </rPr>
      <t>)</t>
    </r>
    <phoneticPr fontId="6" type="noConversion"/>
  </si>
  <si>
    <t>20231219</t>
    <phoneticPr fontId="6" type="noConversion"/>
  </si>
  <si>
    <t>華鏞</t>
    <phoneticPr fontId="6" type="noConversion"/>
  </si>
  <si>
    <t>B-1121215001</t>
    <phoneticPr fontId="6" type="noConversion"/>
  </si>
  <si>
    <t>40*1.25*30*15°</t>
    <phoneticPr fontId="6" type="noConversion"/>
  </si>
  <si>
    <t>文俐</t>
    <phoneticPr fontId="6" type="noConversion"/>
  </si>
  <si>
    <t>1</t>
    <phoneticPr fontId="6" type="noConversion"/>
  </si>
  <si>
    <t>錩興</t>
    <phoneticPr fontId="6" type="noConversion"/>
  </si>
  <si>
    <t>B-1121207003</t>
    <phoneticPr fontId="6" type="noConversion"/>
  </si>
  <si>
    <t>15R-1408</t>
  </si>
  <si>
    <t>M1.25T72W15L15</t>
  </si>
  <si>
    <t>2</t>
    <phoneticPr fontId="6" type="noConversion"/>
  </si>
  <si>
    <t>20231219</t>
    <phoneticPr fontId="6" type="noConversion"/>
  </si>
  <si>
    <t>20231220</t>
    <phoneticPr fontId="6" type="noConversion"/>
  </si>
  <si>
    <t>F-BW726934</t>
  </si>
  <si>
    <t>志方</t>
    <phoneticPr fontId="6" type="noConversion"/>
  </si>
  <si>
    <t>2P</t>
    <phoneticPr fontId="6" type="noConversion"/>
  </si>
  <si>
    <t>M1.25T61W18L103.2</t>
  </si>
  <si>
    <t>B-1121220006</t>
  </si>
  <si>
    <t>2E</t>
    <phoneticPr fontId="6" type="noConversion"/>
  </si>
  <si>
    <t>20+1</t>
    <phoneticPr fontId="6" type="noConversion"/>
  </si>
  <si>
    <t>20231220</t>
    <phoneticPr fontId="6" type="noConversion"/>
  </si>
  <si>
    <r>
      <t>另給6只已加工工件可拿來修齒型
1只管制件優先使用/</t>
    </r>
    <r>
      <rPr>
        <b/>
        <sz val="14"/>
        <color rgb="FFFF0000"/>
        <rFont val="細明體"/>
        <family val="3"/>
        <charset val="136"/>
      </rPr>
      <t>需首件確認(葉欣怡)</t>
    </r>
    <phoneticPr fontId="6" type="noConversion"/>
  </si>
  <si>
    <t>原億昌</t>
    <phoneticPr fontId="6" type="noConversion"/>
  </si>
  <si>
    <t>B-1121122004</t>
    <phoneticPr fontId="6" type="noConversion"/>
  </si>
  <si>
    <t>SRG-M2-30-32-58</t>
  </si>
  <si>
    <t>1</t>
    <phoneticPr fontId="6" type="noConversion"/>
  </si>
  <si>
    <t>20231220</t>
    <phoneticPr fontId="6" type="noConversion"/>
  </si>
  <si>
    <t>1P</t>
    <phoneticPr fontId="6" type="noConversion"/>
  </si>
  <si>
    <t>旻成</t>
    <phoneticPr fontId="6" type="noConversion"/>
  </si>
  <si>
    <t>B-1121218007</t>
    <phoneticPr fontId="6" type="noConversion"/>
  </si>
  <si>
    <t>TT00465-398675-W42</t>
    <phoneticPr fontId="6" type="noConversion"/>
  </si>
  <si>
    <t>M1T38W10L12</t>
    <phoneticPr fontId="6" type="noConversion"/>
  </si>
  <si>
    <t>志方</t>
    <phoneticPr fontId="6" type="noConversion"/>
  </si>
  <si>
    <t>RD400J103LH8001</t>
  </si>
  <si>
    <t>德士</t>
    <phoneticPr fontId="6" type="noConversion"/>
  </si>
  <si>
    <t>B-1121220005</t>
    <phoneticPr fontId="6" type="noConversion"/>
  </si>
  <si>
    <t>10</t>
    <phoneticPr fontId="6" type="noConversion"/>
  </si>
  <si>
    <t>20231220</t>
    <phoneticPr fontId="6" type="noConversion"/>
  </si>
  <si>
    <t>1P</t>
    <phoneticPr fontId="6" type="noConversion"/>
  </si>
  <si>
    <t>齒研+齒部外研</t>
    <phoneticPr fontId="6" type="noConversion"/>
  </si>
  <si>
    <t>M1.5T34LH19</t>
  </si>
  <si>
    <t>高明</t>
    <phoneticPr fontId="6" type="noConversion"/>
  </si>
  <si>
    <t>B-1121108016</t>
    <phoneticPr fontId="6" type="noConversion"/>
  </si>
  <si>
    <t>3</t>
    <phoneticPr fontId="6" type="noConversion"/>
  </si>
  <si>
    <t>20231221</t>
    <phoneticPr fontId="6" type="noConversion"/>
  </si>
  <si>
    <t>1P</t>
    <phoneticPr fontId="6" type="noConversion"/>
  </si>
  <si>
    <t>M2T26W16L77</t>
    <phoneticPr fontId="6" type="noConversion"/>
  </si>
  <si>
    <t>M2T52W20L27</t>
    <phoneticPr fontId="6" type="noConversion"/>
  </si>
  <si>
    <t>M2T30W20L58.5 版次：B</t>
    <phoneticPr fontId="6" type="noConversion"/>
  </si>
  <si>
    <t>B-1121122003</t>
  </si>
  <si>
    <t>SRG-M2.5-24-32-45</t>
  </si>
  <si>
    <t>22150-5015-00</t>
    <phoneticPr fontId="6" type="noConversion"/>
  </si>
  <si>
    <t>M3T38W30L90</t>
    <phoneticPr fontId="6" type="noConversion"/>
  </si>
  <si>
    <t>20231221</t>
    <phoneticPr fontId="6" type="noConversion"/>
  </si>
  <si>
    <t>B-1121221014</t>
  </si>
  <si>
    <t>2E+1P</t>
    <phoneticPr fontId="6" type="noConversion"/>
  </si>
  <si>
    <r>
      <t>491</t>
    </r>
    <r>
      <rPr>
        <b/>
        <sz val="14"/>
        <rFont val="細明體"/>
        <family val="3"/>
        <charset val="136"/>
      </rPr>
      <t>只(</t>
    </r>
    <r>
      <rPr>
        <b/>
        <sz val="14"/>
        <rFont val="Times New Roman"/>
        <family val="1"/>
      </rPr>
      <t>2E</t>
    </r>
    <r>
      <rPr>
        <b/>
        <sz val="14"/>
        <rFont val="細明體"/>
        <family val="3"/>
        <charset val="136"/>
      </rPr>
      <t>)在二廠門口/9只(1P)在KX500機台旁</t>
    </r>
    <phoneticPr fontId="6" type="noConversion"/>
  </si>
  <si>
    <t>JKKE04721R</t>
    <phoneticPr fontId="6" type="noConversion"/>
  </si>
  <si>
    <t>M1.5T21W*44L112</t>
    <phoneticPr fontId="6" type="noConversion"/>
  </si>
  <si>
    <t>RZ400</t>
  </si>
  <si>
    <t>20231222</t>
    <phoneticPr fontId="6" type="noConversion"/>
  </si>
  <si>
    <t>20231222</t>
    <phoneticPr fontId="6" type="noConversion"/>
  </si>
  <si>
    <t>20231222</t>
    <phoneticPr fontId="6" type="noConversion"/>
  </si>
  <si>
    <t>GTA020-00100</t>
  </si>
  <si>
    <t>B-1121129006</t>
  </si>
  <si>
    <t>M1.5T20W12L30</t>
  </si>
  <si>
    <t>20231222</t>
    <phoneticPr fontId="6" type="noConversion"/>
  </si>
  <si>
    <t>不可插件</t>
    <phoneticPr fontId="6" type="noConversion"/>
  </si>
  <si>
    <t>40*1.25*30*15°</t>
  </si>
  <si>
    <t>HYB-234</t>
  </si>
  <si>
    <t>文俐</t>
    <phoneticPr fontId="6" type="noConversion"/>
  </si>
  <si>
    <t>2E</t>
    <phoneticPr fontId="6" type="noConversion"/>
  </si>
  <si>
    <t>康普</t>
    <phoneticPr fontId="6" type="noConversion"/>
  </si>
  <si>
    <t>B-1121129018</t>
    <phoneticPr fontId="6" type="noConversion"/>
  </si>
  <si>
    <t>RTB250C250EC0A03</t>
  </si>
  <si>
    <t>M1.5T33W15L26.5</t>
  </si>
  <si>
    <t>26</t>
    <phoneticPr fontId="6" type="noConversion"/>
  </si>
  <si>
    <t>文俐</t>
    <phoneticPr fontId="6" type="noConversion"/>
  </si>
  <si>
    <t>20231222</t>
    <phoneticPr fontId="6" type="noConversion"/>
  </si>
  <si>
    <t>1P</t>
    <phoneticPr fontId="6" type="noConversion"/>
  </si>
  <si>
    <t>M1*88T*25W25L</t>
  </si>
  <si>
    <t>總數1050，已完成650</t>
    <phoneticPr fontId="6" type="noConversion"/>
  </si>
  <si>
    <t>B-1120905006</t>
    <phoneticPr fontId="6" type="noConversion"/>
  </si>
  <si>
    <t>40G04</t>
    <phoneticPr fontId="6" type="noConversion"/>
  </si>
  <si>
    <t>40G05</t>
    <phoneticPr fontId="6" type="noConversion"/>
  </si>
  <si>
    <r>
      <rPr>
        <b/>
        <sz val="14"/>
        <rFont val="微軟正黑體"/>
        <family val="2"/>
        <charset val="136"/>
      </rPr>
      <t>更新時間</t>
    </r>
    <phoneticPr fontId="6" type="noConversion"/>
  </si>
  <si>
    <t>20231225</t>
    <phoneticPr fontId="6" type="noConversion"/>
  </si>
  <si>
    <t>ZZ024004</t>
  </si>
  <si>
    <t>RTB250C250EC0B03</t>
  </si>
  <si>
    <t>B-1121106006</t>
  </si>
  <si>
    <t>待結合MN32018-A後齒研</t>
    <phoneticPr fontId="6" type="noConversion"/>
  </si>
  <si>
    <t>M1T14W6L28.5 客戶來料加長</t>
    <phoneticPr fontId="6" type="noConversion"/>
  </si>
  <si>
    <r>
      <t xml:space="preserve">M2.5T24W25L45.5 </t>
    </r>
    <r>
      <rPr>
        <b/>
        <sz val="14"/>
        <color rgb="FFFF0000"/>
        <rFont val="細明體"/>
        <family val="3"/>
        <charset val="136"/>
      </rPr>
      <t>版次：</t>
    </r>
    <r>
      <rPr>
        <b/>
        <sz val="14"/>
        <color rgb="FFFF0000"/>
        <rFont val="Times New Roman"/>
        <family val="1"/>
      </rPr>
      <t>C</t>
    </r>
  </si>
  <si>
    <t>高鋒</t>
    <phoneticPr fontId="6" type="noConversion"/>
  </si>
  <si>
    <t>B-1121006007</t>
    <phoneticPr fontId="6" type="noConversion"/>
  </si>
  <si>
    <t>M2.5T44W100</t>
    <phoneticPr fontId="6" type="noConversion"/>
  </si>
  <si>
    <t>TXHM2001(G)</t>
  </si>
  <si>
    <t>M2T43W25L49</t>
  </si>
  <si>
    <t>B-1121116001</t>
  </si>
  <si>
    <t>和展</t>
  </si>
  <si>
    <t>B-1121115007</t>
    <phoneticPr fontId="6" type="noConversion"/>
  </si>
  <si>
    <t>3DX28</t>
    <phoneticPr fontId="6" type="noConversion"/>
  </si>
  <si>
    <t>15</t>
    <phoneticPr fontId="6" type="noConversion"/>
  </si>
  <si>
    <t>20231226</t>
    <phoneticPr fontId="6" type="noConversion"/>
  </si>
  <si>
    <t>1P</t>
    <phoneticPr fontId="6" type="noConversion"/>
  </si>
  <si>
    <t>ATK-2040240</t>
  </si>
  <si>
    <t>鋐穎</t>
    <phoneticPr fontId="6" type="noConversion"/>
  </si>
  <si>
    <t>B-1121019017</t>
    <phoneticPr fontId="6" type="noConversion"/>
  </si>
  <si>
    <t>20</t>
    <phoneticPr fontId="6" type="noConversion"/>
  </si>
  <si>
    <t>急件</t>
    <phoneticPr fontId="6" type="noConversion"/>
  </si>
  <si>
    <t>201203970200007A</t>
  </si>
  <si>
    <t>急件</t>
    <phoneticPr fontId="6" type="noConversion"/>
  </si>
  <si>
    <t>文俐</t>
    <phoneticPr fontId="6" type="noConversion"/>
  </si>
  <si>
    <t>原億昌</t>
    <phoneticPr fontId="6" type="noConversion"/>
  </si>
  <si>
    <t>20231222</t>
    <phoneticPr fontId="6" type="noConversion"/>
  </si>
  <si>
    <t>369</t>
    <phoneticPr fontId="6" type="noConversion"/>
  </si>
  <si>
    <t>B-1121220014</t>
    <phoneticPr fontId="6" type="noConversion"/>
  </si>
  <si>
    <t>華鏞</t>
    <phoneticPr fontId="6" type="noConversion"/>
  </si>
  <si>
    <t>20231225</t>
    <phoneticPr fontId="6" type="noConversion"/>
  </si>
  <si>
    <t>50</t>
    <phoneticPr fontId="6" type="noConversion"/>
  </si>
  <si>
    <t>20231225</t>
    <phoneticPr fontId="6" type="noConversion"/>
  </si>
  <si>
    <t>30</t>
    <phoneticPr fontId="6" type="noConversion"/>
  </si>
  <si>
    <t>20231220</t>
    <phoneticPr fontId="6" type="noConversion"/>
  </si>
  <si>
    <t>46</t>
    <phoneticPr fontId="6" type="noConversion"/>
  </si>
  <si>
    <t>20231220</t>
    <phoneticPr fontId="6" type="noConversion"/>
  </si>
  <si>
    <t>齒研+齒部外研/不可插件</t>
    <phoneticPr fontId="6" type="noConversion"/>
  </si>
  <si>
    <t>62</t>
    <phoneticPr fontId="6" type="noConversion"/>
  </si>
  <si>
    <t>20231226</t>
    <phoneticPr fontId="6" type="noConversion"/>
  </si>
  <si>
    <t>20231226</t>
    <phoneticPr fontId="6" type="noConversion"/>
  </si>
  <si>
    <t>M2.5T32W61L71</t>
    <phoneticPr fontId="6" type="noConversion"/>
  </si>
  <si>
    <t>M1T80W16L25</t>
    <phoneticPr fontId="6" type="noConversion"/>
  </si>
  <si>
    <t>2</t>
    <phoneticPr fontId="6" type="noConversion"/>
  </si>
  <si>
    <t>不可插件</t>
    <phoneticPr fontId="6" type="noConversion"/>
  </si>
  <si>
    <t>12/26已包裝180</t>
    <phoneticPr fontId="6" type="noConversion"/>
  </si>
  <si>
    <t>KX500</t>
    <phoneticPr fontId="6" type="noConversion"/>
  </si>
  <si>
    <t>文俐</t>
    <phoneticPr fontId="6" type="noConversion"/>
  </si>
  <si>
    <t>2P</t>
    <phoneticPr fontId="6" type="noConversion"/>
  </si>
  <si>
    <t>B-1121220004</t>
    <phoneticPr fontId="6" type="noConversion"/>
  </si>
  <si>
    <t>RD320J103DEX001</t>
    <phoneticPr fontId="6" type="noConversion"/>
  </si>
  <si>
    <t>M2*52T*16W30L</t>
    <phoneticPr fontId="6" type="noConversion"/>
  </si>
  <si>
    <t>文俐</t>
    <phoneticPr fontId="6" type="noConversion"/>
  </si>
  <si>
    <t>4P</t>
    <phoneticPr fontId="6" type="noConversion"/>
  </si>
  <si>
    <t>康普</t>
    <phoneticPr fontId="6" type="noConversion"/>
  </si>
  <si>
    <t>B-1121129015</t>
    <phoneticPr fontId="6" type="noConversion"/>
  </si>
  <si>
    <t>RTB250A230EC0B02</t>
    <phoneticPr fontId="6" type="noConversion"/>
  </si>
  <si>
    <t>M2T40W15L16.2</t>
    <phoneticPr fontId="6" type="noConversion"/>
  </si>
  <si>
    <t>1P</t>
    <phoneticPr fontId="6" type="noConversion"/>
  </si>
  <si>
    <t>B-1121129013</t>
    <phoneticPr fontId="6" type="noConversion"/>
  </si>
  <si>
    <t>RTB250A230EC0001</t>
    <phoneticPr fontId="6" type="noConversion"/>
  </si>
  <si>
    <t>正齒輪(46T)M2T46W15L28</t>
    <phoneticPr fontId="6" type="noConversion"/>
  </si>
  <si>
    <t>B-1121129016</t>
    <phoneticPr fontId="6" type="noConversion"/>
  </si>
  <si>
    <t>RTB250A230EC0C01</t>
    <phoneticPr fontId="6" type="noConversion"/>
  </si>
  <si>
    <t>M2T20W15L40</t>
    <phoneticPr fontId="6" type="noConversion"/>
  </si>
  <si>
    <t>20231225</t>
    <phoneticPr fontId="6" type="noConversion"/>
  </si>
  <si>
    <t>M2T46W22L27</t>
    <phoneticPr fontId="6" type="noConversion"/>
  </si>
  <si>
    <t>10</t>
    <phoneticPr fontId="6" type="noConversion"/>
  </si>
  <si>
    <t>20231220</t>
    <phoneticPr fontId="6" type="noConversion"/>
  </si>
  <si>
    <t>1P</t>
    <phoneticPr fontId="6" type="noConversion"/>
  </si>
  <si>
    <t>優廉</t>
    <phoneticPr fontId="6" type="noConversion"/>
  </si>
  <si>
    <t>B-1120905007</t>
    <phoneticPr fontId="6" type="noConversion"/>
  </si>
  <si>
    <t>成大</t>
    <phoneticPr fontId="6" type="noConversion"/>
  </si>
  <si>
    <t>B-1121220007</t>
    <phoneticPr fontId="6" type="noConversion"/>
  </si>
  <si>
    <t>KKYM36002311</t>
    <phoneticPr fontId="6" type="noConversion"/>
  </si>
  <si>
    <t>M4.5T23W56L548.5</t>
    <phoneticPr fontId="6" type="noConversion"/>
  </si>
  <si>
    <t>志方</t>
    <phoneticPr fontId="6" type="noConversion"/>
  </si>
  <si>
    <t>1E</t>
    <phoneticPr fontId="6" type="noConversion"/>
  </si>
  <si>
    <t>登裕</t>
    <phoneticPr fontId="6" type="noConversion"/>
  </si>
  <si>
    <t>B-1121221009</t>
    <phoneticPr fontId="6" type="noConversion"/>
  </si>
  <si>
    <t>054-00022-00A3</t>
    <phoneticPr fontId="6" type="noConversion"/>
  </si>
  <si>
    <t>M2*64T*W18</t>
    <phoneticPr fontId="6" type="noConversion"/>
  </si>
  <si>
    <t>3P</t>
    <phoneticPr fontId="6" type="noConversion"/>
  </si>
  <si>
    <t>JKGASS20R</t>
  </si>
  <si>
    <t>0.8M*20T</t>
    <phoneticPr fontId="6" type="noConversion"/>
  </si>
  <si>
    <t>B-1121027003</t>
  </si>
  <si>
    <t>1P</t>
    <phoneticPr fontId="6" type="noConversion"/>
  </si>
  <si>
    <t>JKKE05715R</t>
  </si>
  <si>
    <t>M1.5T15W49.75L115.5</t>
  </si>
  <si>
    <t>B-1121108003</t>
  </si>
  <si>
    <t>玖成</t>
    <phoneticPr fontId="6" type="noConversion"/>
  </si>
  <si>
    <t>B-1121215003</t>
    <phoneticPr fontId="6" type="noConversion"/>
  </si>
  <si>
    <t>6</t>
    <phoneticPr fontId="6" type="noConversion"/>
  </si>
  <si>
    <t>文俐</t>
    <phoneticPr fontId="6" type="noConversion"/>
  </si>
  <si>
    <t>20231221</t>
    <phoneticPr fontId="6" type="noConversion"/>
  </si>
  <si>
    <t>1P</t>
    <phoneticPr fontId="6" type="noConversion"/>
  </si>
  <si>
    <t>義高</t>
    <phoneticPr fontId="6" type="noConversion"/>
  </si>
  <si>
    <t>B-1121222010</t>
    <phoneticPr fontId="6" type="noConversion"/>
  </si>
  <si>
    <t>9</t>
    <phoneticPr fontId="6" type="noConversion"/>
  </si>
  <si>
    <t>文俐</t>
    <phoneticPr fontId="6" type="noConversion"/>
  </si>
  <si>
    <t>202312125</t>
    <phoneticPr fontId="6" type="noConversion"/>
  </si>
  <si>
    <t>1P</t>
    <phoneticPr fontId="6" type="noConversion"/>
  </si>
  <si>
    <t>松田</t>
    <phoneticPr fontId="6" type="noConversion"/>
  </si>
  <si>
    <t>B-1121218009</t>
    <phoneticPr fontId="6" type="noConversion"/>
  </si>
  <si>
    <t>15023E-011</t>
    <phoneticPr fontId="6" type="noConversion"/>
  </si>
  <si>
    <t>文俐</t>
    <phoneticPr fontId="6" type="noConversion"/>
  </si>
  <si>
    <t>2P</t>
    <phoneticPr fontId="6" type="noConversion"/>
  </si>
  <si>
    <t>康普</t>
    <phoneticPr fontId="6" type="noConversion"/>
  </si>
  <si>
    <t>B-1121129019</t>
    <phoneticPr fontId="6" type="noConversion"/>
  </si>
  <si>
    <t>M1.5T24W20L50</t>
    <phoneticPr fontId="6" type="noConversion"/>
  </si>
  <si>
    <t>24</t>
    <phoneticPr fontId="6" type="noConversion"/>
  </si>
  <si>
    <t>20231225</t>
    <phoneticPr fontId="6" type="noConversion"/>
  </si>
  <si>
    <t>1P</t>
    <phoneticPr fontId="6" type="noConversion"/>
  </si>
  <si>
    <t>寶嘉誠</t>
    <phoneticPr fontId="6" type="noConversion"/>
  </si>
  <si>
    <t>B-1121122002</t>
    <phoneticPr fontId="6" type="noConversion"/>
  </si>
  <si>
    <t>3006002510</t>
    <phoneticPr fontId="6" type="noConversion"/>
  </si>
  <si>
    <t>10</t>
    <phoneticPr fontId="6" type="noConversion"/>
  </si>
  <si>
    <t>20231221</t>
    <phoneticPr fontId="6" type="noConversion"/>
  </si>
  <si>
    <t>20231226</t>
    <phoneticPr fontId="6" type="noConversion"/>
  </si>
  <si>
    <t>20231227</t>
    <phoneticPr fontId="6" type="noConversion"/>
  </si>
  <si>
    <t>20231227</t>
    <phoneticPr fontId="6" type="noConversion"/>
  </si>
  <si>
    <t>20231227</t>
    <phoneticPr fontId="6" type="noConversion"/>
  </si>
  <si>
    <t>M1.95T30X-1.1</t>
  </si>
  <si>
    <t>泳建</t>
    <phoneticPr fontId="6" type="noConversion"/>
  </si>
  <si>
    <t>B-1121226010</t>
    <phoneticPr fontId="6" type="noConversion"/>
  </si>
  <si>
    <t>1</t>
    <phoneticPr fontId="6" type="noConversion"/>
  </si>
  <si>
    <t>20231227</t>
    <phoneticPr fontId="6" type="noConversion"/>
  </si>
  <si>
    <t>1P</t>
    <phoneticPr fontId="6" type="noConversion"/>
  </si>
  <si>
    <t>急件 // BOSS說排日班齒研</t>
    <phoneticPr fontId="6" type="noConversion"/>
  </si>
  <si>
    <t>M1.95T24X1.2</t>
  </si>
  <si>
    <t>B-1121226008</t>
    <phoneticPr fontId="6" type="noConversion"/>
  </si>
  <si>
    <t>M1.95T30X-0.5</t>
  </si>
  <si>
    <t>B-1121226009</t>
    <phoneticPr fontId="6" type="noConversion"/>
  </si>
  <si>
    <t>2</t>
    <phoneticPr fontId="6" type="noConversion"/>
  </si>
  <si>
    <t>M3.9789T20L286</t>
    <phoneticPr fontId="6" type="noConversion"/>
  </si>
  <si>
    <t>KKYC28607711</t>
  </si>
  <si>
    <t>M5*77T60W*64L</t>
  </si>
  <si>
    <t>B-1121004010</t>
  </si>
  <si>
    <t>總數21，10只在熱處理</t>
    <phoneticPr fontId="6" type="noConversion"/>
  </si>
  <si>
    <t>1E</t>
    <phoneticPr fontId="6" type="noConversion"/>
  </si>
  <si>
    <t>同裕利</t>
    <phoneticPr fontId="6" type="noConversion"/>
  </si>
  <si>
    <t>B-1121222011</t>
    <phoneticPr fontId="6" type="noConversion"/>
  </si>
  <si>
    <t>文俐</t>
    <phoneticPr fontId="6" type="noConversion"/>
  </si>
  <si>
    <t>4P</t>
    <phoneticPr fontId="6" type="noConversion"/>
  </si>
  <si>
    <t>優廉</t>
    <phoneticPr fontId="6" type="noConversion"/>
  </si>
  <si>
    <t>文俐</t>
    <phoneticPr fontId="6" type="noConversion"/>
  </si>
  <si>
    <t>急件</t>
    <phoneticPr fontId="6" type="noConversion"/>
  </si>
  <si>
    <t>20231227</t>
    <phoneticPr fontId="6" type="noConversion"/>
  </si>
  <si>
    <t>LKND152024R22</t>
  </si>
  <si>
    <t>B-1121106007</t>
  </si>
  <si>
    <t>M2T30W20L43</t>
  </si>
  <si>
    <t>志方</t>
    <phoneticPr fontId="6" type="noConversion"/>
  </si>
  <si>
    <t>1P</t>
    <phoneticPr fontId="6" type="noConversion"/>
  </si>
  <si>
    <r>
      <rPr>
        <b/>
        <sz val="14"/>
        <rFont val="細明體"/>
        <family val="3"/>
        <charset val="136"/>
      </rPr>
      <t>志方</t>
    </r>
    <phoneticPr fontId="6" type="noConversion"/>
  </si>
  <si>
    <t>齒研後結合MN32017-A / 現場有9只已齒研完，也要結合後續跑</t>
    <phoneticPr fontId="6" type="noConversion"/>
  </si>
  <si>
    <t>若無NG會有63只結合件，
MN32017-A若沒對手件就不要齒研，給包裝入半成品庫存</t>
    <phoneticPr fontId="6" type="noConversion"/>
  </si>
  <si>
    <t>急件 / 不可插件</t>
    <phoneticPr fontId="6" type="noConversion"/>
  </si>
  <si>
    <t>20231228</t>
    <phoneticPr fontId="6" type="noConversion"/>
  </si>
  <si>
    <t>20231228</t>
    <phoneticPr fontId="6" type="noConversion"/>
  </si>
  <si>
    <t>1</t>
    <phoneticPr fontId="6" type="noConversion"/>
  </si>
  <si>
    <t>2</t>
    <phoneticPr fontId="6" type="noConversion"/>
  </si>
  <si>
    <t>3</t>
    <phoneticPr fontId="6" type="noConversion"/>
  </si>
  <si>
    <t>成大</t>
    <phoneticPr fontId="6" type="noConversion"/>
  </si>
  <si>
    <t>B-1121225011</t>
    <phoneticPr fontId="6" type="noConversion"/>
  </si>
  <si>
    <t>M3T24W70L303.5</t>
    <phoneticPr fontId="6" type="noConversion"/>
  </si>
  <si>
    <t>志方</t>
    <phoneticPr fontId="6" type="noConversion"/>
  </si>
  <si>
    <t>M174T</t>
  </si>
  <si>
    <t>6</t>
    <phoneticPr fontId="6" type="noConversion"/>
  </si>
  <si>
    <t>特急件</t>
    <phoneticPr fontId="6" type="noConversion"/>
  </si>
  <si>
    <t xml:space="preserve"> </t>
    <phoneticPr fontId="6" type="noConversion"/>
  </si>
  <si>
    <t>玖成</t>
    <phoneticPr fontId="6" type="noConversion"/>
  </si>
  <si>
    <t>B-1121227008</t>
    <phoneticPr fontId="6" type="noConversion"/>
  </si>
  <si>
    <t>12</t>
    <phoneticPr fontId="6" type="noConversion"/>
  </si>
  <si>
    <t>20231228</t>
    <phoneticPr fontId="6" type="noConversion"/>
  </si>
  <si>
    <t>1P</t>
    <phoneticPr fontId="6" type="noConversion"/>
  </si>
  <si>
    <t>康普</t>
    <phoneticPr fontId="6" type="noConversion"/>
  </si>
  <si>
    <t>B-1121121017</t>
    <phoneticPr fontId="6" type="noConversion"/>
  </si>
  <si>
    <t>RTD320EC0A00</t>
  </si>
  <si>
    <t>文俐</t>
    <phoneticPr fontId="6" type="noConversion"/>
  </si>
  <si>
    <t>2P</t>
    <phoneticPr fontId="6" type="noConversion"/>
  </si>
  <si>
    <t>急件</t>
    <phoneticPr fontId="6" type="noConversion"/>
  </si>
  <si>
    <r>
      <t>M</t>
    </r>
    <r>
      <rPr>
        <b/>
        <sz val="14"/>
        <rFont val="Times New Roman"/>
        <family val="1"/>
      </rPr>
      <t>1.5T32W1748</t>
    </r>
    <phoneticPr fontId="6" type="noConversion"/>
  </si>
  <si>
    <t>3P</t>
    <phoneticPr fontId="6" type="noConversion"/>
  </si>
  <si>
    <t>B-1121129003</t>
  </si>
  <si>
    <t>20231229</t>
    <phoneticPr fontId="6" type="noConversion"/>
  </si>
  <si>
    <t>20231229</t>
    <phoneticPr fontId="6" type="noConversion"/>
  </si>
  <si>
    <t>20231229</t>
    <phoneticPr fontId="6" type="noConversion"/>
  </si>
  <si>
    <t>MA00046P09</t>
  </si>
  <si>
    <t>016-H5C018-0004</t>
  </si>
  <si>
    <t>B-1121228011</t>
  </si>
  <si>
    <t>M2T40W25L35</t>
  </si>
  <si>
    <t>105</t>
    <phoneticPr fontId="6" type="noConversion"/>
  </si>
  <si>
    <t>20231229</t>
    <phoneticPr fontId="6" type="noConversion"/>
  </si>
  <si>
    <t>3P</t>
    <phoneticPr fontId="6" type="noConversion"/>
  </si>
  <si>
    <t>1P</t>
    <phoneticPr fontId="6" type="noConversion"/>
  </si>
  <si>
    <t>022-00009-02A3</t>
  </si>
  <si>
    <t>登裕</t>
    <phoneticPr fontId="6" type="noConversion"/>
  </si>
  <si>
    <t>B-1121228009</t>
    <phoneticPr fontId="6" type="noConversion"/>
  </si>
  <si>
    <t>11</t>
    <phoneticPr fontId="6" type="noConversion"/>
  </si>
  <si>
    <t>20231229</t>
    <phoneticPr fontId="6" type="noConversion"/>
  </si>
  <si>
    <t>1P</t>
    <phoneticPr fontId="6" type="noConversion"/>
  </si>
  <si>
    <t>登裕</t>
    <phoneticPr fontId="6" type="noConversion"/>
  </si>
  <si>
    <t>B-1121228010</t>
    <phoneticPr fontId="6" type="noConversion"/>
  </si>
  <si>
    <t>022-00009-06A1</t>
    <phoneticPr fontId="6" type="noConversion"/>
  </si>
  <si>
    <t>文俐</t>
    <phoneticPr fontId="6" type="noConversion"/>
  </si>
  <si>
    <t>20231229</t>
    <phoneticPr fontId="6" type="noConversion"/>
  </si>
  <si>
    <t>1</t>
    <phoneticPr fontId="6" type="noConversion"/>
  </si>
  <si>
    <t>2</t>
    <phoneticPr fontId="6" type="noConversion"/>
  </si>
  <si>
    <t>4</t>
    <phoneticPr fontId="6" type="noConversion"/>
  </si>
  <si>
    <r>
      <rPr>
        <b/>
        <sz val="14"/>
        <color rgb="FFFF0000"/>
        <rFont val="細明體"/>
        <family val="3"/>
        <charset val="136"/>
      </rPr>
      <t>急件</t>
    </r>
    <r>
      <rPr>
        <b/>
        <sz val="14"/>
        <rFont val="細明體"/>
        <family val="3"/>
        <charset val="136"/>
      </rPr>
      <t xml:space="preserve"> / 龍瑜先取5只回來，12/29再取6只</t>
    </r>
    <phoneticPr fontId="6" type="noConversion"/>
  </si>
  <si>
    <t>豪力輝</t>
    <phoneticPr fontId="6" type="noConversion"/>
  </si>
  <si>
    <t>B-1121019008</t>
    <phoneticPr fontId="6" type="noConversion"/>
  </si>
  <si>
    <t>1AH-00840</t>
  </si>
  <si>
    <t>M1T25W5L23</t>
    <phoneticPr fontId="6" type="noConversion"/>
  </si>
  <si>
    <t>M2T16W37L150</t>
    <phoneticPr fontId="6" type="noConversion"/>
  </si>
  <si>
    <t>M1.5T23W12L26</t>
    <phoneticPr fontId="6" type="noConversion"/>
  </si>
  <si>
    <t>M2T26W30L30</t>
    <phoneticPr fontId="6" type="noConversion"/>
  </si>
  <si>
    <t>M2T16W37L155</t>
    <phoneticPr fontId="6" type="noConversion"/>
  </si>
  <si>
    <t>M1.5T40W26L50</t>
    <phoneticPr fontId="6" type="noConversion"/>
  </si>
  <si>
    <t>100</t>
    <phoneticPr fontId="6" type="noConversion"/>
  </si>
  <si>
    <t>志方</t>
    <phoneticPr fontId="6" type="noConversion"/>
  </si>
  <si>
    <t>20231229</t>
    <phoneticPr fontId="6" type="noConversion"/>
  </si>
  <si>
    <t>1E</t>
    <phoneticPr fontId="6" type="noConversion"/>
  </si>
  <si>
    <t>B-1121228006</t>
  </si>
  <si>
    <t>KKYM36002411</t>
  </si>
  <si>
    <t>M3*24T*56W*548.5L</t>
  </si>
  <si>
    <t>5</t>
    <phoneticPr fontId="6" type="noConversion"/>
  </si>
  <si>
    <r>
      <t>馬達齒輪</t>
    </r>
    <r>
      <rPr>
        <b/>
        <sz val="14"/>
        <rFont val="Times New Roman"/>
        <family val="1"/>
      </rPr>
      <t xml:space="preserve">M2.5T28W20L24 </t>
    </r>
    <r>
      <rPr>
        <b/>
        <sz val="14"/>
        <rFont val="細明體"/>
        <family val="3"/>
        <charset val="136"/>
      </rPr>
      <t>代料至齒研</t>
    </r>
  </si>
  <si>
    <t>寶嘉誠</t>
    <phoneticPr fontId="6" type="noConversion"/>
  </si>
  <si>
    <t>B-1121120002</t>
    <phoneticPr fontId="6" type="noConversion"/>
  </si>
  <si>
    <t>1P</t>
    <phoneticPr fontId="6" type="noConversion"/>
  </si>
  <si>
    <t>20240102</t>
    <phoneticPr fontId="6" type="noConversion"/>
  </si>
  <si>
    <t>20240102</t>
    <phoneticPr fontId="6" type="noConversion"/>
  </si>
  <si>
    <t>20240102</t>
    <phoneticPr fontId="6" type="noConversion"/>
  </si>
  <si>
    <t>20240102</t>
    <phoneticPr fontId="6" type="noConversion"/>
  </si>
  <si>
    <t>玖成</t>
    <phoneticPr fontId="6" type="noConversion"/>
  </si>
  <si>
    <t>22150-5018-00</t>
  </si>
  <si>
    <t>B-1121229001</t>
  </si>
  <si>
    <t>M2.5T21W30L55</t>
  </si>
  <si>
    <t>3</t>
    <phoneticPr fontId="6" type="noConversion"/>
  </si>
  <si>
    <t>文俐</t>
    <phoneticPr fontId="6" type="noConversion"/>
  </si>
  <si>
    <t>20240102</t>
    <phoneticPr fontId="6" type="noConversion"/>
  </si>
  <si>
    <t>1P</t>
    <phoneticPr fontId="6" type="noConversion"/>
  </si>
  <si>
    <t>B-1121113002</t>
  </si>
  <si>
    <t>MA00046P08</t>
    <phoneticPr fontId="6" type="noConversion"/>
  </si>
  <si>
    <t>M3*24T*75L</t>
  </si>
  <si>
    <t>RTB250A230EC0A02</t>
  </si>
  <si>
    <t>B-1121129014</t>
    <phoneticPr fontId="6" type="noConversion"/>
  </si>
  <si>
    <r>
      <t>正齒輪</t>
    </r>
    <r>
      <rPr>
        <b/>
        <sz val="14"/>
        <rFont val="Times New Roman"/>
        <family val="1"/>
      </rPr>
      <t>(23T)M2T23W15L31.5</t>
    </r>
  </si>
  <si>
    <t>1P</t>
    <phoneticPr fontId="6" type="noConversion"/>
  </si>
  <si>
    <t>20240103</t>
    <phoneticPr fontId="6" type="noConversion"/>
  </si>
  <si>
    <t>寶嘉誠</t>
    <phoneticPr fontId="6" type="noConversion"/>
  </si>
  <si>
    <t>B-1121101030</t>
    <phoneticPr fontId="6" type="noConversion"/>
  </si>
  <si>
    <t>文俐</t>
    <phoneticPr fontId="6" type="noConversion"/>
  </si>
  <si>
    <t>1P</t>
    <phoneticPr fontId="6" type="noConversion"/>
  </si>
  <si>
    <t>JKKF10789L</t>
  </si>
  <si>
    <t>B-1121019019</t>
  </si>
  <si>
    <t>M3.5T89W75L80</t>
  </si>
  <si>
    <t>2E</t>
    <phoneticPr fontId="6" type="noConversion"/>
  </si>
  <si>
    <t>急件</t>
    <phoneticPr fontId="6" type="noConversion"/>
  </si>
  <si>
    <t>成大</t>
    <phoneticPr fontId="6" type="noConversion"/>
  </si>
  <si>
    <t>B-1121228005</t>
    <phoneticPr fontId="6" type="noConversion"/>
  </si>
  <si>
    <t>KKYM12201611</t>
    <phoneticPr fontId="6" type="noConversion"/>
  </si>
  <si>
    <t>志方</t>
    <phoneticPr fontId="6" type="noConversion"/>
  </si>
  <si>
    <t>1E</t>
    <phoneticPr fontId="6" type="noConversion"/>
  </si>
  <si>
    <t>T2M1.25T18W30/30L150</t>
  </si>
  <si>
    <t>B-1130103014</t>
  </si>
  <si>
    <t>9</t>
    <phoneticPr fontId="6" type="noConversion"/>
  </si>
  <si>
    <t>20240104</t>
    <phoneticPr fontId="6" type="noConversion"/>
  </si>
  <si>
    <t>紙箱</t>
    <phoneticPr fontId="6" type="noConversion"/>
  </si>
  <si>
    <t>B-1121129002</t>
  </si>
  <si>
    <t>志方</t>
    <phoneticPr fontId="6" type="noConversion"/>
  </si>
  <si>
    <t>2P</t>
    <phoneticPr fontId="6" type="noConversion"/>
  </si>
  <si>
    <t>原億昌</t>
    <phoneticPr fontId="6" type="noConversion"/>
  </si>
  <si>
    <t>B-1121113003</t>
    <phoneticPr fontId="6" type="noConversion"/>
  </si>
  <si>
    <t>9</t>
    <phoneticPr fontId="6" type="noConversion"/>
  </si>
  <si>
    <t>文俐</t>
    <phoneticPr fontId="6" type="noConversion"/>
  </si>
  <si>
    <t>急件</t>
    <phoneticPr fontId="6" type="noConversion"/>
  </si>
  <si>
    <t>20240104</t>
    <phoneticPr fontId="6" type="noConversion"/>
  </si>
  <si>
    <t>1P</t>
    <phoneticPr fontId="6" type="noConversion"/>
  </si>
  <si>
    <t>037-00041-00A1</t>
  </si>
  <si>
    <t>登裕</t>
    <phoneticPr fontId="6" type="noConversion"/>
  </si>
  <si>
    <t>B-1130104005</t>
    <phoneticPr fontId="6" type="noConversion"/>
  </si>
  <si>
    <t>1P</t>
    <phoneticPr fontId="6" type="noConversion"/>
  </si>
  <si>
    <t>024-00006-00A3</t>
  </si>
  <si>
    <t>022-00010-02A4</t>
  </si>
  <si>
    <t>M4T28W30L35</t>
    <phoneticPr fontId="6" type="noConversion"/>
  </si>
  <si>
    <t>M1.25T32W18L51</t>
    <phoneticPr fontId="6" type="noConversion"/>
  </si>
  <si>
    <t xml:space="preserve"> M2*24T*31L</t>
    <phoneticPr fontId="6" type="noConversion"/>
  </si>
  <si>
    <t>056-01039-02</t>
  </si>
  <si>
    <t>國政</t>
    <phoneticPr fontId="6" type="noConversion"/>
  </si>
  <si>
    <t>B-1130103003</t>
  </si>
  <si>
    <r>
      <t xml:space="preserve">OD35*L620.5 </t>
    </r>
    <r>
      <rPr>
        <b/>
        <sz val="14"/>
        <rFont val="細明體"/>
        <family val="3"/>
        <charset val="136"/>
      </rPr>
      <t>齒研</t>
    </r>
  </si>
  <si>
    <t>30</t>
    <phoneticPr fontId="6" type="noConversion"/>
  </si>
  <si>
    <t>20240104</t>
    <phoneticPr fontId="6" type="noConversion"/>
  </si>
  <si>
    <t>20240105</t>
    <phoneticPr fontId="6" type="noConversion"/>
  </si>
  <si>
    <t>20240104</t>
    <phoneticPr fontId="6" type="noConversion"/>
  </si>
  <si>
    <t>ACS200J103QEC001</t>
  </si>
  <si>
    <t>B-1121107011</t>
    <phoneticPr fontId="6" type="noConversion"/>
  </si>
  <si>
    <t>5076002500</t>
    <phoneticPr fontId="6" type="noConversion"/>
  </si>
  <si>
    <t>2097090110002</t>
  </si>
  <si>
    <t>成大</t>
    <phoneticPr fontId="6" type="noConversion"/>
  </si>
  <si>
    <t>JKGE09715R1</t>
  </si>
  <si>
    <t>B-1121027004</t>
  </si>
  <si>
    <t>M2.25T15W90.2W</t>
  </si>
  <si>
    <t>志方</t>
    <phoneticPr fontId="6" type="noConversion"/>
  </si>
  <si>
    <t>1E</t>
    <phoneticPr fontId="6" type="noConversion"/>
  </si>
  <si>
    <t>B-1121228007</t>
    <phoneticPr fontId="6" type="noConversion"/>
  </si>
  <si>
    <t>B-1121211005</t>
    <phoneticPr fontId="6" type="noConversion"/>
  </si>
  <si>
    <t>B-1121115004</t>
    <phoneticPr fontId="6" type="noConversion"/>
  </si>
  <si>
    <t>創成無法加工</t>
    <phoneticPr fontId="6" type="noConversion"/>
  </si>
  <si>
    <t>急件</t>
  </si>
  <si>
    <t>急件</t>
    <phoneticPr fontId="6" type="noConversion"/>
  </si>
  <si>
    <t>ACZM410J103DEX009</t>
  </si>
  <si>
    <t>義高</t>
    <phoneticPr fontId="6" type="noConversion"/>
  </si>
  <si>
    <t>ZZ024007</t>
  </si>
  <si>
    <t>1P</t>
    <phoneticPr fontId="6" type="noConversion"/>
  </si>
  <si>
    <t>B-1130105019</t>
    <phoneticPr fontId="6" type="noConversion"/>
  </si>
  <si>
    <t>ZZ024006</t>
  </si>
  <si>
    <t>文俐</t>
    <phoneticPr fontId="6" type="noConversion"/>
  </si>
  <si>
    <t>B-1130105018</t>
  </si>
  <si>
    <t>ZZ024005</t>
  </si>
  <si>
    <t>M1T26W8L10</t>
  </si>
  <si>
    <t>1P</t>
    <phoneticPr fontId="6" type="noConversion"/>
  </si>
  <si>
    <t>B-1130105012</t>
    <phoneticPr fontId="6" type="noConversion"/>
  </si>
  <si>
    <t>ACZM410J103DEX005</t>
  </si>
  <si>
    <t>寶嘉誠</t>
    <phoneticPr fontId="6" type="noConversion"/>
  </si>
  <si>
    <t>M2.5T25W22L50</t>
    <phoneticPr fontId="6" type="noConversion"/>
  </si>
  <si>
    <t>2</t>
    <phoneticPr fontId="6" type="noConversion"/>
  </si>
  <si>
    <t>文俐</t>
    <phoneticPr fontId="6" type="noConversion"/>
  </si>
  <si>
    <t>特急件</t>
    <phoneticPr fontId="6" type="noConversion"/>
  </si>
  <si>
    <t>20240105</t>
    <phoneticPr fontId="6" type="noConversion"/>
  </si>
  <si>
    <t>1P</t>
    <phoneticPr fontId="6" type="noConversion"/>
  </si>
  <si>
    <t>成大</t>
    <phoneticPr fontId="6" type="noConversion"/>
  </si>
  <si>
    <t>M2.35T27W41L143.5</t>
    <phoneticPr fontId="6" type="noConversion"/>
  </si>
  <si>
    <t>志方</t>
    <phoneticPr fontId="6" type="noConversion"/>
  </si>
  <si>
    <t>M1.5T15W21L59</t>
    <phoneticPr fontId="6" type="noConversion"/>
  </si>
  <si>
    <t>天信</t>
    <phoneticPr fontId="6" type="noConversion"/>
  </si>
  <si>
    <t>M1T74</t>
    <phoneticPr fontId="6" type="noConversion"/>
  </si>
  <si>
    <t>B-1130104021</t>
    <phoneticPr fontId="6" type="noConversion"/>
  </si>
  <si>
    <t>M1T95W12L28</t>
    <phoneticPr fontId="6" type="noConversion"/>
  </si>
  <si>
    <r>
      <rPr>
        <b/>
        <sz val="14"/>
        <rFont val="細明體"/>
        <family val="3"/>
        <charset val="136"/>
      </rPr>
      <t>雙頭尺寸不一樣，請依圖加工</t>
    </r>
    <r>
      <rPr>
        <b/>
        <sz val="14"/>
        <rFont val="Times New Roman"/>
        <family val="1"/>
      </rPr>
      <t xml:space="preserve"> /  </t>
    </r>
    <r>
      <rPr>
        <b/>
        <sz val="14"/>
        <rFont val="細明體"/>
        <family val="3"/>
        <charset val="136"/>
      </rPr>
      <t>急件</t>
    </r>
    <phoneticPr fontId="6" type="noConversion"/>
  </si>
  <si>
    <r>
      <t>M1.25T18</t>
    </r>
    <r>
      <rPr>
        <b/>
        <sz val="14"/>
        <rFont val="細明體"/>
        <family val="3"/>
        <charset val="136"/>
      </rPr>
      <t>雙頭檢具</t>
    </r>
    <phoneticPr fontId="6" type="noConversion"/>
  </si>
  <si>
    <t>群燁</t>
    <phoneticPr fontId="6" type="noConversion"/>
  </si>
  <si>
    <t>B-1130105022</t>
    <phoneticPr fontId="6" type="noConversion"/>
  </si>
  <si>
    <t>M2T60W33L33</t>
  </si>
  <si>
    <t>文俐</t>
    <phoneticPr fontId="6" type="noConversion"/>
  </si>
  <si>
    <t>特急件</t>
    <phoneticPr fontId="6" type="noConversion"/>
  </si>
  <si>
    <t>1T</t>
    <phoneticPr fontId="6" type="noConversion"/>
  </si>
  <si>
    <t>20240108</t>
    <phoneticPr fontId="6" type="noConversion"/>
  </si>
  <si>
    <t>20240108</t>
    <phoneticPr fontId="6" type="noConversion"/>
  </si>
  <si>
    <t>20240108</t>
    <phoneticPr fontId="6" type="noConversion"/>
  </si>
  <si>
    <r>
      <t>M2*16T*32W*43</t>
    </r>
    <r>
      <rPr>
        <b/>
        <sz val="14"/>
        <color rgb="FFFF0000"/>
        <rFont val="細明體"/>
        <family val="3"/>
        <charset val="136"/>
      </rPr>
      <t>外</t>
    </r>
    <r>
      <rPr>
        <b/>
        <sz val="14"/>
        <color rgb="FFFF0000"/>
        <rFont val="Times New Roman"/>
        <family val="1"/>
      </rPr>
      <t>262</t>
    </r>
    <r>
      <rPr>
        <b/>
        <sz val="14"/>
        <color rgb="FFFF0000"/>
        <rFont val="細明體"/>
        <family val="3"/>
        <charset val="136"/>
      </rPr>
      <t>長</t>
    </r>
    <phoneticPr fontId="6" type="noConversion"/>
  </si>
  <si>
    <t>KKYM11001611</t>
  </si>
  <si>
    <t>B-1130105023</t>
  </si>
  <si>
    <t>M1.5*16T*218L</t>
  </si>
  <si>
    <t>98</t>
    <phoneticPr fontId="6" type="noConversion"/>
  </si>
  <si>
    <t>20240108</t>
    <phoneticPr fontId="6" type="noConversion"/>
  </si>
  <si>
    <t>1E</t>
    <phoneticPr fontId="6" type="noConversion"/>
  </si>
  <si>
    <t>20240108</t>
    <phoneticPr fontId="6" type="noConversion"/>
  </si>
  <si>
    <t>ACS500J103QJ3001</t>
  </si>
  <si>
    <t>2</t>
    <phoneticPr fontId="6" type="noConversion"/>
  </si>
  <si>
    <t>20230108</t>
    <phoneticPr fontId="6" type="noConversion"/>
  </si>
  <si>
    <t>登裕</t>
    <phoneticPr fontId="6" type="noConversion"/>
  </si>
  <si>
    <t>B-1130105031</t>
    <phoneticPr fontId="6" type="noConversion"/>
  </si>
  <si>
    <t>054-00040-02</t>
  </si>
  <si>
    <t>1P</t>
    <phoneticPr fontId="6" type="noConversion"/>
  </si>
  <si>
    <t>德士</t>
    <phoneticPr fontId="6" type="noConversion"/>
  </si>
  <si>
    <t>AC500J103DEX007</t>
  </si>
  <si>
    <t>20240108</t>
    <phoneticPr fontId="6" type="noConversion"/>
  </si>
  <si>
    <t>ACS500J103QJ3002</t>
  </si>
  <si>
    <t>府毅</t>
    <phoneticPr fontId="6" type="noConversion"/>
  </si>
  <si>
    <t>B-1130105029</t>
    <phoneticPr fontId="6" type="noConversion"/>
  </si>
  <si>
    <t>文俐</t>
    <phoneticPr fontId="6" type="noConversion"/>
  </si>
  <si>
    <t>1P</t>
    <phoneticPr fontId="6" type="noConversion"/>
  </si>
  <si>
    <t>B-1130105030</t>
    <phoneticPr fontId="6" type="noConversion"/>
  </si>
  <si>
    <t>RD200J103DEX001</t>
  </si>
  <si>
    <t>M1.5T55W18</t>
  </si>
  <si>
    <t>4P</t>
    <phoneticPr fontId="6" type="noConversion"/>
  </si>
  <si>
    <t>德士</t>
    <phoneticPr fontId="6" type="noConversion"/>
  </si>
  <si>
    <t>B+1130105026</t>
    <phoneticPr fontId="6" type="noConversion"/>
  </si>
  <si>
    <t>文俐</t>
    <phoneticPr fontId="6" type="noConversion"/>
  </si>
  <si>
    <t>急件</t>
    <phoneticPr fontId="6" type="noConversion"/>
  </si>
  <si>
    <t>1P</t>
    <phoneticPr fontId="6" type="noConversion"/>
  </si>
  <si>
    <t>B-1130105033</t>
    <phoneticPr fontId="6" type="noConversion"/>
  </si>
  <si>
    <t>M2T90W16L18</t>
    <phoneticPr fontId="6" type="noConversion"/>
  </si>
  <si>
    <t>M2T30W16L77</t>
    <phoneticPr fontId="6" type="noConversion"/>
  </si>
  <si>
    <t>M1.25*60T*W12</t>
    <phoneticPr fontId="6" type="noConversion"/>
  </si>
  <si>
    <t>進德</t>
    <phoneticPr fontId="6" type="noConversion"/>
  </si>
  <si>
    <t>B-1130105028</t>
  </si>
  <si>
    <t>LY-3023</t>
  </si>
  <si>
    <t>20</t>
    <phoneticPr fontId="6" type="noConversion"/>
  </si>
  <si>
    <t>登裕</t>
    <phoneticPr fontId="6" type="noConversion"/>
  </si>
  <si>
    <t>B-1130104004</t>
    <phoneticPr fontId="6" type="noConversion"/>
  </si>
  <si>
    <t>M2T16W38L128</t>
    <phoneticPr fontId="6" type="noConversion"/>
  </si>
  <si>
    <t>11</t>
    <phoneticPr fontId="6" type="noConversion"/>
  </si>
  <si>
    <t>文俐</t>
    <phoneticPr fontId="6" type="noConversion"/>
  </si>
  <si>
    <t>20240104</t>
    <phoneticPr fontId="6" type="noConversion"/>
  </si>
  <si>
    <t>1P</t>
    <phoneticPr fontId="6" type="noConversion"/>
  </si>
  <si>
    <t>B-1130104003</t>
    <phoneticPr fontId="6" type="noConversion"/>
  </si>
  <si>
    <t>M2T17W32L128</t>
    <phoneticPr fontId="6" type="noConversion"/>
  </si>
  <si>
    <t>21</t>
    <phoneticPr fontId="6" type="noConversion"/>
  </si>
  <si>
    <t>德士</t>
    <phoneticPr fontId="6" type="noConversion"/>
  </si>
  <si>
    <t>B-1130105013</t>
    <phoneticPr fontId="6" type="noConversion"/>
  </si>
  <si>
    <t>M2*27T*15W</t>
    <phoneticPr fontId="6" type="noConversion"/>
  </si>
  <si>
    <t>10</t>
    <phoneticPr fontId="6" type="noConversion"/>
  </si>
  <si>
    <t>20240105</t>
    <phoneticPr fontId="6" type="noConversion"/>
  </si>
  <si>
    <t>B-1130105010</t>
    <phoneticPr fontId="6" type="noConversion"/>
  </si>
  <si>
    <t>M2T44W16L18</t>
    <phoneticPr fontId="6" type="noConversion"/>
  </si>
  <si>
    <t>3</t>
    <phoneticPr fontId="6" type="noConversion"/>
  </si>
  <si>
    <t>3</t>
    <phoneticPr fontId="6" type="noConversion"/>
  </si>
  <si>
    <t>20240105</t>
    <phoneticPr fontId="6" type="noConversion"/>
  </si>
  <si>
    <t>M2*26T*16W</t>
    <phoneticPr fontId="6" type="noConversion"/>
  </si>
  <si>
    <t>M2*30T</t>
    <phoneticPr fontId="6" type="noConversion"/>
  </si>
  <si>
    <t>5</t>
    <phoneticPr fontId="6" type="noConversion"/>
  </si>
  <si>
    <t>20240108</t>
    <phoneticPr fontId="6" type="noConversion"/>
  </si>
  <si>
    <t>登裕</t>
    <phoneticPr fontId="6" type="noConversion"/>
  </si>
  <si>
    <t>B-1130108015</t>
    <phoneticPr fontId="6" type="noConversion"/>
  </si>
  <si>
    <t>文俐</t>
    <phoneticPr fontId="6" type="noConversion"/>
  </si>
  <si>
    <t>急件</t>
    <phoneticPr fontId="6" type="noConversion"/>
  </si>
  <si>
    <t>群燁</t>
    <phoneticPr fontId="6" type="noConversion"/>
  </si>
  <si>
    <t>B-1130108002</t>
    <phoneticPr fontId="6" type="noConversion"/>
  </si>
  <si>
    <t>M1.25T36W18L21</t>
  </si>
  <si>
    <t>1P</t>
    <phoneticPr fontId="6" type="noConversion"/>
  </si>
  <si>
    <t>旻成</t>
    <phoneticPr fontId="6" type="noConversion"/>
  </si>
  <si>
    <t>B-1130108003</t>
    <phoneticPr fontId="6" type="noConversion"/>
  </si>
  <si>
    <t>M1.5T18W21L106.5</t>
  </si>
  <si>
    <t>1E</t>
    <phoneticPr fontId="6" type="noConversion"/>
  </si>
  <si>
    <t>需用客戶原容器裝回</t>
    <phoneticPr fontId="6" type="noConversion"/>
  </si>
  <si>
    <r>
      <rPr>
        <b/>
        <sz val="14"/>
        <rFont val="細明體"/>
        <family val="3"/>
        <charset val="136"/>
      </rPr>
      <t>急件</t>
    </r>
    <r>
      <rPr>
        <b/>
        <sz val="14"/>
        <rFont val="Times New Roman"/>
        <family val="1"/>
      </rPr>
      <t xml:space="preserve"> / </t>
    </r>
    <r>
      <rPr>
        <b/>
        <sz val="14"/>
        <rFont val="細明體"/>
        <family val="3"/>
        <charset val="136"/>
      </rPr>
      <t>請照粗齒研圖面加工</t>
    </r>
    <phoneticPr fontId="6" type="noConversion"/>
  </si>
  <si>
    <t>2103430230103</t>
    <phoneticPr fontId="6" type="noConversion"/>
  </si>
  <si>
    <t>M1.25T36W22L30</t>
  </si>
  <si>
    <t>B-1121211007</t>
  </si>
  <si>
    <t>志方</t>
    <phoneticPr fontId="6" type="noConversion"/>
  </si>
  <si>
    <t>20240109</t>
    <phoneticPr fontId="6" type="noConversion"/>
  </si>
  <si>
    <t>20240109</t>
    <phoneticPr fontId="6" type="noConversion"/>
  </si>
  <si>
    <t>20240109</t>
    <phoneticPr fontId="6" type="noConversion"/>
  </si>
  <si>
    <t>B-1121101031</t>
    <phoneticPr fontId="6" type="noConversion"/>
  </si>
  <si>
    <t>5033002512</t>
    <phoneticPr fontId="6" type="noConversion"/>
  </si>
  <si>
    <t>8</t>
    <phoneticPr fontId="6" type="noConversion"/>
  </si>
  <si>
    <t>吉輔</t>
    <phoneticPr fontId="6" type="noConversion"/>
  </si>
  <si>
    <t>B-1121117005</t>
  </si>
  <si>
    <t>ME20-HM40020-00007M1</t>
  </si>
  <si>
    <t>M2T40W20L25</t>
  </si>
  <si>
    <t>1P</t>
    <phoneticPr fontId="6" type="noConversion"/>
  </si>
  <si>
    <t>急件</t>
    <phoneticPr fontId="6" type="noConversion"/>
  </si>
  <si>
    <t>JPM9002-A451</t>
  </si>
  <si>
    <t>還有140在平研</t>
    <phoneticPr fontId="6" type="noConversion"/>
  </si>
  <si>
    <t>M2T42W10L25</t>
    <phoneticPr fontId="6" type="noConversion"/>
  </si>
  <si>
    <t>M3T87W40L40</t>
    <phoneticPr fontId="6" type="noConversion"/>
  </si>
  <si>
    <r>
      <rPr>
        <b/>
        <sz val="14"/>
        <rFont val="Times New Roman"/>
        <family val="1"/>
      </rPr>
      <t xml:space="preserve">M3T40W31L43 </t>
    </r>
    <r>
      <rPr>
        <b/>
        <sz val="14"/>
        <rFont val="細明體"/>
        <family val="3"/>
        <charset val="136"/>
      </rPr>
      <t>版次：</t>
    </r>
    <r>
      <rPr>
        <b/>
        <sz val="14"/>
        <rFont val="Times New Roman"/>
        <family val="1"/>
      </rPr>
      <t>2</t>
    </r>
    <phoneticPr fontId="6" type="noConversion"/>
  </si>
  <si>
    <t>20240109</t>
    <phoneticPr fontId="6" type="noConversion"/>
  </si>
  <si>
    <t>1</t>
    <phoneticPr fontId="6" type="noConversion"/>
  </si>
  <si>
    <t>LKND229011L22</t>
  </si>
  <si>
    <t>特急件，要先出100</t>
    <phoneticPr fontId="6" type="noConversion"/>
  </si>
  <si>
    <t>M1.25T32W18L51</t>
    <phoneticPr fontId="6" type="noConversion"/>
  </si>
  <si>
    <t>KKYM16301913</t>
  </si>
  <si>
    <t>B-1130109004</t>
    <phoneticPr fontId="6" type="noConversion"/>
  </si>
  <si>
    <t>1</t>
    <phoneticPr fontId="6" type="noConversion"/>
  </si>
  <si>
    <t>5</t>
    <phoneticPr fontId="6" type="noConversion"/>
  </si>
  <si>
    <t>M1.25*36T*20W</t>
  </si>
  <si>
    <t>B-1121123001</t>
  </si>
  <si>
    <t>2000003780101</t>
    <phoneticPr fontId="6" type="noConversion"/>
  </si>
  <si>
    <t>志方</t>
    <phoneticPr fontId="6" type="noConversion"/>
  </si>
  <si>
    <t>1P</t>
    <phoneticPr fontId="6" type="noConversion"/>
  </si>
  <si>
    <t>急件</t>
    <phoneticPr fontId="6" type="noConversion"/>
  </si>
  <si>
    <t>回客戶驗偏擺</t>
    <phoneticPr fontId="6" type="noConversion"/>
  </si>
  <si>
    <r>
      <t>M2.25*19T**33W*58.5</t>
    </r>
    <r>
      <rPr>
        <b/>
        <sz val="14"/>
        <color rgb="FFFF0000"/>
        <rFont val="細明體"/>
        <family val="3"/>
        <charset val="136"/>
      </rPr>
      <t>外</t>
    </r>
    <r>
      <rPr>
        <b/>
        <sz val="14"/>
        <color rgb="FFFF0000"/>
        <rFont val="Times New Roman"/>
        <family val="1"/>
      </rPr>
      <t>324</t>
    </r>
    <r>
      <rPr>
        <b/>
        <sz val="14"/>
        <color rgb="FFFF0000"/>
        <rFont val="細明體"/>
        <family val="3"/>
        <charset val="136"/>
      </rPr>
      <t>長</t>
    </r>
    <phoneticPr fontId="6" type="noConversion"/>
  </si>
  <si>
    <t>急件 黑皮*1</t>
    <phoneticPr fontId="6" type="noConversion"/>
  </si>
  <si>
    <t>20240110</t>
    <phoneticPr fontId="6" type="noConversion"/>
  </si>
  <si>
    <t>20240110</t>
    <phoneticPr fontId="6" type="noConversion"/>
  </si>
  <si>
    <t>20240110</t>
    <phoneticPr fontId="6" type="noConversion"/>
  </si>
  <si>
    <t>興振生</t>
    <phoneticPr fontId="6" type="noConversion"/>
  </si>
  <si>
    <t>B-1121225003</t>
    <phoneticPr fontId="6" type="noConversion"/>
  </si>
  <si>
    <t>M3.5T28PA20</t>
  </si>
  <si>
    <t>M3.5T28W45.3L51.3</t>
  </si>
  <si>
    <t>2</t>
    <phoneticPr fontId="6" type="noConversion"/>
  </si>
  <si>
    <t>20240110</t>
    <phoneticPr fontId="6" type="noConversion"/>
  </si>
  <si>
    <t>1P</t>
    <phoneticPr fontId="6" type="noConversion"/>
  </si>
  <si>
    <t>吉輔</t>
    <phoneticPr fontId="6" type="noConversion"/>
  </si>
  <si>
    <t>B-1121117004</t>
    <phoneticPr fontId="6" type="noConversion"/>
  </si>
  <si>
    <t>ME20-HM40020-00006M1</t>
  </si>
  <si>
    <t>2</t>
    <phoneticPr fontId="6" type="noConversion"/>
  </si>
  <si>
    <t>20240110</t>
    <phoneticPr fontId="6" type="noConversion"/>
  </si>
  <si>
    <t>2103410300200</t>
    <phoneticPr fontId="6" type="noConversion"/>
  </si>
  <si>
    <t>M1.5T48W35L50</t>
  </si>
  <si>
    <t>B-1121129005</t>
  </si>
  <si>
    <t>2103400240600</t>
    <phoneticPr fontId="6" type="noConversion"/>
  </si>
  <si>
    <t>B-1121123006</t>
  </si>
  <si>
    <t>M1.5T60W25L50</t>
  </si>
  <si>
    <t>LKNC095059L22</t>
  </si>
  <si>
    <t>M2T40W20L25</t>
    <phoneticPr fontId="6" type="noConversion"/>
  </si>
  <si>
    <t>LKND095023R22</t>
  </si>
  <si>
    <t>M2T23W34L191.2</t>
  </si>
  <si>
    <t>140</t>
    <phoneticPr fontId="6" type="noConversion"/>
  </si>
  <si>
    <t>成大</t>
    <phoneticPr fontId="6" type="noConversion"/>
  </si>
  <si>
    <t>志方</t>
    <phoneticPr fontId="6" type="noConversion"/>
  </si>
  <si>
    <t>1P</t>
    <phoneticPr fontId="6" type="noConversion"/>
  </si>
  <si>
    <t>5</t>
    <phoneticPr fontId="6" type="noConversion"/>
  </si>
  <si>
    <t>急件 / 需使用粗齒研圖</t>
    <phoneticPr fontId="6" type="noConversion"/>
  </si>
  <si>
    <t>20240110</t>
    <phoneticPr fontId="6" type="noConversion"/>
  </si>
  <si>
    <t>B-1130105021</t>
    <phoneticPr fontId="6" type="noConversion"/>
  </si>
  <si>
    <t>急件 / 注意粗齒研尺寸</t>
    <phoneticPr fontId="6" type="noConversion"/>
  </si>
  <si>
    <t>成大</t>
    <phoneticPr fontId="6" type="noConversion"/>
  </si>
  <si>
    <t>B-1130109005</t>
    <phoneticPr fontId="6" type="noConversion"/>
  </si>
  <si>
    <t>志方</t>
    <phoneticPr fontId="6" type="noConversion"/>
  </si>
  <si>
    <t>急件</t>
    <phoneticPr fontId="6" type="noConversion"/>
  </si>
  <si>
    <t>1E</t>
    <phoneticPr fontId="6" type="noConversion"/>
  </si>
  <si>
    <t>2094420120002</t>
  </si>
  <si>
    <t>M2T15W18L70</t>
  </si>
  <si>
    <t>10</t>
    <phoneticPr fontId="6" type="noConversion"/>
  </si>
  <si>
    <t>20240110</t>
    <phoneticPr fontId="6" type="noConversion"/>
  </si>
  <si>
    <t>崴立</t>
    <phoneticPr fontId="6" type="noConversion"/>
  </si>
  <si>
    <t>22150-5013-00</t>
  </si>
  <si>
    <t>3</t>
    <phoneticPr fontId="6" type="noConversion"/>
  </si>
  <si>
    <t>20240111</t>
    <phoneticPr fontId="6" type="noConversion"/>
  </si>
  <si>
    <t>1T</t>
    <phoneticPr fontId="6" type="noConversion"/>
  </si>
  <si>
    <t>HSOH-HB40080-204000B</t>
  </si>
  <si>
    <t>5</t>
    <phoneticPr fontId="6" type="noConversion"/>
  </si>
  <si>
    <t>20240111</t>
    <phoneticPr fontId="6" type="noConversion"/>
  </si>
  <si>
    <t>20240111</t>
    <phoneticPr fontId="6" type="noConversion"/>
  </si>
  <si>
    <t>20240111</t>
    <phoneticPr fontId="6" type="noConversion"/>
  </si>
  <si>
    <t>20240111</t>
    <phoneticPr fontId="6" type="noConversion"/>
  </si>
  <si>
    <t>20240111</t>
    <phoneticPr fontId="6" type="noConversion"/>
  </si>
  <si>
    <t>20240111</t>
    <phoneticPr fontId="6" type="noConversion"/>
  </si>
  <si>
    <t>20240111</t>
    <phoneticPr fontId="6" type="noConversion"/>
  </si>
  <si>
    <t>LKNC152060L22</t>
  </si>
  <si>
    <t>B-1130110002</t>
  </si>
  <si>
    <t>M3T60W65L65</t>
  </si>
  <si>
    <t>20240111</t>
    <phoneticPr fontId="6" type="noConversion"/>
  </si>
  <si>
    <t>B-1130110001</t>
    <phoneticPr fontId="6" type="noConversion"/>
  </si>
  <si>
    <t>M2.5T192W28</t>
    <phoneticPr fontId="6" type="noConversion"/>
  </si>
  <si>
    <t>M1.75T16W20L127</t>
    <phoneticPr fontId="6" type="noConversion"/>
  </si>
  <si>
    <t>急件 / 此件不雷刻</t>
    <phoneticPr fontId="6" type="noConversion"/>
  </si>
  <si>
    <t>B-1130105024</t>
    <phoneticPr fontId="6" type="noConversion"/>
  </si>
  <si>
    <t>M2T59</t>
    <phoneticPr fontId="6" type="noConversion"/>
  </si>
  <si>
    <t>5</t>
    <phoneticPr fontId="6" type="noConversion"/>
  </si>
  <si>
    <t>20240110</t>
    <phoneticPr fontId="6" type="noConversion"/>
  </si>
  <si>
    <t>旭陽</t>
    <phoneticPr fontId="6" type="noConversion"/>
  </si>
  <si>
    <t>M2T15W18L70</t>
    <phoneticPr fontId="6" type="noConversion"/>
  </si>
  <si>
    <t>志方</t>
    <phoneticPr fontId="6" type="noConversion"/>
  </si>
  <si>
    <t>急件</t>
    <phoneticPr fontId="6" type="noConversion"/>
  </si>
  <si>
    <t>1P</t>
    <phoneticPr fontId="6" type="noConversion"/>
  </si>
  <si>
    <t>昱盛</t>
    <phoneticPr fontId="6" type="noConversion"/>
  </si>
  <si>
    <t>B-1130109018</t>
    <phoneticPr fontId="6" type="noConversion"/>
  </si>
  <si>
    <r>
      <rPr>
        <b/>
        <sz val="14"/>
        <rFont val="細明體"/>
        <family val="3"/>
        <charset val="136"/>
      </rPr>
      <t>急件</t>
    </r>
    <r>
      <rPr>
        <b/>
        <sz val="14"/>
        <rFont val="Times New Roman"/>
        <family val="1"/>
      </rPr>
      <t xml:space="preserve"> / </t>
    </r>
    <r>
      <rPr>
        <b/>
        <sz val="14"/>
        <rFont val="細明體"/>
        <family val="3"/>
        <charset val="136"/>
      </rPr>
      <t>需附一對一報告</t>
    </r>
    <phoneticPr fontId="6" type="noConversion"/>
  </si>
  <si>
    <t>1</t>
    <phoneticPr fontId="6" type="noConversion"/>
  </si>
  <si>
    <t>B-1120619004</t>
    <phoneticPr fontId="6" type="noConversion"/>
  </si>
  <si>
    <t>9MDH937</t>
  </si>
  <si>
    <t>B-1120817018</t>
    <phoneticPr fontId="6" type="noConversion"/>
  </si>
  <si>
    <t>LKNC128070R22</t>
  </si>
  <si>
    <t>B-1130105025</t>
  </si>
  <si>
    <t>M2.35T70W</t>
  </si>
  <si>
    <r>
      <rPr>
        <b/>
        <sz val="14"/>
        <rFont val="Times New Roman"/>
        <family val="1"/>
      </rPr>
      <t xml:space="preserve">M4T38W40L40 </t>
    </r>
    <r>
      <rPr>
        <b/>
        <sz val="14"/>
        <color rgb="FFFF0000"/>
        <rFont val="細明體"/>
        <family val="3"/>
        <charset val="136"/>
      </rPr>
      <t/>
    </r>
    <phoneticPr fontId="6" type="noConversion"/>
  </si>
  <si>
    <t>5</t>
    <phoneticPr fontId="6" type="noConversion"/>
  </si>
  <si>
    <t>20240111</t>
    <phoneticPr fontId="6" type="noConversion"/>
  </si>
  <si>
    <t>2</t>
    <phoneticPr fontId="6" type="noConversion"/>
  </si>
  <si>
    <t>B-1130109006</t>
    <phoneticPr fontId="6" type="noConversion"/>
  </si>
  <si>
    <t>M6T11W140L309.5</t>
    <phoneticPr fontId="6" type="noConversion"/>
  </si>
  <si>
    <t>1</t>
    <phoneticPr fontId="6" type="noConversion"/>
  </si>
  <si>
    <t>ME20-HM40020-00008M1</t>
  </si>
  <si>
    <t>2</t>
    <phoneticPr fontId="6" type="noConversion"/>
  </si>
  <si>
    <t>20230111</t>
    <phoneticPr fontId="6" type="noConversion"/>
  </si>
  <si>
    <t>1P</t>
    <phoneticPr fontId="6" type="noConversion"/>
  </si>
  <si>
    <t>B-1121117006</t>
    <phoneticPr fontId="6" type="noConversion"/>
  </si>
  <si>
    <t>M2T40W20L25</t>
    <phoneticPr fontId="6" type="noConversion"/>
  </si>
  <si>
    <t>1P</t>
    <phoneticPr fontId="6" type="noConversion"/>
  </si>
  <si>
    <t>吉輔</t>
    <phoneticPr fontId="6" type="noConversion"/>
  </si>
  <si>
    <t>B-1121108002</t>
    <phoneticPr fontId="6" type="noConversion"/>
  </si>
  <si>
    <t>急件</t>
    <phoneticPr fontId="6" type="noConversion"/>
  </si>
  <si>
    <t>B-1130105020</t>
    <phoneticPr fontId="6" type="noConversion"/>
  </si>
  <si>
    <t>M1T22W6L7</t>
    <phoneticPr fontId="6" type="noConversion"/>
  </si>
  <si>
    <t>1P</t>
    <phoneticPr fontId="6" type="noConversion"/>
  </si>
  <si>
    <t>M1T30W5L6</t>
    <phoneticPr fontId="6" type="noConversion"/>
  </si>
  <si>
    <t>德士</t>
    <phoneticPr fontId="6" type="noConversion"/>
  </si>
  <si>
    <t>B-1130105011</t>
    <phoneticPr fontId="6" type="noConversion"/>
  </si>
  <si>
    <t>M2T64W16L19</t>
    <phoneticPr fontId="6" type="noConversion"/>
  </si>
  <si>
    <t>1P</t>
    <phoneticPr fontId="6" type="noConversion"/>
  </si>
  <si>
    <t>B-1130105032</t>
    <phoneticPr fontId="6" type="noConversion"/>
  </si>
  <si>
    <t>文俐</t>
    <phoneticPr fontId="6" type="noConversion"/>
  </si>
  <si>
    <t>20240112</t>
    <phoneticPr fontId="6" type="noConversion"/>
  </si>
  <si>
    <t>20240112</t>
    <phoneticPr fontId="6" type="noConversion"/>
  </si>
  <si>
    <t>20240112</t>
    <phoneticPr fontId="6" type="noConversion"/>
  </si>
  <si>
    <t>JKGF04786L</t>
  </si>
  <si>
    <t>M1.25*86T*30W</t>
  </si>
  <si>
    <t>B-1121027005</t>
  </si>
  <si>
    <t>270</t>
    <phoneticPr fontId="6" type="noConversion"/>
  </si>
  <si>
    <t>20240111</t>
    <phoneticPr fontId="6" type="noConversion"/>
  </si>
  <si>
    <t>完成要線割修鍵槽</t>
    <phoneticPr fontId="6" type="noConversion"/>
  </si>
  <si>
    <t>鍵槽已修整，勿與其他混</t>
    <phoneticPr fontId="6" type="noConversion"/>
  </si>
  <si>
    <t>66</t>
    <phoneticPr fontId="6" type="noConversion"/>
  </si>
  <si>
    <t>JKGC08717L1</t>
  </si>
  <si>
    <t>M2*17T*42L</t>
  </si>
  <si>
    <t>B-1121114017</t>
  </si>
  <si>
    <t>2P</t>
    <phoneticPr fontId="6" type="noConversion"/>
  </si>
  <si>
    <t>LY-3021</t>
  </si>
  <si>
    <t>進德</t>
    <phoneticPr fontId="6" type="noConversion"/>
  </si>
  <si>
    <t>B-1130112003</t>
    <phoneticPr fontId="6" type="noConversion"/>
  </si>
  <si>
    <t>M1T100W10/M2T42W10L100</t>
  </si>
  <si>
    <t>20</t>
    <phoneticPr fontId="6" type="noConversion"/>
  </si>
  <si>
    <t>20240115</t>
    <phoneticPr fontId="6" type="noConversion"/>
  </si>
  <si>
    <t>3P</t>
    <phoneticPr fontId="6" type="noConversion"/>
  </si>
  <si>
    <t>20240112</t>
    <phoneticPr fontId="6" type="noConversion"/>
  </si>
  <si>
    <t>成大</t>
    <phoneticPr fontId="6" type="noConversion"/>
  </si>
  <si>
    <t>志方</t>
    <phoneticPr fontId="6" type="noConversion"/>
  </si>
  <si>
    <t>急件 / 需使用粗齒研圖</t>
    <phoneticPr fontId="6" type="noConversion"/>
  </si>
  <si>
    <t>1P</t>
    <phoneticPr fontId="6" type="noConversion"/>
  </si>
  <si>
    <t>20240115</t>
  </si>
  <si>
    <t>20240115</t>
    <phoneticPr fontId="6" type="noConversion"/>
  </si>
  <si>
    <t>20240115</t>
    <phoneticPr fontId="6" type="noConversion"/>
  </si>
  <si>
    <t>20240115</t>
    <phoneticPr fontId="6" type="noConversion"/>
  </si>
  <si>
    <r>
      <rPr>
        <b/>
        <sz val="14"/>
        <rFont val="微軟正黑體"/>
        <family val="2"/>
        <charset val="136"/>
      </rPr>
      <t>完工日</t>
    </r>
    <phoneticPr fontId="6" type="noConversion"/>
  </si>
  <si>
    <t>20240115</t>
    <phoneticPr fontId="6" type="noConversion"/>
  </si>
  <si>
    <r>
      <rPr>
        <b/>
        <sz val="14"/>
        <rFont val="細明體"/>
        <family val="3"/>
        <charset val="136"/>
      </rPr>
      <t>臥式</t>
    </r>
    <r>
      <rPr>
        <b/>
        <sz val="14"/>
        <rFont val="Times New Roman"/>
        <family val="1"/>
      </rPr>
      <t>-C</t>
    </r>
    <phoneticPr fontId="6" type="noConversion"/>
  </si>
  <si>
    <t>KKYM12201611</t>
  </si>
  <si>
    <t>B-1130112008</t>
  </si>
  <si>
    <r>
      <t>M2*16T*32W*43</t>
    </r>
    <r>
      <rPr>
        <b/>
        <sz val="14"/>
        <color rgb="FFFF0000"/>
        <rFont val="細明體"/>
        <family val="3"/>
        <charset val="136"/>
      </rPr>
      <t>外</t>
    </r>
    <r>
      <rPr>
        <b/>
        <sz val="14"/>
        <color rgb="FFFF0000"/>
        <rFont val="Times New Roman"/>
        <family val="1"/>
      </rPr>
      <t>262</t>
    </r>
    <r>
      <rPr>
        <b/>
        <sz val="14"/>
        <color rgb="FFFF0000"/>
        <rFont val="細明體"/>
        <family val="3"/>
        <charset val="136"/>
      </rPr>
      <t>長</t>
    </r>
  </si>
  <si>
    <t>68</t>
    <phoneticPr fontId="6" type="noConversion"/>
  </si>
  <si>
    <t>1E</t>
    <phoneticPr fontId="6" type="noConversion"/>
  </si>
  <si>
    <t>20240115</t>
    <phoneticPr fontId="6" type="noConversion"/>
  </si>
  <si>
    <t>2954480060101</t>
    <phoneticPr fontId="6" type="noConversion"/>
  </si>
  <si>
    <t>旭陽</t>
    <phoneticPr fontId="6" type="noConversion"/>
  </si>
  <si>
    <t>B-1121212012</t>
    <phoneticPr fontId="6" type="noConversion"/>
  </si>
  <si>
    <t>M3*30T*35W50L</t>
    <phoneticPr fontId="6" type="noConversion"/>
  </si>
  <si>
    <t>9</t>
    <phoneticPr fontId="6" type="noConversion"/>
  </si>
  <si>
    <t>志方</t>
    <phoneticPr fontId="6" type="noConversion"/>
  </si>
  <si>
    <t>20240115</t>
    <phoneticPr fontId="6" type="noConversion"/>
  </si>
  <si>
    <t>1P</t>
    <phoneticPr fontId="6" type="noConversion"/>
  </si>
  <si>
    <t>JKKE08718R</t>
  </si>
  <si>
    <t>M3.25*18T*W72</t>
  </si>
  <si>
    <t>B-1121114019</t>
  </si>
  <si>
    <t>成大</t>
    <phoneticPr fontId="6" type="noConversion"/>
  </si>
  <si>
    <t>KKYC36011521</t>
  </si>
  <si>
    <t>B-1121123007</t>
  </si>
  <si>
    <t>M3*115T*49W*51L</t>
  </si>
  <si>
    <t>22150-3005-02</t>
  </si>
  <si>
    <t>崴立</t>
    <phoneticPr fontId="6" type="noConversion"/>
  </si>
  <si>
    <t>B-1130112002</t>
    <phoneticPr fontId="6" type="noConversion"/>
  </si>
  <si>
    <t>6</t>
    <phoneticPr fontId="6" type="noConversion"/>
  </si>
  <si>
    <t>20240115</t>
    <phoneticPr fontId="6" type="noConversion"/>
  </si>
  <si>
    <t>1P</t>
    <phoneticPr fontId="6" type="noConversion"/>
  </si>
  <si>
    <t>1007002551</t>
  </si>
  <si>
    <t>B-1121201012</t>
    <phoneticPr fontId="6" type="noConversion"/>
  </si>
  <si>
    <r>
      <t>馬達齒輪</t>
    </r>
    <r>
      <rPr>
        <b/>
        <sz val="14"/>
        <color rgb="FFFF0000"/>
        <rFont val="Times New Roman"/>
        <family val="1"/>
      </rPr>
      <t xml:space="preserve"> M2.5T28W20L24</t>
    </r>
  </si>
  <si>
    <t>10</t>
    <phoneticPr fontId="6" type="noConversion"/>
  </si>
  <si>
    <t>20240116</t>
    <phoneticPr fontId="6" type="noConversion"/>
  </si>
  <si>
    <t>20240116</t>
    <phoneticPr fontId="6" type="noConversion"/>
  </si>
  <si>
    <t>20240116</t>
    <phoneticPr fontId="6" type="noConversion"/>
  </si>
  <si>
    <t>32102000003</t>
  </si>
  <si>
    <t>B-1130116012</t>
    <phoneticPr fontId="6" type="noConversion"/>
  </si>
  <si>
    <t>M2.52053.9165.5</t>
    <phoneticPr fontId="6" type="noConversion"/>
  </si>
  <si>
    <t>成大</t>
    <phoneticPr fontId="6" type="noConversion"/>
  </si>
  <si>
    <t>10</t>
    <phoneticPr fontId="6" type="noConversion"/>
  </si>
  <si>
    <t>20240116</t>
    <phoneticPr fontId="6" type="noConversion"/>
  </si>
  <si>
    <t>20240117</t>
    <phoneticPr fontId="6" type="noConversion"/>
  </si>
  <si>
    <t>20240117</t>
    <phoneticPr fontId="6" type="noConversion"/>
  </si>
  <si>
    <t>成大</t>
    <phoneticPr fontId="6" type="noConversion"/>
  </si>
  <si>
    <t>M2.5*24T</t>
    <phoneticPr fontId="6" type="noConversion"/>
  </si>
  <si>
    <t>2097090140002</t>
    <phoneticPr fontId="6" type="noConversion"/>
  </si>
  <si>
    <t>5</t>
    <phoneticPr fontId="6" type="noConversion"/>
  </si>
  <si>
    <t>志方</t>
    <phoneticPr fontId="6" type="noConversion"/>
  </si>
  <si>
    <t>20240117</t>
    <phoneticPr fontId="6" type="noConversion"/>
  </si>
  <si>
    <t>1P</t>
    <phoneticPr fontId="6" type="noConversion"/>
  </si>
  <si>
    <t>旭陽</t>
    <phoneticPr fontId="6" type="noConversion"/>
  </si>
  <si>
    <t>B-1121211006</t>
    <phoneticPr fontId="6" type="noConversion"/>
  </si>
  <si>
    <t>M1.25T11W18L74</t>
    <phoneticPr fontId="6" type="noConversion"/>
  </si>
  <si>
    <t>特急件</t>
    <phoneticPr fontId="6" type="noConversion"/>
  </si>
  <si>
    <t>20240117</t>
    <phoneticPr fontId="6" type="noConversion"/>
  </si>
  <si>
    <t>1P</t>
    <phoneticPr fontId="6" type="noConversion"/>
  </si>
  <si>
    <t>6001002513</t>
  </si>
  <si>
    <t>鼎立</t>
    <phoneticPr fontId="6" type="noConversion"/>
  </si>
  <si>
    <t>B-1121213016</t>
    <phoneticPr fontId="6" type="noConversion"/>
  </si>
  <si>
    <t>FB8-01-055A</t>
  </si>
  <si>
    <t>M2.25T20W30</t>
  </si>
  <si>
    <t>20</t>
    <phoneticPr fontId="6" type="noConversion"/>
  </si>
  <si>
    <t>急件</t>
    <phoneticPr fontId="6" type="noConversion"/>
  </si>
  <si>
    <t>寶嘉誠</t>
    <phoneticPr fontId="6" type="noConversion"/>
  </si>
  <si>
    <t>B-1121207017</t>
    <phoneticPr fontId="6" type="noConversion"/>
  </si>
  <si>
    <t>M2.5T27W22L40</t>
    <phoneticPr fontId="6" type="noConversion"/>
  </si>
  <si>
    <t>50</t>
    <phoneticPr fontId="6" type="noConversion"/>
  </si>
  <si>
    <t>文俐</t>
    <phoneticPr fontId="6" type="noConversion"/>
  </si>
  <si>
    <t>20240117</t>
    <phoneticPr fontId="6" type="noConversion"/>
  </si>
  <si>
    <t>2P</t>
    <phoneticPr fontId="6" type="noConversion"/>
  </si>
  <si>
    <t>046-00008-00</t>
  </si>
  <si>
    <t>M2.5T22W74L151</t>
  </si>
  <si>
    <t>登裕</t>
    <phoneticPr fontId="6" type="noConversion"/>
  </si>
  <si>
    <t>B-1130117001</t>
    <phoneticPr fontId="6" type="noConversion"/>
  </si>
  <si>
    <t>文俐</t>
    <phoneticPr fontId="6" type="noConversion"/>
  </si>
  <si>
    <t>1P</t>
    <phoneticPr fontId="6" type="noConversion"/>
  </si>
  <si>
    <t>霄特</t>
    <phoneticPr fontId="6" type="noConversion"/>
  </si>
  <si>
    <t>40301001-01</t>
  </si>
  <si>
    <t>B-1121214019</t>
  </si>
  <si>
    <t>1P</t>
    <phoneticPr fontId="6" type="noConversion"/>
  </si>
  <si>
    <t>M2T36W42</t>
    <phoneticPr fontId="6" type="noConversion"/>
  </si>
  <si>
    <t>旭陽</t>
    <phoneticPr fontId="6" type="noConversion"/>
  </si>
  <si>
    <t>B-1121204008</t>
    <phoneticPr fontId="6" type="noConversion"/>
  </si>
  <si>
    <t>2103430230700</t>
    <phoneticPr fontId="6" type="noConversion"/>
  </si>
  <si>
    <t>M1.25T36W30L33</t>
    <phoneticPr fontId="6" type="noConversion"/>
  </si>
  <si>
    <t>志方</t>
    <phoneticPr fontId="6" type="noConversion"/>
  </si>
  <si>
    <t>1P</t>
    <phoneticPr fontId="6" type="noConversion"/>
  </si>
  <si>
    <t>42P0115A</t>
  </si>
  <si>
    <t>登裕</t>
    <phoneticPr fontId="6" type="noConversion"/>
  </si>
  <si>
    <t>B-1130117003</t>
  </si>
  <si>
    <t>M3T28W30L135.5</t>
  </si>
  <si>
    <t>7</t>
    <phoneticPr fontId="6" type="noConversion"/>
  </si>
  <si>
    <t>20240118</t>
    <phoneticPr fontId="6" type="noConversion"/>
  </si>
  <si>
    <t>1P</t>
    <phoneticPr fontId="6" type="noConversion"/>
  </si>
  <si>
    <t>20240118</t>
    <phoneticPr fontId="6" type="noConversion"/>
  </si>
  <si>
    <t>20240118</t>
    <phoneticPr fontId="6" type="noConversion"/>
  </si>
  <si>
    <t>20240118</t>
    <phoneticPr fontId="6" type="noConversion"/>
  </si>
  <si>
    <t>20240118</t>
    <phoneticPr fontId="6" type="noConversion"/>
  </si>
  <si>
    <t>2E</t>
    <phoneticPr fontId="6" type="noConversion"/>
  </si>
  <si>
    <t>特急件</t>
    <phoneticPr fontId="6" type="noConversion"/>
  </si>
  <si>
    <t>20240118</t>
    <phoneticPr fontId="6" type="noConversion"/>
  </si>
  <si>
    <t>2954360080100</t>
    <phoneticPr fontId="6" type="noConversion"/>
  </si>
  <si>
    <t>M3*60T*35L</t>
    <phoneticPr fontId="6" type="noConversion"/>
  </si>
  <si>
    <t>B-1121212011</t>
  </si>
  <si>
    <t>志方</t>
    <phoneticPr fontId="6" type="noConversion"/>
  </si>
  <si>
    <t>1E</t>
    <phoneticPr fontId="6" type="noConversion"/>
  </si>
  <si>
    <t>DP8T26L304.8</t>
  </si>
  <si>
    <t>15</t>
    <phoneticPr fontId="6" type="noConversion"/>
  </si>
  <si>
    <t>20240118</t>
    <phoneticPr fontId="6" type="noConversion"/>
  </si>
  <si>
    <t>2090020120110</t>
    <phoneticPr fontId="6" type="noConversion"/>
  </si>
  <si>
    <t>B-1121211003</t>
  </si>
  <si>
    <t>M2.25T64W28L94</t>
  </si>
  <si>
    <t>至少要10顆</t>
    <phoneticPr fontId="6" type="noConversion"/>
  </si>
  <si>
    <t>B-1130118007</t>
    <phoneticPr fontId="6" type="noConversion"/>
  </si>
  <si>
    <t>927</t>
    <phoneticPr fontId="6" type="noConversion"/>
  </si>
  <si>
    <t>20240119</t>
    <phoneticPr fontId="6" type="noConversion"/>
  </si>
  <si>
    <t>20240119</t>
    <phoneticPr fontId="6" type="noConversion"/>
  </si>
  <si>
    <t>20240119</t>
    <phoneticPr fontId="6" type="noConversion"/>
  </si>
  <si>
    <t>20240119</t>
    <phoneticPr fontId="6" type="noConversion"/>
  </si>
  <si>
    <t>20240119</t>
    <phoneticPr fontId="6" type="noConversion"/>
  </si>
  <si>
    <t>M6.5T19-MZ002A</t>
  </si>
  <si>
    <t>B-1130118003</t>
  </si>
  <si>
    <t>M6.5T19W147L830.5</t>
  </si>
  <si>
    <t>1</t>
    <phoneticPr fontId="6" type="noConversion"/>
  </si>
  <si>
    <t>2040119</t>
    <phoneticPr fontId="6" type="noConversion"/>
  </si>
  <si>
    <r>
      <t>1</t>
    </r>
    <r>
      <rPr>
        <b/>
        <sz val="14"/>
        <rFont val="細明體"/>
        <family val="3"/>
        <charset val="136"/>
      </rPr>
      <t>木板</t>
    </r>
    <phoneticPr fontId="6" type="noConversion"/>
  </si>
  <si>
    <t>42P0093A</t>
  </si>
  <si>
    <t>B-1130117002</t>
    <phoneticPr fontId="6" type="noConversion"/>
  </si>
  <si>
    <t>M3T28W90L153.5</t>
  </si>
  <si>
    <t>7</t>
    <phoneticPr fontId="6" type="noConversion"/>
  </si>
  <si>
    <t>20240119</t>
    <phoneticPr fontId="6" type="noConversion"/>
  </si>
  <si>
    <t>1P</t>
    <phoneticPr fontId="6" type="noConversion"/>
  </si>
  <si>
    <t>義高</t>
    <phoneticPr fontId="6" type="noConversion"/>
  </si>
  <si>
    <t>20240119</t>
    <phoneticPr fontId="6" type="noConversion"/>
  </si>
  <si>
    <t>1P</t>
    <phoneticPr fontId="6" type="noConversion"/>
  </si>
  <si>
    <t>高鋒</t>
    <phoneticPr fontId="6" type="noConversion"/>
  </si>
  <si>
    <t>B-1121006006</t>
    <phoneticPr fontId="6" type="noConversion"/>
  </si>
  <si>
    <t>3109330200</t>
    <phoneticPr fontId="6" type="noConversion"/>
  </si>
  <si>
    <t>1</t>
    <phoneticPr fontId="6" type="noConversion"/>
  </si>
  <si>
    <t>RTD200EC0001</t>
  </si>
  <si>
    <t>康普</t>
    <phoneticPr fontId="6" type="noConversion"/>
  </si>
  <si>
    <t>B-1121222012</t>
    <phoneticPr fontId="6" type="noConversion"/>
  </si>
  <si>
    <t>文俐</t>
    <phoneticPr fontId="6" type="noConversion"/>
  </si>
  <si>
    <t>3P</t>
    <phoneticPr fontId="6" type="noConversion"/>
  </si>
  <si>
    <t>KKYD36001421</t>
  </si>
  <si>
    <t>B-1130119008</t>
  </si>
  <si>
    <t>M714TW81L230</t>
  </si>
  <si>
    <t>M1T85W15L24</t>
    <phoneticPr fontId="6" type="noConversion"/>
  </si>
  <si>
    <t>B-1130119011</t>
    <phoneticPr fontId="6" type="noConversion"/>
  </si>
  <si>
    <t>120</t>
    <phoneticPr fontId="6" type="noConversion"/>
  </si>
  <si>
    <t>府毅</t>
    <phoneticPr fontId="6" type="noConversion"/>
  </si>
  <si>
    <t>B-1130119014</t>
  </si>
  <si>
    <t>MC567863</t>
  </si>
  <si>
    <t>M1.5T150W36L43.5</t>
  </si>
  <si>
    <t>10</t>
    <phoneticPr fontId="6" type="noConversion"/>
  </si>
  <si>
    <t>文俐</t>
    <phoneticPr fontId="6" type="noConversion"/>
  </si>
  <si>
    <t>20240119</t>
    <phoneticPr fontId="6" type="noConversion"/>
  </si>
  <si>
    <t>1T</t>
    <phoneticPr fontId="6" type="noConversion"/>
  </si>
  <si>
    <t>F-DH416M-3</t>
  </si>
  <si>
    <t>20</t>
    <phoneticPr fontId="6" type="noConversion"/>
  </si>
  <si>
    <t>志方</t>
    <phoneticPr fontId="6" type="noConversion"/>
  </si>
  <si>
    <t>特急件</t>
    <phoneticPr fontId="6" type="noConversion"/>
  </si>
  <si>
    <t>20240119</t>
    <phoneticPr fontId="6" type="noConversion"/>
  </si>
  <si>
    <t>1E</t>
    <phoneticPr fontId="6" type="noConversion"/>
  </si>
  <si>
    <t>M2.5T86W25</t>
    <phoneticPr fontId="6" type="noConversion"/>
  </si>
  <si>
    <t>B-1130119015</t>
  </si>
  <si>
    <t>20240122</t>
    <phoneticPr fontId="6" type="noConversion"/>
  </si>
  <si>
    <t>20240122</t>
    <phoneticPr fontId="6" type="noConversion"/>
  </si>
  <si>
    <t>20240122</t>
    <phoneticPr fontId="6" type="noConversion"/>
  </si>
  <si>
    <t>MG-DH429J-5</t>
  </si>
  <si>
    <t>DP12T96L50.8</t>
  </si>
  <si>
    <t>B-1121121015</t>
  </si>
  <si>
    <t>14</t>
    <phoneticPr fontId="6" type="noConversion"/>
  </si>
  <si>
    <t>1E</t>
    <phoneticPr fontId="6" type="noConversion"/>
  </si>
  <si>
    <t>20240122</t>
    <phoneticPr fontId="6" type="noConversion"/>
  </si>
  <si>
    <t>志方</t>
    <phoneticPr fontId="6" type="noConversion"/>
  </si>
  <si>
    <t>M5_T17</t>
  </si>
  <si>
    <t>B-1121206043</t>
  </si>
  <si>
    <t>富凱欣業</t>
  </si>
  <si>
    <t>M5T17W30</t>
  </si>
  <si>
    <t>M5_T35_1</t>
  </si>
  <si>
    <t>B-1121206048</t>
    <phoneticPr fontId="6" type="noConversion"/>
  </si>
  <si>
    <t>1P</t>
    <phoneticPr fontId="6" type="noConversion"/>
  </si>
  <si>
    <t>與M5_T35_1結合齒研</t>
    <phoneticPr fontId="6" type="noConversion"/>
  </si>
  <si>
    <t>B-1121206047</t>
    <phoneticPr fontId="6" type="noConversion"/>
  </si>
  <si>
    <t>M5_T35</t>
  </si>
  <si>
    <t>與M5_T35結合齒研</t>
    <phoneticPr fontId="6" type="noConversion"/>
  </si>
  <si>
    <r>
      <t>1</t>
    </r>
    <r>
      <rPr>
        <b/>
        <sz val="14"/>
        <color rgb="FFFF0000"/>
        <rFont val="細明體"/>
        <family val="3"/>
        <charset val="136"/>
      </rPr>
      <t>大</t>
    </r>
    <r>
      <rPr>
        <b/>
        <sz val="14"/>
        <color rgb="FFFF0000"/>
        <rFont val="Times New Roman"/>
        <family val="1"/>
      </rPr>
      <t>E</t>
    </r>
    <phoneticPr fontId="6" type="noConversion"/>
  </si>
  <si>
    <t>登裕</t>
    <phoneticPr fontId="6" type="noConversion"/>
  </si>
  <si>
    <t>B-1130122002</t>
    <phoneticPr fontId="6" type="noConversion"/>
  </si>
  <si>
    <t>3853-C530-0701</t>
    <phoneticPr fontId="6" type="noConversion"/>
  </si>
  <si>
    <t>M2.5*18T*W20</t>
  </si>
  <si>
    <t>21</t>
    <phoneticPr fontId="6" type="noConversion"/>
  </si>
  <si>
    <t>20240122</t>
    <phoneticPr fontId="6" type="noConversion"/>
  </si>
  <si>
    <t>1P</t>
    <phoneticPr fontId="6" type="noConversion"/>
  </si>
  <si>
    <t>B-1130122001</t>
  </si>
  <si>
    <t>進德</t>
  </si>
  <si>
    <t>CR-3012</t>
  </si>
  <si>
    <t>M3T18W38L285</t>
  </si>
  <si>
    <t>1E</t>
    <phoneticPr fontId="6" type="noConversion"/>
  </si>
  <si>
    <t>不可插件</t>
    <phoneticPr fontId="6" type="noConversion"/>
  </si>
  <si>
    <t>LKNC229055R22</t>
  </si>
  <si>
    <t>M6T55W130L130</t>
  </si>
  <si>
    <t>B-1121031004</t>
  </si>
  <si>
    <t>2</t>
    <phoneticPr fontId="6" type="noConversion"/>
  </si>
  <si>
    <t>20240122</t>
    <phoneticPr fontId="6" type="noConversion"/>
  </si>
  <si>
    <t>1E</t>
    <phoneticPr fontId="6" type="noConversion"/>
  </si>
  <si>
    <t>力旭</t>
  </si>
  <si>
    <t>B-1130122003</t>
  </si>
  <si>
    <t>016-BAA124F-0000</t>
  </si>
  <si>
    <t>M2T46W15L20</t>
  </si>
  <si>
    <t>1</t>
    <phoneticPr fontId="6" type="noConversion"/>
  </si>
  <si>
    <t>20240122</t>
    <phoneticPr fontId="6" type="noConversion"/>
  </si>
  <si>
    <t>1P</t>
    <phoneticPr fontId="6" type="noConversion"/>
  </si>
  <si>
    <t>B-1130122004</t>
    <phoneticPr fontId="6" type="noConversion"/>
  </si>
  <si>
    <t>016-BAA125F-0000</t>
  </si>
  <si>
    <t>1</t>
    <phoneticPr fontId="6" type="noConversion"/>
  </si>
  <si>
    <t>20240122</t>
    <phoneticPr fontId="6" type="noConversion"/>
  </si>
  <si>
    <t>20240123</t>
    <phoneticPr fontId="6" type="noConversion"/>
  </si>
  <si>
    <t>20240123</t>
    <phoneticPr fontId="6" type="noConversion"/>
  </si>
  <si>
    <t>20240123</t>
    <phoneticPr fontId="6" type="noConversion"/>
  </si>
  <si>
    <t>需首件(江博宸) / 附鑽石修砂盤*1 / 各容器勿混
1箱9只為正常件/1箱5只+一箱3只為管制件(首件拿3只那箱)</t>
    <phoneticPr fontId="6" type="noConversion"/>
  </si>
  <si>
    <t>JKGD08777R2</t>
  </si>
  <si>
    <t>M2*77T*32L</t>
  </si>
  <si>
    <t>B-1121204006</t>
  </si>
  <si>
    <t>3E</t>
    <phoneticPr fontId="6" type="noConversion"/>
  </si>
  <si>
    <t>現有跨齒厚下修30條(單邊15條)</t>
    <phoneticPr fontId="6" type="noConversion"/>
  </si>
  <si>
    <t>富凱欣業</t>
    <phoneticPr fontId="6" type="noConversion"/>
  </si>
  <si>
    <t>M5T35W14.5L15</t>
    <phoneticPr fontId="6" type="noConversion"/>
  </si>
  <si>
    <t>M5T35W15L30.5</t>
    <phoneticPr fontId="6" type="noConversion"/>
  </si>
  <si>
    <t>20240123</t>
    <phoneticPr fontId="6" type="noConversion"/>
  </si>
  <si>
    <t>本土</t>
    <phoneticPr fontId="6" type="noConversion"/>
  </si>
  <si>
    <t>B-1130122011</t>
    <phoneticPr fontId="6" type="noConversion"/>
  </si>
  <si>
    <t>SP-11210-UE2-0001</t>
    <phoneticPr fontId="6" type="noConversion"/>
  </si>
  <si>
    <t>M1.25T74W23</t>
    <phoneticPr fontId="6" type="noConversion"/>
  </si>
  <si>
    <t>177+8</t>
    <phoneticPr fontId="6" type="noConversion"/>
  </si>
  <si>
    <t>三園立</t>
    <phoneticPr fontId="6" type="noConversion"/>
  </si>
  <si>
    <t>B-1121115015</t>
    <phoneticPr fontId="6" type="noConversion"/>
  </si>
  <si>
    <t>20F12V56R8</t>
  </si>
  <si>
    <t>11</t>
    <phoneticPr fontId="6" type="noConversion"/>
  </si>
  <si>
    <t>20240123</t>
    <phoneticPr fontId="6" type="noConversion"/>
  </si>
  <si>
    <t>2P</t>
    <phoneticPr fontId="6" type="noConversion"/>
  </si>
  <si>
    <t>急件</t>
    <phoneticPr fontId="6" type="noConversion"/>
  </si>
  <si>
    <t>寶嘉誠</t>
    <phoneticPr fontId="6" type="noConversion"/>
  </si>
  <si>
    <t>B-1121214010</t>
    <phoneticPr fontId="6" type="noConversion"/>
  </si>
  <si>
    <t>6013002530</t>
  </si>
  <si>
    <t>M4T20W29L53</t>
  </si>
  <si>
    <t>5</t>
    <phoneticPr fontId="6" type="noConversion"/>
  </si>
  <si>
    <t>20240123</t>
    <phoneticPr fontId="6" type="noConversion"/>
  </si>
  <si>
    <t>1P</t>
    <phoneticPr fontId="6" type="noConversion"/>
  </si>
  <si>
    <t>原億昌</t>
    <phoneticPr fontId="6" type="noConversion"/>
  </si>
  <si>
    <t>B-1121213012</t>
    <phoneticPr fontId="6" type="noConversion"/>
  </si>
  <si>
    <t>LJG2-CNC-0329</t>
  </si>
  <si>
    <r>
      <t>齒輪</t>
    </r>
    <r>
      <rPr>
        <b/>
        <sz val="14"/>
        <color theme="1"/>
        <rFont val="Times New Roman"/>
        <family val="1"/>
      </rPr>
      <t>M2T32W24L32</t>
    </r>
  </si>
  <si>
    <t>209</t>
    <phoneticPr fontId="6" type="noConversion"/>
  </si>
  <si>
    <t>20240123</t>
    <phoneticPr fontId="6" type="noConversion"/>
  </si>
  <si>
    <t>4P</t>
    <phoneticPr fontId="6" type="noConversion"/>
  </si>
  <si>
    <t>特急件，1/24早上要出</t>
    <phoneticPr fontId="6" type="noConversion"/>
  </si>
  <si>
    <t>20240123</t>
    <phoneticPr fontId="6" type="noConversion"/>
  </si>
  <si>
    <t>20240124</t>
    <phoneticPr fontId="6" type="noConversion"/>
  </si>
  <si>
    <t>20240124</t>
    <phoneticPr fontId="6" type="noConversion"/>
  </si>
  <si>
    <t>20240124</t>
    <phoneticPr fontId="6" type="noConversion"/>
  </si>
  <si>
    <t>20240124</t>
    <phoneticPr fontId="6" type="noConversion"/>
  </si>
  <si>
    <t>20240124</t>
    <phoneticPr fontId="6" type="noConversion"/>
  </si>
  <si>
    <t>20240124</t>
    <phoneticPr fontId="6" type="noConversion"/>
  </si>
  <si>
    <t>NG*11</t>
    <phoneticPr fontId="6" type="noConversion"/>
  </si>
  <si>
    <t>20240124</t>
    <phoneticPr fontId="6" type="noConversion"/>
  </si>
  <si>
    <t>20240124</t>
    <phoneticPr fontId="6" type="noConversion"/>
  </si>
  <si>
    <t>優廉</t>
  </si>
  <si>
    <t>B-1121206017</t>
  </si>
  <si>
    <t>120G16</t>
  </si>
  <si>
    <t>M4.5T43W38L48</t>
  </si>
  <si>
    <t>3</t>
    <phoneticPr fontId="6" type="noConversion"/>
  </si>
  <si>
    <t>20240124</t>
    <phoneticPr fontId="6" type="noConversion"/>
  </si>
  <si>
    <t>1P</t>
    <phoneticPr fontId="6" type="noConversion"/>
  </si>
  <si>
    <t>JKGA1824R</t>
  </si>
  <si>
    <t>B-1121127006</t>
  </si>
  <si>
    <t>志方</t>
    <phoneticPr fontId="6" type="noConversion"/>
  </si>
  <si>
    <t>1E+3P</t>
    <phoneticPr fontId="6" type="noConversion"/>
  </si>
  <si>
    <t>M6T12W82.9L175.8</t>
    <phoneticPr fontId="6" type="noConversion"/>
  </si>
  <si>
    <t>興振生</t>
  </si>
  <si>
    <t>B-1130124001</t>
  </si>
  <si>
    <t>M3.5T26PA20</t>
  </si>
  <si>
    <t>M3.5T26W45.1L113.1</t>
  </si>
  <si>
    <t>1</t>
    <phoneticPr fontId="6" type="noConversion"/>
  </si>
  <si>
    <t>20240124</t>
    <phoneticPr fontId="6" type="noConversion"/>
  </si>
  <si>
    <t>1P</t>
    <phoneticPr fontId="6" type="noConversion"/>
  </si>
  <si>
    <t>B-1130124002</t>
    <phoneticPr fontId="6" type="noConversion"/>
  </si>
  <si>
    <t>1</t>
    <phoneticPr fontId="6" type="noConversion"/>
  </si>
  <si>
    <t>20240124</t>
    <phoneticPr fontId="6" type="noConversion"/>
  </si>
  <si>
    <t>1P</t>
    <phoneticPr fontId="6" type="noConversion"/>
  </si>
  <si>
    <t>玖成</t>
  </si>
  <si>
    <t>B-1130119010</t>
  </si>
  <si>
    <t>M2T26W30L30</t>
  </si>
  <si>
    <t>6</t>
    <phoneticPr fontId="6" type="noConversion"/>
  </si>
  <si>
    <t>文悧</t>
    <phoneticPr fontId="6" type="noConversion"/>
  </si>
  <si>
    <t>20240124</t>
    <phoneticPr fontId="6" type="noConversion"/>
  </si>
  <si>
    <t>1P</t>
    <phoneticPr fontId="6" type="noConversion"/>
  </si>
  <si>
    <t>志方</t>
    <phoneticPr fontId="6" type="noConversion"/>
  </si>
  <si>
    <t>B-1121214002</t>
    <phoneticPr fontId="6" type="noConversion"/>
  </si>
  <si>
    <r>
      <t>馬達齒輪</t>
    </r>
    <r>
      <rPr>
        <b/>
        <sz val="14"/>
        <rFont val="Times New Roman"/>
        <family val="1"/>
      </rPr>
      <t xml:space="preserve">M2.5*26T26W30L </t>
    </r>
    <r>
      <rPr>
        <b/>
        <sz val="14"/>
        <rFont val="細明體"/>
        <family val="3"/>
        <charset val="136"/>
      </rPr>
      <t>代料至齒研</t>
    </r>
  </si>
  <si>
    <t>6010002513</t>
    <phoneticPr fontId="6" type="noConversion"/>
  </si>
  <si>
    <t>30</t>
    <phoneticPr fontId="6" type="noConversion"/>
  </si>
  <si>
    <t>20240124</t>
    <phoneticPr fontId="6" type="noConversion"/>
  </si>
  <si>
    <t>1P</t>
    <phoneticPr fontId="6" type="noConversion"/>
  </si>
  <si>
    <t>B-1130124014</t>
  </si>
  <si>
    <t>旻成</t>
  </si>
  <si>
    <t>老闆插件</t>
    <phoneticPr fontId="6" type="noConversion"/>
  </si>
  <si>
    <t>M2.5T20W53.9L165.5</t>
    <phoneticPr fontId="6" type="noConversion"/>
  </si>
  <si>
    <t>紙箱</t>
    <phoneticPr fontId="6" type="noConversion"/>
  </si>
  <si>
    <t>2</t>
    <phoneticPr fontId="6" type="noConversion"/>
  </si>
  <si>
    <t>20240125</t>
    <phoneticPr fontId="6" type="noConversion"/>
  </si>
  <si>
    <t>3281-T040-0300-1</t>
  </si>
  <si>
    <t>B-1121219007</t>
  </si>
  <si>
    <t>錡夆</t>
  </si>
  <si>
    <t>M1T70W14L30</t>
  </si>
  <si>
    <t>20</t>
    <phoneticPr fontId="6" type="noConversion"/>
  </si>
  <si>
    <t>20240125</t>
    <phoneticPr fontId="6" type="noConversion"/>
  </si>
  <si>
    <t>1P</t>
    <phoneticPr fontId="6" type="noConversion"/>
  </si>
  <si>
    <t>B-1121229013</t>
  </si>
  <si>
    <t>文俐</t>
    <phoneticPr fontId="6" type="noConversion"/>
  </si>
  <si>
    <t>2P</t>
    <phoneticPr fontId="6" type="noConversion"/>
  </si>
  <si>
    <t>B-1121214001</t>
  </si>
  <si>
    <t>6010002504</t>
  </si>
  <si>
    <t>M2.5T52W19.5L24</t>
  </si>
  <si>
    <t>30</t>
    <phoneticPr fontId="6" type="noConversion"/>
  </si>
  <si>
    <t>20240125</t>
    <phoneticPr fontId="6" type="noConversion"/>
  </si>
  <si>
    <r>
      <t>M1.25*24T*21W*39</t>
    </r>
    <r>
      <rPr>
        <b/>
        <sz val="14"/>
        <color theme="1"/>
        <rFont val="細明體"/>
        <family val="3"/>
        <charset val="136"/>
      </rPr>
      <t>外</t>
    </r>
    <r>
      <rPr>
        <b/>
        <sz val="14"/>
        <color theme="1"/>
        <rFont val="Times New Roman"/>
        <family val="1"/>
      </rPr>
      <t>21</t>
    </r>
    <r>
      <rPr>
        <b/>
        <sz val="14"/>
        <color theme="1"/>
        <rFont val="細明體"/>
        <family val="3"/>
        <charset val="136"/>
      </rPr>
      <t>長</t>
    </r>
    <phoneticPr fontId="6" type="noConversion"/>
  </si>
  <si>
    <t>志方</t>
    <phoneticPr fontId="6" type="noConversion"/>
  </si>
  <si>
    <t>1P</t>
    <phoneticPr fontId="6" type="noConversion"/>
  </si>
  <si>
    <t>20240125</t>
    <phoneticPr fontId="6" type="noConversion"/>
  </si>
  <si>
    <t>急件</t>
    <phoneticPr fontId="6" type="noConversion"/>
  </si>
  <si>
    <t>204</t>
    <phoneticPr fontId="6" type="noConversion"/>
  </si>
  <si>
    <t>1E</t>
    <phoneticPr fontId="6" type="noConversion"/>
  </si>
  <si>
    <t>20240126</t>
    <phoneticPr fontId="6" type="noConversion"/>
  </si>
  <si>
    <t>登裕</t>
    <phoneticPr fontId="6" type="noConversion"/>
  </si>
  <si>
    <t>B-1130125017</t>
    <phoneticPr fontId="6" type="noConversion"/>
  </si>
  <si>
    <t>SZ100HC1110</t>
  </si>
  <si>
    <t>17</t>
    <phoneticPr fontId="6" type="noConversion"/>
  </si>
  <si>
    <t>20240126</t>
    <phoneticPr fontId="6" type="noConversion"/>
  </si>
  <si>
    <t>1T</t>
    <phoneticPr fontId="6" type="noConversion"/>
  </si>
  <si>
    <t>B-1130125013</t>
    <phoneticPr fontId="6" type="noConversion"/>
  </si>
  <si>
    <t>ZZ019039</t>
    <phoneticPr fontId="6" type="noConversion"/>
  </si>
  <si>
    <t>ZZ019016</t>
  </si>
  <si>
    <t>B-1130125011</t>
    <phoneticPr fontId="6" type="noConversion"/>
  </si>
  <si>
    <t>M4*20T*W40</t>
    <phoneticPr fontId="6" type="noConversion"/>
  </si>
  <si>
    <t>M1T28W8L14.5</t>
    <phoneticPr fontId="6" type="noConversion"/>
  </si>
  <si>
    <t>M1T30W6L10</t>
    <phoneticPr fontId="6" type="noConversion"/>
  </si>
  <si>
    <t>1</t>
    <phoneticPr fontId="6" type="noConversion"/>
  </si>
  <si>
    <t>4</t>
    <phoneticPr fontId="6" type="noConversion"/>
  </si>
  <si>
    <t>MKYM14001623</t>
  </si>
  <si>
    <t>M2.25T16W36L384.3</t>
  </si>
  <si>
    <t>B-1130126012</t>
  </si>
  <si>
    <t>2</t>
    <phoneticPr fontId="6" type="noConversion"/>
  </si>
  <si>
    <t>20240126</t>
    <phoneticPr fontId="6" type="noConversion"/>
  </si>
  <si>
    <t>1P</t>
    <phoneticPr fontId="6" type="noConversion"/>
  </si>
  <si>
    <t>31</t>
    <phoneticPr fontId="6" type="noConversion"/>
  </si>
  <si>
    <t>文俐</t>
    <phoneticPr fontId="6" type="noConversion"/>
  </si>
  <si>
    <t>37</t>
    <phoneticPr fontId="6" type="noConversion"/>
  </si>
  <si>
    <t>文俐</t>
    <phoneticPr fontId="6" type="noConversion"/>
  </si>
  <si>
    <t>20240126</t>
    <phoneticPr fontId="6" type="noConversion"/>
  </si>
  <si>
    <t>1P</t>
    <phoneticPr fontId="6" type="noConversion"/>
  </si>
  <si>
    <t>B-1130126002</t>
    <phoneticPr fontId="6" type="noConversion"/>
  </si>
  <si>
    <t>RBA2000018</t>
  </si>
  <si>
    <t>M1.75T48W13.5L21.5</t>
  </si>
  <si>
    <t>7</t>
    <phoneticPr fontId="6" type="noConversion"/>
  </si>
  <si>
    <t>20240126</t>
    <phoneticPr fontId="6" type="noConversion"/>
  </si>
  <si>
    <t>1P</t>
    <phoneticPr fontId="6" type="noConversion"/>
  </si>
  <si>
    <t>B-1130126001</t>
    <phoneticPr fontId="6" type="noConversion"/>
  </si>
  <si>
    <t>2000021</t>
  </si>
  <si>
    <t>M1.75T16W24.5L30</t>
  </si>
  <si>
    <t>5</t>
    <phoneticPr fontId="6" type="noConversion"/>
  </si>
  <si>
    <t>1</t>
    <phoneticPr fontId="6" type="noConversion"/>
  </si>
  <si>
    <t>8</t>
    <phoneticPr fontId="6" type="noConversion"/>
  </si>
  <si>
    <t>9</t>
    <phoneticPr fontId="6" type="noConversion"/>
  </si>
  <si>
    <t>20240126</t>
    <phoneticPr fontId="6" type="noConversion"/>
  </si>
  <si>
    <t>20240126</t>
    <phoneticPr fontId="6" type="noConversion"/>
  </si>
  <si>
    <t>20240125</t>
  </si>
  <si>
    <t>急件 ng*1</t>
    <phoneticPr fontId="6" type="noConversion"/>
  </si>
  <si>
    <t>ng*10</t>
    <phoneticPr fontId="6" type="noConversion"/>
  </si>
  <si>
    <t>ng*1</t>
    <phoneticPr fontId="6" type="noConversion"/>
  </si>
  <si>
    <t>ng*3</t>
    <phoneticPr fontId="6" type="noConversion"/>
  </si>
  <si>
    <t>20240126</t>
    <phoneticPr fontId="6" type="noConversion"/>
  </si>
  <si>
    <t>20240126</t>
    <phoneticPr fontId="6" type="noConversion"/>
  </si>
  <si>
    <t>20240127</t>
    <phoneticPr fontId="6" type="noConversion"/>
  </si>
  <si>
    <t>20240127</t>
    <phoneticPr fontId="6" type="noConversion"/>
  </si>
  <si>
    <t>20240127</t>
    <phoneticPr fontId="6" type="noConversion"/>
  </si>
  <si>
    <t>20240127</t>
    <phoneticPr fontId="6" type="noConversion"/>
  </si>
  <si>
    <t>2-PD-01-06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</si>
</sst>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_);[Red]\(0\)"/>
    <numFmt numFmtId="177" formatCode="_(* #,##0.00_);_(* \(#,##0.00\);_(* &quot;-&quot;??_);_(@_)"/>
    <numFmt numFmtId="178" formatCode="0_ ;[Red]\-0\ "/>
    <numFmt numFmtId="179" formatCode="yyyy/m/d\ h:mm;@"/>
    <numFmt numFmtId="180" formatCode="yyyymmdd"/>
    <numFmt numFmtId="181" formatCode="m/d;@"/>
    <numFmt numFmtId="182" formatCode="m&quot;月&quot;d&quot;日&quot;"/>
  </numFmts>
  <fonts count="65">
    <font>
      <sz val="12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sz val="12"/>
      <name val="新細明體"/>
      <family val="1"/>
      <charset val="136"/>
    </font>
    <font>
      <sz val="12"/>
      <color theme="1"/>
      <name val="新細明體"/>
      <family val="2"/>
      <scheme val="minor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0"/>
      <color indexed="8"/>
      <name val="ARIAL"/>
      <family val="2"/>
    </font>
    <font>
      <sz val="12"/>
      <color indexed="59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1"/>
      <name val="新細明體"/>
      <family val="1"/>
      <charset val="136"/>
    </font>
    <font>
      <sz val="12"/>
      <color indexed="51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b/>
      <sz val="15"/>
      <color indexed="61"/>
      <name val="新細明體"/>
      <family val="1"/>
      <charset val="136"/>
    </font>
    <font>
      <b/>
      <sz val="13"/>
      <color indexed="61"/>
      <name val="新細明體"/>
      <family val="1"/>
      <charset val="136"/>
    </font>
    <font>
      <b/>
      <sz val="11"/>
      <color indexed="61"/>
      <name val="新細明體"/>
      <family val="1"/>
      <charset val="136"/>
    </font>
    <font>
      <b/>
      <sz val="18"/>
      <color indexed="61"/>
      <name val="新細明體"/>
      <family val="1"/>
      <charset val="136"/>
    </font>
    <font>
      <sz val="12"/>
      <color indexed="61"/>
      <name val="新細明體"/>
      <family val="1"/>
      <charset val="136"/>
    </font>
    <font>
      <b/>
      <sz val="12"/>
      <color indexed="62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11"/>
      <color theme="1"/>
      <name val="微軟正黑體"/>
      <family val="2"/>
      <charset val="136"/>
    </font>
    <font>
      <sz val="11"/>
      <name val="微軟正黑體"/>
      <family val="2"/>
      <charset val="136"/>
    </font>
    <font>
      <sz val="11"/>
      <color rgb="FFFF0000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b/>
      <sz val="16"/>
      <color rgb="FFFF0000"/>
      <name val="微軟正黑體"/>
      <family val="2"/>
      <charset val="136"/>
    </font>
    <font>
      <b/>
      <sz val="16"/>
      <color theme="0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6"/>
      <color rgb="FFFF0000"/>
      <name val="微軟正黑體"/>
      <family val="2"/>
      <charset val="136"/>
    </font>
    <font>
      <b/>
      <sz val="20"/>
      <name val="Times New Roman"/>
      <family val="1"/>
    </font>
    <font>
      <b/>
      <sz val="30"/>
      <color rgb="FFFF0000"/>
      <name val="Times New Roman"/>
      <family val="1"/>
    </font>
    <font>
      <b/>
      <sz val="26"/>
      <color rgb="FFFF0000"/>
      <name val="Times New Roman"/>
      <family val="1"/>
    </font>
    <font>
      <b/>
      <sz val="12"/>
      <color theme="1"/>
      <name val="Times New Roman"/>
      <family val="1"/>
    </font>
    <font>
      <b/>
      <sz val="18"/>
      <name val="Times New Roman"/>
      <family val="1"/>
    </font>
    <font>
      <b/>
      <sz val="18"/>
      <color rgb="FFFF0000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b/>
      <sz val="16"/>
      <color rgb="FFFF0000"/>
      <name val="Times New Roman"/>
      <family val="1"/>
    </font>
    <font>
      <b/>
      <sz val="16"/>
      <name val="Times New Roman"/>
      <family val="1"/>
    </font>
    <font>
      <b/>
      <sz val="14"/>
      <color theme="1"/>
      <name val="Times New Roman"/>
      <family val="1"/>
    </font>
    <font>
      <b/>
      <sz val="16"/>
      <color theme="1"/>
      <name val="Times New Roman"/>
      <family val="1"/>
    </font>
    <font>
      <b/>
      <sz val="14"/>
      <color theme="1"/>
      <name val="微軟正黑體"/>
      <family val="2"/>
      <charset val="136"/>
    </font>
    <font>
      <b/>
      <sz val="14"/>
      <name val="細明體"/>
      <family val="3"/>
      <charset val="136"/>
    </font>
    <font>
      <b/>
      <sz val="14"/>
      <color rgb="FFFF0000"/>
      <name val="Times New Roman"/>
      <family val="1"/>
    </font>
    <font>
      <b/>
      <sz val="14"/>
      <color rgb="FFFF0000"/>
      <name val="微軟正黑體"/>
      <family val="2"/>
      <charset val="136"/>
    </font>
    <font>
      <b/>
      <sz val="14"/>
      <color theme="1"/>
      <name val="細明體"/>
      <family val="3"/>
      <charset val="136"/>
    </font>
    <font>
      <b/>
      <sz val="14"/>
      <color rgb="FFFF0000"/>
      <name val="細明體"/>
      <family val="3"/>
      <charset val="136"/>
    </font>
    <font>
      <b/>
      <sz val="30"/>
      <name val="Times New Roman"/>
      <family val="1"/>
    </font>
    <font>
      <b/>
      <sz val="26"/>
      <name val="Times New Roman"/>
      <family val="1"/>
    </font>
    <font>
      <b/>
      <sz val="26"/>
      <name val="微軟正黑體"/>
      <family val="2"/>
      <charset val="136"/>
    </font>
    <font>
      <b/>
      <sz val="12"/>
      <name val="微軟正黑體"/>
      <family val="2"/>
      <charset val="136"/>
    </font>
    <font>
      <sz val="12"/>
      <name val="新細明體"/>
      <family val="2"/>
      <scheme val="minor"/>
    </font>
    <font>
      <sz val="14"/>
      <name val="新細明體"/>
      <family val="2"/>
      <scheme val="minor"/>
    </font>
    <font>
      <b/>
      <sz val="12"/>
      <color rgb="FFFF0000"/>
      <name val="Times New Roman"/>
      <family val="1"/>
    </font>
    <font>
      <b/>
      <sz val="12"/>
      <name val="細明體"/>
      <family val="3"/>
      <charset val="136"/>
    </font>
    <font>
      <b/>
      <sz val="16"/>
      <name val="細明體"/>
      <family val="3"/>
      <charset val="136"/>
    </font>
    <font>
      <b/>
      <sz val="16"/>
      <color rgb="FFFF0000"/>
      <name val="細明體"/>
      <family val="3"/>
      <charset val="136"/>
    </font>
    <font>
      <sz val="14"/>
      <name val="Times New Roman"/>
      <family val="1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48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10"/>
      </patternFill>
    </fill>
    <fill>
      <patternFill patternType="solid">
        <fgColor indexed="56"/>
      </patternFill>
    </fill>
    <fill>
      <patternFill patternType="solid">
        <fgColor indexed="53"/>
      </patternFill>
    </fill>
    <fill>
      <patternFill patternType="solid">
        <fgColor indexed="52"/>
      </patternFill>
    </fill>
    <fill>
      <patternFill patternType="solid">
        <fgColor indexed="63"/>
      </patternFill>
    </fill>
    <fill>
      <patternFill patternType="solid">
        <fgColor indexed="45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499984740745262"/>
        <bgColor indexed="64"/>
      </patternFill>
    </fill>
  </fills>
  <borders count="360">
    <border>
      <left/>
      <right/>
      <top/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8"/>
      </bottom>
      <diagonal/>
    </border>
    <border>
      <left style="thin">
        <color indexed="62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 style="double">
        <color indexed="62"/>
      </left>
      <right style="double">
        <color indexed="62"/>
      </right>
      <top style="double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2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17">
    <xf numFmtId="0" fontId="0" fillId="0" borderId="0"/>
    <xf numFmtId="0" fontId="5" fillId="0" borderId="0">
      <alignment vertical="center"/>
    </xf>
    <xf numFmtId="0" fontId="7" fillId="0" borderId="0">
      <alignment vertical="center"/>
    </xf>
    <xf numFmtId="0" fontId="9" fillId="3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1" fillId="0" borderId="0">
      <alignment vertical="top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1" fillId="0" borderId="0">
      <alignment vertical="top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1" fillId="0" borderId="0">
      <alignment vertical="top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1" fillId="0" borderId="0">
      <alignment vertical="top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1" fillId="0" borderId="0">
      <alignment vertical="top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1" fillId="0" borderId="0">
      <alignment vertical="top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1" fillId="0" borderId="0">
      <alignment vertical="top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1" fillId="0" borderId="0">
      <alignment vertical="top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1" fillId="0" borderId="0">
      <alignment vertical="top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1" fillId="0" borderId="0">
      <alignment vertical="top"/>
    </xf>
    <xf numFmtId="0" fontId="4" fillId="0" borderId="0">
      <alignment vertical="center"/>
    </xf>
    <xf numFmtId="0" fontId="8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1" fillId="0" borderId="0">
      <alignment vertical="top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1" fillId="0" borderId="0">
      <alignment vertical="top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1" fillId="0" borderId="0">
      <alignment vertical="top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1" fillId="0" borderId="0">
      <alignment vertical="top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1" fillId="0" borderId="0">
      <alignment vertical="top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1" fillId="0" borderId="0">
      <alignment vertical="top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1" fillId="0" borderId="0">
      <alignment vertical="top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1" fillId="0" borderId="0">
      <alignment vertical="top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1" fillId="0" borderId="0">
      <alignment vertical="top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1" fillId="0" borderId="0">
      <alignment vertical="top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1" fillId="0" borderId="0">
      <alignment vertical="top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1" fillId="0" borderId="0">
      <alignment vertical="top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1" fillId="0" borderId="0">
      <alignment vertical="top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1" fillId="0" borderId="0">
      <alignment vertical="top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1" fillId="0" borderId="0">
      <alignment vertical="top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1" fillId="0" borderId="0">
      <alignment vertical="top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1" fillId="0" borderId="0">
      <alignment vertical="top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1" fillId="0" borderId="0">
      <alignment vertical="top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1" fillId="0" borderId="0">
      <alignment vertical="top"/>
    </xf>
    <xf numFmtId="0" fontId="8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8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1" fillId="0" borderId="0">
      <alignment vertical="top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1" fillId="0" borderId="0">
      <alignment vertical="top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1" fillId="0" borderId="0">
      <alignment vertical="top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1" fillId="0" borderId="0">
      <alignment vertical="top"/>
    </xf>
    <xf numFmtId="177" fontId="8" fillId="0" borderId="0" applyFont="0" applyFill="0" applyBorder="0" applyAlignment="0" applyProtection="0">
      <alignment vertical="center"/>
    </xf>
    <xf numFmtId="177" fontId="8" fillId="0" borderId="0" applyFont="0" applyFill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3" fillId="0" borderId="1" applyNumberFormat="0" applyFill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5" fillId="12" borderId="2" applyNumberFormat="0" applyAlignment="0" applyProtection="0">
      <alignment vertical="center"/>
    </xf>
    <xf numFmtId="0" fontId="16" fillId="0" borderId="3" applyNumberFormat="0" applyFill="0" applyAlignment="0" applyProtection="0">
      <alignment vertical="center"/>
    </xf>
    <xf numFmtId="0" fontId="7" fillId="5" borderId="4" applyNumberFormat="0" applyFon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8" fillId="0" borderId="5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8" borderId="2" applyNumberFormat="0" applyAlignment="0" applyProtection="0">
      <alignment vertical="center"/>
    </xf>
    <xf numFmtId="0" fontId="23" fillId="12" borderId="8" applyNumberFormat="0" applyAlignment="0" applyProtection="0">
      <alignment vertical="center"/>
    </xf>
    <xf numFmtId="0" fontId="24" fillId="17" borderId="9" applyNumberFormat="0" applyAlignment="0" applyProtection="0">
      <alignment vertical="center"/>
    </xf>
    <xf numFmtId="0" fontId="25" fillId="18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" fillId="0" borderId="38" applyNumberFormat="0" applyFill="0" applyAlignment="0" applyProtection="0">
      <alignment vertical="center"/>
    </xf>
    <xf numFmtId="0" fontId="15" fillId="12" borderId="39" applyNumberFormat="0" applyAlignment="0" applyProtection="0">
      <alignment vertical="center"/>
    </xf>
    <xf numFmtId="0" fontId="7" fillId="5" borderId="40" applyNumberFormat="0" applyFont="0" applyAlignment="0" applyProtection="0">
      <alignment vertical="center"/>
    </xf>
    <xf numFmtId="0" fontId="22" fillId="8" borderId="39" applyNumberFormat="0" applyAlignment="0" applyProtection="0">
      <alignment vertical="center"/>
    </xf>
    <xf numFmtId="0" fontId="23" fillId="12" borderId="41" applyNumberFormat="0" applyAlignment="0" applyProtection="0">
      <alignment vertical="center"/>
    </xf>
  </cellStyleXfs>
  <cellXfs count="1423">
    <xf numFmtId="0" fontId="0" fillId="0" borderId="0" xfId="0"/>
    <xf numFmtId="0" fontId="27" fillId="0" borderId="13" xfId="0" applyFont="1" applyFill="1" applyBorder="1" applyAlignment="1">
      <alignment horizontal="left" vertical="center"/>
    </xf>
    <xf numFmtId="0" fontId="28" fillId="19" borderId="11" xfId="0" applyFont="1" applyFill="1" applyBorder="1" applyAlignment="1">
      <alignment horizontal="left" vertical="center" shrinkToFit="1"/>
    </xf>
    <xf numFmtId="0" fontId="27" fillId="20" borderId="11" xfId="0" applyFont="1" applyFill="1" applyBorder="1" applyAlignment="1">
      <alignment horizontal="left" vertical="center" shrinkToFit="1"/>
    </xf>
    <xf numFmtId="0" fontId="27" fillId="2" borderId="11" xfId="0" applyFont="1" applyFill="1" applyBorder="1" applyAlignment="1">
      <alignment horizontal="left" vertical="center" shrinkToFit="1"/>
    </xf>
    <xf numFmtId="176" fontId="27" fillId="22" borderId="10" xfId="0" applyNumberFormat="1" applyFont="1" applyFill="1" applyBorder="1" applyAlignment="1">
      <alignment horizontal="left" vertical="center" shrinkToFit="1"/>
    </xf>
    <xf numFmtId="0" fontId="27" fillId="0" borderId="0" xfId="0" applyFont="1" applyFill="1" applyAlignment="1">
      <alignment horizontal="left" vertical="center"/>
    </xf>
    <xf numFmtId="176" fontId="28" fillId="0" borderId="16" xfId="0" applyNumberFormat="1" applyFont="1" applyFill="1" applyBorder="1" applyAlignment="1">
      <alignment horizontal="left" vertical="center" shrinkToFit="1"/>
    </xf>
    <xf numFmtId="0" fontId="27" fillId="0" borderId="0" xfId="0" applyFont="1" applyAlignment="1">
      <alignment horizontal="left" vertical="center"/>
    </xf>
    <xf numFmtId="176" fontId="27" fillId="19" borderId="16" xfId="0" applyNumberFormat="1" applyFont="1" applyFill="1" applyBorder="1" applyAlignment="1">
      <alignment horizontal="left" vertical="center" shrinkToFit="1"/>
    </xf>
    <xf numFmtId="0" fontId="27" fillId="0" borderId="22" xfId="0" applyFont="1" applyFill="1" applyBorder="1" applyAlignment="1">
      <alignment horizontal="left" vertical="center" shrinkToFit="1"/>
    </xf>
    <xf numFmtId="0" fontId="27" fillId="19" borderId="11" xfId="0" applyFont="1" applyFill="1" applyBorder="1" applyAlignment="1">
      <alignment horizontal="left" vertical="center" shrinkToFit="1"/>
    </xf>
    <xf numFmtId="0" fontId="27" fillId="0" borderId="13" xfId="0" applyNumberFormat="1" applyFont="1" applyFill="1" applyBorder="1" applyAlignment="1">
      <alignment horizontal="left" vertical="center" shrinkToFit="1"/>
    </xf>
    <xf numFmtId="0" fontId="28" fillId="0" borderId="13" xfId="0" applyFont="1" applyFill="1" applyBorder="1" applyAlignment="1">
      <alignment horizontal="left" vertical="center" shrinkToFit="1"/>
    </xf>
    <xf numFmtId="0" fontId="27" fillId="0" borderId="13" xfId="0" applyFont="1" applyFill="1" applyBorder="1" applyAlignment="1">
      <alignment horizontal="left" vertical="center" shrinkToFit="1"/>
    </xf>
    <xf numFmtId="0" fontId="27" fillId="19" borderId="13" xfId="0" applyFont="1" applyFill="1" applyBorder="1" applyAlignment="1">
      <alignment horizontal="left" vertical="center" shrinkToFit="1"/>
    </xf>
    <xf numFmtId="176" fontId="27" fillId="0" borderId="21" xfId="0" applyNumberFormat="1" applyFont="1" applyFill="1" applyBorder="1" applyAlignment="1">
      <alignment horizontal="left" vertical="center" shrinkToFit="1"/>
    </xf>
    <xf numFmtId="0" fontId="28" fillId="0" borderId="0" xfId="0" applyFont="1" applyFill="1" applyAlignment="1">
      <alignment horizontal="left" vertical="center" shrinkToFit="1"/>
    </xf>
    <xf numFmtId="176" fontId="27" fillId="0" borderId="14" xfId="0" applyNumberFormat="1" applyFont="1" applyFill="1" applyBorder="1" applyAlignment="1">
      <alignment horizontal="left" vertical="center" shrinkToFit="1"/>
    </xf>
    <xf numFmtId="0" fontId="27" fillId="0" borderId="0" xfId="0" applyFont="1" applyAlignment="1">
      <alignment horizontal="left"/>
    </xf>
    <xf numFmtId="0" fontId="27" fillId="0" borderId="11" xfId="0" applyNumberFormat="1" applyFont="1" applyFill="1" applyBorder="1" applyAlignment="1">
      <alignment horizontal="left" vertical="center" shrinkToFit="1"/>
    </xf>
    <xf numFmtId="0" fontId="28" fillId="0" borderId="11" xfId="0" applyFont="1" applyFill="1" applyBorder="1" applyAlignment="1">
      <alignment horizontal="left" vertical="center" shrinkToFit="1"/>
    </xf>
    <xf numFmtId="0" fontId="27" fillId="0" borderId="11" xfId="0" applyFont="1" applyFill="1" applyBorder="1" applyAlignment="1">
      <alignment horizontal="left" vertical="center" shrinkToFit="1"/>
    </xf>
    <xf numFmtId="0" fontId="27" fillId="0" borderId="11" xfId="0" applyFont="1" applyFill="1" applyBorder="1" applyAlignment="1">
      <alignment horizontal="left" vertical="center"/>
    </xf>
    <xf numFmtId="178" fontId="28" fillId="0" borderId="11" xfId="0" applyNumberFormat="1" applyFont="1" applyFill="1" applyBorder="1" applyAlignment="1">
      <alignment horizontal="left" vertical="center" shrinkToFit="1"/>
    </xf>
    <xf numFmtId="0" fontId="28" fillId="0" borderId="11" xfId="0" quotePrefix="1" applyFont="1" applyFill="1" applyBorder="1" applyAlignment="1">
      <alignment horizontal="left" vertical="center" shrinkToFit="1"/>
    </xf>
    <xf numFmtId="0" fontId="27" fillId="0" borderId="0" xfId="0" applyFont="1" applyAlignment="1">
      <alignment horizontal="left" vertical="center" shrinkToFit="1"/>
    </xf>
    <xf numFmtId="178" fontId="28" fillId="2" borderId="11" xfId="0" applyNumberFormat="1" applyFont="1" applyFill="1" applyBorder="1" applyAlignment="1">
      <alignment horizontal="left" vertical="center" shrinkToFit="1"/>
    </xf>
    <xf numFmtId="0" fontId="28" fillId="2" borderId="11" xfId="0" applyFont="1" applyFill="1" applyBorder="1" applyAlignment="1">
      <alignment horizontal="left" vertical="center" shrinkToFit="1"/>
    </xf>
    <xf numFmtId="0" fontId="28" fillId="2" borderId="11" xfId="0" quotePrefix="1" applyFont="1" applyFill="1" applyBorder="1" applyAlignment="1">
      <alignment horizontal="left" vertical="center" shrinkToFit="1"/>
    </xf>
    <xf numFmtId="0" fontId="28" fillId="2" borderId="12" xfId="0" applyFont="1" applyFill="1" applyBorder="1" applyAlignment="1">
      <alignment horizontal="left" vertical="center" shrinkToFit="1"/>
    </xf>
    <xf numFmtId="0" fontId="27" fillId="2" borderId="11" xfId="0" applyFont="1" applyFill="1" applyBorder="1" applyAlignment="1">
      <alignment horizontal="left" vertical="center"/>
    </xf>
    <xf numFmtId="0" fontId="27" fillId="0" borderId="11" xfId="0" applyFont="1" applyBorder="1" applyAlignment="1">
      <alignment horizontal="left" vertical="center" shrinkToFit="1"/>
    </xf>
    <xf numFmtId="176" fontId="29" fillId="0" borderId="11" xfId="0" applyNumberFormat="1" applyFont="1" applyFill="1" applyBorder="1" applyAlignment="1">
      <alignment horizontal="left" vertical="center" shrinkToFit="1"/>
    </xf>
    <xf numFmtId="178" fontId="28" fillId="0" borderId="13" xfId="0" applyNumberFormat="1" applyFont="1" applyFill="1" applyBorder="1" applyAlignment="1">
      <alignment horizontal="left" vertical="center" shrinkToFit="1"/>
    </xf>
    <xf numFmtId="0" fontId="28" fillId="0" borderId="13" xfId="0" applyFont="1" applyFill="1" applyBorder="1" applyAlignment="1">
      <alignment horizontal="left" vertical="center"/>
    </xf>
    <xf numFmtId="0" fontId="28" fillId="23" borderId="13" xfId="0" applyFont="1" applyFill="1" applyBorder="1" applyAlignment="1">
      <alignment horizontal="left" vertical="center"/>
    </xf>
    <xf numFmtId="0" fontId="28" fillId="19" borderId="13" xfId="0" applyFont="1" applyFill="1" applyBorder="1" applyAlignment="1">
      <alignment horizontal="left" vertical="center" shrinkToFit="1"/>
    </xf>
    <xf numFmtId="0" fontId="28" fillId="0" borderId="20" xfId="0" applyFont="1" applyFill="1" applyBorder="1" applyAlignment="1">
      <alignment horizontal="left" vertical="center" shrinkToFit="1"/>
    </xf>
    <xf numFmtId="0" fontId="28" fillId="0" borderId="20" xfId="0" quotePrefix="1" applyFont="1" applyFill="1" applyBorder="1" applyAlignment="1">
      <alignment horizontal="left" vertical="center" shrinkToFit="1"/>
    </xf>
    <xf numFmtId="0" fontId="27" fillId="2" borderId="20" xfId="0" applyFont="1" applyFill="1" applyBorder="1" applyAlignment="1">
      <alignment horizontal="left" vertical="center" shrinkToFit="1"/>
    </xf>
    <xf numFmtId="0" fontId="27" fillId="19" borderId="20" xfId="0" applyFont="1" applyFill="1" applyBorder="1" applyAlignment="1">
      <alignment horizontal="left" vertical="center" shrinkToFit="1"/>
    </xf>
    <xf numFmtId="176" fontId="29" fillId="0" borderId="20" xfId="0" applyNumberFormat="1" applyFont="1" applyFill="1" applyBorder="1" applyAlignment="1">
      <alignment horizontal="left" vertical="center" shrinkToFit="1"/>
    </xf>
    <xf numFmtId="176" fontId="27" fillId="0" borderId="20" xfId="0" applyNumberFormat="1" applyFont="1" applyFill="1" applyBorder="1" applyAlignment="1">
      <alignment horizontal="left" vertical="center" shrinkToFit="1"/>
    </xf>
    <xf numFmtId="0" fontId="27" fillId="0" borderId="0" xfId="0" applyFont="1" applyFill="1" applyBorder="1" applyAlignment="1">
      <alignment horizontal="left" vertical="center" shrinkToFit="1"/>
    </xf>
    <xf numFmtId="176" fontId="28" fillId="0" borderId="13" xfId="0" applyNumberFormat="1" applyFont="1" applyFill="1" applyBorder="1" applyAlignment="1">
      <alignment horizontal="left" vertical="center" shrinkToFit="1"/>
    </xf>
    <xf numFmtId="49" fontId="28" fillId="19" borderId="11" xfId="0" applyNumberFormat="1" applyFont="1" applyFill="1" applyBorder="1" applyAlignment="1">
      <alignment horizontal="left" vertical="center" shrinkToFit="1"/>
    </xf>
    <xf numFmtId="49" fontId="28" fillId="0" borderId="13" xfId="0" applyNumberFormat="1" applyFont="1" applyFill="1" applyBorder="1" applyAlignment="1">
      <alignment horizontal="left" vertical="center" shrinkToFit="1"/>
    </xf>
    <xf numFmtId="49" fontId="28" fillId="0" borderId="11" xfId="0" applyNumberFormat="1" applyFont="1" applyFill="1" applyBorder="1" applyAlignment="1">
      <alignment horizontal="left" vertical="center" shrinkToFit="1"/>
    </xf>
    <xf numFmtId="49" fontId="29" fillId="0" borderId="11" xfId="0" applyNumberFormat="1" applyFont="1" applyFill="1" applyBorder="1" applyAlignment="1">
      <alignment horizontal="left" shrinkToFit="1"/>
    </xf>
    <xf numFmtId="49" fontId="27" fillId="0" borderId="11" xfId="0" applyNumberFormat="1" applyFont="1" applyFill="1" applyBorder="1" applyAlignment="1">
      <alignment horizontal="left" vertical="center" shrinkToFit="1"/>
    </xf>
    <xf numFmtId="49" fontId="27" fillId="0" borderId="13" xfId="0" applyNumberFormat="1" applyFont="1" applyFill="1" applyBorder="1" applyAlignment="1">
      <alignment horizontal="left" vertical="center" shrinkToFit="1"/>
    </xf>
    <xf numFmtId="0" fontId="27" fillId="19" borderId="0" xfId="0" applyFont="1" applyFill="1" applyAlignment="1">
      <alignment horizontal="left"/>
    </xf>
    <xf numFmtId="0" fontId="0" fillId="24" borderId="0" xfId="0" applyFill="1" applyAlignment="1">
      <alignment horizontal="center"/>
    </xf>
    <xf numFmtId="0" fontId="27" fillId="0" borderId="22" xfId="0" applyFont="1" applyFill="1" applyBorder="1" applyAlignment="1">
      <alignment horizontal="left" vertical="center" shrinkToFit="1"/>
    </xf>
    <xf numFmtId="49" fontId="27" fillId="0" borderId="22" xfId="0" applyNumberFormat="1" applyFont="1" applyFill="1" applyBorder="1" applyAlignment="1">
      <alignment horizontal="left" vertical="center" shrinkToFit="1"/>
    </xf>
    <xf numFmtId="0" fontId="28" fillId="0" borderId="22" xfId="0" quotePrefix="1" applyFont="1" applyFill="1" applyBorder="1" applyAlignment="1">
      <alignment horizontal="left" vertical="center" shrinkToFit="1"/>
    </xf>
    <xf numFmtId="0" fontId="27" fillId="0" borderId="22" xfId="0" applyFont="1" applyFill="1" applyBorder="1" applyAlignment="1">
      <alignment horizontal="left" vertical="center"/>
    </xf>
    <xf numFmtId="0" fontId="27" fillId="19" borderId="22" xfId="0" applyFont="1" applyFill="1" applyBorder="1" applyAlignment="1">
      <alignment horizontal="left" vertical="center" shrinkToFit="1"/>
    </xf>
    <xf numFmtId="0" fontId="28" fillId="2" borderId="22" xfId="0" applyFont="1" applyFill="1" applyBorder="1" applyAlignment="1">
      <alignment horizontal="left" vertical="center" shrinkToFit="1"/>
    </xf>
    <xf numFmtId="176" fontId="27" fillId="0" borderId="22" xfId="0" applyNumberFormat="1" applyFont="1" applyFill="1" applyBorder="1" applyAlignment="1">
      <alignment horizontal="left" vertical="center" shrinkToFit="1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81" fontId="0" fillId="24" borderId="0" xfId="0" applyNumberFormat="1" applyFill="1" applyAlignment="1">
      <alignment horizontal="center"/>
    </xf>
    <xf numFmtId="181" fontId="0" fillId="0" borderId="0" xfId="0" applyNumberFormat="1" applyAlignment="1">
      <alignment horizontal="center"/>
    </xf>
    <xf numFmtId="49" fontId="0" fillId="24" borderId="0" xfId="0" applyNumberFormat="1" applyFill="1" applyAlignment="1">
      <alignment horizontal="center"/>
    </xf>
    <xf numFmtId="49" fontId="0" fillId="0" borderId="0" xfId="0" applyNumberFormat="1" applyAlignment="1">
      <alignment horizontal="left"/>
    </xf>
    <xf numFmtId="0" fontId="28" fillId="0" borderId="11" xfId="0" applyFont="1" applyFill="1" applyBorder="1" applyAlignment="1">
      <alignment horizontal="left" vertical="center" shrinkToFit="1"/>
    </xf>
    <xf numFmtId="0" fontId="27" fillId="0" borderId="22" xfId="0" applyFont="1" applyFill="1" applyBorder="1" applyAlignment="1">
      <alignment horizontal="left" vertical="center" shrinkToFit="1"/>
    </xf>
    <xf numFmtId="0" fontId="27" fillId="0" borderId="22" xfId="0" applyFont="1" applyFill="1" applyBorder="1" applyAlignment="1">
      <alignment horizontal="left" vertical="center" shrinkToFit="1"/>
    </xf>
    <xf numFmtId="49" fontId="28" fillId="0" borderId="22" xfId="0" applyNumberFormat="1" applyFont="1" applyFill="1" applyBorder="1" applyAlignment="1">
      <alignment horizontal="left" vertical="center" shrinkToFit="1"/>
    </xf>
    <xf numFmtId="0" fontId="27" fillId="0" borderId="22" xfId="0" applyNumberFormat="1" applyFont="1" applyFill="1" applyBorder="1" applyAlignment="1">
      <alignment horizontal="left" vertical="center" shrinkToFit="1"/>
    </xf>
    <xf numFmtId="0" fontId="28" fillId="0" borderId="22" xfId="0" applyFont="1" applyFill="1" applyBorder="1" applyAlignment="1">
      <alignment horizontal="left" vertical="center" shrinkToFit="1"/>
    </xf>
    <xf numFmtId="0" fontId="28" fillId="0" borderId="11" xfId="0" applyFont="1" applyFill="1" applyBorder="1" applyAlignment="1">
      <alignment horizontal="left" vertical="center" shrinkToFit="1"/>
    </xf>
    <xf numFmtId="0" fontId="28" fillId="0" borderId="11" xfId="0" applyFont="1" applyFill="1" applyBorder="1" applyAlignment="1">
      <alignment horizontal="left" vertical="center" shrinkToFit="1"/>
    </xf>
    <xf numFmtId="49" fontId="27" fillId="2" borderId="22" xfId="0" applyNumberFormat="1" applyFont="1" applyFill="1" applyBorder="1" applyAlignment="1">
      <alignment horizontal="left" vertical="center" shrinkToFit="1"/>
    </xf>
    <xf numFmtId="178" fontId="28" fillId="2" borderId="22" xfId="0" applyNumberFormat="1" applyFont="1" applyFill="1" applyBorder="1" applyAlignment="1">
      <alignment horizontal="left" vertical="center" shrinkToFit="1"/>
    </xf>
    <xf numFmtId="0" fontId="28" fillId="2" borderId="22" xfId="0" quotePrefix="1" applyFont="1" applyFill="1" applyBorder="1" applyAlignment="1">
      <alignment horizontal="left" vertical="center" shrinkToFit="1"/>
    </xf>
    <xf numFmtId="0" fontId="27" fillId="2" borderId="22" xfId="0" applyFont="1" applyFill="1" applyBorder="1" applyAlignment="1">
      <alignment horizontal="left" vertical="center" shrinkToFit="1"/>
    </xf>
    <xf numFmtId="176" fontId="27" fillId="2" borderId="22" xfId="0" applyNumberFormat="1" applyFont="1" applyFill="1" applyBorder="1" applyAlignment="1">
      <alignment horizontal="left" shrinkToFit="1"/>
    </xf>
    <xf numFmtId="49" fontId="27" fillId="2" borderId="11" xfId="0" applyNumberFormat="1" applyFont="1" applyFill="1" applyBorder="1" applyAlignment="1">
      <alignment horizontal="left" vertical="center" shrinkToFit="1"/>
    </xf>
    <xf numFmtId="176" fontId="27" fillId="2" borderId="15" xfId="0" applyNumberFormat="1" applyFont="1" applyFill="1" applyBorder="1" applyAlignment="1">
      <alignment horizontal="left" shrinkToFit="1"/>
    </xf>
    <xf numFmtId="49" fontId="0" fillId="0" borderId="0" xfId="0" quotePrefix="1" applyNumberFormat="1" applyAlignment="1">
      <alignment horizontal="left"/>
    </xf>
    <xf numFmtId="176" fontId="31" fillId="0" borderId="31" xfId="0" applyNumberFormat="1" applyFont="1" applyBorder="1" applyAlignment="1">
      <alignment horizontal="center" vertical="center" shrinkToFit="1"/>
    </xf>
    <xf numFmtId="176" fontId="31" fillId="0" borderId="0" xfId="0" applyNumberFormat="1" applyFont="1" applyFill="1" applyBorder="1" applyAlignment="1">
      <alignment horizontal="center" vertical="center" shrinkToFit="1"/>
    </xf>
    <xf numFmtId="176" fontId="32" fillId="26" borderId="25" xfId="0" applyNumberFormat="1" applyFont="1" applyFill="1" applyBorder="1" applyAlignment="1">
      <alignment horizontal="center" vertical="center" shrinkToFit="1"/>
    </xf>
    <xf numFmtId="0" fontId="43" fillId="19" borderId="34" xfId="0" applyFont="1" applyFill="1" applyBorder="1" applyAlignment="1">
      <alignment horizontal="center" vertical="center" shrinkToFit="1"/>
    </xf>
    <xf numFmtId="0" fontId="39" fillId="0" borderId="0" xfId="0" applyFont="1" applyAlignment="1">
      <alignment horizontal="left" vertical="center" shrinkToFit="1"/>
    </xf>
    <xf numFmtId="0" fontId="45" fillId="2" borderId="34" xfId="0" applyNumberFormat="1" applyFont="1" applyFill="1" applyBorder="1" applyAlignment="1">
      <alignment horizontal="center" vertical="center" shrinkToFit="1"/>
    </xf>
    <xf numFmtId="0" fontId="39" fillId="0" borderId="35" xfId="0" applyFont="1" applyBorder="1" applyAlignment="1">
      <alignment horizontal="center" vertical="center" shrinkToFit="1"/>
    </xf>
    <xf numFmtId="49" fontId="39" fillId="0" borderId="35" xfId="0" applyNumberFormat="1" applyFont="1" applyFill="1" applyBorder="1" applyAlignment="1">
      <alignment horizontal="center" vertical="center" shrinkToFit="1"/>
    </xf>
    <xf numFmtId="49" fontId="40" fillId="0" borderId="32" xfId="0" applyNumberFormat="1" applyFont="1" applyFill="1" applyBorder="1" applyAlignment="1">
      <alignment horizontal="center" vertical="center" shrinkToFit="1"/>
    </xf>
    <xf numFmtId="49" fontId="39" fillId="0" borderId="34" xfId="0" applyNumberFormat="1" applyFont="1" applyBorder="1" applyAlignment="1">
      <alignment horizontal="center" vertical="center" shrinkToFit="1"/>
    </xf>
    <xf numFmtId="0" fontId="42" fillId="0" borderId="0" xfId="0" applyFont="1" applyAlignment="1">
      <alignment horizontal="center" vertical="center" shrinkToFit="1"/>
    </xf>
    <xf numFmtId="0" fontId="43" fillId="2" borderId="42" xfId="0" applyNumberFormat="1" applyFont="1" applyFill="1" applyBorder="1" applyAlignment="1">
      <alignment horizontal="center" vertical="center" shrinkToFit="1"/>
    </xf>
    <xf numFmtId="0" fontId="46" fillId="0" borderId="0" xfId="0" applyFont="1" applyAlignment="1">
      <alignment horizontal="left" vertical="center" shrinkToFit="1"/>
    </xf>
    <xf numFmtId="0" fontId="43" fillId="21" borderId="34" xfId="0" applyFont="1" applyFill="1" applyBorder="1" applyAlignment="1">
      <alignment horizontal="center" vertical="center" shrinkToFit="1"/>
    </xf>
    <xf numFmtId="0" fontId="45" fillId="2" borderId="44" xfId="0" applyNumberFormat="1" applyFont="1" applyFill="1" applyBorder="1" applyAlignment="1">
      <alignment horizontal="center" vertical="center" shrinkToFit="1"/>
    </xf>
    <xf numFmtId="0" fontId="39" fillId="0" borderId="43" xfId="0" applyFont="1" applyBorder="1" applyAlignment="1">
      <alignment horizontal="center" vertical="center" shrinkToFit="1"/>
    </xf>
    <xf numFmtId="49" fontId="39" fillId="0" borderId="43" xfId="0" applyNumberFormat="1" applyFont="1" applyBorder="1" applyAlignment="1">
      <alignment horizontal="center" vertical="center" shrinkToFit="1"/>
    </xf>
    <xf numFmtId="0" fontId="43" fillId="0" borderId="43" xfId="0" applyFont="1" applyBorder="1" applyAlignment="1">
      <alignment horizontal="center" vertical="center" shrinkToFit="1"/>
    </xf>
    <xf numFmtId="0" fontId="46" fillId="0" borderId="43" xfId="0" applyFont="1" applyBorder="1" applyAlignment="1">
      <alignment horizontal="center" vertical="center" shrinkToFit="1"/>
    </xf>
    <xf numFmtId="0" fontId="43" fillId="0" borderId="44" xfId="0" applyNumberFormat="1" applyFont="1" applyFill="1" applyBorder="1" applyAlignment="1">
      <alignment horizontal="center" vertical="center" shrinkToFit="1"/>
    </xf>
    <xf numFmtId="0" fontId="46" fillId="0" borderId="43" xfId="0" applyFont="1" applyFill="1" applyBorder="1" applyAlignment="1">
      <alignment horizontal="center" vertical="center" shrinkToFit="1"/>
    </xf>
    <xf numFmtId="0" fontId="46" fillId="0" borderId="23" xfId="0" applyFont="1" applyFill="1" applyBorder="1" applyAlignment="1">
      <alignment horizontal="center" vertical="center" shrinkToFit="1"/>
    </xf>
    <xf numFmtId="176" fontId="50" fillId="0" borderId="43" xfId="0" applyNumberFormat="1" applyFont="1" applyBorder="1" applyAlignment="1">
      <alignment horizontal="center" vertical="center" shrinkToFit="1"/>
    </xf>
    <xf numFmtId="0" fontId="43" fillId="2" borderId="44" xfId="0" applyNumberFormat="1" applyFont="1" applyFill="1" applyBorder="1" applyAlignment="1">
      <alignment horizontal="center" vertical="center" shrinkToFit="1"/>
    </xf>
    <xf numFmtId="49" fontId="43" fillId="19" borderId="23" xfId="0" applyNumberFormat="1" applyFont="1" applyFill="1" applyBorder="1" applyAlignment="1">
      <alignment horizontal="center" vertical="center" shrinkToFit="1"/>
    </xf>
    <xf numFmtId="0" fontId="43" fillId="19" borderId="34" xfId="0" applyNumberFormat="1" applyFont="1" applyFill="1" applyBorder="1" applyAlignment="1">
      <alignment horizontal="center" vertical="center" shrinkToFit="1"/>
    </xf>
    <xf numFmtId="0" fontId="43" fillId="0" borderId="37" xfId="0" applyFont="1" applyFill="1" applyBorder="1" applyAlignment="1">
      <alignment horizontal="center" vertical="center" shrinkToFit="1"/>
    </xf>
    <xf numFmtId="0" fontId="46" fillId="0" borderId="0" xfId="0" applyFont="1" applyFill="1" applyAlignment="1">
      <alignment horizontal="left" vertical="center" shrinkToFit="1"/>
    </xf>
    <xf numFmtId="0" fontId="43" fillId="21" borderId="34" xfId="0" applyNumberFormat="1" applyFont="1" applyFill="1" applyBorder="1" applyAlignment="1">
      <alignment horizontal="center" vertical="center" shrinkToFit="1"/>
    </xf>
    <xf numFmtId="0" fontId="46" fillId="21" borderId="23" xfId="0" applyFont="1" applyFill="1" applyBorder="1" applyAlignment="1">
      <alignment horizontal="center" vertical="center" shrinkToFit="1"/>
    </xf>
    <xf numFmtId="0" fontId="43" fillId="2" borderId="46" xfId="0" applyNumberFormat="1" applyFont="1" applyFill="1" applyBorder="1" applyAlignment="1">
      <alignment horizontal="center" vertical="center" shrinkToFit="1"/>
    </xf>
    <xf numFmtId="0" fontId="46" fillId="21" borderId="47" xfId="0" applyFont="1" applyFill="1" applyBorder="1" applyAlignment="1">
      <alignment horizontal="center" vertical="center" shrinkToFit="1"/>
    </xf>
    <xf numFmtId="0" fontId="46" fillId="21" borderId="47" xfId="0" quotePrefix="1" applyFont="1" applyFill="1" applyBorder="1" applyAlignment="1">
      <alignment horizontal="center" vertical="center" shrinkToFit="1"/>
    </xf>
    <xf numFmtId="0" fontId="43" fillId="2" borderId="49" xfId="0" applyNumberFormat="1" applyFont="1" applyFill="1" applyBorder="1" applyAlignment="1">
      <alignment horizontal="center" vertical="center" shrinkToFit="1"/>
    </xf>
    <xf numFmtId="0" fontId="46" fillId="0" borderId="50" xfId="0" applyFont="1" applyBorder="1" applyAlignment="1">
      <alignment horizontal="center" vertical="center" shrinkToFit="1"/>
    </xf>
    <xf numFmtId="49" fontId="46" fillId="0" borderId="35" xfId="0" applyNumberFormat="1" applyFont="1" applyFill="1" applyBorder="1" applyAlignment="1">
      <alignment horizontal="center" vertical="center" shrinkToFit="1"/>
    </xf>
    <xf numFmtId="49" fontId="43" fillId="0" borderId="35" xfId="0" applyNumberFormat="1" applyFont="1" applyFill="1" applyBorder="1" applyAlignment="1">
      <alignment horizontal="center" vertical="center" shrinkToFit="1"/>
    </xf>
    <xf numFmtId="49" fontId="43" fillId="0" borderId="34" xfId="0" applyNumberFormat="1" applyFont="1" applyFill="1" applyBorder="1" applyAlignment="1">
      <alignment horizontal="center" vertical="center" shrinkToFit="1"/>
    </xf>
    <xf numFmtId="0" fontId="46" fillId="21" borderId="51" xfId="0" applyFont="1" applyFill="1" applyBorder="1" applyAlignment="1">
      <alignment horizontal="center" vertical="center" shrinkToFit="1"/>
    </xf>
    <xf numFmtId="0" fontId="43" fillId="28" borderId="34" xfId="0" applyFont="1" applyFill="1" applyBorder="1" applyAlignment="1">
      <alignment horizontal="center" vertical="center" shrinkToFit="1"/>
    </xf>
    <xf numFmtId="0" fontId="43" fillId="2" borderId="53" xfId="0" applyNumberFormat="1" applyFont="1" applyFill="1" applyBorder="1" applyAlignment="1">
      <alignment horizontal="center" vertical="center" shrinkToFit="1"/>
    </xf>
    <xf numFmtId="0" fontId="50" fillId="0" borderId="52" xfId="0" applyNumberFormat="1" applyFont="1" applyBorder="1" applyAlignment="1">
      <alignment horizontal="center" vertical="center" shrinkToFit="1"/>
    </xf>
    <xf numFmtId="0" fontId="39" fillId="0" borderId="52" xfId="0" applyFont="1" applyBorder="1" applyAlignment="1">
      <alignment horizontal="center" vertical="center" shrinkToFit="1"/>
    </xf>
    <xf numFmtId="0" fontId="45" fillId="2" borderId="53" xfId="0" applyNumberFormat="1" applyFont="1" applyFill="1" applyBorder="1" applyAlignment="1">
      <alignment horizontal="center" vertical="center" shrinkToFit="1"/>
    </xf>
    <xf numFmtId="0" fontId="43" fillId="21" borderId="54" xfId="0" applyNumberFormat="1" applyFont="1" applyFill="1" applyBorder="1" applyAlignment="1">
      <alignment horizontal="center" vertical="center" shrinkToFit="1"/>
    </xf>
    <xf numFmtId="0" fontId="43" fillId="2" borderId="55" xfId="0" applyNumberFormat="1" applyFont="1" applyFill="1" applyBorder="1" applyAlignment="1">
      <alignment horizontal="center" vertical="center" shrinkToFit="1"/>
    </xf>
    <xf numFmtId="0" fontId="46" fillId="21" borderId="56" xfId="0" applyFont="1" applyFill="1" applyBorder="1" applyAlignment="1">
      <alignment horizontal="center" vertical="center" shrinkToFit="1"/>
    </xf>
    <xf numFmtId="0" fontId="46" fillId="21" borderId="56" xfId="0" quotePrefix="1" applyFont="1" applyFill="1" applyBorder="1" applyAlignment="1">
      <alignment horizontal="center" vertical="center" shrinkToFit="1"/>
    </xf>
    <xf numFmtId="0" fontId="46" fillId="0" borderId="57" xfId="0" applyFont="1" applyBorder="1" applyAlignment="1">
      <alignment horizontal="center" vertical="center" shrinkToFit="1"/>
    </xf>
    <xf numFmtId="0" fontId="43" fillId="0" borderId="0" xfId="0" applyFont="1" applyAlignment="1">
      <alignment horizontal="left" vertical="center" shrinkToFit="1"/>
    </xf>
    <xf numFmtId="49" fontId="46" fillId="0" borderId="58" xfId="0" applyNumberFormat="1" applyFont="1" applyFill="1" applyBorder="1" applyAlignment="1">
      <alignment horizontal="center" vertical="center" shrinkToFit="1"/>
    </xf>
    <xf numFmtId="0" fontId="43" fillId="0" borderId="59" xfId="0" applyNumberFormat="1" applyFont="1" applyFill="1" applyBorder="1" applyAlignment="1">
      <alignment horizontal="center" vertical="center" shrinkToFit="1"/>
    </xf>
    <xf numFmtId="0" fontId="43" fillId="0" borderId="58" xfId="0" applyNumberFormat="1" applyFont="1" applyFill="1" applyBorder="1" applyAlignment="1">
      <alignment horizontal="center" vertical="center" shrinkToFit="1"/>
    </xf>
    <xf numFmtId="0" fontId="43" fillId="0" borderId="58" xfId="0" applyFont="1" applyFill="1" applyBorder="1" applyAlignment="1">
      <alignment horizontal="center" vertical="center" shrinkToFit="1"/>
    </xf>
    <xf numFmtId="0" fontId="46" fillId="0" borderId="58" xfId="0" applyFont="1" applyFill="1" applyBorder="1" applyAlignment="1">
      <alignment horizontal="center" vertical="center" shrinkToFit="1"/>
    </xf>
    <xf numFmtId="176" fontId="43" fillId="0" borderId="58" xfId="0" applyNumberFormat="1" applyFont="1" applyFill="1" applyBorder="1" applyAlignment="1">
      <alignment horizontal="center" vertical="center" shrinkToFit="1"/>
    </xf>
    <xf numFmtId="0" fontId="46" fillId="0" borderId="58" xfId="0" applyFont="1" applyBorder="1" applyAlignment="1">
      <alignment horizontal="center" vertical="center" shrinkToFit="1"/>
    </xf>
    <xf numFmtId="0" fontId="43" fillId="2" borderId="59" xfId="0" applyNumberFormat="1" applyFont="1" applyFill="1" applyBorder="1" applyAlignment="1">
      <alignment horizontal="center" vertical="center" shrinkToFit="1"/>
    </xf>
    <xf numFmtId="0" fontId="43" fillId="0" borderId="61" xfId="0" applyFont="1" applyFill="1" applyBorder="1" applyAlignment="1">
      <alignment horizontal="center" vertical="center" shrinkToFit="1"/>
    </xf>
    <xf numFmtId="0" fontId="43" fillId="28" borderId="54" xfId="0" applyNumberFormat="1" applyFont="1" applyFill="1" applyBorder="1" applyAlignment="1">
      <alignment horizontal="center" vertical="center" shrinkToFit="1"/>
    </xf>
    <xf numFmtId="0" fontId="43" fillId="21" borderId="23" xfId="0" applyFont="1" applyFill="1" applyBorder="1" applyAlignment="1">
      <alignment horizontal="center" vertical="center" shrinkToFit="1"/>
    </xf>
    <xf numFmtId="0" fontId="43" fillId="2" borderId="63" xfId="0" applyNumberFormat="1" applyFont="1" applyFill="1" applyBorder="1" applyAlignment="1">
      <alignment horizontal="center" vertical="center" shrinkToFit="1"/>
    </xf>
    <xf numFmtId="0" fontId="43" fillId="0" borderId="64" xfId="0" applyNumberFormat="1" applyFont="1" applyFill="1" applyBorder="1" applyAlignment="1">
      <alignment horizontal="center" vertical="center" shrinkToFit="1"/>
    </xf>
    <xf numFmtId="0" fontId="43" fillId="0" borderId="64" xfId="0" applyFont="1" applyFill="1" applyBorder="1" applyAlignment="1">
      <alignment horizontal="center" vertical="center" shrinkToFit="1"/>
    </xf>
    <xf numFmtId="176" fontId="43" fillId="0" borderId="64" xfId="0" applyNumberFormat="1" applyFont="1" applyFill="1" applyBorder="1" applyAlignment="1">
      <alignment horizontal="center" vertical="center" shrinkToFit="1"/>
    </xf>
    <xf numFmtId="0" fontId="43" fillId="2" borderId="64" xfId="0" applyNumberFormat="1" applyFont="1" applyFill="1" applyBorder="1" applyAlignment="1">
      <alignment horizontal="center" vertical="center" shrinkToFit="1"/>
    </xf>
    <xf numFmtId="0" fontId="43" fillId="21" borderId="64" xfId="0" applyNumberFormat="1" applyFont="1" applyFill="1" applyBorder="1" applyAlignment="1">
      <alignment horizontal="center" vertical="center" shrinkToFit="1"/>
    </xf>
    <xf numFmtId="0" fontId="43" fillId="29" borderId="64" xfId="0" applyNumberFormat="1" applyFont="1" applyFill="1" applyBorder="1" applyAlignment="1">
      <alignment horizontal="center" vertical="center" shrinkToFit="1"/>
    </xf>
    <xf numFmtId="0" fontId="43" fillId="29" borderId="64" xfId="0" applyFont="1" applyFill="1" applyBorder="1" applyAlignment="1">
      <alignment horizontal="center" vertical="center" shrinkToFit="1"/>
    </xf>
    <xf numFmtId="0" fontId="33" fillId="29" borderId="64" xfId="0" applyFont="1" applyFill="1" applyBorder="1" applyAlignment="1">
      <alignment horizontal="center" vertical="center" shrinkToFit="1"/>
    </xf>
    <xf numFmtId="176" fontId="43" fillId="29" borderId="64" xfId="0" applyNumberFormat="1" applyFont="1" applyFill="1" applyBorder="1" applyAlignment="1">
      <alignment horizontal="center" vertical="center" shrinkToFit="1"/>
    </xf>
    <xf numFmtId="0" fontId="43" fillId="2" borderId="66" xfId="0" applyNumberFormat="1" applyFont="1" applyFill="1" applyBorder="1" applyAlignment="1">
      <alignment horizontal="center" vertical="center" shrinkToFit="1"/>
    </xf>
    <xf numFmtId="0" fontId="43" fillId="2" borderId="67" xfId="0" applyNumberFormat="1" applyFont="1" applyFill="1" applyBorder="1" applyAlignment="1">
      <alignment horizontal="center" vertical="center" shrinkToFit="1"/>
    </xf>
    <xf numFmtId="0" fontId="43" fillId="0" borderId="67" xfId="0" applyNumberFormat="1" applyFont="1" applyFill="1" applyBorder="1" applyAlignment="1">
      <alignment horizontal="center" vertical="center" shrinkToFit="1"/>
    </xf>
    <xf numFmtId="0" fontId="43" fillId="0" borderId="67" xfId="0" applyFont="1" applyFill="1" applyBorder="1" applyAlignment="1">
      <alignment horizontal="center" vertical="center" shrinkToFit="1"/>
    </xf>
    <xf numFmtId="176" fontId="43" fillId="0" borderId="67" xfId="0" applyNumberFormat="1" applyFont="1" applyFill="1" applyBorder="1" applyAlignment="1">
      <alignment horizontal="center" vertical="center" shrinkToFit="1"/>
    </xf>
    <xf numFmtId="49" fontId="43" fillId="30" borderId="65" xfId="0" applyNumberFormat="1" applyFont="1" applyFill="1" applyBorder="1" applyAlignment="1">
      <alignment horizontal="center" vertical="center" shrinkToFit="1"/>
    </xf>
    <xf numFmtId="49" fontId="49" fillId="30" borderId="65" xfId="0" applyNumberFormat="1" applyFont="1" applyFill="1" applyBorder="1" applyAlignment="1">
      <alignment horizontal="center" vertical="center" shrinkToFit="1"/>
    </xf>
    <xf numFmtId="0" fontId="43" fillId="0" borderId="69" xfId="0" applyNumberFormat="1" applyFont="1" applyFill="1" applyBorder="1" applyAlignment="1">
      <alignment horizontal="center" vertical="center" shrinkToFit="1"/>
    </xf>
    <xf numFmtId="0" fontId="43" fillId="2" borderId="69" xfId="0" applyNumberFormat="1" applyFont="1" applyFill="1" applyBorder="1" applyAlignment="1">
      <alignment horizontal="center" vertical="center" shrinkToFit="1"/>
    </xf>
    <xf numFmtId="0" fontId="43" fillId="0" borderId="69" xfId="0" applyFont="1" applyBorder="1" applyAlignment="1">
      <alignment horizontal="left" vertical="center" shrinkToFit="1"/>
    </xf>
    <xf numFmtId="49" fontId="43" fillId="0" borderId="69" xfId="0" applyNumberFormat="1" applyFont="1" applyFill="1" applyBorder="1" applyAlignment="1">
      <alignment horizontal="center" vertical="center" shrinkToFit="1"/>
    </xf>
    <xf numFmtId="0" fontId="43" fillId="0" borderId="69" xfId="0" applyFont="1" applyFill="1" applyBorder="1" applyAlignment="1">
      <alignment horizontal="center" vertical="center" shrinkToFit="1"/>
    </xf>
    <xf numFmtId="176" fontId="43" fillId="0" borderId="69" xfId="0" applyNumberFormat="1" applyFont="1" applyFill="1" applyBorder="1" applyAlignment="1">
      <alignment horizontal="center" vertical="center" shrinkToFit="1"/>
    </xf>
    <xf numFmtId="49" fontId="43" fillId="30" borderId="70" xfId="0" applyNumberFormat="1" applyFont="1" applyFill="1" applyBorder="1" applyAlignment="1">
      <alignment horizontal="center" vertical="center" shrinkToFit="1"/>
    </xf>
    <xf numFmtId="0" fontId="43" fillId="2" borderId="73" xfId="0" applyNumberFormat="1" applyFont="1" applyFill="1" applyBorder="1" applyAlignment="1">
      <alignment horizontal="center" vertical="center" shrinkToFit="1"/>
    </xf>
    <xf numFmtId="0" fontId="43" fillId="0" borderId="72" xfId="0" applyFont="1" applyBorder="1" applyAlignment="1">
      <alignment horizontal="center" vertical="center" shrinkToFit="1"/>
    </xf>
    <xf numFmtId="0" fontId="43" fillId="21" borderId="73" xfId="0" applyNumberFormat="1" applyFont="1" applyFill="1" applyBorder="1" applyAlignment="1">
      <alignment horizontal="center" vertical="center" shrinkToFit="1"/>
    </xf>
    <xf numFmtId="0" fontId="43" fillId="0" borderId="73" xfId="0" applyNumberFormat="1" applyFont="1" applyFill="1" applyBorder="1" applyAlignment="1">
      <alignment horizontal="center" vertical="center" shrinkToFit="1"/>
    </xf>
    <xf numFmtId="0" fontId="43" fillId="0" borderId="73" xfId="0" applyFont="1" applyFill="1" applyBorder="1" applyAlignment="1">
      <alignment horizontal="center" vertical="center" shrinkToFit="1"/>
    </xf>
    <xf numFmtId="176" fontId="43" fillId="0" borderId="73" xfId="0" applyNumberFormat="1" applyFont="1" applyFill="1" applyBorder="1" applyAlignment="1">
      <alignment horizontal="center" vertical="center" shrinkToFit="1"/>
    </xf>
    <xf numFmtId="49" fontId="43" fillId="0" borderId="73" xfId="0" applyNumberFormat="1" applyFont="1" applyFill="1" applyBorder="1" applyAlignment="1">
      <alignment horizontal="center" vertical="center" shrinkToFit="1"/>
    </xf>
    <xf numFmtId="49" fontId="43" fillId="0" borderId="74" xfId="0" applyNumberFormat="1" applyFont="1" applyFill="1" applyBorder="1" applyAlignment="1">
      <alignment horizontal="center" vertical="center" shrinkToFit="1"/>
    </xf>
    <xf numFmtId="49" fontId="49" fillId="0" borderId="74" xfId="0" applyNumberFormat="1" applyFont="1" applyFill="1" applyBorder="1" applyAlignment="1">
      <alignment horizontal="center" vertical="center" shrinkToFit="1"/>
    </xf>
    <xf numFmtId="0" fontId="43" fillId="2" borderId="74" xfId="0" applyNumberFormat="1" applyFont="1" applyFill="1" applyBorder="1" applyAlignment="1">
      <alignment horizontal="center" vertical="center" shrinkToFit="1"/>
    </xf>
    <xf numFmtId="49" fontId="43" fillId="30" borderId="74" xfId="0" applyNumberFormat="1" applyFont="1" applyFill="1" applyBorder="1" applyAlignment="1">
      <alignment horizontal="center" vertical="center" shrinkToFit="1"/>
    </xf>
    <xf numFmtId="49" fontId="49" fillId="30" borderId="74" xfId="0" applyNumberFormat="1" applyFont="1" applyFill="1" applyBorder="1" applyAlignment="1">
      <alignment horizontal="center" vertical="center" shrinkToFit="1"/>
    </xf>
    <xf numFmtId="49" fontId="43" fillId="0" borderId="64" xfId="0" applyNumberFormat="1" applyFont="1" applyFill="1" applyBorder="1" applyAlignment="1">
      <alignment horizontal="center" vertical="center" shrinkToFit="1"/>
    </xf>
    <xf numFmtId="49" fontId="43" fillId="0" borderId="67" xfId="0" applyNumberFormat="1" applyFont="1" applyFill="1" applyBorder="1" applyAlignment="1">
      <alignment horizontal="center" vertical="center" shrinkToFit="1"/>
    </xf>
    <xf numFmtId="0" fontId="49" fillId="0" borderId="58" xfId="0" applyFont="1" applyFill="1" applyBorder="1" applyAlignment="1">
      <alignment horizontal="center" vertical="center" shrinkToFit="1"/>
    </xf>
    <xf numFmtId="0" fontId="49" fillId="0" borderId="23" xfId="0" applyFont="1" applyFill="1" applyBorder="1" applyAlignment="1">
      <alignment horizontal="center" vertical="center" shrinkToFit="1"/>
    </xf>
    <xf numFmtId="0" fontId="43" fillId="2" borderId="76" xfId="0" applyNumberFormat="1" applyFont="1" applyFill="1" applyBorder="1" applyAlignment="1">
      <alignment horizontal="center" vertical="center" shrinkToFit="1"/>
    </xf>
    <xf numFmtId="49" fontId="43" fillId="30" borderId="72" xfId="0" applyNumberFormat="1" applyFont="1" applyFill="1" applyBorder="1" applyAlignment="1">
      <alignment horizontal="center" vertical="center" shrinkToFit="1"/>
    </xf>
    <xf numFmtId="0" fontId="43" fillId="30" borderId="72" xfId="0" applyNumberFormat="1" applyFont="1" applyFill="1" applyBorder="1" applyAlignment="1">
      <alignment horizontal="center" vertical="center" shrinkToFit="1"/>
    </xf>
    <xf numFmtId="0" fontId="49" fillId="30" borderId="72" xfId="0" applyFont="1" applyFill="1" applyBorder="1" applyAlignment="1">
      <alignment horizontal="center" vertical="center" shrinkToFit="1"/>
    </xf>
    <xf numFmtId="0" fontId="43" fillId="30" borderId="72" xfId="0" applyFont="1" applyFill="1" applyBorder="1" applyAlignment="1">
      <alignment horizontal="center" vertical="center" shrinkToFit="1"/>
    </xf>
    <xf numFmtId="0" fontId="43" fillId="30" borderId="23" xfId="0" applyFont="1" applyFill="1" applyBorder="1" applyAlignment="1">
      <alignment horizontal="center" vertical="center" shrinkToFit="1"/>
    </xf>
    <xf numFmtId="0" fontId="42" fillId="0" borderId="0" xfId="0" applyFont="1" applyAlignment="1">
      <alignment horizontal="left" vertical="center" shrinkToFit="1"/>
    </xf>
    <xf numFmtId="49" fontId="43" fillId="21" borderId="65" xfId="0" applyNumberFormat="1" applyFont="1" applyFill="1" applyBorder="1" applyAlignment="1">
      <alignment horizontal="center" vertical="center" shrinkToFit="1"/>
    </xf>
    <xf numFmtId="49" fontId="43" fillId="30" borderId="77" xfId="0" applyNumberFormat="1" applyFont="1" applyFill="1" applyBorder="1" applyAlignment="1">
      <alignment horizontal="center" vertical="center" shrinkToFit="1"/>
    </xf>
    <xf numFmtId="49" fontId="49" fillId="30" borderId="77" xfId="0" applyNumberFormat="1" applyFont="1" applyFill="1" applyBorder="1" applyAlignment="1">
      <alignment horizontal="center" vertical="center" shrinkToFit="1"/>
    </xf>
    <xf numFmtId="0" fontId="43" fillId="0" borderId="77" xfId="0" applyFont="1" applyBorder="1" applyAlignment="1">
      <alignment horizontal="center" vertical="center" shrinkToFit="1"/>
    </xf>
    <xf numFmtId="0" fontId="43" fillId="2" borderId="78" xfId="0" applyNumberFormat="1" applyFont="1" applyFill="1" applyBorder="1" applyAlignment="1">
      <alignment horizontal="center" vertical="center" shrinkToFit="1"/>
    </xf>
    <xf numFmtId="49" fontId="43" fillId="30" borderId="79" xfId="0" applyNumberFormat="1" applyFont="1" applyFill="1" applyBorder="1" applyAlignment="1">
      <alignment horizontal="center" vertical="center" shrinkToFit="1"/>
    </xf>
    <xf numFmtId="49" fontId="49" fillId="30" borderId="79" xfId="0" applyNumberFormat="1" applyFont="1" applyFill="1" applyBorder="1" applyAlignment="1">
      <alignment horizontal="center" vertical="center" shrinkToFit="1"/>
    </xf>
    <xf numFmtId="0" fontId="43" fillId="0" borderId="79" xfId="0" applyFont="1" applyBorder="1" applyAlignment="1">
      <alignment horizontal="center" vertical="center" shrinkToFit="1"/>
    </xf>
    <xf numFmtId="0" fontId="43" fillId="2" borderId="80" xfId="0" applyNumberFormat="1" applyFont="1" applyFill="1" applyBorder="1" applyAlignment="1">
      <alignment horizontal="center" vertical="center" shrinkToFit="1"/>
    </xf>
    <xf numFmtId="0" fontId="43" fillId="28" borderId="81" xfId="0" applyFont="1" applyFill="1" applyBorder="1" applyAlignment="1">
      <alignment horizontal="center" vertical="center" shrinkToFit="1"/>
    </xf>
    <xf numFmtId="0" fontId="43" fillId="28" borderId="81" xfId="0" applyNumberFormat="1" applyFont="1" applyFill="1" applyBorder="1" applyAlignment="1">
      <alignment horizontal="center" vertical="center" shrinkToFit="1"/>
    </xf>
    <xf numFmtId="0" fontId="43" fillId="0" borderId="82" xfId="0" applyFont="1" applyFill="1" applyBorder="1" applyAlignment="1">
      <alignment horizontal="center" vertical="center" shrinkToFit="1"/>
    </xf>
    <xf numFmtId="0" fontId="46" fillId="0" borderId="82" xfId="0" applyFont="1" applyFill="1" applyBorder="1" applyAlignment="1">
      <alignment horizontal="center" vertical="center" shrinkToFit="1"/>
    </xf>
    <xf numFmtId="0" fontId="43" fillId="2" borderId="81" xfId="0" applyNumberFormat="1" applyFont="1" applyFill="1" applyBorder="1" applyAlignment="1">
      <alignment horizontal="center" vertical="center" shrinkToFit="1"/>
    </xf>
    <xf numFmtId="0" fontId="43" fillId="2" borderId="84" xfId="0" applyNumberFormat="1" applyFont="1" applyFill="1" applyBorder="1" applyAlignment="1">
      <alignment horizontal="center" vertical="center" shrinkToFit="1"/>
    </xf>
    <xf numFmtId="0" fontId="43" fillId="0" borderId="83" xfId="0" applyFont="1" applyBorder="1" applyAlignment="1">
      <alignment horizontal="center" vertical="center" shrinkToFit="1"/>
    </xf>
    <xf numFmtId="0" fontId="50" fillId="2" borderId="48" xfId="0" applyNumberFormat="1" applyFont="1" applyFill="1" applyBorder="1" applyAlignment="1">
      <alignment horizontal="center" vertical="center" shrinkToFit="1"/>
    </xf>
    <xf numFmtId="49" fontId="43" fillId="31" borderId="83" xfId="0" applyNumberFormat="1" applyFont="1" applyFill="1" applyBorder="1" applyAlignment="1">
      <alignment horizontal="center" vertical="center" shrinkToFit="1"/>
    </xf>
    <xf numFmtId="0" fontId="43" fillId="31" borderId="23" xfId="0" applyFont="1" applyFill="1" applyBorder="1" applyAlignment="1">
      <alignment horizontal="center" vertical="center" shrinkToFit="1"/>
    </xf>
    <xf numFmtId="0" fontId="43" fillId="0" borderId="85" xfId="0" applyFont="1" applyBorder="1" applyAlignment="1">
      <alignment horizontal="center" vertical="center" shrinkToFit="1"/>
    </xf>
    <xf numFmtId="0" fontId="43" fillId="2" borderId="86" xfId="0" applyNumberFormat="1" applyFont="1" applyFill="1" applyBorder="1" applyAlignment="1">
      <alignment horizontal="center" vertical="center" shrinkToFit="1"/>
    </xf>
    <xf numFmtId="49" fontId="43" fillId="31" borderId="85" xfId="0" applyNumberFormat="1" applyFont="1" applyFill="1" applyBorder="1" applyAlignment="1">
      <alignment horizontal="center" vertical="center" shrinkToFit="1"/>
    </xf>
    <xf numFmtId="0" fontId="42" fillId="0" borderId="86" xfId="0" applyFont="1" applyBorder="1" applyAlignment="1">
      <alignment horizontal="center" vertical="center" shrinkToFit="1"/>
    </xf>
    <xf numFmtId="49" fontId="49" fillId="31" borderId="85" xfId="0" applyNumberFormat="1" applyFont="1" applyFill="1" applyBorder="1" applyAlignment="1">
      <alignment horizontal="center" vertical="center" shrinkToFit="1"/>
    </xf>
    <xf numFmtId="49" fontId="43" fillId="30" borderId="87" xfId="0" applyNumberFormat="1" applyFont="1" applyFill="1" applyBorder="1" applyAlignment="1">
      <alignment horizontal="center" vertical="center" shrinkToFit="1"/>
    </xf>
    <xf numFmtId="0" fontId="42" fillId="0" borderId="88" xfId="0" applyFont="1" applyBorder="1" applyAlignment="1">
      <alignment horizontal="center" vertical="center" shrinkToFit="1"/>
    </xf>
    <xf numFmtId="0" fontId="43" fillId="0" borderId="87" xfId="0" applyFont="1" applyBorder="1" applyAlignment="1">
      <alignment horizontal="center" vertical="center" shrinkToFit="1"/>
    </xf>
    <xf numFmtId="0" fontId="43" fillId="2" borderId="88" xfId="0" applyNumberFormat="1" applyFont="1" applyFill="1" applyBorder="1" applyAlignment="1">
      <alignment horizontal="center" vertical="center" shrinkToFit="1"/>
    </xf>
    <xf numFmtId="0" fontId="43" fillId="21" borderId="88" xfId="0" applyNumberFormat="1" applyFont="1" applyFill="1" applyBorder="1" applyAlignment="1">
      <alignment horizontal="center" vertical="center" shrinkToFit="1"/>
    </xf>
    <xf numFmtId="0" fontId="46" fillId="21" borderId="87" xfId="0" applyFont="1" applyFill="1" applyBorder="1" applyAlignment="1">
      <alignment horizontal="center" vertical="center" shrinkToFit="1"/>
    </xf>
    <xf numFmtId="0" fontId="46" fillId="21" borderId="87" xfId="0" quotePrefix="1" applyFont="1" applyFill="1" applyBorder="1" applyAlignment="1">
      <alignment horizontal="center" vertical="center" shrinkToFit="1"/>
    </xf>
    <xf numFmtId="0" fontId="46" fillId="0" borderId="87" xfId="0" applyFont="1" applyBorder="1" applyAlignment="1">
      <alignment horizontal="center" vertical="center" shrinkToFit="1"/>
    </xf>
    <xf numFmtId="0" fontId="50" fillId="2" borderId="88" xfId="0" applyNumberFormat="1" applyFont="1" applyFill="1" applyBorder="1" applyAlignment="1">
      <alignment horizontal="center" vertical="center" shrinkToFit="1"/>
    </xf>
    <xf numFmtId="0" fontId="52" fillId="21" borderId="87" xfId="0" applyFont="1" applyFill="1" applyBorder="1" applyAlignment="1">
      <alignment horizontal="center" vertical="center" shrinkToFit="1"/>
    </xf>
    <xf numFmtId="0" fontId="42" fillId="2" borderId="57" xfId="0" applyNumberFormat="1" applyFont="1" applyFill="1" applyBorder="1" applyAlignment="1">
      <alignment horizontal="center" vertical="center" shrinkToFit="1"/>
    </xf>
    <xf numFmtId="0" fontId="42" fillId="2" borderId="88" xfId="0" applyNumberFormat="1" applyFont="1" applyFill="1" applyBorder="1" applyAlignment="1">
      <alignment horizontal="center" vertical="center" shrinkToFit="1"/>
    </xf>
    <xf numFmtId="0" fontId="42" fillId="0" borderId="59" xfId="0" applyNumberFormat="1" applyFont="1" applyFill="1" applyBorder="1" applyAlignment="1">
      <alignment horizontal="center" vertical="center" shrinkToFit="1"/>
    </xf>
    <xf numFmtId="0" fontId="43" fillId="0" borderId="89" xfId="0" applyNumberFormat="1" applyFont="1" applyFill="1" applyBorder="1" applyAlignment="1">
      <alignment horizontal="center" vertical="center" shrinkToFit="1"/>
    </xf>
    <xf numFmtId="0" fontId="43" fillId="0" borderId="89" xfId="0" applyFont="1" applyFill="1" applyBorder="1" applyAlignment="1">
      <alignment horizontal="center" vertical="center" shrinkToFit="1"/>
    </xf>
    <xf numFmtId="176" fontId="43" fillId="0" borderId="89" xfId="0" applyNumberFormat="1" applyFont="1" applyFill="1" applyBorder="1" applyAlignment="1">
      <alignment horizontal="center" vertical="center" shrinkToFit="1"/>
    </xf>
    <xf numFmtId="0" fontId="42" fillId="2" borderId="89" xfId="0" applyNumberFormat="1" applyFont="1" applyFill="1" applyBorder="1" applyAlignment="1">
      <alignment horizontal="center" vertical="center" shrinkToFit="1"/>
    </xf>
    <xf numFmtId="0" fontId="43" fillId="2" borderId="89" xfId="0" applyNumberFormat="1" applyFont="1" applyFill="1" applyBorder="1" applyAlignment="1">
      <alignment horizontal="center" vertical="center" shrinkToFit="1"/>
    </xf>
    <xf numFmtId="0" fontId="43" fillId="0" borderId="64" xfId="0" applyFont="1" applyBorder="1" applyAlignment="1">
      <alignment horizontal="center" vertical="center" shrinkToFit="1"/>
    </xf>
    <xf numFmtId="180" fontId="43" fillId="0" borderId="34" xfId="0" applyNumberFormat="1" applyFont="1" applyFill="1" applyBorder="1" applyAlignment="1">
      <alignment horizontal="center" vertical="center" shrinkToFit="1"/>
    </xf>
    <xf numFmtId="176" fontId="43" fillId="30" borderId="72" xfId="0" applyNumberFormat="1" applyFont="1" applyFill="1" applyBorder="1" applyAlignment="1">
      <alignment horizontal="center" vertical="center" shrinkToFit="1"/>
    </xf>
    <xf numFmtId="0" fontId="54" fillId="0" borderId="27" xfId="0" applyFont="1" applyFill="1" applyBorder="1" applyAlignment="1">
      <alignment vertical="center" shrinkToFit="1"/>
    </xf>
    <xf numFmtId="0" fontId="54" fillId="0" borderId="32" xfId="0" applyFont="1" applyFill="1" applyBorder="1" applyAlignment="1">
      <alignment vertical="center" shrinkToFit="1"/>
    </xf>
    <xf numFmtId="0" fontId="42" fillId="0" borderId="0" xfId="0" applyFont="1" applyFill="1" applyBorder="1" applyAlignment="1">
      <alignment horizontal="left" vertical="center" shrinkToFit="1"/>
    </xf>
    <xf numFmtId="0" fontId="40" fillId="0" borderId="33" xfId="0" applyFont="1" applyFill="1" applyBorder="1" applyAlignment="1">
      <alignment horizontal="center" vertical="center" shrinkToFit="1"/>
    </xf>
    <xf numFmtId="176" fontId="42" fillId="27" borderId="35" xfId="0" applyNumberFormat="1" applyFont="1" applyFill="1" applyBorder="1" applyAlignment="1">
      <alignment horizontal="center" vertical="center" shrinkToFit="1"/>
    </xf>
    <xf numFmtId="0" fontId="42" fillId="25" borderId="34" xfId="0" applyFont="1" applyFill="1" applyBorder="1" applyAlignment="1">
      <alignment horizontal="center" vertical="center" shrinkToFit="1"/>
    </xf>
    <xf numFmtId="0" fontId="42" fillId="2" borderId="34" xfId="0" applyFont="1" applyFill="1" applyBorder="1" applyAlignment="1">
      <alignment horizontal="center" vertical="center" shrinkToFit="1"/>
    </xf>
    <xf numFmtId="0" fontId="40" fillId="0" borderId="36" xfId="0" applyFont="1" applyFill="1" applyBorder="1" applyAlignment="1">
      <alignment vertical="center" shrinkToFit="1"/>
    </xf>
    <xf numFmtId="0" fontId="54" fillId="0" borderId="24" xfId="0" applyFont="1" applyFill="1" applyBorder="1" applyAlignment="1">
      <alignment vertical="center" shrinkToFit="1"/>
    </xf>
    <xf numFmtId="0" fontId="54" fillId="0" borderId="25" xfId="0" applyFont="1" applyFill="1" applyBorder="1" applyAlignment="1">
      <alignment vertical="center" shrinkToFit="1"/>
    </xf>
    <xf numFmtId="0" fontId="42" fillId="0" borderId="0" xfId="0" applyFont="1" applyFill="1" applyAlignment="1">
      <alignment horizontal="left" vertical="center" shrinkToFit="1"/>
    </xf>
    <xf numFmtId="176" fontId="43" fillId="19" borderId="34" xfId="0" applyNumberFormat="1" applyFont="1" applyFill="1" applyBorder="1" applyAlignment="1">
      <alignment horizontal="center" vertical="center" shrinkToFit="1"/>
    </xf>
    <xf numFmtId="0" fontId="43" fillId="0" borderId="36" xfId="0" applyFont="1" applyFill="1" applyBorder="1" applyAlignment="1">
      <alignment horizontal="left" vertical="center" shrinkToFit="1"/>
    </xf>
    <xf numFmtId="0" fontId="43" fillId="0" borderId="34" xfId="0" applyFont="1" applyFill="1" applyBorder="1" applyAlignment="1">
      <alignment horizontal="left" vertical="center" shrinkToFit="1"/>
    </xf>
    <xf numFmtId="0" fontId="43" fillId="0" borderId="37" xfId="0" applyFont="1" applyFill="1" applyBorder="1" applyAlignment="1">
      <alignment horizontal="left" vertical="center" shrinkToFit="1"/>
    </xf>
    <xf numFmtId="0" fontId="43" fillId="0" borderId="34" xfId="0" applyFont="1" applyFill="1" applyBorder="1" applyAlignment="1">
      <alignment horizontal="center" vertical="center" shrinkToFit="1"/>
    </xf>
    <xf numFmtId="0" fontId="43" fillId="0" borderId="0" xfId="0" applyFont="1" applyFill="1" applyAlignment="1">
      <alignment horizontal="left" vertical="center" shrinkToFit="1"/>
    </xf>
    <xf numFmtId="0" fontId="43" fillId="21" borderId="64" xfId="0" applyFont="1" applyFill="1" applyBorder="1" applyAlignment="1">
      <alignment horizontal="center" vertical="center" shrinkToFit="1"/>
    </xf>
    <xf numFmtId="0" fontId="49" fillId="21" borderId="64" xfId="0" applyFont="1" applyFill="1" applyBorder="1" applyAlignment="1">
      <alignment horizontal="center" vertical="center" shrinkToFit="1"/>
    </xf>
    <xf numFmtId="0" fontId="43" fillId="21" borderId="64" xfId="0" quotePrefix="1" applyFont="1" applyFill="1" applyBorder="1" applyAlignment="1">
      <alignment horizontal="center" vertical="center" shrinkToFit="1"/>
    </xf>
    <xf numFmtId="0" fontId="43" fillId="0" borderId="67" xfId="0" applyFont="1" applyBorder="1" applyAlignment="1">
      <alignment horizontal="center" vertical="center" shrinkToFit="1"/>
    </xf>
    <xf numFmtId="0" fontId="43" fillId="0" borderId="60" xfId="0" applyFont="1" applyFill="1" applyBorder="1" applyAlignment="1">
      <alignment horizontal="center" vertical="center" shrinkToFit="1"/>
    </xf>
    <xf numFmtId="0" fontId="43" fillId="0" borderId="69" xfId="0" applyFont="1" applyBorder="1" applyAlignment="1">
      <alignment horizontal="center" vertical="center" shrinkToFit="1"/>
    </xf>
    <xf numFmtId="0" fontId="43" fillId="0" borderId="73" xfId="0" applyFont="1" applyBorder="1" applyAlignment="1">
      <alignment horizontal="center" vertical="center" shrinkToFit="1"/>
    </xf>
    <xf numFmtId="0" fontId="42" fillId="0" borderId="74" xfId="0" applyFont="1" applyBorder="1" applyAlignment="1">
      <alignment horizontal="left" vertical="center" shrinkToFit="1"/>
    </xf>
    <xf numFmtId="0" fontId="43" fillId="0" borderId="74" xfId="0" applyFont="1" applyBorder="1" applyAlignment="1">
      <alignment horizontal="center" vertical="center" shrinkToFit="1"/>
    </xf>
    <xf numFmtId="0" fontId="43" fillId="0" borderId="68" xfId="0" applyFont="1" applyBorder="1" applyAlignment="1">
      <alignment horizontal="center" vertical="center" shrinkToFit="1"/>
    </xf>
    <xf numFmtId="0" fontId="43" fillId="21" borderId="51" xfId="0" applyFont="1" applyFill="1" applyBorder="1" applyAlignment="1">
      <alignment horizontal="center" vertical="center" shrinkToFit="1"/>
    </xf>
    <xf numFmtId="0" fontId="43" fillId="21" borderId="62" xfId="0" applyFont="1" applyFill="1" applyBorder="1" applyAlignment="1">
      <alignment horizontal="center" vertical="center" shrinkToFit="1"/>
    </xf>
    <xf numFmtId="0" fontId="43" fillId="21" borderId="62" xfId="0" quotePrefix="1" applyFont="1" applyFill="1" applyBorder="1" applyAlignment="1">
      <alignment horizontal="center" vertical="center" shrinkToFit="1"/>
    </xf>
    <xf numFmtId="49" fontId="43" fillId="0" borderId="71" xfId="0" applyNumberFormat="1" applyFont="1" applyFill="1" applyBorder="1" applyAlignment="1">
      <alignment horizontal="center" vertical="center" shrinkToFit="1"/>
    </xf>
    <xf numFmtId="0" fontId="43" fillId="0" borderId="63" xfId="0" applyFont="1" applyBorder="1" applyAlignment="1">
      <alignment horizontal="center" vertical="center" shrinkToFit="1"/>
    </xf>
    <xf numFmtId="182" fontId="43" fillId="25" borderId="34" xfId="0" quotePrefix="1" applyNumberFormat="1" applyFont="1" applyFill="1" applyBorder="1" applyAlignment="1">
      <alignment horizontal="center" vertical="center" shrinkToFit="1"/>
    </xf>
    <xf numFmtId="0" fontId="43" fillId="25" borderId="34" xfId="0" applyFont="1" applyFill="1" applyBorder="1" applyAlignment="1">
      <alignment horizontal="center" vertical="center" shrinkToFit="1"/>
    </xf>
    <xf numFmtId="0" fontId="43" fillId="0" borderId="58" xfId="0" applyFont="1" applyBorder="1" applyAlignment="1">
      <alignment horizontal="center" vertical="center" shrinkToFit="1"/>
    </xf>
    <xf numFmtId="0" fontId="49" fillId="21" borderId="72" xfId="0" applyFont="1" applyFill="1" applyBorder="1" applyAlignment="1">
      <alignment horizontal="center" vertical="center" shrinkToFit="1"/>
    </xf>
    <xf numFmtId="0" fontId="43" fillId="21" borderId="72" xfId="0" applyFont="1" applyFill="1" applyBorder="1" applyAlignment="1">
      <alignment horizontal="center" vertical="center" shrinkToFit="1"/>
    </xf>
    <xf numFmtId="0" fontId="43" fillId="21" borderId="72" xfId="0" quotePrefix="1" applyFont="1" applyFill="1" applyBorder="1" applyAlignment="1">
      <alignment horizontal="center" vertical="center" shrinkToFit="1"/>
    </xf>
    <xf numFmtId="49" fontId="43" fillId="0" borderId="58" xfId="0" applyNumberFormat="1" applyFont="1" applyFill="1" applyBorder="1" applyAlignment="1">
      <alignment horizontal="center" vertical="center" shrinkToFit="1"/>
    </xf>
    <xf numFmtId="0" fontId="43" fillId="21" borderId="75" xfId="0" applyFont="1" applyFill="1" applyBorder="1" applyAlignment="1">
      <alignment horizontal="center" vertical="center" shrinkToFit="1"/>
    </xf>
    <xf numFmtId="0" fontId="43" fillId="21" borderId="75" xfId="0" quotePrefix="1" applyFont="1" applyFill="1" applyBorder="1" applyAlignment="1">
      <alignment horizontal="center" vertical="center" shrinkToFit="1"/>
    </xf>
    <xf numFmtId="0" fontId="49" fillId="21" borderId="75" xfId="0" applyFont="1" applyFill="1" applyBorder="1" applyAlignment="1">
      <alignment horizontal="center" vertical="center" shrinkToFit="1"/>
    </xf>
    <xf numFmtId="0" fontId="43" fillId="0" borderId="76" xfId="0" applyFont="1" applyBorder="1" applyAlignment="1">
      <alignment horizontal="center" vertical="center" shrinkToFit="1"/>
    </xf>
    <xf numFmtId="49" fontId="43" fillId="0" borderId="89" xfId="0" applyNumberFormat="1" applyFont="1" applyFill="1" applyBorder="1" applyAlignment="1">
      <alignment horizontal="center" vertical="center" shrinkToFit="1"/>
    </xf>
    <xf numFmtId="0" fontId="43" fillId="0" borderId="89" xfId="0" applyFont="1" applyBorder="1" applyAlignment="1">
      <alignment horizontal="center" vertical="center" shrinkToFit="1"/>
    </xf>
    <xf numFmtId="0" fontId="58" fillId="0" borderId="0" xfId="0" applyFont="1"/>
    <xf numFmtId="0" fontId="59" fillId="0" borderId="0" xfId="0" applyFont="1"/>
    <xf numFmtId="49" fontId="43" fillId="31" borderId="90" xfId="0" applyNumberFormat="1" applyFont="1" applyFill="1" applyBorder="1" applyAlignment="1">
      <alignment horizontal="center" vertical="center" shrinkToFit="1"/>
    </xf>
    <xf numFmtId="0" fontId="42" fillId="0" borderId="91" xfId="0" applyNumberFormat="1" applyFont="1" applyFill="1" applyBorder="1" applyAlignment="1">
      <alignment horizontal="center" vertical="center" shrinkToFit="1"/>
    </xf>
    <xf numFmtId="0" fontId="43" fillId="0" borderId="90" xfId="0" applyFont="1" applyBorder="1" applyAlignment="1">
      <alignment horizontal="center" vertical="center" shrinkToFit="1"/>
    </xf>
    <xf numFmtId="0" fontId="43" fillId="2" borderId="91" xfId="0" applyNumberFormat="1" applyFont="1" applyFill="1" applyBorder="1" applyAlignment="1">
      <alignment horizontal="center" vertical="center" shrinkToFit="1"/>
    </xf>
    <xf numFmtId="49" fontId="49" fillId="31" borderId="90" xfId="0" applyNumberFormat="1" applyFont="1" applyFill="1" applyBorder="1" applyAlignment="1">
      <alignment horizontal="center" vertical="center" shrinkToFit="1"/>
    </xf>
    <xf numFmtId="0" fontId="43" fillId="0" borderId="92" xfId="0" applyFont="1" applyBorder="1" applyAlignment="1">
      <alignment horizontal="center" vertical="center" shrinkToFit="1"/>
    </xf>
    <xf numFmtId="0" fontId="43" fillId="2" borderId="93" xfId="0" applyNumberFormat="1" applyFont="1" applyFill="1" applyBorder="1" applyAlignment="1">
      <alignment horizontal="center" vertical="center" shrinkToFit="1"/>
    </xf>
    <xf numFmtId="49" fontId="50" fillId="30" borderId="92" xfId="0" applyNumberFormat="1" applyFont="1" applyFill="1" applyBorder="1" applyAlignment="1">
      <alignment horizontal="center" vertical="center" shrinkToFit="1"/>
    </xf>
    <xf numFmtId="49" fontId="43" fillId="30" borderId="92" xfId="0" applyNumberFormat="1" applyFont="1" applyFill="1" applyBorder="1" applyAlignment="1">
      <alignment horizontal="center" vertical="center" shrinkToFit="1"/>
    </xf>
    <xf numFmtId="0" fontId="42" fillId="0" borderId="93" xfId="0" applyFont="1" applyBorder="1" applyAlignment="1">
      <alignment horizontal="center" vertical="center" shrinkToFit="1"/>
    </xf>
    <xf numFmtId="49" fontId="49" fillId="30" borderId="92" xfId="0" applyNumberFormat="1" applyFont="1" applyFill="1" applyBorder="1" applyAlignment="1">
      <alignment horizontal="center" vertical="center" shrinkToFit="1"/>
    </xf>
    <xf numFmtId="49" fontId="49" fillId="30" borderId="93" xfId="0" applyNumberFormat="1" applyFont="1" applyFill="1" applyBorder="1" applyAlignment="1">
      <alignment horizontal="center" vertical="center" shrinkToFit="1"/>
    </xf>
    <xf numFmtId="0" fontId="46" fillId="21" borderId="94" xfId="0" applyFont="1" applyFill="1" applyBorder="1" applyAlignment="1">
      <alignment horizontal="center" vertical="center" shrinkToFit="1"/>
    </xf>
    <xf numFmtId="0" fontId="46" fillId="21" borderId="94" xfId="0" quotePrefix="1" applyFont="1" applyFill="1" applyBorder="1" applyAlignment="1">
      <alignment horizontal="center" vertical="center" shrinkToFit="1"/>
    </xf>
    <xf numFmtId="0" fontId="46" fillId="0" borderId="94" xfId="0" applyFont="1" applyBorder="1" applyAlignment="1">
      <alignment horizontal="center" vertical="center" shrinkToFit="1"/>
    </xf>
    <xf numFmtId="0" fontId="50" fillId="2" borderId="95" xfId="0" applyNumberFormat="1" applyFont="1" applyFill="1" applyBorder="1" applyAlignment="1">
      <alignment horizontal="center" vertical="center" shrinkToFit="1"/>
    </xf>
    <xf numFmtId="0" fontId="52" fillId="21" borderId="94" xfId="0" applyFont="1" applyFill="1" applyBorder="1" applyAlignment="1">
      <alignment horizontal="center" vertical="center" shrinkToFit="1"/>
    </xf>
    <xf numFmtId="0" fontId="43" fillId="21" borderId="97" xfId="0" applyNumberFormat="1" applyFont="1" applyFill="1" applyBorder="1" applyAlignment="1">
      <alignment horizontal="center" vertical="center" shrinkToFit="1"/>
    </xf>
    <xf numFmtId="0" fontId="46" fillId="21" borderId="96" xfId="0" applyFont="1" applyFill="1" applyBorder="1" applyAlignment="1">
      <alignment horizontal="center" vertical="center" shrinkToFit="1"/>
    </xf>
    <xf numFmtId="0" fontId="52" fillId="21" borderId="96" xfId="0" applyFont="1" applyFill="1" applyBorder="1" applyAlignment="1">
      <alignment horizontal="center" vertical="center" shrinkToFit="1"/>
    </xf>
    <xf numFmtId="0" fontId="46" fillId="21" borderId="96" xfId="0" quotePrefix="1" applyFont="1" applyFill="1" applyBorder="1" applyAlignment="1">
      <alignment horizontal="center" vertical="center" shrinkToFit="1"/>
    </xf>
    <xf numFmtId="0" fontId="42" fillId="2" borderId="97" xfId="0" applyNumberFormat="1" applyFont="1" applyFill="1" applyBorder="1" applyAlignment="1">
      <alignment horizontal="center" vertical="center" shrinkToFit="1"/>
    </xf>
    <xf numFmtId="0" fontId="46" fillId="0" borderId="96" xfId="0" applyFont="1" applyBorder="1" applyAlignment="1">
      <alignment horizontal="center" vertical="center" shrinkToFit="1"/>
    </xf>
    <xf numFmtId="0" fontId="50" fillId="2" borderId="97" xfId="0" applyNumberFormat="1" applyFont="1" applyFill="1" applyBorder="1" applyAlignment="1">
      <alignment horizontal="center" vertical="center" shrinkToFit="1"/>
    </xf>
    <xf numFmtId="0" fontId="52" fillId="21" borderId="23" xfId="0" applyFont="1" applyFill="1" applyBorder="1" applyAlignment="1">
      <alignment horizontal="center" vertical="center" shrinkToFit="1"/>
    </xf>
    <xf numFmtId="0" fontId="43" fillId="21" borderId="94" xfId="0" quotePrefix="1" applyNumberFormat="1" applyFont="1" applyFill="1" applyBorder="1" applyAlignment="1">
      <alignment horizontal="center" vertical="center" shrinkToFit="1"/>
    </xf>
    <xf numFmtId="0" fontId="42" fillId="20" borderId="34" xfId="0" applyFont="1" applyFill="1" applyBorder="1" applyAlignment="1">
      <alignment horizontal="center" vertical="center" shrinkToFit="1"/>
    </xf>
    <xf numFmtId="0" fontId="43" fillId="20" borderId="34" xfId="0" applyFont="1" applyFill="1" applyBorder="1" applyAlignment="1">
      <alignment horizontal="center" vertical="center" shrinkToFit="1"/>
    </xf>
    <xf numFmtId="49" fontId="43" fillId="31" borderId="98" xfId="0" applyNumberFormat="1" applyFont="1" applyFill="1" applyBorder="1" applyAlignment="1">
      <alignment horizontal="center" vertical="center" shrinkToFit="1"/>
    </xf>
    <xf numFmtId="49" fontId="49" fillId="31" borderId="98" xfId="0" applyNumberFormat="1" applyFont="1" applyFill="1" applyBorder="1" applyAlignment="1">
      <alignment horizontal="center" vertical="center" shrinkToFit="1"/>
    </xf>
    <xf numFmtId="0" fontId="42" fillId="0" borderId="99" xfId="0" applyNumberFormat="1" applyFont="1" applyFill="1" applyBorder="1" applyAlignment="1">
      <alignment horizontal="center" vertical="center" shrinkToFit="1"/>
    </xf>
    <xf numFmtId="0" fontId="43" fillId="0" borderId="98" xfId="0" applyFont="1" applyBorder="1" applyAlignment="1">
      <alignment horizontal="center" vertical="center" shrinkToFit="1"/>
    </xf>
    <xf numFmtId="0" fontId="43" fillId="2" borderId="99" xfId="0" applyNumberFormat="1" applyFont="1" applyFill="1" applyBorder="1" applyAlignment="1">
      <alignment horizontal="center" vertical="center" shrinkToFit="1"/>
    </xf>
    <xf numFmtId="0" fontId="49" fillId="31" borderId="23" xfId="0" applyFont="1" applyFill="1" applyBorder="1" applyAlignment="1">
      <alignment horizontal="center" vertical="center" shrinkToFit="1"/>
    </xf>
    <xf numFmtId="49" fontId="43" fillId="30" borderId="100" xfId="0" applyNumberFormat="1" applyFont="1" applyFill="1" applyBorder="1" applyAlignment="1">
      <alignment horizontal="center" vertical="center" shrinkToFit="1"/>
    </xf>
    <xf numFmtId="49" fontId="49" fillId="30" borderId="100" xfId="0" applyNumberFormat="1" applyFont="1" applyFill="1" applyBorder="1" applyAlignment="1">
      <alignment horizontal="center" vertical="center" shrinkToFit="1"/>
    </xf>
    <xf numFmtId="0" fontId="42" fillId="0" borderId="101" xfId="0" applyFont="1" applyBorder="1" applyAlignment="1">
      <alignment horizontal="center" vertical="center" shrinkToFit="1"/>
    </xf>
    <xf numFmtId="0" fontId="43" fillId="0" borderId="100" xfId="0" applyFont="1" applyBorder="1" applyAlignment="1">
      <alignment horizontal="center" vertical="center" shrinkToFit="1"/>
    </xf>
    <xf numFmtId="0" fontId="43" fillId="2" borderId="101" xfId="0" applyNumberFormat="1" applyFont="1" applyFill="1" applyBorder="1" applyAlignment="1">
      <alignment horizontal="center" vertical="center" shrinkToFit="1"/>
    </xf>
    <xf numFmtId="49" fontId="53" fillId="30" borderId="93" xfId="0" applyNumberFormat="1" applyFont="1" applyFill="1" applyBorder="1" applyAlignment="1">
      <alignment horizontal="center" vertical="center" shrinkToFit="1"/>
    </xf>
    <xf numFmtId="0" fontId="50" fillId="21" borderId="87" xfId="0" quotePrefix="1" applyNumberFormat="1" applyFont="1" applyFill="1" applyBorder="1" applyAlignment="1">
      <alignment horizontal="center" vertical="center" shrinkToFit="1"/>
    </xf>
    <xf numFmtId="0" fontId="43" fillId="0" borderId="103" xfId="0" applyFont="1" applyFill="1" applyBorder="1" applyAlignment="1">
      <alignment horizontal="center" vertical="center" shrinkToFit="1"/>
    </xf>
    <xf numFmtId="0" fontId="46" fillId="0" borderId="104" xfId="0" applyFont="1" applyFill="1" applyBorder="1" applyAlignment="1">
      <alignment horizontal="center" vertical="center" shrinkToFit="1"/>
    </xf>
    <xf numFmtId="0" fontId="46" fillId="0" borderId="102" xfId="0" applyFont="1" applyFill="1" applyBorder="1" applyAlignment="1">
      <alignment horizontal="center" vertical="center" shrinkToFit="1"/>
    </xf>
    <xf numFmtId="0" fontId="49" fillId="28" borderId="34" xfId="0" applyFont="1" applyFill="1" applyBorder="1" applyAlignment="1">
      <alignment horizontal="center" vertical="center" shrinkToFit="1"/>
    </xf>
    <xf numFmtId="0" fontId="42" fillId="0" borderId="106" xfId="0" applyFont="1" applyBorder="1" applyAlignment="1">
      <alignment horizontal="center" vertical="center" shrinkToFit="1"/>
    </xf>
    <xf numFmtId="0" fontId="43" fillId="0" borderId="105" xfId="0" applyFont="1" applyBorder="1" applyAlignment="1">
      <alignment horizontal="center" vertical="center" shrinkToFit="1"/>
    </xf>
    <xf numFmtId="0" fontId="43" fillId="2" borderId="106" xfId="0" applyNumberFormat="1" applyFont="1" applyFill="1" applyBorder="1" applyAlignment="1">
      <alignment horizontal="center" vertical="center" shrinkToFit="1"/>
    </xf>
    <xf numFmtId="0" fontId="49" fillId="20" borderId="34" xfId="0" applyFont="1" applyFill="1" applyBorder="1" applyAlignment="1">
      <alignment horizontal="center" vertical="center" shrinkToFit="1"/>
    </xf>
    <xf numFmtId="0" fontId="43" fillId="20" borderId="34" xfId="0" quotePrefix="1" applyNumberFormat="1" applyFont="1" applyFill="1" applyBorder="1" applyAlignment="1">
      <alignment horizontal="center" vertical="center" shrinkToFit="1"/>
    </xf>
    <xf numFmtId="0" fontId="46" fillId="0" borderId="108" xfId="0" applyFont="1" applyFill="1" applyBorder="1" applyAlignment="1">
      <alignment horizontal="center" vertical="center" shrinkToFit="1"/>
    </xf>
    <xf numFmtId="0" fontId="46" fillId="0" borderId="107" xfId="0" applyFont="1" applyFill="1" applyBorder="1" applyAlignment="1">
      <alignment horizontal="center" vertical="center" shrinkToFit="1"/>
    </xf>
    <xf numFmtId="0" fontId="49" fillId="21" borderId="34" xfId="0" applyFont="1" applyFill="1" applyBorder="1" applyAlignment="1">
      <alignment horizontal="center" vertical="center" shrinkToFit="1"/>
    </xf>
    <xf numFmtId="0" fontId="43" fillId="20" borderId="34" xfId="0" quotePrefix="1" applyFont="1" applyFill="1" applyBorder="1" applyAlignment="1">
      <alignment horizontal="center" vertical="center" shrinkToFit="1"/>
    </xf>
    <xf numFmtId="49" fontId="50" fillId="31" borderId="90" xfId="0" applyNumberFormat="1" applyFont="1" applyFill="1" applyBorder="1" applyAlignment="1">
      <alignment horizontal="center" vertical="center" shrinkToFit="1"/>
    </xf>
    <xf numFmtId="0" fontId="43" fillId="21" borderId="109" xfId="0" quotePrefix="1" applyFont="1" applyFill="1" applyBorder="1" applyAlignment="1">
      <alignment horizontal="center" vertical="center" shrinkToFit="1"/>
    </xf>
    <xf numFmtId="0" fontId="43" fillId="21" borderId="109" xfId="0" applyFont="1" applyFill="1" applyBorder="1" applyAlignment="1">
      <alignment horizontal="center" vertical="center" shrinkToFit="1"/>
    </xf>
    <xf numFmtId="0" fontId="49" fillId="21" borderId="109" xfId="0" applyFont="1" applyFill="1" applyBorder="1" applyAlignment="1">
      <alignment horizontal="center" vertical="center" shrinkToFit="1"/>
    </xf>
    <xf numFmtId="0" fontId="42" fillId="0" borderId="110" xfId="0" applyFont="1" applyBorder="1" applyAlignment="1">
      <alignment horizontal="center" vertical="center" shrinkToFit="1"/>
    </xf>
    <xf numFmtId="0" fontId="46" fillId="0" borderId="111" xfId="0" applyFont="1" applyFill="1" applyBorder="1" applyAlignment="1">
      <alignment horizontal="center" vertical="center" shrinkToFit="1"/>
    </xf>
    <xf numFmtId="0" fontId="46" fillId="0" borderId="110" xfId="0" applyFont="1" applyFill="1" applyBorder="1" applyAlignment="1">
      <alignment horizontal="center" vertical="center" shrinkToFit="1"/>
    </xf>
    <xf numFmtId="0" fontId="49" fillId="28" borderId="112" xfId="0" applyFont="1" applyFill="1" applyBorder="1" applyAlignment="1">
      <alignment horizontal="center" vertical="center" shrinkToFit="1"/>
    </xf>
    <xf numFmtId="0" fontId="46" fillId="0" borderId="113" xfId="0" applyFont="1" applyFill="1" applyBorder="1" applyAlignment="1">
      <alignment horizontal="center" vertical="center" shrinkToFit="1"/>
    </xf>
    <xf numFmtId="0" fontId="46" fillId="0" borderId="112" xfId="0" applyFont="1" applyFill="1" applyBorder="1" applyAlignment="1">
      <alignment horizontal="center" vertical="center" shrinkToFit="1"/>
    </xf>
    <xf numFmtId="0" fontId="43" fillId="20" borderId="114" xfId="0" quotePrefix="1" applyFont="1" applyFill="1" applyBorder="1" applyAlignment="1">
      <alignment horizontal="center" vertical="center" shrinkToFit="1"/>
    </xf>
    <xf numFmtId="0" fontId="43" fillId="20" borderId="114" xfId="0" applyFont="1" applyFill="1" applyBorder="1" applyAlignment="1">
      <alignment horizontal="center" vertical="center" shrinkToFit="1"/>
    </xf>
    <xf numFmtId="0" fontId="49" fillId="20" borderId="114" xfId="0" applyFont="1" applyFill="1" applyBorder="1" applyAlignment="1">
      <alignment horizontal="center" vertical="center" shrinkToFit="1"/>
    </xf>
    <xf numFmtId="0" fontId="43" fillId="0" borderId="115" xfId="0" applyFont="1" applyFill="1" applyBorder="1" applyAlignment="1">
      <alignment horizontal="center" vertical="center" shrinkToFit="1"/>
    </xf>
    <xf numFmtId="0" fontId="46" fillId="0" borderId="116" xfId="0" applyFont="1" applyFill="1" applyBorder="1" applyAlignment="1">
      <alignment horizontal="center" vertical="center" shrinkToFit="1"/>
    </xf>
    <xf numFmtId="49" fontId="43" fillId="30" borderId="117" xfId="0" applyNumberFormat="1" applyFont="1" applyFill="1" applyBorder="1" applyAlignment="1">
      <alignment horizontal="center" vertical="center" shrinkToFit="1"/>
    </xf>
    <xf numFmtId="0" fontId="43" fillId="0" borderId="117" xfId="0" applyFont="1" applyBorder="1" applyAlignment="1">
      <alignment horizontal="center" vertical="center" shrinkToFit="1"/>
    </xf>
    <xf numFmtId="0" fontId="43" fillId="2" borderId="114" xfId="0" applyNumberFormat="1" applyFont="1" applyFill="1" applyBorder="1" applyAlignment="1">
      <alignment horizontal="center" vertical="center" shrinkToFit="1"/>
    </xf>
    <xf numFmtId="49" fontId="49" fillId="30" borderId="117" xfId="0" applyNumberFormat="1" applyFont="1" applyFill="1" applyBorder="1" applyAlignment="1">
      <alignment horizontal="center" vertical="center" shrinkToFit="1"/>
    </xf>
    <xf numFmtId="49" fontId="53" fillId="31" borderId="90" xfId="0" applyNumberFormat="1" applyFont="1" applyFill="1" applyBorder="1" applyAlignment="1">
      <alignment horizontal="center" vertical="center" shrinkToFit="1"/>
    </xf>
    <xf numFmtId="49" fontId="53" fillId="30" borderId="117" xfId="0" applyNumberFormat="1" applyFont="1" applyFill="1" applyBorder="1" applyAlignment="1">
      <alignment horizontal="center" vertical="center" shrinkToFit="1"/>
    </xf>
    <xf numFmtId="49" fontId="43" fillId="31" borderId="118" xfId="0" applyNumberFormat="1" applyFont="1" applyFill="1" applyBorder="1" applyAlignment="1">
      <alignment horizontal="center" vertical="center" shrinkToFit="1"/>
    </xf>
    <xf numFmtId="49" fontId="50" fillId="31" borderId="118" xfId="0" applyNumberFormat="1" applyFont="1" applyFill="1" applyBorder="1" applyAlignment="1">
      <alignment horizontal="center" vertical="center" shrinkToFit="1"/>
    </xf>
    <xf numFmtId="0" fontId="43" fillId="0" borderId="118" xfId="0" applyFont="1" applyBorder="1" applyAlignment="1">
      <alignment horizontal="center" vertical="center" shrinkToFit="1"/>
    </xf>
    <xf numFmtId="0" fontId="43" fillId="2" borderId="119" xfId="0" applyNumberFormat="1" applyFont="1" applyFill="1" applyBorder="1" applyAlignment="1">
      <alignment horizontal="center" vertical="center" shrinkToFit="1"/>
    </xf>
    <xf numFmtId="49" fontId="49" fillId="31" borderId="118" xfId="0" applyNumberFormat="1" applyFont="1" applyFill="1" applyBorder="1" applyAlignment="1">
      <alignment horizontal="center" vertical="center" shrinkToFit="1"/>
    </xf>
    <xf numFmtId="49" fontId="49" fillId="31" borderId="119" xfId="0" applyNumberFormat="1" applyFont="1" applyFill="1" applyBorder="1" applyAlignment="1">
      <alignment horizontal="center" vertical="center" shrinkToFit="1"/>
    </xf>
    <xf numFmtId="49" fontId="43" fillId="31" borderId="118" xfId="0" quotePrefix="1" applyNumberFormat="1" applyFont="1" applyFill="1" applyBorder="1" applyAlignment="1">
      <alignment horizontal="center" vertical="center" shrinkToFit="1"/>
    </xf>
    <xf numFmtId="0" fontId="43" fillId="20" borderId="120" xfId="0" applyFont="1" applyFill="1" applyBorder="1" applyAlignment="1">
      <alignment horizontal="center" vertical="center" shrinkToFit="1"/>
    </xf>
    <xf numFmtId="0" fontId="49" fillId="20" borderId="120" xfId="0" applyFont="1" applyFill="1" applyBorder="1" applyAlignment="1">
      <alignment horizontal="center" vertical="center" shrinkToFit="1"/>
    </xf>
    <xf numFmtId="0" fontId="43" fillId="20" borderId="120" xfId="0" quotePrefix="1" applyFont="1" applyFill="1" applyBorder="1" applyAlignment="1">
      <alignment horizontal="center" vertical="center" shrinkToFit="1"/>
    </xf>
    <xf numFmtId="0" fontId="43" fillId="0" borderId="121" xfId="0" applyFont="1" applyFill="1" applyBorder="1" applyAlignment="1">
      <alignment horizontal="center" vertical="center" shrinkToFit="1"/>
    </xf>
    <xf numFmtId="0" fontId="46" fillId="0" borderId="122" xfId="0" applyFont="1" applyFill="1" applyBorder="1" applyAlignment="1">
      <alignment horizontal="center" vertical="center" shrinkToFit="1"/>
    </xf>
    <xf numFmtId="0" fontId="46" fillId="0" borderId="120" xfId="0" applyFont="1" applyFill="1" applyBorder="1" applyAlignment="1">
      <alignment horizontal="center" vertical="center" shrinkToFit="1"/>
    </xf>
    <xf numFmtId="0" fontId="52" fillId="0" borderId="114" xfId="0" applyFont="1" applyFill="1" applyBorder="1" applyAlignment="1">
      <alignment horizontal="center" vertical="center" shrinkToFit="1"/>
    </xf>
    <xf numFmtId="0" fontId="43" fillId="20" borderId="114" xfId="0" quotePrefix="1" applyNumberFormat="1" applyFont="1" applyFill="1" applyBorder="1" applyAlignment="1">
      <alignment horizontal="center" vertical="center" shrinkToFit="1"/>
    </xf>
    <xf numFmtId="0" fontId="43" fillId="2" borderId="124" xfId="0" applyNumberFormat="1" applyFont="1" applyFill="1" applyBorder="1" applyAlignment="1">
      <alignment horizontal="center" vertical="center" shrinkToFit="1"/>
    </xf>
    <xf numFmtId="49" fontId="43" fillId="2" borderId="123" xfId="0" applyNumberFormat="1" applyFont="1" applyFill="1" applyBorder="1" applyAlignment="1">
      <alignment horizontal="center" vertical="center" shrinkToFit="1"/>
    </xf>
    <xf numFmtId="49" fontId="49" fillId="2" borderId="123" xfId="0" applyNumberFormat="1" applyFont="1" applyFill="1" applyBorder="1" applyAlignment="1">
      <alignment horizontal="center" vertical="center" shrinkToFit="1"/>
    </xf>
    <xf numFmtId="49" fontId="49" fillId="2" borderId="23" xfId="0" applyNumberFormat="1" applyFont="1" applyFill="1" applyBorder="1" applyAlignment="1">
      <alignment horizontal="center" vertical="center" shrinkToFit="1"/>
    </xf>
    <xf numFmtId="49" fontId="50" fillId="2" borderId="123" xfId="0" applyNumberFormat="1" applyFont="1" applyFill="1" applyBorder="1" applyAlignment="1">
      <alignment horizontal="center" vertical="center" shrinkToFit="1"/>
    </xf>
    <xf numFmtId="0" fontId="42" fillId="2" borderId="0" xfId="0" applyFont="1" applyFill="1" applyAlignment="1">
      <alignment horizontal="left" vertical="center" shrinkToFit="1"/>
    </xf>
    <xf numFmtId="0" fontId="42" fillId="2" borderId="124" xfId="0" applyFont="1" applyFill="1" applyBorder="1" applyAlignment="1">
      <alignment horizontal="center" vertical="center" shrinkToFit="1"/>
    </xf>
    <xf numFmtId="0" fontId="43" fillId="2" borderId="123" xfId="0" applyFont="1" applyFill="1" applyBorder="1" applyAlignment="1">
      <alignment horizontal="center" vertical="center" shrinkToFit="1"/>
    </xf>
    <xf numFmtId="49" fontId="43" fillId="31" borderId="125" xfId="0" quotePrefix="1" applyNumberFormat="1" applyFont="1" applyFill="1" applyBorder="1" applyAlignment="1">
      <alignment horizontal="center" vertical="center" shrinkToFit="1"/>
    </xf>
    <xf numFmtId="49" fontId="43" fillId="31" borderId="125" xfId="0" applyNumberFormat="1" applyFont="1" applyFill="1" applyBorder="1" applyAlignment="1">
      <alignment horizontal="center" vertical="center" shrinkToFit="1"/>
    </xf>
    <xf numFmtId="49" fontId="49" fillId="31" borderId="125" xfId="0" applyNumberFormat="1" applyFont="1" applyFill="1" applyBorder="1" applyAlignment="1">
      <alignment horizontal="center" vertical="center" shrinkToFit="1"/>
    </xf>
    <xf numFmtId="49" fontId="49" fillId="31" borderId="23" xfId="0" applyNumberFormat="1" applyFont="1" applyFill="1" applyBorder="1" applyAlignment="1">
      <alignment horizontal="center" vertical="center" shrinkToFit="1"/>
    </xf>
    <xf numFmtId="49" fontId="50" fillId="31" borderId="125" xfId="0" applyNumberFormat="1" applyFont="1" applyFill="1" applyBorder="1" applyAlignment="1">
      <alignment horizontal="center" vertical="center" shrinkToFit="1"/>
    </xf>
    <xf numFmtId="0" fontId="42" fillId="0" borderId="126" xfId="0" applyFont="1" applyBorder="1" applyAlignment="1">
      <alignment horizontal="center" vertical="center" shrinkToFit="1"/>
    </xf>
    <xf numFmtId="0" fontId="43" fillId="0" borderId="125" xfId="0" applyFont="1" applyBorder="1" applyAlignment="1">
      <alignment horizontal="center" vertical="center" shrinkToFit="1"/>
    </xf>
    <xf numFmtId="0" fontId="43" fillId="2" borderId="126" xfId="0" applyNumberFormat="1" applyFont="1" applyFill="1" applyBorder="1" applyAlignment="1">
      <alignment horizontal="center" vertical="center" shrinkToFit="1"/>
    </xf>
    <xf numFmtId="49" fontId="43" fillId="30" borderId="127" xfId="0" applyNumberFormat="1" applyFont="1" applyFill="1" applyBorder="1" applyAlignment="1">
      <alignment horizontal="center" vertical="center" shrinkToFit="1"/>
    </xf>
    <xf numFmtId="49" fontId="49" fillId="30" borderId="127" xfId="0" applyNumberFormat="1" applyFont="1" applyFill="1" applyBorder="1" applyAlignment="1">
      <alignment horizontal="center" vertical="center" shrinkToFit="1"/>
    </xf>
    <xf numFmtId="49" fontId="53" fillId="30" borderId="127" xfId="0" applyNumberFormat="1" applyFont="1" applyFill="1" applyBorder="1" applyAlignment="1">
      <alignment horizontal="center" vertical="center" shrinkToFit="1"/>
    </xf>
    <xf numFmtId="0" fontId="43" fillId="0" borderId="128" xfId="0" applyNumberFormat="1" applyFont="1" applyFill="1" applyBorder="1" applyAlignment="1">
      <alignment horizontal="center" vertical="center" shrinkToFit="1"/>
    </xf>
    <xf numFmtId="0" fontId="43" fillId="0" borderId="127" xfId="0" applyFont="1" applyBorder="1" applyAlignment="1">
      <alignment horizontal="center" vertical="center" shrinkToFit="1"/>
    </xf>
    <xf numFmtId="0" fontId="43" fillId="2" borderId="128" xfId="0" applyNumberFormat="1" applyFont="1" applyFill="1" applyBorder="1" applyAlignment="1">
      <alignment horizontal="center" vertical="center" shrinkToFit="1"/>
    </xf>
    <xf numFmtId="0" fontId="43" fillId="20" borderId="120" xfId="0" quotePrefix="1" applyNumberFormat="1" applyFont="1" applyFill="1" applyBorder="1" applyAlignment="1">
      <alignment horizontal="center" vertical="center" shrinkToFit="1"/>
    </xf>
    <xf numFmtId="49" fontId="46" fillId="0" borderId="129" xfId="0" applyNumberFormat="1" applyFont="1" applyFill="1" applyBorder="1" applyAlignment="1">
      <alignment horizontal="center" vertical="center" shrinkToFit="1"/>
    </xf>
    <xf numFmtId="0" fontId="43" fillId="0" borderId="130" xfId="0" applyNumberFormat="1" applyFont="1" applyFill="1" applyBorder="1" applyAlignment="1">
      <alignment horizontal="center" vertical="center" shrinkToFit="1"/>
    </xf>
    <xf numFmtId="0" fontId="43" fillId="0" borderId="129" xfId="0" applyNumberFormat="1" applyFont="1" applyFill="1" applyBorder="1" applyAlignment="1">
      <alignment horizontal="center" vertical="center" shrinkToFit="1"/>
    </xf>
    <xf numFmtId="0" fontId="46" fillId="0" borderId="129" xfId="0" applyFont="1" applyFill="1" applyBorder="1" applyAlignment="1">
      <alignment horizontal="center" vertical="center" shrinkToFit="1"/>
    </xf>
    <xf numFmtId="176" fontId="43" fillId="0" borderId="129" xfId="0" applyNumberFormat="1" applyFont="1" applyFill="1" applyBorder="1" applyAlignment="1">
      <alignment horizontal="center" vertical="center" shrinkToFit="1"/>
    </xf>
    <xf numFmtId="0" fontId="46" fillId="0" borderId="129" xfId="0" applyFont="1" applyBorder="1" applyAlignment="1">
      <alignment horizontal="center" vertical="center" shrinkToFit="1"/>
    </xf>
    <xf numFmtId="0" fontId="43" fillId="2" borderId="130" xfId="0" applyNumberFormat="1" applyFont="1" applyFill="1" applyBorder="1" applyAlignment="1">
      <alignment horizontal="center" vertical="center" shrinkToFit="1"/>
    </xf>
    <xf numFmtId="49" fontId="50" fillId="30" borderId="131" xfId="0" applyNumberFormat="1" applyFont="1" applyFill="1" applyBorder="1" applyAlignment="1">
      <alignment horizontal="center" vertical="center" shrinkToFit="1"/>
    </xf>
    <xf numFmtId="49" fontId="53" fillId="30" borderId="131" xfId="0" applyNumberFormat="1" applyFont="1" applyFill="1" applyBorder="1" applyAlignment="1">
      <alignment horizontal="center" vertical="center" shrinkToFit="1"/>
    </xf>
    <xf numFmtId="49" fontId="50" fillId="30" borderId="87" xfId="0" applyNumberFormat="1" applyFont="1" applyFill="1" applyBorder="1" applyAlignment="1">
      <alignment horizontal="center" vertical="center" shrinkToFit="1"/>
    </xf>
    <xf numFmtId="0" fontId="50" fillId="0" borderId="132" xfId="0" applyNumberFormat="1" applyFont="1" applyFill="1" applyBorder="1" applyAlignment="1">
      <alignment horizontal="center" vertical="center" shrinkToFit="1"/>
    </xf>
    <xf numFmtId="0" fontId="50" fillId="0" borderId="131" xfId="0" applyFont="1" applyBorder="1" applyAlignment="1">
      <alignment horizontal="center" vertical="center" shrinkToFit="1"/>
    </xf>
    <xf numFmtId="0" fontId="50" fillId="2" borderId="132" xfId="0" applyNumberFormat="1" applyFont="1" applyFill="1" applyBorder="1" applyAlignment="1">
      <alignment horizontal="center" vertical="center" shrinkToFit="1"/>
    </xf>
    <xf numFmtId="0" fontId="60" fillId="0" borderId="0" xfId="0" applyFont="1" applyAlignment="1">
      <alignment horizontal="left" vertical="center" shrinkToFit="1"/>
    </xf>
    <xf numFmtId="0" fontId="43" fillId="2" borderId="135" xfId="0" applyFont="1" applyFill="1" applyBorder="1" applyAlignment="1">
      <alignment horizontal="center" vertical="center" shrinkToFit="1"/>
    </xf>
    <xf numFmtId="0" fontId="43" fillId="2" borderId="136" xfId="0" applyNumberFormat="1" applyFont="1" applyFill="1" applyBorder="1" applyAlignment="1">
      <alignment horizontal="center" vertical="center" shrinkToFit="1"/>
    </xf>
    <xf numFmtId="0" fontId="39" fillId="0" borderId="137" xfId="0" applyFont="1" applyBorder="1" applyAlignment="1">
      <alignment horizontal="center" vertical="center" shrinkToFit="1"/>
    </xf>
    <xf numFmtId="0" fontId="45" fillId="2" borderId="138" xfId="0" applyNumberFormat="1" applyFont="1" applyFill="1" applyBorder="1" applyAlignment="1">
      <alignment horizontal="center" vertical="center" shrinkToFit="1"/>
    </xf>
    <xf numFmtId="0" fontId="43" fillId="2" borderId="138" xfId="0" applyNumberFormat="1" applyFont="1" applyFill="1" applyBorder="1" applyAlignment="1">
      <alignment horizontal="center" vertical="center" shrinkToFit="1"/>
    </xf>
    <xf numFmtId="0" fontId="42" fillId="2" borderId="138" xfId="0" applyFont="1" applyFill="1" applyBorder="1" applyAlignment="1">
      <alignment horizontal="center" vertical="center" shrinkToFit="1"/>
    </xf>
    <xf numFmtId="0" fontId="43" fillId="2" borderId="137" xfId="0" applyFont="1" applyFill="1" applyBorder="1" applyAlignment="1">
      <alignment horizontal="center" vertical="center" shrinkToFit="1"/>
    </xf>
    <xf numFmtId="49" fontId="43" fillId="30" borderId="139" xfId="0" applyNumberFormat="1" applyFont="1" applyFill="1" applyBorder="1" applyAlignment="1">
      <alignment horizontal="center" vertical="center" shrinkToFit="1"/>
    </xf>
    <xf numFmtId="0" fontId="42" fillId="2" borderId="140" xfId="0" applyFont="1" applyFill="1" applyBorder="1" applyAlignment="1">
      <alignment horizontal="center" vertical="center" shrinkToFit="1"/>
    </xf>
    <xf numFmtId="0" fontId="43" fillId="2" borderId="139" xfId="0" applyFont="1" applyFill="1" applyBorder="1" applyAlignment="1">
      <alignment horizontal="center" vertical="center" shrinkToFit="1"/>
    </xf>
    <xf numFmtId="0" fontId="43" fillId="2" borderId="140" xfId="0" applyNumberFormat="1" applyFont="1" applyFill="1" applyBorder="1" applyAlignment="1">
      <alignment horizontal="center" vertical="center" shrinkToFit="1"/>
    </xf>
    <xf numFmtId="49" fontId="49" fillId="30" borderId="139" xfId="0" applyNumberFormat="1" applyFont="1" applyFill="1" applyBorder="1" applyAlignment="1">
      <alignment horizontal="center" vertical="center" shrinkToFit="1"/>
    </xf>
    <xf numFmtId="49" fontId="43" fillId="20" borderId="140" xfId="0" applyNumberFormat="1" applyFont="1" applyFill="1" applyBorder="1" applyAlignment="1">
      <alignment horizontal="center" vertical="center" shrinkToFit="1"/>
    </xf>
    <xf numFmtId="49" fontId="43" fillId="20" borderId="139" xfId="0" applyNumberFormat="1" applyFont="1" applyFill="1" applyBorder="1" applyAlignment="1">
      <alignment horizontal="center" vertical="center" shrinkToFit="1"/>
    </xf>
    <xf numFmtId="49" fontId="50" fillId="30" borderId="117" xfId="0" applyNumberFormat="1" applyFont="1" applyFill="1" applyBorder="1" applyAlignment="1">
      <alignment horizontal="center" vertical="center" shrinkToFit="1"/>
    </xf>
    <xf numFmtId="0" fontId="60" fillId="2" borderId="0" xfId="0" applyFont="1" applyFill="1" applyAlignment="1">
      <alignment horizontal="left" vertical="center" shrinkToFit="1"/>
    </xf>
    <xf numFmtId="0" fontId="60" fillId="2" borderId="124" xfId="0" applyFont="1" applyFill="1" applyBorder="1" applyAlignment="1">
      <alignment horizontal="center" vertical="center" shrinkToFit="1"/>
    </xf>
    <xf numFmtId="0" fontId="50" fillId="2" borderId="123" xfId="0" applyFont="1" applyFill="1" applyBorder="1" applyAlignment="1">
      <alignment horizontal="center" vertical="center" shrinkToFit="1"/>
    </xf>
    <xf numFmtId="0" fontId="50" fillId="2" borderId="124" xfId="0" applyNumberFormat="1" applyFont="1" applyFill="1" applyBorder="1" applyAlignment="1">
      <alignment horizontal="center" vertical="center" shrinkToFit="1"/>
    </xf>
    <xf numFmtId="0" fontId="50" fillId="2" borderId="133" xfId="0" applyFont="1" applyFill="1" applyBorder="1" applyAlignment="1">
      <alignment horizontal="center" vertical="center" shrinkToFit="1"/>
    </xf>
    <xf numFmtId="0" fontId="50" fillId="2" borderId="134" xfId="0" applyNumberFormat="1" applyFont="1" applyFill="1" applyBorder="1" applyAlignment="1">
      <alignment horizontal="center" vertical="center" shrinkToFit="1"/>
    </xf>
    <xf numFmtId="49" fontId="50" fillId="30" borderId="139" xfId="0" applyNumberFormat="1" applyFont="1" applyFill="1" applyBorder="1" applyAlignment="1">
      <alignment horizontal="center" vertical="center" shrinkToFit="1"/>
    </xf>
    <xf numFmtId="49" fontId="53" fillId="30" borderId="139" xfId="0" applyNumberFormat="1" applyFont="1" applyFill="1" applyBorder="1" applyAlignment="1">
      <alignment horizontal="center" vertical="center" shrinkToFit="1"/>
    </xf>
    <xf numFmtId="0" fontId="60" fillId="2" borderId="140" xfId="0" applyFont="1" applyFill="1" applyBorder="1" applyAlignment="1">
      <alignment horizontal="center" vertical="center" shrinkToFit="1"/>
    </xf>
    <xf numFmtId="0" fontId="50" fillId="2" borderId="139" xfId="0" applyFont="1" applyFill="1" applyBorder="1" applyAlignment="1">
      <alignment horizontal="center" vertical="center" shrinkToFit="1"/>
    </xf>
    <xf numFmtId="0" fontId="50" fillId="2" borderId="140" xfId="0" applyNumberFormat="1" applyFont="1" applyFill="1" applyBorder="1" applyAlignment="1">
      <alignment horizontal="center" vertical="center" shrinkToFit="1"/>
    </xf>
    <xf numFmtId="0" fontId="39" fillId="0" borderId="141" xfId="0" applyFont="1" applyBorder="1" applyAlignment="1">
      <alignment horizontal="center" vertical="center" shrinkToFit="1"/>
    </xf>
    <xf numFmtId="0" fontId="45" fillId="2" borderId="142" xfId="0" applyNumberFormat="1" applyFont="1" applyFill="1" applyBorder="1" applyAlignment="1">
      <alignment horizontal="center" vertical="center" shrinkToFit="1"/>
    </xf>
    <xf numFmtId="0" fontId="43" fillId="21" borderId="34" xfId="0" quotePrefix="1" applyFont="1" applyFill="1" applyBorder="1" applyAlignment="1">
      <alignment horizontal="center" vertical="center" shrinkToFit="1"/>
    </xf>
    <xf numFmtId="0" fontId="43" fillId="20" borderId="137" xfId="0" applyFont="1" applyFill="1" applyBorder="1" applyAlignment="1">
      <alignment horizontal="center" vertical="center" shrinkToFit="1"/>
    </xf>
    <xf numFmtId="0" fontId="39" fillId="21" borderId="47" xfId="0" applyFont="1" applyFill="1" applyBorder="1" applyAlignment="1">
      <alignment horizontal="center" vertical="center" shrinkToFit="1"/>
    </xf>
    <xf numFmtId="176" fontId="39" fillId="0" borderId="43" xfId="0" applyNumberFormat="1" applyFont="1" applyFill="1" applyBorder="1" applyAlignment="1">
      <alignment horizontal="center" vertical="center" shrinkToFit="1"/>
    </xf>
    <xf numFmtId="0" fontId="43" fillId="20" borderId="138" xfId="0" applyFont="1" applyFill="1" applyBorder="1" applyAlignment="1">
      <alignment horizontal="center" vertical="center" shrinkToFit="1"/>
    </xf>
    <xf numFmtId="0" fontId="49" fillId="20" borderId="137" xfId="0" applyFont="1" applyFill="1" applyBorder="1" applyAlignment="1">
      <alignment horizontal="center" vertical="center" shrinkToFit="1"/>
    </xf>
    <xf numFmtId="0" fontId="49" fillId="20" borderId="23" xfId="0" applyFont="1" applyFill="1" applyBorder="1" applyAlignment="1">
      <alignment horizontal="center" vertical="center" shrinkToFit="1"/>
    </xf>
    <xf numFmtId="0" fontId="46" fillId="20" borderId="34" xfId="0" applyFont="1" applyFill="1" applyBorder="1" applyAlignment="1">
      <alignment horizontal="center" vertical="center" shrinkToFit="1"/>
    </xf>
    <xf numFmtId="49" fontId="49" fillId="31" borderId="143" xfId="0" applyNumberFormat="1" applyFont="1" applyFill="1" applyBorder="1" applyAlignment="1">
      <alignment horizontal="center" vertical="center" shrinkToFit="1"/>
    </xf>
    <xf numFmtId="49" fontId="50" fillId="30" borderId="144" xfId="0" applyNumberFormat="1" applyFont="1" applyFill="1" applyBorder="1" applyAlignment="1">
      <alignment horizontal="center" vertical="center" shrinkToFit="1"/>
    </xf>
    <xf numFmtId="49" fontId="53" fillId="30" borderId="144" xfId="0" applyNumberFormat="1" applyFont="1" applyFill="1" applyBorder="1" applyAlignment="1">
      <alignment horizontal="center" vertical="center" shrinkToFit="1"/>
    </xf>
    <xf numFmtId="0" fontId="50" fillId="2" borderId="144" xfId="0" applyFont="1" applyFill="1" applyBorder="1" applyAlignment="1">
      <alignment horizontal="center" vertical="center" shrinkToFit="1"/>
    </xf>
    <xf numFmtId="0" fontId="50" fillId="2" borderId="145" xfId="0" applyNumberFormat="1" applyFont="1" applyFill="1" applyBorder="1" applyAlignment="1">
      <alignment horizontal="center" vertical="center" shrinkToFit="1"/>
    </xf>
    <xf numFmtId="0" fontId="49" fillId="0" borderId="43" xfId="0" applyFont="1" applyBorder="1" applyAlignment="1">
      <alignment horizontal="center" vertical="center" shrinkToFit="1"/>
    </xf>
    <xf numFmtId="0" fontId="43" fillId="28" borderId="146" xfId="0" applyFont="1" applyFill="1" applyBorder="1" applyAlignment="1">
      <alignment horizontal="center" vertical="center" shrinkToFit="1"/>
    </xf>
    <xf numFmtId="0" fontId="49" fillId="28" borderId="146" xfId="0" applyFont="1" applyFill="1" applyBorder="1" applyAlignment="1">
      <alignment horizontal="center" vertical="center" shrinkToFit="1"/>
    </xf>
    <xf numFmtId="0" fontId="46" fillId="0" borderId="147" xfId="0" applyFont="1" applyFill="1" applyBorder="1" applyAlignment="1">
      <alignment horizontal="center" vertical="center" shrinkToFit="1"/>
    </xf>
    <xf numFmtId="0" fontId="46" fillId="0" borderId="146" xfId="0" applyFont="1" applyFill="1" applyBorder="1" applyAlignment="1">
      <alignment horizontal="center" vertical="center" shrinkToFit="1"/>
    </xf>
    <xf numFmtId="0" fontId="52" fillId="0" borderId="23" xfId="0" applyFont="1" applyFill="1" applyBorder="1" applyAlignment="1">
      <alignment horizontal="center" vertical="center" shrinkToFit="1"/>
    </xf>
    <xf numFmtId="0" fontId="43" fillId="0" borderId="43" xfId="0" applyNumberFormat="1" applyFont="1" applyBorder="1" applyAlignment="1">
      <alignment horizontal="center" vertical="center" shrinkToFit="1"/>
    </xf>
    <xf numFmtId="49" fontId="50" fillId="30" borderId="148" xfId="0" applyNumberFormat="1" applyFont="1" applyFill="1" applyBorder="1" applyAlignment="1">
      <alignment horizontal="center" vertical="center" shrinkToFit="1"/>
    </xf>
    <xf numFmtId="49" fontId="53" fillId="30" borderId="148" xfId="0" applyNumberFormat="1" applyFont="1" applyFill="1" applyBorder="1" applyAlignment="1">
      <alignment horizontal="center" vertical="center" shrinkToFit="1"/>
    </xf>
    <xf numFmtId="0" fontId="60" fillId="2" borderId="149" xfId="0" applyFont="1" applyFill="1" applyBorder="1" applyAlignment="1">
      <alignment horizontal="center" vertical="center" shrinkToFit="1"/>
    </xf>
    <xf numFmtId="0" fontId="50" fillId="2" borderId="148" xfId="0" applyFont="1" applyFill="1" applyBorder="1" applyAlignment="1">
      <alignment horizontal="center" vertical="center" shrinkToFit="1"/>
    </xf>
    <xf numFmtId="0" fontId="50" fillId="2" borderId="149" xfId="0" applyNumberFormat="1" applyFont="1" applyFill="1" applyBorder="1" applyAlignment="1">
      <alignment horizontal="center" vertical="center" shrinkToFit="1"/>
    </xf>
    <xf numFmtId="0" fontId="43" fillId="28" borderId="150" xfId="0" applyFont="1" applyFill="1" applyBorder="1" applyAlignment="1">
      <alignment horizontal="center" vertical="center" shrinkToFit="1"/>
    </xf>
    <xf numFmtId="0" fontId="49" fillId="28" borderId="150" xfId="0" applyFont="1" applyFill="1" applyBorder="1" applyAlignment="1">
      <alignment horizontal="center" vertical="center" shrinkToFit="1"/>
    </xf>
    <xf numFmtId="0" fontId="43" fillId="0" borderId="151" xfId="0" applyFont="1" applyFill="1" applyBorder="1" applyAlignment="1">
      <alignment horizontal="center" vertical="center" shrinkToFit="1"/>
    </xf>
    <xf numFmtId="0" fontId="46" fillId="0" borderId="152" xfId="0" applyFont="1" applyFill="1" applyBorder="1" applyAlignment="1">
      <alignment horizontal="center" vertical="center" shrinkToFit="1"/>
    </xf>
    <xf numFmtId="0" fontId="46" fillId="0" borderId="150" xfId="0" applyFont="1" applyFill="1" applyBorder="1" applyAlignment="1">
      <alignment horizontal="center" vertical="center" shrinkToFit="1"/>
    </xf>
    <xf numFmtId="0" fontId="42" fillId="2" borderId="154" xfId="0" applyFont="1" applyFill="1" applyBorder="1" applyAlignment="1">
      <alignment horizontal="center" vertical="center" shrinkToFit="1"/>
    </xf>
    <xf numFmtId="0" fontId="39" fillId="0" borderId="153" xfId="0" applyFont="1" applyBorder="1" applyAlignment="1">
      <alignment horizontal="center" vertical="center" shrinkToFit="1"/>
    </xf>
    <xf numFmtId="0" fontId="45" fillId="2" borderId="154" xfId="0" applyNumberFormat="1" applyFont="1" applyFill="1" applyBorder="1" applyAlignment="1">
      <alignment horizontal="center" vertical="center" shrinkToFit="1"/>
    </xf>
    <xf numFmtId="49" fontId="43" fillId="31" borderId="155" xfId="0" applyNumberFormat="1" applyFont="1" applyFill="1" applyBorder="1" applyAlignment="1">
      <alignment horizontal="center" vertical="center" shrinkToFit="1"/>
    </xf>
    <xf numFmtId="49" fontId="49" fillId="31" borderId="155" xfId="0" applyNumberFormat="1" applyFont="1" applyFill="1" applyBorder="1" applyAlignment="1">
      <alignment horizontal="center" vertical="center" shrinkToFit="1"/>
    </xf>
    <xf numFmtId="0" fontId="43" fillId="2" borderId="155" xfId="0" applyFont="1" applyFill="1" applyBorder="1" applyAlignment="1">
      <alignment horizontal="center" vertical="center" shrinkToFit="1"/>
    </xf>
    <xf numFmtId="0" fontId="43" fillId="2" borderId="156" xfId="0" applyNumberFormat="1" applyFont="1" applyFill="1" applyBorder="1" applyAlignment="1">
      <alignment horizontal="center" vertical="center" shrinkToFit="1"/>
    </xf>
    <xf numFmtId="0" fontId="42" fillId="2" borderId="145" xfId="0" applyFont="1" applyFill="1" applyBorder="1" applyAlignment="1">
      <alignment horizontal="center" vertical="center" shrinkToFit="1"/>
    </xf>
    <xf numFmtId="0" fontId="50" fillId="2" borderId="159" xfId="0" applyNumberFormat="1" applyFont="1" applyFill="1" applyBorder="1" applyAlignment="1">
      <alignment horizontal="center" vertical="center" shrinkToFit="1"/>
    </xf>
    <xf numFmtId="0" fontId="43" fillId="20" borderId="159" xfId="0" applyFont="1" applyFill="1" applyBorder="1" applyAlignment="1">
      <alignment horizontal="center" vertical="center" shrinkToFit="1"/>
    </xf>
    <xf numFmtId="0" fontId="42" fillId="2" borderId="157" xfId="0" applyFont="1" applyFill="1" applyBorder="1" applyAlignment="1">
      <alignment horizontal="center" vertical="center" shrinkToFit="1"/>
    </xf>
    <xf numFmtId="0" fontId="50" fillId="2" borderId="158" xfId="0" applyFont="1" applyFill="1" applyBorder="1" applyAlignment="1">
      <alignment horizontal="center" vertical="center" shrinkToFit="1"/>
    </xf>
    <xf numFmtId="0" fontId="50" fillId="2" borderId="160" xfId="0" applyNumberFormat="1" applyFont="1" applyFill="1" applyBorder="1" applyAlignment="1">
      <alignment horizontal="center" vertical="center" shrinkToFit="1"/>
    </xf>
    <xf numFmtId="0" fontId="43" fillId="20" borderId="160" xfId="0" applyFont="1" applyFill="1" applyBorder="1" applyAlignment="1">
      <alignment horizontal="center" vertical="center" shrinkToFit="1"/>
    </xf>
    <xf numFmtId="0" fontId="42" fillId="2" borderId="161" xfId="0" applyFont="1" applyFill="1" applyBorder="1" applyAlignment="1">
      <alignment horizontal="center" vertical="center" shrinkToFit="1"/>
    </xf>
    <xf numFmtId="0" fontId="50" fillId="2" borderId="162" xfId="0" applyFont="1" applyFill="1" applyBorder="1" applyAlignment="1">
      <alignment horizontal="center" vertical="center" shrinkToFit="1"/>
    </xf>
    <xf numFmtId="0" fontId="49" fillId="20" borderId="160" xfId="0" applyFont="1" applyFill="1" applyBorder="1" applyAlignment="1">
      <alignment horizontal="center" vertical="center" shrinkToFit="1"/>
    </xf>
    <xf numFmtId="49" fontId="50" fillId="30" borderId="163" xfId="0" applyNumberFormat="1" applyFont="1" applyFill="1" applyBorder="1" applyAlignment="1">
      <alignment horizontal="center" vertical="center" shrinkToFit="1"/>
    </xf>
    <xf numFmtId="49" fontId="53" fillId="30" borderId="163" xfId="0" applyNumberFormat="1" applyFont="1" applyFill="1" applyBorder="1" applyAlignment="1">
      <alignment horizontal="center" vertical="center" shrinkToFit="1"/>
    </xf>
    <xf numFmtId="0" fontId="50" fillId="2" borderId="163" xfId="0" applyFont="1" applyFill="1" applyBorder="1" applyAlignment="1">
      <alignment horizontal="center" vertical="center" shrinkToFit="1"/>
    </xf>
    <xf numFmtId="0" fontId="50" fillId="2" borderId="164" xfId="0" applyNumberFormat="1" applyFont="1" applyFill="1" applyBorder="1" applyAlignment="1">
      <alignment horizontal="center" vertical="center" shrinkToFit="1"/>
    </xf>
    <xf numFmtId="49" fontId="50" fillId="30" borderId="165" xfId="0" applyNumberFormat="1" applyFont="1" applyFill="1" applyBorder="1" applyAlignment="1">
      <alignment horizontal="center" vertical="center" shrinkToFit="1"/>
    </xf>
    <xf numFmtId="49" fontId="53" fillId="30" borderId="165" xfId="0" applyNumberFormat="1" applyFont="1" applyFill="1" applyBorder="1" applyAlignment="1">
      <alignment horizontal="center" vertical="center" shrinkToFit="1"/>
    </xf>
    <xf numFmtId="0" fontId="50" fillId="2" borderId="165" xfId="0" applyFont="1" applyFill="1" applyBorder="1" applyAlignment="1">
      <alignment horizontal="center" vertical="center" shrinkToFit="1"/>
    </xf>
    <xf numFmtId="0" fontId="50" fillId="2" borderId="166" xfId="0" applyNumberFormat="1" applyFont="1" applyFill="1" applyBorder="1" applyAlignment="1">
      <alignment horizontal="center" vertical="center" shrinkToFit="1"/>
    </xf>
    <xf numFmtId="0" fontId="50" fillId="28" borderId="167" xfId="0" applyFont="1" applyFill="1" applyBorder="1" applyAlignment="1">
      <alignment horizontal="center" vertical="center" shrinkToFit="1"/>
    </xf>
    <xf numFmtId="0" fontId="53" fillId="28" borderId="167" xfId="0" applyFont="1" applyFill="1" applyBorder="1" applyAlignment="1">
      <alignment horizontal="center" vertical="center" shrinkToFit="1"/>
    </xf>
    <xf numFmtId="0" fontId="50" fillId="0" borderId="168" xfId="0" applyFont="1" applyFill="1" applyBorder="1" applyAlignment="1">
      <alignment horizontal="center" vertical="center" shrinkToFit="1"/>
    </xf>
    <xf numFmtId="0" fontId="50" fillId="0" borderId="169" xfId="0" applyFont="1" applyFill="1" applyBorder="1" applyAlignment="1">
      <alignment horizontal="center" vertical="center" shrinkToFit="1"/>
    </xf>
    <xf numFmtId="0" fontId="50" fillId="0" borderId="167" xfId="0" applyFont="1" applyFill="1" applyBorder="1" applyAlignment="1">
      <alignment horizontal="center" vertical="center" shrinkToFit="1"/>
    </xf>
    <xf numFmtId="0" fontId="50" fillId="0" borderId="0" xfId="0" applyFont="1" applyFill="1" applyAlignment="1">
      <alignment horizontal="left" vertical="center" shrinkToFit="1"/>
    </xf>
    <xf numFmtId="49" fontId="43" fillId="30" borderId="170" xfId="0" applyNumberFormat="1" applyFont="1" applyFill="1" applyBorder="1" applyAlignment="1">
      <alignment horizontal="center" vertical="center" shrinkToFit="1"/>
    </xf>
    <xf numFmtId="49" fontId="49" fillId="30" borderId="170" xfId="0" applyNumberFormat="1" applyFont="1" applyFill="1" applyBorder="1" applyAlignment="1">
      <alignment horizontal="center" vertical="center" shrinkToFit="1"/>
    </xf>
    <xf numFmtId="0" fontId="43" fillId="2" borderId="170" xfId="0" applyFont="1" applyFill="1" applyBorder="1" applyAlignment="1">
      <alignment horizontal="center" vertical="center" shrinkToFit="1"/>
    </xf>
    <xf numFmtId="0" fontId="43" fillId="2" borderId="167" xfId="0" applyNumberFormat="1" applyFont="1" applyFill="1" applyBorder="1" applyAlignment="1">
      <alignment horizontal="center" vertical="center" shrinkToFit="1"/>
    </xf>
    <xf numFmtId="0" fontId="43" fillId="2" borderId="171" xfId="0" applyFont="1" applyFill="1" applyBorder="1" applyAlignment="1">
      <alignment horizontal="center" vertical="center" shrinkToFit="1"/>
    </xf>
    <xf numFmtId="0" fontId="43" fillId="2" borderId="172" xfId="0" applyNumberFormat="1" applyFont="1" applyFill="1" applyBorder="1" applyAlignment="1">
      <alignment horizontal="center" vertical="center" shrinkToFit="1"/>
    </xf>
    <xf numFmtId="49" fontId="43" fillId="30" borderId="173" xfId="0" applyNumberFormat="1" applyFont="1" applyFill="1" applyBorder="1" applyAlignment="1">
      <alignment horizontal="center" vertical="center" shrinkToFit="1"/>
    </xf>
    <xf numFmtId="0" fontId="43" fillId="0" borderId="174" xfId="0" applyFont="1" applyFill="1" applyBorder="1" applyAlignment="1">
      <alignment horizontal="center" vertical="center" shrinkToFit="1"/>
    </xf>
    <xf numFmtId="0" fontId="50" fillId="28" borderId="146" xfId="0" applyFont="1" applyFill="1" applyBorder="1" applyAlignment="1">
      <alignment horizontal="center" vertical="center" shrinkToFit="1"/>
    </xf>
    <xf numFmtId="0" fontId="43" fillId="21" borderId="176" xfId="0" applyFont="1" applyFill="1" applyBorder="1" applyAlignment="1">
      <alignment horizontal="center" vertical="center" shrinkToFit="1"/>
    </xf>
    <xf numFmtId="0" fontId="49" fillId="21" borderId="176" xfId="0" applyFont="1" applyFill="1" applyBorder="1" applyAlignment="1">
      <alignment horizontal="center" vertical="center" shrinkToFit="1"/>
    </xf>
    <xf numFmtId="0" fontId="43" fillId="2" borderId="136" xfId="0" applyFont="1" applyFill="1" applyBorder="1" applyAlignment="1">
      <alignment horizontal="center" vertical="center" shrinkToFit="1"/>
    </xf>
    <xf numFmtId="0" fontId="50" fillId="2" borderId="164" xfId="0" applyFont="1" applyFill="1" applyBorder="1" applyAlignment="1">
      <alignment horizontal="center" vertical="center" shrinkToFit="1"/>
    </xf>
    <xf numFmtId="0" fontId="50" fillId="2" borderId="166" xfId="0" applyFont="1" applyFill="1" applyBorder="1" applyAlignment="1">
      <alignment horizontal="center" vertical="center" shrinkToFit="1"/>
    </xf>
    <xf numFmtId="0" fontId="43" fillId="2" borderId="167" xfId="0" applyFont="1" applyFill="1" applyBorder="1" applyAlignment="1">
      <alignment horizontal="center" vertical="center" shrinkToFit="1"/>
    </xf>
    <xf numFmtId="0" fontId="43" fillId="2" borderId="138" xfId="0" applyFont="1" applyFill="1" applyBorder="1" applyAlignment="1">
      <alignment horizontal="center" vertical="center" shrinkToFit="1"/>
    </xf>
    <xf numFmtId="0" fontId="46" fillId="2" borderId="34" xfId="0" applyFont="1" applyFill="1" applyBorder="1" applyAlignment="1">
      <alignment horizontal="center" vertical="center" shrinkToFit="1"/>
    </xf>
    <xf numFmtId="0" fontId="52" fillId="2" borderId="34" xfId="0" applyFont="1" applyFill="1" applyBorder="1" applyAlignment="1">
      <alignment horizontal="center" vertical="center" shrinkToFit="1"/>
    </xf>
    <xf numFmtId="0" fontId="43" fillId="2" borderId="172" xfId="0" applyFont="1" applyFill="1" applyBorder="1" applyAlignment="1">
      <alignment horizontal="center" vertical="center" shrinkToFit="1"/>
    </xf>
    <xf numFmtId="0" fontId="39" fillId="0" borderId="175" xfId="0" applyFont="1" applyBorder="1" applyAlignment="1">
      <alignment horizontal="center" vertical="center" shrinkToFit="1"/>
    </xf>
    <xf numFmtId="0" fontId="45" fillId="2" borderId="173" xfId="0" applyNumberFormat="1" applyFont="1" applyFill="1" applyBorder="1" applyAlignment="1">
      <alignment horizontal="center" vertical="center" shrinkToFit="1"/>
    </xf>
    <xf numFmtId="0" fontId="43" fillId="21" borderId="176" xfId="0" quotePrefix="1" applyFont="1" applyFill="1" applyBorder="1" applyAlignment="1">
      <alignment horizontal="center" vertical="center" shrinkToFit="1"/>
    </xf>
    <xf numFmtId="0" fontId="43" fillId="20" borderId="176" xfId="0" applyFont="1" applyFill="1" applyBorder="1" applyAlignment="1">
      <alignment horizontal="center" vertical="center" shrinkToFit="1"/>
    </xf>
    <xf numFmtId="0" fontId="49" fillId="20" borderId="173" xfId="0" applyFont="1" applyFill="1" applyBorder="1" applyAlignment="1">
      <alignment horizontal="center" vertical="center" shrinkToFit="1"/>
    </xf>
    <xf numFmtId="0" fontId="43" fillId="28" borderId="112" xfId="0" quotePrefix="1" applyNumberFormat="1" applyFont="1" applyFill="1" applyBorder="1" applyAlignment="1">
      <alignment horizontal="center" vertical="center" shrinkToFit="1"/>
    </xf>
    <xf numFmtId="0" fontId="50" fillId="28" borderId="167" xfId="0" quotePrefix="1" applyNumberFormat="1" applyFont="1" applyFill="1" applyBorder="1" applyAlignment="1">
      <alignment horizontal="center" vertical="center" shrinkToFit="1"/>
    </xf>
    <xf numFmtId="0" fontId="43" fillId="20" borderId="176" xfId="0" quotePrefix="1" applyNumberFormat="1" applyFont="1" applyFill="1" applyBorder="1" applyAlignment="1">
      <alignment horizontal="center" vertical="center" shrinkToFit="1"/>
    </xf>
    <xf numFmtId="0" fontId="43" fillId="2" borderId="177" xfId="0" applyFont="1" applyFill="1" applyBorder="1" applyAlignment="1">
      <alignment horizontal="center" vertical="center" shrinkToFit="1"/>
    </xf>
    <xf numFmtId="0" fontId="43" fillId="2" borderId="178" xfId="0" applyNumberFormat="1" applyFont="1" applyFill="1" applyBorder="1" applyAlignment="1">
      <alignment horizontal="center" vertical="center" shrinkToFit="1"/>
    </xf>
    <xf numFmtId="49" fontId="43" fillId="30" borderId="177" xfId="0" applyNumberFormat="1" applyFont="1" applyFill="1" applyBorder="1" applyAlignment="1">
      <alignment horizontal="center" vertical="center" shrinkToFit="1"/>
    </xf>
    <xf numFmtId="49" fontId="49" fillId="30" borderId="177" xfId="0" applyNumberFormat="1" applyFont="1" applyFill="1" applyBorder="1" applyAlignment="1">
      <alignment horizontal="center" vertical="center" shrinkToFit="1"/>
    </xf>
    <xf numFmtId="49" fontId="49" fillId="30" borderId="178" xfId="0" applyNumberFormat="1" applyFont="1" applyFill="1" applyBorder="1" applyAlignment="1">
      <alignment horizontal="center" vertical="center" shrinkToFit="1"/>
    </xf>
    <xf numFmtId="49" fontId="43" fillId="30" borderId="179" xfId="0" applyNumberFormat="1" applyFont="1" applyFill="1" applyBorder="1" applyAlignment="1">
      <alignment horizontal="center" vertical="center" shrinkToFit="1"/>
    </xf>
    <xf numFmtId="49" fontId="49" fillId="30" borderId="179" xfId="0" applyNumberFormat="1" applyFont="1" applyFill="1" applyBorder="1" applyAlignment="1">
      <alignment horizontal="center" vertical="center" shrinkToFit="1"/>
    </xf>
    <xf numFmtId="0" fontId="43" fillId="2" borderId="180" xfId="0" applyFont="1" applyFill="1" applyBorder="1" applyAlignment="1">
      <alignment horizontal="center" vertical="center" shrinkToFit="1"/>
    </xf>
    <xf numFmtId="0" fontId="43" fillId="2" borderId="179" xfId="0" applyFont="1" applyFill="1" applyBorder="1" applyAlignment="1">
      <alignment horizontal="center" vertical="center" shrinkToFit="1"/>
    </xf>
    <xf numFmtId="0" fontId="43" fillId="2" borderId="180" xfId="0" applyNumberFormat="1" applyFont="1" applyFill="1" applyBorder="1" applyAlignment="1">
      <alignment horizontal="center" vertical="center" shrinkToFit="1"/>
    </xf>
    <xf numFmtId="0" fontId="50" fillId="2" borderId="44" xfId="0" applyNumberFormat="1" applyFont="1" applyFill="1" applyBorder="1" applyAlignment="1">
      <alignment horizontal="center" vertical="center" shrinkToFit="1"/>
    </xf>
    <xf numFmtId="0" fontId="60" fillId="0" borderId="43" xfId="0" applyFont="1" applyBorder="1" applyAlignment="1">
      <alignment horizontal="center" vertical="center" shrinkToFit="1"/>
    </xf>
    <xf numFmtId="0" fontId="44" fillId="2" borderId="53" xfId="0" applyNumberFormat="1" applyFont="1" applyFill="1" applyBorder="1" applyAlignment="1">
      <alignment horizontal="center" vertical="center" shrinkToFit="1"/>
    </xf>
    <xf numFmtId="0" fontId="50" fillId="20" borderId="34" xfId="0" applyFont="1" applyFill="1" applyBorder="1" applyAlignment="1">
      <alignment horizontal="center" vertical="center" shrinkToFit="1"/>
    </xf>
    <xf numFmtId="49" fontId="50" fillId="30" borderId="181" xfId="0" applyNumberFormat="1" applyFont="1" applyFill="1" applyBorder="1" applyAlignment="1">
      <alignment horizontal="center" vertical="center" shrinkToFit="1"/>
    </xf>
    <xf numFmtId="49" fontId="53" fillId="30" borderId="181" xfId="0" applyNumberFormat="1" applyFont="1" applyFill="1" applyBorder="1" applyAlignment="1">
      <alignment horizontal="center" vertical="center" shrinkToFit="1"/>
    </xf>
    <xf numFmtId="0" fontId="50" fillId="2" borderId="182" xfId="0" applyFont="1" applyFill="1" applyBorder="1" applyAlignment="1">
      <alignment horizontal="center" vertical="center" shrinkToFit="1"/>
    </xf>
    <xf numFmtId="0" fontId="50" fillId="2" borderId="181" xfId="0" applyFont="1" applyFill="1" applyBorder="1" applyAlignment="1">
      <alignment horizontal="center" vertical="center" shrinkToFit="1"/>
    </xf>
    <xf numFmtId="0" fontId="50" fillId="2" borderId="182" xfId="0" applyNumberFormat="1" applyFont="1" applyFill="1" applyBorder="1" applyAlignment="1">
      <alignment horizontal="center" vertical="center" shrinkToFit="1"/>
    </xf>
    <xf numFmtId="49" fontId="43" fillId="30" borderId="183" xfId="0" applyNumberFormat="1" applyFont="1" applyFill="1" applyBorder="1" applyAlignment="1">
      <alignment horizontal="center" vertical="center" shrinkToFit="1"/>
    </xf>
    <xf numFmtId="49" fontId="49" fillId="30" borderId="183" xfId="0" applyNumberFormat="1" applyFont="1" applyFill="1" applyBorder="1" applyAlignment="1">
      <alignment horizontal="center" vertical="center" shrinkToFit="1"/>
    </xf>
    <xf numFmtId="0" fontId="43" fillId="2" borderId="184" xfId="0" applyFont="1" applyFill="1" applyBorder="1" applyAlignment="1">
      <alignment horizontal="center" vertical="center" shrinkToFit="1"/>
    </xf>
    <xf numFmtId="0" fontId="43" fillId="2" borderId="183" xfId="0" applyFont="1" applyFill="1" applyBorder="1" applyAlignment="1">
      <alignment horizontal="center" vertical="center" shrinkToFit="1"/>
    </xf>
    <xf numFmtId="0" fontId="43" fillId="2" borderId="184" xfId="0" applyNumberFormat="1" applyFont="1" applyFill="1" applyBorder="1" applyAlignment="1">
      <alignment horizontal="center" vertical="center" shrinkToFit="1"/>
    </xf>
    <xf numFmtId="0" fontId="43" fillId="28" borderId="150" xfId="0" quotePrefix="1" applyNumberFormat="1" applyFont="1" applyFill="1" applyBorder="1" applyAlignment="1">
      <alignment horizontal="center" vertical="center" shrinkToFit="1"/>
    </xf>
    <xf numFmtId="0" fontId="43" fillId="20" borderId="185" xfId="0" applyFont="1" applyFill="1" applyBorder="1" applyAlignment="1">
      <alignment horizontal="center" vertical="center" shrinkToFit="1"/>
    </xf>
    <xf numFmtId="0" fontId="42" fillId="20" borderId="185" xfId="0" applyFont="1" applyFill="1" applyBorder="1" applyAlignment="1">
      <alignment horizontal="center" vertical="center" shrinkToFit="1"/>
    </xf>
    <xf numFmtId="0" fontId="43" fillId="2" borderId="186" xfId="0" applyNumberFormat="1" applyFont="1" applyFill="1" applyBorder="1" applyAlignment="1">
      <alignment horizontal="center" vertical="center" shrinkToFit="1"/>
    </xf>
    <xf numFmtId="0" fontId="39" fillId="0" borderId="185" xfId="0" applyFont="1" applyBorder="1" applyAlignment="1">
      <alignment horizontal="center" vertical="center" shrinkToFit="1"/>
    </xf>
    <xf numFmtId="0" fontId="45" fillId="2" borderId="186" xfId="0" applyNumberFormat="1" applyFont="1" applyFill="1" applyBorder="1" applyAlignment="1">
      <alignment horizontal="center" vertical="center" shrinkToFit="1"/>
    </xf>
    <xf numFmtId="0" fontId="49" fillId="20" borderId="185" xfId="0" applyFont="1" applyFill="1" applyBorder="1" applyAlignment="1">
      <alignment horizontal="center" vertical="center" shrinkToFit="1"/>
    </xf>
    <xf numFmtId="0" fontId="49" fillId="20" borderId="186" xfId="0" applyFont="1" applyFill="1" applyBorder="1" applyAlignment="1">
      <alignment horizontal="center" vertical="center" shrinkToFit="1"/>
    </xf>
    <xf numFmtId="0" fontId="50" fillId="28" borderId="34" xfId="0" applyFont="1" applyFill="1" applyBorder="1" applyAlignment="1">
      <alignment horizontal="center" vertical="center" shrinkToFit="1"/>
    </xf>
    <xf numFmtId="0" fontId="53" fillId="28" borderId="34" xfId="0" applyFont="1" applyFill="1" applyBorder="1" applyAlignment="1">
      <alignment horizontal="center" vertical="center" shrinkToFit="1"/>
    </xf>
    <xf numFmtId="0" fontId="50" fillId="2" borderId="53" xfId="0" applyNumberFormat="1" applyFont="1" applyFill="1" applyBorder="1" applyAlignment="1">
      <alignment horizontal="center" vertical="center" shrinkToFit="1"/>
    </xf>
    <xf numFmtId="0" fontId="60" fillId="0" borderId="52" xfId="0" applyFont="1" applyBorder="1" applyAlignment="1">
      <alignment horizontal="center" vertical="center" shrinkToFit="1"/>
    </xf>
    <xf numFmtId="0" fontId="44" fillId="2" borderId="44" xfId="0" applyNumberFormat="1" applyFont="1" applyFill="1" applyBorder="1" applyAlignment="1">
      <alignment horizontal="center" vertical="center" shrinkToFit="1"/>
    </xf>
    <xf numFmtId="49" fontId="43" fillId="30" borderId="187" xfId="0" applyNumberFormat="1" applyFont="1" applyFill="1" applyBorder="1" applyAlignment="1">
      <alignment horizontal="center" vertical="center" shrinkToFit="1"/>
    </xf>
    <xf numFmtId="49" fontId="49" fillId="30" borderId="187" xfId="0" applyNumberFormat="1" applyFont="1" applyFill="1" applyBorder="1" applyAlignment="1">
      <alignment horizontal="center" vertical="center" shrinkToFit="1"/>
    </xf>
    <xf numFmtId="0" fontId="43" fillId="2" borderId="188" xfId="0" applyFont="1" applyFill="1" applyBorder="1" applyAlignment="1">
      <alignment horizontal="center" vertical="center" shrinkToFit="1"/>
    </xf>
    <xf numFmtId="0" fontId="43" fillId="2" borderId="187" xfId="0" applyFont="1" applyFill="1" applyBorder="1" applyAlignment="1">
      <alignment horizontal="center" vertical="center" shrinkToFit="1"/>
    </xf>
    <xf numFmtId="0" fontId="43" fillId="2" borderId="188" xfId="0" applyNumberFormat="1" applyFont="1" applyFill="1" applyBorder="1" applyAlignment="1">
      <alignment horizontal="center" vertical="center" shrinkToFit="1"/>
    </xf>
    <xf numFmtId="0" fontId="43" fillId="2" borderId="190" xfId="0" applyNumberFormat="1" applyFont="1" applyFill="1" applyBorder="1" applyAlignment="1">
      <alignment horizontal="center" vertical="center" shrinkToFit="1"/>
    </xf>
    <xf numFmtId="49" fontId="43" fillId="30" borderId="189" xfId="0" applyNumberFormat="1" applyFont="1" applyFill="1" applyBorder="1" applyAlignment="1">
      <alignment horizontal="center" vertical="center" shrinkToFit="1"/>
    </xf>
    <xf numFmtId="49" fontId="49" fillId="30" borderId="189" xfId="0" applyNumberFormat="1" applyFont="1" applyFill="1" applyBorder="1" applyAlignment="1">
      <alignment horizontal="center" vertical="center" shrinkToFit="1"/>
    </xf>
    <xf numFmtId="0" fontId="43" fillId="2" borderId="189" xfId="0" applyFont="1" applyFill="1" applyBorder="1" applyAlignment="1">
      <alignment horizontal="center" vertical="center" shrinkToFit="1"/>
    </xf>
    <xf numFmtId="49" fontId="49" fillId="30" borderId="190" xfId="0" applyNumberFormat="1" applyFont="1" applyFill="1" applyBorder="1" applyAlignment="1">
      <alignment horizontal="center" vertical="center" shrinkToFit="1"/>
    </xf>
    <xf numFmtId="49" fontId="43" fillId="30" borderId="191" xfId="0" applyNumberFormat="1" applyFont="1" applyFill="1" applyBorder="1" applyAlignment="1">
      <alignment horizontal="center" vertical="center" shrinkToFit="1"/>
    </xf>
    <xf numFmtId="49" fontId="49" fillId="30" borderId="191" xfId="0" applyNumberFormat="1" applyFont="1" applyFill="1" applyBorder="1" applyAlignment="1">
      <alignment horizontal="center" vertical="center" shrinkToFit="1"/>
    </xf>
    <xf numFmtId="0" fontId="43" fillId="2" borderId="192" xfId="0" applyFont="1" applyFill="1" applyBorder="1" applyAlignment="1">
      <alignment horizontal="center" vertical="center" shrinkToFit="1"/>
    </xf>
    <xf numFmtId="0" fontId="43" fillId="2" borderId="191" xfId="0" applyFont="1" applyFill="1" applyBorder="1" applyAlignment="1">
      <alignment horizontal="center" vertical="center" shrinkToFit="1"/>
    </xf>
    <xf numFmtId="0" fontId="43" fillId="2" borderId="192" xfId="0" applyNumberFormat="1" applyFont="1" applyFill="1" applyBorder="1" applyAlignment="1">
      <alignment horizontal="center" vertical="center" shrinkToFit="1"/>
    </xf>
    <xf numFmtId="0" fontId="43" fillId="20" borderId="185" xfId="0" quotePrefix="1" applyNumberFormat="1" applyFont="1" applyFill="1" applyBorder="1" applyAlignment="1">
      <alignment horizontal="center" vertical="center" shrinkToFit="1"/>
    </xf>
    <xf numFmtId="0" fontId="43" fillId="0" borderId="88" xfId="0" applyFont="1" applyBorder="1" applyAlignment="1">
      <alignment horizontal="center" vertical="center" shrinkToFit="1"/>
    </xf>
    <xf numFmtId="0" fontId="62" fillId="2" borderId="53" xfId="0" applyNumberFormat="1" applyFont="1" applyFill="1" applyBorder="1" applyAlignment="1">
      <alignment horizontal="center" vertical="center" shrinkToFit="1"/>
    </xf>
    <xf numFmtId="0" fontId="49" fillId="2" borderId="88" xfId="0" applyNumberFormat="1" applyFont="1" applyFill="1" applyBorder="1" applyAlignment="1">
      <alignment horizontal="center" vertical="center" shrinkToFit="1"/>
    </xf>
    <xf numFmtId="0" fontId="43" fillId="2" borderId="194" xfId="0" applyNumberFormat="1" applyFont="1" applyFill="1" applyBorder="1" applyAlignment="1">
      <alignment horizontal="center" vertical="center" shrinkToFit="1"/>
    </xf>
    <xf numFmtId="0" fontId="39" fillId="0" borderId="193" xfId="0" applyFont="1" applyBorder="1" applyAlignment="1">
      <alignment horizontal="center" vertical="center" shrinkToFit="1"/>
    </xf>
    <xf numFmtId="0" fontId="62" fillId="2" borderId="194" xfId="0" applyNumberFormat="1" applyFont="1" applyFill="1" applyBorder="1" applyAlignment="1">
      <alignment horizontal="center" vertical="center" shrinkToFit="1"/>
    </xf>
    <xf numFmtId="49" fontId="49" fillId="30" borderId="195" xfId="0" applyNumberFormat="1" applyFont="1" applyFill="1" applyBorder="1" applyAlignment="1">
      <alignment horizontal="center" vertical="center" shrinkToFit="1"/>
    </xf>
    <xf numFmtId="49" fontId="43" fillId="30" borderId="195" xfId="0" applyNumberFormat="1" applyFont="1" applyFill="1" applyBorder="1" applyAlignment="1">
      <alignment horizontal="center" vertical="center" shrinkToFit="1"/>
    </xf>
    <xf numFmtId="49" fontId="42" fillId="30" borderId="195" xfId="0" applyNumberFormat="1" applyFont="1" applyFill="1" applyBorder="1" applyAlignment="1">
      <alignment horizontal="center" vertical="center" shrinkToFit="1"/>
    </xf>
    <xf numFmtId="0" fontId="43" fillId="0" borderId="196" xfId="0" applyFont="1" applyBorder="1" applyAlignment="1">
      <alignment horizontal="center" vertical="center" shrinkToFit="1"/>
    </xf>
    <xf numFmtId="0" fontId="43" fillId="0" borderId="195" xfId="0" applyFont="1" applyBorder="1" applyAlignment="1">
      <alignment horizontal="center" vertical="center" shrinkToFit="1"/>
    </xf>
    <xf numFmtId="0" fontId="49" fillId="2" borderId="196" xfId="0" applyNumberFormat="1" applyFont="1" applyFill="1" applyBorder="1" applyAlignment="1">
      <alignment horizontal="center" vertical="center" shrinkToFit="1"/>
    </xf>
    <xf numFmtId="0" fontId="60" fillId="0" borderId="198" xfId="0" applyFont="1" applyBorder="1" applyAlignment="1">
      <alignment horizontal="center" vertical="center" shrinkToFit="1"/>
    </xf>
    <xf numFmtId="0" fontId="44" fillId="2" borderId="197" xfId="0" applyNumberFormat="1" applyFont="1" applyFill="1" applyBorder="1" applyAlignment="1">
      <alignment horizontal="center" vertical="center" shrinkToFit="1"/>
    </xf>
    <xf numFmtId="49" fontId="46" fillId="30" borderId="87" xfId="0" applyNumberFormat="1" applyFont="1" applyFill="1" applyBorder="1" applyAlignment="1">
      <alignment horizontal="center" vertical="center" shrinkToFit="1"/>
    </xf>
    <xf numFmtId="0" fontId="39" fillId="0" borderId="199" xfId="0" applyFont="1" applyBorder="1" applyAlignment="1">
      <alignment horizontal="center" vertical="center" shrinkToFit="1"/>
    </xf>
    <xf numFmtId="0" fontId="43" fillId="21" borderId="34" xfId="0" quotePrefix="1" applyNumberFormat="1" applyFont="1" applyFill="1" applyBorder="1" applyAlignment="1">
      <alignment horizontal="center" vertical="center" shrinkToFit="1"/>
    </xf>
    <xf numFmtId="0" fontId="43" fillId="2" borderId="201" xfId="0" applyFont="1" applyFill="1" applyBorder="1" applyAlignment="1">
      <alignment horizontal="center" vertical="center" shrinkToFit="1"/>
    </xf>
    <xf numFmtId="0" fontId="39" fillId="0" borderId="200" xfId="0" applyFont="1" applyBorder="1" applyAlignment="1">
      <alignment horizontal="center" vertical="center" shrinkToFit="1"/>
    </xf>
    <xf numFmtId="0" fontId="62" fillId="2" borderId="201" xfId="0" applyNumberFormat="1" applyFont="1" applyFill="1" applyBorder="1" applyAlignment="1">
      <alignment horizontal="center" vertical="center" shrinkToFit="1"/>
    </xf>
    <xf numFmtId="0" fontId="43" fillId="2" borderId="205" xfId="0" applyFont="1" applyFill="1" applyBorder="1" applyAlignment="1">
      <alignment horizontal="center" vertical="center" shrinkToFit="1"/>
    </xf>
    <xf numFmtId="0" fontId="43" fillId="21" borderId="204" xfId="0" applyFont="1" applyFill="1" applyBorder="1" applyAlignment="1">
      <alignment horizontal="center" vertical="center" shrinkToFit="1"/>
    </xf>
    <xf numFmtId="0" fontId="49" fillId="21" borderId="204" xfId="0" applyFont="1" applyFill="1" applyBorder="1" applyAlignment="1">
      <alignment horizontal="center" vertical="center" shrinkToFit="1"/>
    </xf>
    <xf numFmtId="11" fontId="43" fillId="21" borderId="204" xfId="0" quotePrefix="1" applyNumberFormat="1" applyFont="1" applyFill="1" applyBorder="1" applyAlignment="1">
      <alignment horizontal="center" vertical="center" shrinkToFit="1"/>
    </xf>
    <xf numFmtId="0" fontId="39" fillId="0" borderId="204" xfId="0" applyFont="1" applyBorder="1" applyAlignment="1">
      <alignment horizontal="center" vertical="center" shrinkToFit="1"/>
    </xf>
    <xf numFmtId="0" fontId="62" fillId="2" borderId="205" xfId="0" applyNumberFormat="1" applyFont="1" applyFill="1" applyBorder="1" applyAlignment="1">
      <alignment horizontal="center" vertical="center" shrinkToFit="1"/>
    </xf>
    <xf numFmtId="49" fontId="49" fillId="30" borderId="177" xfId="0" applyNumberFormat="1" applyFont="1" applyFill="1" applyBorder="1" applyAlignment="1">
      <alignment horizontal="center" vertical="center" wrapText="1" shrinkToFit="1"/>
    </xf>
    <xf numFmtId="49" fontId="43" fillId="30" borderId="207" xfId="0" applyNumberFormat="1" applyFont="1" applyFill="1" applyBorder="1" applyAlignment="1">
      <alignment horizontal="center" vertical="center" shrinkToFit="1"/>
    </xf>
    <xf numFmtId="49" fontId="49" fillId="30" borderId="207" xfId="0" applyNumberFormat="1" applyFont="1" applyFill="1" applyBorder="1" applyAlignment="1">
      <alignment horizontal="center" vertical="center" shrinkToFit="1"/>
    </xf>
    <xf numFmtId="0" fontId="43" fillId="0" borderId="208" xfId="0" applyFont="1" applyBorder="1" applyAlignment="1">
      <alignment horizontal="center" vertical="center" shrinkToFit="1"/>
    </xf>
    <xf numFmtId="0" fontId="43" fillId="0" borderId="207" xfId="0" applyFont="1" applyBorder="1" applyAlignment="1">
      <alignment horizontal="center" vertical="center" shrinkToFit="1"/>
    </xf>
    <xf numFmtId="0" fontId="49" fillId="2" borderId="208" xfId="0" applyNumberFormat="1" applyFont="1" applyFill="1" applyBorder="1" applyAlignment="1">
      <alignment horizontal="center" vertical="center" shrinkToFit="1"/>
    </xf>
    <xf numFmtId="0" fontId="60" fillId="0" borderId="210" xfId="0" applyFont="1" applyBorder="1" applyAlignment="1">
      <alignment horizontal="center" vertical="center" shrinkToFit="1"/>
    </xf>
    <xf numFmtId="0" fontId="44" fillId="2" borderId="209" xfId="0" applyNumberFormat="1" applyFont="1" applyFill="1" applyBorder="1" applyAlignment="1">
      <alignment horizontal="center" vertical="center" shrinkToFit="1"/>
    </xf>
    <xf numFmtId="0" fontId="43" fillId="28" borderId="197" xfId="0" applyFont="1" applyFill="1" applyBorder="1" applyAlignment="1">
      <alignment horizontal="center" vertical="center" shrinkToFit="1"/>
    </xf>
    <xf numFmtId="0" fontId="49" fillId="28" borderId="197" xfId="0" applyFont="1" applyFill="1" applyBorder="1" applyAlignment="1">
      <alignment horizontal="center" vertical="center" shrinkToFit="1"/>
    </xf>
    <xf numFmtId="0" fontId="43" fillId="2" borderId="197" xfId="0" applyNumberFormat="1" applyFont="1" applyFill="1" applyBorder="1" applyAlignment="1">
      <alignment horizontal="center" vertical="center" shrinkToFit="1"/>
    </xf>
    <xf numFmtId="0" fontId="43" fillId="28" borderId="206" xfId="0" applyFont="1" applyFill="1" applyBorder="1" applyAlignment="1">
      <alignment horizontal="center" vertical="center" shrinkToFit="1"/>
    </xf>
    <xf numFmtId="0" fontId="43" fillId="2" borderId="206" xfId="0" applyNumberFormat="1" applyFont="1" applyFill="1" applyBorder="1" applyAlignment="1">
      <alignment horizontal="center" vertical="center" shrinkToFit="1"/>
    </xf>
    <xf numFmtId="0" fontId="43" fillId="28" borderId="209" xfId="0" applyFont="1" applyFill="1" applyBorder="1" applyAlignment="1">
      <alignment horizontal="center" vertical="center" shrinkToFit="1"/>
    </xf>
    <xf numFmtId="0" fontId="49" fillId="28" borderId="209" xfId="0" applyFont="1" applyFill="1" applyBorder="1" applyAlignment="1">
      <alignment horizontal="center" vertical="center" shrinkToFit="1"/>
    </xf>
    <xf numFmtId="0" fontId="43" fillId="28" borderId="209" xfId="0" quotePrefix="1" applyFont="1" applyFill="1" applyBorder="1" applyAlignment="1">
      <alignment horizontal="center" vertical="center" shrinkToFit="1"/>
    </xf>
    <xf numFmtId="49" fontId="43" fillId="30" borderId="211" xfId="0" applyNumberFormat="1" applyFont="1" applyFill="1" applyBorder="1" applyAlignment="1">
      <alignment horizontal="center" vertical="center" shrinkToFit="1"/>
    </xf>
    <xf numFmtId="49" fontId="49" fillId="30" borderId="211" xfId="0" applyNumberFormat="1" applyFont="1" applyFill="1" applyBorder="1" applyAlignment="1">
      <alignment horizontal="center" vertical="center" shrinkToFit="1"/>
    </xf>
    <xf numFmtId="0" fontId="43" fillId="0" borderId="212" xfId="0" applyFont="1" applyBorder="1" applyAlignment="1">
      <alignment horizontal="center" vertical="center" shrinkToFit="1"/>
    </xf>
    <xf numFmtId="0" fontId="43" fillId="0" borderId="211" xfId="0" applyFont="1" applyBorder="1" applyAlignment="1">
      <alignment horizontal="center" vertical="center" shrinkToFit="1"/>
    </xf>
    <xf numFmtId="0" fontId="49" fillId="2" borderId="212" xfId="0" applyNumberFormat="1" applyFont="1" applyFill="1" applyBorder="1" applyAlignment="1">
      <alignment horizontal="center" vertical="center" shrinkToFit="1"/>
    </xf>
    <xf numFmtId="49" fontId="43" fillId="30" borderId="213" xfId="0" applyNumberFormat="1" applyFont="1" applyFill="1" applyBorder="1" applyAlignment="1">
      <alignment horizontal="center" vertical="center" shrinkToFit="1"/>
    </xf>
    <xf numFmtId="49" fontId="49" fillId="30" borderId="213" xfId="0" applyNumberFormat="1" applyFont="1" applyFill="1" applyBorder="1" applyAlignment="1">
      <alignment horizontal="center" vertical="center" shrinkToFit="1"/>
    </xf>
    <xf numFmtId="49" fontId="42" fillId="30" borderId="213" xfId="0" applyNumberFormat="1" applyFont="1" applyFill="1" applyBorder="1" applyAlignment="1">
      <alignment horizontal="center" vertical="center" shrinkToFit="1"/>
    </xf>
    <xf numFmtId="0" fontId="43" fillId="0" borderId="214" xfId="0" applyFont="1" applyBorder="1" applyAlignment="1">
      <alignment horizontal="center" vertical="center" shrinkToFit="1"/>
    </xf>
    <xf numFmtId="49" fontId="43" fillId="30" borderId="215" xfId="0" applyNumberFormat="1" applyFont="1" applyFill="1" applyBorder="1" applyAlignment="1">
      <alignment horizontal="center" vertical="center" shrinkToFit="1"/>
    </xf>
    <xf numFmtId="49" fontId="49" fillId="30" borderId="215" xfId="0" applyNumberFormat="1" applyFont="1" applyFill="1" applyBorder="1" applyAlignment="1">
      <alignment horizontal="center" vertical="center" shrinkToFit="1"/>
    </xf>
    <xf numFmtId="0" fontId="43" fillId="0" borderId="215" xfId="0" applyFont="1" applyBorder="1" applyAlignment="1">
      <alignment horizontal="center" vertical="center" shrinkToFit="1"/>
    </xf>
    <xf numFmtId="0" fontId="49" fillId="2" borderId="216" xfId="0" applyNumberFormat="1" applyFont="1" applyFill="1" applyBorder="1" applyAlignment="1">
      <alignment horizontal="center" vertical="center" shrinkToFit="1"/>
    </xf>
    <xf numFmtId="0" fontId="43" fillId="0" borderId="217" xfId="0" applyFont="1" applyBorder="1" applyAlignment="1">
      <alignment horizontal="center" vertical="center" shrinkToFit="1"/>
    </xf>
    <xf numFmtId="49" fontId="39" fillId="0" borderId="218" xfId="0" applyNumberFormat="1" applyFont="1" applyBorder="1" applyAlignment="1">
      <alignment horizontal="center" vertical="center" shrinkToFit="1"/>
    </xf>
    <xf numFmtId="0" fontId="43" fillId="0" borderId="219" xfId="0" applyNumberFormat="1" applyFont="1" applyFill="1" applyBorder="1" applyAlignment="1">
      <alignment horizontal="center" vertical="center" shrinkToFit="1"/>
    </xf>
    <xf numFmtId="0" fontId="43" fillId="0" borderId="218" xfId="0" applyNumberFormat="1" applyFont="1" applyBorder="1" applyAlignment="1">
      <alignment horizontal="center" vertical="center" shrinkToFit="1"/>
    </xf>
    <xf numFmtId="0" fontId="43" fillId="0" borderId="218" xfId="0" applyFont="1" applyBorder="1" applyAlignment="1">
      <alignment horizontal="center" vertical="center" shrinkToFit="1"/>
    </xf>
    <xf numFmtId="0" fontId="46" fillId="0" borderId="218" xfId="0" applyFont="1" applyBorder="1" applyAlignment="1">
      <alignment horizontal="center" vertical="center" shrinkToFit="1"/>
    </xf>
    <xf numFmtId="0" fontId="46" fillId="0" borderId="218" xfId="0" applyFont="1" applyFill="1" applyBorder="1" applyAlignment="1">
      <alignment horizontal="center" vertical="center" shrinkToFit="1"/>
    </xf>
    <xf numFmtId="176" fontId="50" fillId="0" borderId="218" xfId="0" applyNumberFormat="1" applyFont="1" applyBorder="1" applyAlignment="1">
      <alignment horizontal="center" vertical="center" shrinkToFit="1"/>
    </xf>
    <xf numFmtId="176" fontId="39" fillId="0" borderId="218" xfId="0" applyNumberFormat="1" applyFont="1" applyFill="1" applyBorder="1" applyAlignment="1">
      <alignment horizontal="center" vertical="center" shrinkToFit="1"/>
    </xf>
    <xf numFmtId="0" fontId="43" fillId="2" borderId="219" xfId="0" applyNumberFormat="1" applyFont="1" applyFill="1" applyBorder="1" applyAlignment="1">
      <alignment horizontal="center" vertical="center" shrinkToFit="1"/>
    </xf>
    <xf numFmtId="0" fontId="39" fillId="0" borderId="218" xfId="0" applyFont="1" applyBorder="1" applyAlignment="1">
      <alignment horizontal="center" vertical="center" shrinkToFit="1"/>
    </xf>
    <xf numFmtId="0" fontId="45" fillId="2" borderId="219" xfId="0" applyNumberFormat="1" applyFont="1" applyFill="1" applyBorder="1" applyAlignment="1">
      <alignment horizontal="center" vertical="center" shrinkToFit="1"/>
    </xf>
    <xf numFmtId="49" fontId="46" fillId="0" borderId="43" xfId="0" applyNumberFormat="1" applyFont="1" applyBorder="1" applyAlignment="1">
      <alignment horizontal="center" vertical="center" shrinkToFit="1"/>
    </xf>
    <xf numFmtId="176" fontId="46" fillId="27" borderId="35" xfId="0" applyNumberFormat="1" applyFont="1" applyFill="1" applyBorder="1" applyAlignment="1">
      <alignment horizontal="center" vertical="center" shrinkToFit="1"/>
    </xf>
    <xf numFmtId="49" fontId="50" fillId="30" borderId="195" xfId="0" applyNumberFormat="1" applyFont="1" applyFill="1" applyBorder="1" applyAlignment="1">
      <alignment horizontal="center" vertical="center" shrinkToFit="1"/>
    </xf>
    <xf numFmtId="49" fontId="53" fillId="30" borderId="195" xfId="0" applyNumberFormat="1" applyFont="1" applyFill="1" applyBorder="1" applyAlignment="1">
      <alignment horizontal="center" vertical="center" shrinkToFit="1"/>
    </xf>
    <xf numFmtId="49" fontId="50" fillId="30" borderId="173" xfId="0" applyNumberFormat="1" applyFont="1" applyFill="1" applyBorder="1" applyAlignment="1">
      <alignment horizontal="center" vertical="center" shrinkToFit="1"/>
    </xf>
    <xf numFmtId="49" fontId="43" fillId="30" borderId="220" xfId="0" applyNumberFormat="1" applyFont="1" applyFill="1" applyBorder="1" applyAlignment="1">
      <alignment horizontal="center" vertical="center" shrinkToFit="1"/>
    </xf>
    <xf numFmtId="49" fontId="42" fillId="30" borderId="220" xfId="0" applyNumberFormat="1" applyFont="1" applyFill="1" applyBorder="1" applyAlignment="1">
      <alignment horizontal="center" vertical="center" shrinkToFit="1"/>
    </xf>
    <xf numFmtId="0" fontId="43" fillId="0" borderId="220" xfId="0" applyFont="1" applyBorder="1" applyAlignment="1">
      <alignment horizontal="center" vertical="center" shrinkToFit="1"/>
    </xf>
    <xf numFmtId="0" fontId="49" fillId="2" borderId="221" xfId="0" applyNumberFormat="1" applyFont="1" applyFill="1" applyBorder="1" applyAlignment="1">
      <alignment horizontal="center" vertical="center" shrinkToFit="1"/>
    </xf>
    <xf numFmtId="49" fontId="53" fillId="30" borderId="220" xfId="0" applyNumberFormat="1" applyFont="1" applyFill="1" applyBorder="1" applyAlignment="1">
      <alignment horizontal="center" vertical="center" shrinkToFit="1"/>
    </xf>
    <xf numFmtId="49" fontId="50" fillId="30" borderId="220" xfId="0" applyNumberFormat="1" applyFont="1" applyFill="1" applyBorder="1" applyAlignment="1">
      <alignment horizontal="center" vertical="center" shrinkToFit="1"/>
    </xf>
    <xf numFmtId="49" fontId="53" fillId="30" borderId="221" xfId="0" applyNumberFormat="1" applyFont="1" applyFill="1" applyBorder="1" applyAlignment="1">
      <alignment horizontal="center" vertical="center" shrinkToFit="1"/>
    </xf>
    <xf numFmtId="0" fontId="43" fillId="2" borderId="223" xfId="0" applyFont="1" applyFill="1" applyBorder="1" applyAlignment="1">
      <alignment horizontal="center" vertical="center" shrinkToFit="1"/>
    </xf>
    <xf numFmtId="0" fontId="50" fillId="20" borderId="223" xfId="0" applyFont="1" applyFill="1" applyBorder="1" applyAlignment="1">
      <alignment horizontal="center" vertical="center" shrinkToFit="1"/>
    </xf>
    <xf numFmtId="0" fontId="50" fillId="20" borderId="222" xfId="0" applyFont="1" applyFill="1" applyBorder="1" applyAlignment="1">
      <alignment horizontal="center" vertical="center" shrinkToFit="1"/>
    </xf>
    <xf numFmtId="49" fontId="43" fillId="31" borderId="222" xfId="0" applyNumberFormat="1" applyFont="1" applyFill="1" applyBorder="1" applyAlignment="1">
      <alignment horizontal="center" vertical="center" shrinkToFit="1"/>
    </xf>
    <xf numFmtId="49" fontId="49" fillId="31" borderId="222" xfId="0" applyNumberFormat="1" applyFont="1" applyFill="1" applyBorder="1" applyAlignment="1">
      <alignment horizontal="center" vertical="center" shrinkToFit="1"/>
    </xf>
    <xf numFmtId="49" fontId="42" fillId="31" borderId="222" xfId="0" applyNumberFormat="1" applyFont="1" applyFill="1" applyBorder="1" applyAlignment="1">
      <alignment horizontal="center" vertical="center" shrinkToFit="1"/>
    </xf>
    <xf numFmtId="0" fontId="43" fillId="2" borderId="222" xfId="0" applyFont="1" applyFill="1" applyBorder="1" applyAlignment="1">
      <alignment horizontal="center" vertical="center" shrinkToFit="1"/>
    </xf>
    <xf numFmtId="0" fontId="43" fillId="2" borderId="223" xfId="0" applyNumberFormat="1" applyFont="1" applyFill="1" applyBorder="1" applyAlignment="1">
      <alignment horizontal="center" vertical="center" shrinkToFit="1"/>
    </xf>
    <xf numFmtId="49" fontId="43" fillId="30" borderId="225" xfId="0" applyNumberFormat="1" applyFont="1" applyFill="1" applyBorder="1" applyAlignment="1">
      <alignment horizontal="center" vertical="center" shrinkToFit="1"/>
    </xf>
    <xf numFmtId="49" fontId="53" fillId="30" borderId="225" xfId="0" applyNumberFormat="1" applyFont="1" applyFill="1" applyBorder="1" applyAlignment="1">
      <alignment horizontal="center" vertical="center" shrinkToFit="1"/>
    </xf>
    <xf numFmtId="49" fontId="50" fillId="30" borderId="225" xfId="0" applyNumberFormat="1" applyFont="1" applyFill="1" applyBorder="1" applyAlignment="1">
      <alignment horizontal="center" vertical="center" shrinkToFit="1"/>
    </xf>
    <xf numFmtId="49" fontId="53" fillId="30" borderId="224" xfId="0" applyNumberFormat="1" applyFont="1" applyFill="1" applyBorder="1" applyAlignment="1">
      <alignment horizontal="center" vertical="center" shrinkToFit="1"/>
    </xf>
    <xf numFmtId="49" fontId="42" fillId="30" borderId="225" xfId="0" applyNumberFormat="1" applyFont="1" applyFill="1" applyBorder="1" applyAlignment="1">
      <alignment horizontal="center" vertical="center" shrinkToFit="1"/>
    </xf>
    <xf numFmtId="0" fontId="43" fillId="0" borderId="224" xfId="0" applyFont="1" applyBorder="1" applyAlignment="1">
      <alignment horizontal="center" vertical="center" shrinkToFit="1"/>
    </xf>
    <xf numFmtId="0" fontId="43" fillId="0" borderId="225" xfId="0" applyFont="1" applyBorder="1" applyAlignment="1">
      <alignment horizontal="center" vertical="center" shrinkToFit="1"/>
    </xf>
    <xf numFmtId="0" fontId="49" fillId="2" borderId="224" xfId="0" applyNumberFormat="1" applyFont="1" applyFill="1" applyBorder="1" applyAlignment="1">
      <alignment horizontal="center" vertical="center" shrinkToFit="1"/>
    </xf>
    <xf numFmtId="0" fontId="39" fillId="0" borderId="226" xfId="0" applyFont="1" applyBorder="1" applyAlignment="1">
      <alignment horizontal="center" vertical="center" shrinkToFit="1"/>
    </xf>
    <xf numFmtId="0" fontId="50" fillId="20" borderId="226" xfId="0" applyFont="1" applyFill="1" applyBorder="1" applyAlignment="1">
      <alignment horizontal="center" vertical="center" shrinkToFit="1"/>
    </xf>
    <xf numFmtId="0" fontId="53" fillId="20" borderId="226" xfId="0" applyFont="1" applyFill="1" applyBorder="1" applyAlignment="1">
      <alignment horizontal="center" vertical="center" shrinkToFit="1"/>
    </xf>
    <xf numFmtId="0" fontId="50" fillId="2" borderId="227" xfId="0" applyFont="1" applyFill="1" applyBorder="1" applyAlignment="1">
      <alignment horizontal="center" vertical="center" shrinkToFit="1"/>
    </xf>
    <xf numFmtId="0" fontId="53" fillId="20" borderId="227" xfId="0" applyFont="1" applyFill="1" applyBorder="1" applyAlignment="1">
      <alignment horizontal="center" vertical="center" shrinkToFit="1"/>
    </xf>
    <xf numFmtId="0" fontId="43" fillId="20" borderId="226" xfId="0" quotePrefix="1" applyFont="1" applyFill="1" applyBorder="1" applyAlignment="1">
      <alignment horizontal="center" vertical="center" shrinkToFit="1"/>
    </xf>
    <xf numFmtId="176" fontId="46" fillId="0" borderId="58" xfId="0" applyNumberFormat="1" applyFont="1" applyFill="1" applyBorder="1" applyAlignment="1">
      <alignment horizontal="center" vertical="center" shrinkToFit="1"/>
    </xf>
    <xf numFmtId="176" fontId="46" fillId="0" borderId="129" xfId="0" applyNumberFormat="1" applyFont="1" applyFill="1" applyBorder="1" applyAlignment="1">
      <alignment horizontal="center" vertical="center" shrinkToFit="1"/>
    </xf>
    <xf numFmtId="176" fontId="46" fillId="0" borderId="43" xfId="0" applyNumberFormat="1" applyFont="1" applyFill="1" applyBorder="1" applyAlignment="1">
      <alignment horizontal="center" vertical="center" shrinkToFit="1"/>
    </xf>
    <xf numFmtId="49" fontId="43" fillId="30" borderId="228" xfId="0" applyNumberFormat="1" applyFont="1" applyFill="1" applyBorder="1" applyAlignment="1">
      <alignment horizontal="center" vertical="center" shrinkToFit="1"/>
    </xf>
    <xf numFmtId="0" fontId="43" fillId="0" borderId="228" xfId="0" applyFont="1" applyBorder="1" applyAlignment="1">
      <alignment horizontal="center" vertical="center" shrinkToFit="1"/>
    </xf>
    <xf numFmtId="0" fontId="49" fillId="2" borderId="229" xfId="0" applyNumberFormat="1" applyFont="1" applyFill="1" applyBorder="1" applyAlignment="1">
      <alignment horizontal="center" vertical="center" shrinkToFit="1"/>
    </xf>
    <xf numFmtId="49" fontId="50" fillId="30" borderId="228" xfId="0" applyNumberFormat="1" applyFont="1" applyFill="1" applyBorder="1" applyAlignment="1">
      <alignment horizontal="center" vertical="center" shrinkToFit="1"/>
    </xf>
    <xf numFmtId="49" fontId="53" fillId="30" borderId="228" xfId="0" applyNumberFormat="1" applyFont="1" applyFill="1" applyBorder="1" applyAlignment="1">
      <alignment horizontal="center" vertical="center" shrinkToFit="1"/>
    </xf>
    <xf numFmtId="49" fontId="50" fillId="30" borderId="230" xfId="0" applyNumberFormat="1" applyFont="1" applyFill="1" applyBorder="1" applyAlignment="1">
      <alignment horizontal="center" vertical="center" shrinkToFit="1"/>
    </xf>
    <xf numFmtId="49" fontId="53" fillId="30" borderId="230" xfId="0" applyNumberFormat="1" applyFont="1" applyFill="1" applyBorder="1" applyAlignment="1">
      <alignment horizontal="center" vertical="center" shrinkToFit="1"/>
    </xf>
    <xf numFmtId="0" fontId="50" fillId="0" borderId="230" xfId="0" applyFont="1" applyBorder="1" applyAlignment="1">
      <alignment horizontal="center" vertical="center" shrinkToFit="1"/>
    </xf>
    <xf numFmtId="0" fontId="53" fillId="2" borderId="231" xfId="0" applyNumberFormat="1" applyFont="1" applyFill="1" applyBorder="1" applyAlignment="1">
      <alignment horizontal="center" vertical="center" shrinkToFit="1"/>
    </xf>
    <xf numFmtId="0" fontId="43" fillId="28" borderId="231" xfId="0" applyFont="1" applyFill="1" applyBorder="1" applyAlignment="1">
      <alignment horizontal="center" vertical="center" shrinkToFit="1"/>
    </xf>
    <xf numFmtId="0" fontId="43" fillId="28" borderId="230" xfId="0" applyFont="1" applyFill="1" applyBorder="1" applyAlignment="1">
      <alignment horizontal="center" vertical="center" shrinkToFit="1"/>
    </xf>
    <xf numFmtId="0" fontId="49" fillId="28" borderId="230" xfId="0" applyFont="1" applyFill="1" applyBorder="1" applyAlignment="1">
      <alignment horizontal="center" vertical="center" shrinkToFit="1"/>
    </xf>
    <xf numFmtId="0" fontId="43" fillId="2" borderId="231" xfId="0" applyNumberFormat="1" applyFont="1" applyFill="1" applyBorder="1" applyAlignment="1">
      <alignment horizontal="center" vertical="center" shrinkToFit="1"/>
    </xf>
    <xf numFmtId="0" fontId="60" fillId="0" borderId="230" xfId="0" applyFont="1" applyBorder="1" applyAlignment="1">
      <alignment horizontal="center" vertical="center" shrinkToFit="1"/>
    </xf>
    <xf numFmtId="0" fontId="43" fillId="2" borderId="232" xfId="0" applyNumberFormat="1" applyFont="1" applyFill="1" applyBorder="1" applyAlignment="1">
      <alignment horizontal="center" vertical="center" shrinkToFit="1"/>
    </xf>
    <xf numFmtId="0" fontId="43" fillId="2" borderId="233" xfId="0" applyFont="1" applyFill="1" applyBorder="1" applyAlignment="1">
      <alignment horizontal="center" vertical="center" shrinkToFit="1"/>
    </xf>
    <xf numFmtId="0" fontId="43" fillId="2" borderId="232" xfId="0" applyFont="1" applyFill="1" applyBorder="1" applyAlignment="1">
      <alignment horizontal="center" vertical="center" shrinkToFit="1"/>
    </xf>
    <xf numFmtId="49" fontId="42" fillId="31" borderId="233" xfId="0" applyNumberFormat="1" applyFont="1" applyFill="1" applyBorder="1" applyAlignment="1">
      <alignment horizontal="center" vertical="center" shrinkToFit="1"/>
    </xf>
    <xf numFmtId="49" fontId="49" fillId="31" borderId="233" xfId="0" applyNumberFormat="1" applyFont="1" applyFill="1" applyBorder="1" applyAlignment="1">
      <alignment horizontal="center" vertical="center" shrinkToFit="1"/>
    </xf>
    <xf numFmtId="49" fontId="43" fillId="31" borderId="233" xfId="0" applyNumberFormat="1" applyFont="1" applyFill="1" applyBorder="1" applyAlignment="1">
      <alignment horizontal="center" vertical="center" shrinkToFit="1"/>
    </xf>
    <xf numFmtId="49" fontId="46" fillId="0" borderId="43" xfId="0" quotePrefix="1" applyNumberFormat="1" applyFont="1" applyBorder="1" applyAlignment="1">
      <alignment horizontal="center" vertical="center" shrinkToFit="1"/>
    </xf>
    <xf numFmtId="0" fontId="43" fillId="21" borderId="234" xfId="0" applyFont="1" applyFill="1" applyBorder="1" applyAlignment="1">
      <alignment horizontal="center" vertical="center" shrinkToFit="1"/>
    </xf>
    <xf numFmtId="0" fontId="49" fillId="21" borderId="234" xfId="0" applyFont="1" applyFill="1" applyBorder="1" applyAlignment="1">
      <alignment horizontal="center" vertical="center" shrinkToFit="1"/>
    </xf>
    <xf numFmtId="11" fontId="43" fillId="21" borderId="234" xfId="0" quotePrefix="1" applyNumberFormat="1" applyFont="1" applyFill="1" applyBorder="1" applyAlignment="1">
      <alignment horizontal="center" vertical="center" shrinkToFit="1"/>
    </xf>
    <xf numFmtId="0" fontId="49" fillId="21" borderId="235" xfId="0" applyFont="1" applyFill="1" applyBorder="1" applyAlignment="1">
      <alignment horizontal="center" vertical="center" shrinkToFit="1"/>
    </xf>
    <xf numFmtId="0" fontId="43" fillId="2" borderId="235" xfId="0" applyFont="1" applyFill="1" applyBorder="1" applyAlignment="1">
      <alignment horizontal="center" vertical="center" shrinkToFit="1"/>
    </xf>
    <xf numFmtId="0" fontId="39" fillId="0" borderId="234" xfId="0" applyFont="1" applyBorder="1" applyAlignment="1">
      <alignment horizontal="center" vertical="center" shrinkToFit="1"/>
    </xf>
    <xf numFmtId="0" fontId="62" fillId="2" borderId="235" xfId="0" applyNumberFormat="1" applyFont="1" applyFill="1" applyBorder="1" applyAlignment="1">
      <alignment horizontal="center" vertical="center" shrinkToFit="1"/>
    </xf>
    <xf numFmtId="0" fontId="50" fillId="21" borderId="204" xfId="0" applyFont="1" applyFill="1" applyBorder="1" applyAlignment="1">
      <alignment horizontal="center" vertical="center" shrinkToFit="1"/>
    </xf>
    <xf numFmtId="0" fontId="50" fillId="21" borderId="34" xfId="0" applyFont="1" applyFill="1" applyBorder="1" applyAlignment="1">
      <alignment horizontal="center" vertical="center" shrinkToFit="1"/>
    </xf>
    <xf numFmtId="0" fontId="53" fillId="21" borderId="204" xfId="0" applyFont="1" applyFill="1" applyBorder="1" applyAlignment="1">
      <alignment horizontal="center" vertical="center" shrinkToFit="1"/>
    </xf>
    <xf numFmtId="11" fontId="50" fillId="21" borderId="204" xfId="0" quotePrefix="1" applyNumberFormat="1" applyFont="1" applyFill="1" applyBorder="1" applyAlignment="1">
      <alignment horizontal="center" vertical="center" shrinkToFit="1"/>
    </xf>
    <xf numFmtId="0" fontId="53" fillId="21" borderId="34" xfId="0" applyFont="1" applyFill="1" applyBorder="1" applyAlignment="1">
      <alignment horizontal="center" vertical="center" shrinkToFit="1"/>
    </xf>
    <xf numFmtId="0" fontId="50" fillId="2" borderId="205" xfId="0" applyFont="1" applyFill="1" applyBorder="1" applyAlignment="1">
      <alignment horizontal="center" vertical="center" shrinkToFit="1"/>
    </xf>
    <xf numFmtId="0" fontId="50" fillId="21" borderId="204" xfId="0" quotePrefix="1" applyFont="1" applyFill="1" applyBorder="1" applyAlignment="1">
      <alignment horizontal="center" vertical="center" shrinkToFit="1"/>
    </xf>
    <xf numFmtId="0" fontId="43" fillId="21" borderId="234" xfId="0" quotePrefix="1" applyFont="1" applyFill="1" applyBorder="1" applyAlignment="1">
      <alignment horizontal="center" vertical="center" shrinkToFit="1"/>
    </xf>
    <xf numFmtId="49" fontId="50" fillId="30" borderId="236" xfId="0" applyNumberFormat="1" applyFont="1" applyFill="1" applyBorder="1" applyAlignment="1">
      <alignment horizontal="center" vertical="center" shrinkToFit="1"/>
    </xf>
    <xf numFmtId="49" fontId="53" fillId="30" borderId="236" xfId="0" applyNumberFormat="1" applyFont="1" applyFill="1" applyBorder="1" applyAlignment="1">
      <alignment horizontal="center" vertical="center" shrinkToFit="1"/>
    </xf>
    <xf numFmtId="0" fontId="50" fillId="0" borderId="236" xfId="0" applyFont="1" applyBorder="1" applyAlignment="1">
      <alignment horizontal="center" vertical="center" shrinkToFit="1"/>
    </xf>
    <xf numFmtId="0" fontId="53" fillId="2" borderId="237" xfId="0" applyNumberFormat="1" applyFont="1" applyFill="1" applyBorder="1" applyAlignment="1">
      <alignment horizontal="center" vertical="center" shrinkToFit="1"/>
    </xf>
    <xf numFmtId="0" fontId="50" fillId="0" borderId="219" xfId="0" applyNumberFormat="1" applyFont="1" applyFill="1" applyBorder="1" applyAlignment="1">
      <alignment horizontal="center" vertical="center" shrinkToFit="1"/>
    </xf>
    <xf numFmtId="0" fontId="50" fillId="0" borderId="218" xfId="0" applyNumberFormat="1" applyFont="1" applyBorder="1" applyAlignment="1">
      <alignment horizontal="center" vertical="center" shrinkToFit="1"/>
    </xf>
    <xf numFmtId="0" fontId="50" fillId="0" borderId="218" xfId="0" applyFont="1" applyBorder="1" applyAlignment="1">
      <alignment horizontal="center" vertical="center" shrinkToFit="1"/>
    </xf>
    <xf numFmtId="0" fontId="50" fillId="0" borderId="218" xfId="0" applyFont="1" applyFill="1" applyBorder="1" applyAlignment="1">
      <alignment horizontal="center" vertical="center" shrinkToFit="1"/>
    </xf>
    <xf numFmtId="0" fontId="50" fillId="0" borderId="23" xfId="0" applyFont="1" applyFill="1" applyBorder="1" applyAlignment="1">
      <alignment horizontal="center" vertical="center" shrinkToFit="1"/>
    </xf>
    <xf numFmtId="176" fontId="60" fillId="0" borderId="218" xfId="0" applyNumberFormat="1" applyFont="1" applyFill="1" applyBorder="1" applyAlignment="1">
      <alignment horizontal="center" vertical="center" shrinkToFit="1"/>
    </xf>
    <xf numFmtId="0" fontId="50" fillId="2" borderId="219" xfId="0" applyNumberFormat="1" applyFont="1" applyFill="1" applyBorder="1" applyAlignment="1">
      <alignment horizontal="center" vertical="center" shrinkToFit="1"/>
    </xf>
    <xf numFmtId="0" fontId="60" fillId="0" borderId="218" xfId="0" applyFont="1" applyBorder="1" applyAlignment="1">
      <alignment horizontal="center" vertical="center" shrinkToFit="1"/>
    </xf>
    <xf numFmtId="0" fontId="44" fillId="2" borderId="219" xfId="0" applyNumberFormat="1" applyFont="1" applyFill="1" applyBorder="1" applyAlignment="1">
      <alignment horizontal="center" vertical="center" shrinkToFit="1"/>
    </xf>
    <xf numFmtId="0" fontId="43" fillId="20" borderId="223" xfId="0" applyFont="1" applyFill="1" applyBorder="1" applyAlignment="1">
      <alignment horizontal="center" vertical="center" shrinkToFit="1"/>
    </xf>
    <xf numFmtId="0" fontId="43" fillId="20" borderId="226" xfId="0" applyFont="1" applyFill="1" applyBorder="1" applyAlignment="1">
      <alignment horizontal="center" vertical="center" shrinkToFit="1"/>
    </xf>
    <xf numFmtId="0" fontId="49" fillId="20" borderId="226" xfId="0" applyFont="1" applyFill="1" applyBorder="1" applyAlignment="1">
      <alignment horizontal="center" vertical="center" shrinkToFit="1"/>
    </xf>
    <xf numFmtId="0" fontId="43" fillId="20" borderId="222" xfId="0" applyFont="1" applyFill="1" applyBorder="1" applyAlignment="1">
      <alignment horizontal="center" vertical="center" shrinkToFit="1"/>
    </xf>
    <xf numFmtId="0" fontId="49" fillId="20" borderId="227" xfId="0" applyFont="1" applyFill="1" applyBorder="1" applyAlignment="1">
      <alignment horizontal="center" vertical="center" shrinkToFit="1"/>
    </xf>
    <xf numFmtId="0" fontId="43" fillId="2" borderId="227" xfId="0" applyFont="1" applyFill="1" applyBorder="1" applyAlignment="1">
      <alignment horizontal="center" vertical="center" shrinkToFit="1"/>
    </xf>
    <xf numFmtId="0" fontId="42" fillId="0" borderId="226" xfId="0" applyFont="1" applyBorder="1" applyAlignment="1">
      <alignment horizontal="center" vertical="center" shrinkToFit="1"/>
    </xf>
    <xf numFmtId="0" fontId="62" fillId="2" borderId="231" xfId="0" applyNumberFormat="1" applyFont="1" applyFill="1" applyBorder="1" applyAlignment="1">
      <alignment horizontal="center" vertical="center" shrinkToFit="1"/>
    </xf>
    <xf numFmtId="0" fontId="53" fillId="28" borderId="230" xfId="0" applyFont="1" applyFill="1" applyBorder="1" applyAlignment="1">
      <alignment horizontal="center" vertical="center" shrinkToFit="1"/>
    </xf>
    <xf numFmtId="0" fontId="50" fillId="28" borderId="230" xfId="0" applyFont="1" applyFill="1" applyBorder="1" applyAlignment="1">
      <alignment horizontal="center" vertical="center" shrinkToFit="1"/>
    </xf>
    <xf numFmtId="0" fontId="53" fillId="28" borderId="231" xfId="0" applyFont="1" applyFill="1" applyBorder="1" applyAlignment="1">
      <alignment horizontal="center" vertical="center" shrinkToFit="1"/>
    </xf>
    <xf numFmtId="49" fontId="43" fillId="30" borderId="236" xfId="0" applyNumberFormat="1" applyFont="1" applyFill="1" applyBorder="1" applyAlignment="1">
      <alignment horizontal="center" vertical="center" shrinkToFit="1"/>
    </xf>
    <xf numFmtId="49" fontId="42" fillId="30" borderId="236" xfId="0" applyNumberFormat="1" applyFont="1" applyFill="1" applyBorder="1" applyAlignment="1">
      <alignment horizontal="center" vertical="center" shrinkToFit="1"/>
    </xf>
    <xf numFmtId="0" fontId="43" fillId="0" borderId="237" xfId="0" applyFont="1" applyBorder="1" applyAlignment="1">
      <alignment horizontal="center" vertical="center" shrinkToFit="1"/>
    </xf>
    <xf numFmtId="49" fontId="50" fillId="0" borderId="218" xfId="0" applyNumberFormat="1" applyFont="1" applyBorder="1" applyAlignment="1">
      <alignment horizontal="center" vertical="center" shrinkToFit="1"/>
    </xf>
    <xf numFmtId="0" fontId="43" fillId="21" borderId="204" xfId="0" quotePrefix="1" applyFont="1" applyFill="1" applyBorder="1" applyAlignment="1">
      <alignment horizontal="center" vertical="center" shrinkToFit="1"/>
    </xf>
    <xf numFmtId="0" fontId="42" fillId="0" borderId="204" xfId="0" applyFont="1" applyBorder="1" applyAlignment="1">
      <alignment horizontal="center" vertical="center" shrinkToFit="1"/>
    </xf>
    <xf numFmtId="49" fontId="43" fillId="30" borderId="240" xfId="0" applyNumberFormat="1" applyFont="1" applyFill="1" applyBorder="1" applyAlignment="1">
      <alignment horizontal="center" vertical="center" shrinkToFit="1"/>
    </xf>
    <xf numFmtId="49" fontId="43" fillId="30" borderId="230" xfId="0" applyNumberFormat="1" applyFont="1" applyFill="1" applyBorder="1" applyAlignment="1">
      <alignment horizontal="center" vertical="center" shrinkToFit="1"/>
    </xf>
    <xf numFmtId="49" fontId="42" fillId="30" borderId="230" xfId="0" applyNumberFormat="1" applyFont="1" applyFill="1" applyBorder="1" applyAlignment="1">
      <alignment horizontal="center" vertical="center" shrinkToFit="1"/>
    </xf>
    <xf numFmtId="0" fontId="43" fillId="0" borderId="231" xfId="0" applyFont="1" applyBorder="1" applyAlignment="1">
      <alignment horizontal="center" vertical="center" shrinkToFit="1"/>
    </xf>
    <xf numFmtId="49" fontId="50" fillId="30" borderId="215" xfId="0" applyNumberFormat="1" applyFont="1" applyFill="1" applyBorder="1" applyAlignment="1">
      <alignment horizontal="center" vertical="center" shrinkToFit="1"/>
    </xf>
    <xf numFmtId="49" fontId="53" fillId="30" borderId="215" xfId="0" applyNumberFormat="1" applyFont="1" applyFill="1" applyBorder="1" applyAlignment="1">
      <alignment horizontal="center" vertical="center" shrinkToFit="1"/>
    </xf>
    <xf numFmtId="49" fontId="60" fillId="30" borderId="213" xfId="0" applyNumberFormat="1" applyFont="1" applyFill="1" applyBorder="1" applyAlignment="1">
      <alignment horizontal="center" vertical="center" shrinkToFit="1"/>
    </xf>
    <xf numFmtId="0" fontId="50" fillId="0" borderId="214" xfId="0" applyFont="1" applyBorder="1" applyAlignment="1">
      <alignment horizontal="center" vertical="center" shrinkToFit="1"/>
    </xf>
    <xf numFmtId="0" fontId="50" fillId="0" borderId="215" xfId="0" applyFont="1" applyBorder="1" applyAlignment="1">
      <alignment horizontal="center" vertical="center" shrinkToFit="1"/>
    </xf>
    <xf numFmtId="0" fontId="53" fillId="2" borderId="216" xfId="0" applyNumberFormat="1" applyFont="1" applyFill="1" applyBorder="1" applyAlignment="1">
      <alignment horizontal="center" vertical="center" shrinkToFit="1"/>
    </xf>
    <xf numFmtId="49" fontId="60" fillId="30" borderId="236" xfId="0" applyNumberFormat="1" applyFont="1" applyFill="1" applyBorder="1" applyAlignment="1">
      <alignment horizontal="center" vertical="center" shrinkToFit="1"/>
    </xf>
    <xf numFmtId="0" fontId="50" fillId="0" borderId="237" xfId="0" applyFont="1" applyBorder="1" applyAlignment="1">
      <alignment horizontal="center" vertical="center" shrinkToFit="1"/>
    </xf>
    <xf numFmtId="49" fontId="43" fillId="30" borderId="241" xfId="0" applyNumberFormat="1" applyFont="1" applyFill="1" applyBorder="1" applyAlignment="1">
      <alignment horizontal="center" vertical="center" shrinkToFit="1"/>
    </xf>
    <xf numFmtId="49" fontId="49" fillId="30" borderId="241" xfId="0" applyNumberFormat="1" applyFont="1" applyFill="1" applyBorder="1" applyAlignment="1">
      <alignment horizontal="center" vertical="center" shrinkToFit="1"/>
    </xf>
    <xf numFmtId="49" fontId="42" fillId="30" borderId="241" xfId="0" applyNumberFormat="1" applyFont="1" applyFill="1" applyBorder="1" applyAlignment="1">
      <alignment horizontal="center" vertical="center" shrinkToFit="1"/>
    </xf>
    <xf numFmtId="0" fontId="43" fillId="0" borderId="242" xfId="0" applyFont="1" applyBorder="1" applyAlignment="1">
      <alignment horizontal="center" vertical="center" shrinkToFit="1"/>
    </xf>
    <xf numFmtId="0" fontId="43" fillId="0" borderId="241" xfId="0" applyFont="1" applyBorder="1" applyAlignment="1">
      <alignment horizontal="center" vertical="center" shrinkToFit="1"/>
    </xf>
    <xf numFmtId="0" fontId="49" fillId="2" borderId="242" xfId="0" applyNumberFormat="1" applyFont="1" applyFill="1" applyBorder="1" applyAlignment="1">
      <alignment horizontal="center" vertical="center" shrinkToFit="1"/>
    </xf>
    <xf numFmtId="0" fontId="49" fillId="0" borderId="218" xfId="0" applyFont="1" applyBorder="1" applyAlignment="1">
      <alignment horizontal="center" vertical="center" shrinkToFit="1"/>
    </xf>
    <xf numFmtId="0" fontId="43" fillId="0" borderId="244" xfId="0" applyFont="1" applyBorder="1" applyAlignment="1">
      <alignment horizontal="center" vertical="center" shrinkToFit="1"/>
    </xf>
    <xf numFmtId="0" fontId="43" fillId="2" borderId="244" xfId="0" applyFont="1" applyFill="1" applyBorder="1" applyAlignment="1">
      <alignment horizontal="center" vertical="center" shrinkToFit="1"/>
    </xf>
    <xf numFmtId="49" fontId="43" fillId="30" borderId="245" xfId="0" applyNumberFormat="1" applyFont="1" applyFill="1" applyBorder="1" applyAlignment="1">
      <alignment horizontal="center" vertical="center" shrinkToFit="1"/>
    </xf>
    <xf numFmtId="49" fontId="49" fillId="30" borderId="245" xfId="0" applyNumberFormat="1" applyFont="1" applyFill="1" applyBorder="1" applyAlignment="1">
      <alignment horizontal="center" vertical="center" shrinkToFit="1"/>
    </xf>
    <xf numFmtId="49" fontId="42" fillId="30" borderId="245" xfId="0" applyNumberFormat="1" applyFont="1" applyFill="1" applyBorder="1" applyAlignment="1">
      <alignment horizontal="center" vertical="center" shrinkToFit="1"/>
    </xf>
    <xf numFmtId="0" fontId="43" fillId="0" borderId="246" xfId="0" applyFont="1" applyBorder="1" applyAlignment="1">
      <alignment horizontal="center" vertical="center" shrinkToFit="1"/>
    </xf>
    <xf numFmtId="0" fontId="43" fillId="0" borderId="245" xfId="0" applyFont="1" applyBorder="1" applyAlignment="1">
      <alignment horizontal="center" vertical="center" shrinkToFit="1"/>
    </xf>
    <xf numFmtId="0" fontId="49" fillId="2" borderId="246" xfId="0" applyNumberFormat="1" applyFont="1" applyFill="1" applyBorder="1" applyAlignment="1">
      <alignment horizontal="center" vertical="center" shrinkToFit="1"/>
    </xf>
    <xf numFmtId="49" fontId="50" fillId="30" borderId="247" xfId="0" applyNumberFormat="1" applyFont="1" applyFill="1" applyBorder="1" applyAlignment="1">
      <alignment horizontal="center" vertical="center" shrinkToFit="1"/>
    </xf>
    <xf numFmtId="0" fontId="50" fillId="0" borderId="247" xfId="0" applyFont="1" applyBorder="1" applyAlignment="1">
      <alignment horizontal="center" vertical="center" shrinkToFit="1"/>
    </xf>
    <xf numFmtId="0" fontId="53" fillId="2" borderId="248" xfId="0" applyNumberFormat="1" applyFont="1" applyFill="1" applyBorder="1" applyAlignment="1">
      <alignment horizontal="center" vertical="center" shrinkToFit="1"/>
    </xf>
    <xf numFmtId="49" fontId="43" fillId="30" borderId="247" xfId="0" applyNumberFormat="1" applyFont="1" applyFill="1" applyBorder="1" applyAlignment="1">
      <alignment horizontal="center" vertical="center" shrinkToFit="1"/>
    </xf>
    <xf numFmtId="49" fontId="50" fillId="30" borderId="202" xfId="0" applyNumberFormat="1" applyFont="1" applyFill="1" applyBorder="1" applyAlignment="1">
      <alignment horizontal="center" vertical="center" shrinkToFit="1"/>
    </xf>
    <xf numFmtId="49" fontId="53" fillId="30" borderId="202" xfId="0" applyNumberFormat="1" applyFont="1" applyFill="1" applyBorder="1" applyAlignment="1">
      <alignment horizontal="center" vertical="center" shrinkToFit="1"/>
    </xf>
    <xf numFmtId="49" fontId="60" fillId="30" borderId="202" xfId="0" applyNumberFormat="1" applyFont="1" applyFill="1" applyBorder="1" applyAlignment="1">
      <alignment horizontal="center" vertical="center" shrinkToFit="1"/>
    </xf>
    <xf numFmtId="0" fontId="50" fillId="0" borderId="202" xfId="0" applyFont="1" applyBorder="1" applyAlignment="1">
      <alignment horizontal="center" vertical="center" shrinkToFit="1"/>
    </xf>
    <xf numFmtId="0" fontId="53" fillId="2" borderId="203" xfId="0" applyNumberFormat="1" applyFont="1" applyFill="1" applyBorder="1" applyAlignment="1">
      <alignment horizontal="center" vertical="center" shrinkToFit="1"/>
    </xf>
    <xf numFmtId="0" fontId="43" fillId="0" borderId="243" xfId="0" applyFont="1" applyBorder="1" applyAlignment="1">
      <alignment horizontal="center" vertical="center" shrinkToFit="1"/>
    </xf>
    <xf numFmtId="0" fontId="49" fillId="2" borderId="244" xfId="0" applyNumberFormat="1" applyFont="1" applyFill="1" applyBorder="1" applyAlignment="1">
      <alignment horizontal="center" vertical="center" shrinkToFit="1"/>
    </xf>
    <xf numFmtId="0" fontId="43" fillId="20" borderId="249" xfId="0" applyFont="1" applyFill="1" applyBorder="1" applyAlignment="1">
      <alignment horizontal="center" vertical="center" shrinkToFit="1"/>
    </xf>
    <xf numFmtId="0" fontId="43" fillId="0" borderId="250" xfId="0" applyFont="1" applyBorder="1" applyAlignment="1">
      <alignment horizontal="center" vertical="center" shrinkToFit="1"/>
    </xf>
    <xf numFmtId="0" fontId="43" fillId="0" borderId="249" xfId="0" applyFont="1" applyBorder="1" applyAlignment="1">
      <alignment horizontal="center" vertical="center" shrinkToFit="1"/>
    </xf>
    <xf numFmtId="0" fontId="49" fillId="2" borderId="250" xfId="0" applyNumberFormat="1" applyFont="1" applyFill="1" applyBorder="1" applyAlignment="1">
      <alignment horizontal="center" vertical="center" shrinkToFit="1"/>
    </xf>
    <xf numFmtId="0" fontId="49" fillId="20" borderId="249" xfId="0" applyFont="1" applyFill="1" applyBorder="1" applyAlignment="1">
      <alignment horizontal="center" vertical="center" shrinkToFit="1"/>
    </xf>
    <xf numFmtId="49" fontId="43" fillId="30" borderId="251" xfId="0" applyNumberFormat="1" applyFont="1" applyFill="1" applyBorder="1" applyAlignment="1">
      <alignment horizontal="center" vertical="center" shrinkToFit="1"/>
    </xf>
    <xf numFmtId="49" fontId="49" fillId="30" borderId="251" xfId="0" applyNumberFormat="1" applyFont="1" applyFill="1" applyBorder="1" applyAlignment="1">
      <alignment horizontal="center" vertical="center" shrinkToFit="1"/>
    </xf>
    <xf numFmtId="49" fontId="42" fillId="30" borderId="251" xfId="0" applyNumberFormat="1" applyFont="1" applyFill="1" applyBorder="1" applyAlignment="1">
      <alignment horizontal="center" vertical="center" shrinkToFit="1"/>
    </xf>
    <xf numFmtId="0" fontId="43" fillId="0" borderId="252" xfId="0" applyFont="1" applyBorder="1" applyAlignment="1">
      <alignment horizontal="center" vertical="center" shrinkToFit="1"/>
    </xf>
    <xf numFmtId="0" fontId="43" fillId="0" borderId="251" xfId="0" applyFont="1" applyBorder="1" applyAlignment="1">
      <alignment horizontal="center" vertical="center" shrinkToFit="1"/>
    </xf>
    <xf numFmtId="0" fontId="49" fillId="2" borderId="252" xfId="0" applyNumberFormat="1" applyFont="1" applyFill="1" applyBorder="1" applyAlignment="1">
      <alignment horizontal="center" vertical="center" shrinkToFit="1"/>
    </xf>
    <xf numFmtId="49" fontId="49" fillId="30" borderId="252" xfId="0" applyNumberFormat="1" applyFont="1" applyFill="1" applyBorder="1" applyAlignment="1">
      <alignment horizontal="center" vertical="center" shrinkToFit="1"/>
    </xf>
    <xf numFmtId="0" fontId="43" fillId="20" borderId="253" xfId="0" applyFont="1" applyFill="1" applyBorder="1" applyAlignment="1">
      <alignment horizontal="center" vertical="center" shrinkToFit="1"/>
    </xf>
    <xf numFmtId="0" fontId="49" fillId="20" borderId="253" xfId="0" applyFont="1" applyFill="1" applyBorder="1" applyAlignment="1">
      <alignment horizontal="center" vertical="center" shrinkToFit="1"/>
    </xf>
    <xf numFmtId="0" fontId="43" fillId="0" borderId="254" xfId="0" applyFont="1" applyBorder="1" applyAlignment="1">
      <alignment horizontal="center" vertical="center" shrinkToFit="1"/>
    </xf>
    <xf numFmtId="0" fontId="43" fillId="0" borderId="253" xfId="0" applyFont="1" applyBorder="1" applyAlignment="1">
      <alignment horizontal="center" vertical="center" shrinkToFit="1"/>
    </xf>
    <xf numFmtId="0" fontId="49" fillId="2" borderId="254" xfId="0" applyNumberFormat="1" applyFont="1" applyFill="1" applyBorder="1" applyAlignment="1">
      <alignment horizontal="center" vertical="center" shrinkToFit="1"/>
    </xf>
    <xf numFmtId="0" fontId="43" fillId="28" borderId="230" xfId="0" quotePrefix="1" applyNumberFormat="1" applyFont="1" applyFill="1" applyBorder="1" applyAlignment="1">
      <alignment horizontal="center" vertical="center" shrinkToFit="1"/>
    </xf>
    <xf numFmtId="0" fontId="52" fillId="21" borderId="47" xfId="0" applyFont="1" applyFill="1" applyBorder="1" applyAlignment="1">
      <alignment horizontal="center" vertical="center" shrinkToFit="1"/>
    </xf>
    <xf numFmtId="49" fontId="43" fillId="30" borderId="255" xfId="0" applyNumberFormat="1" applyFont="1" applyFill="1" applyBorder="1" applyAlignment="1">
      <alignment horizontal="center" vertical="center" shrinkToFit="1"/>
    </xf>
    <xf numFmtId="0" fontId="43" fillId="0" borderId="255" xfId="0" applyFont="1" applyBorder="1" applyAlignment="1">
      <alignment horizontal="center" vertical="center" shrinkToFit="1"/>
    </xf>
    <xf numFmtId="0" fontId="49" fillId="2" borderId="256" xfId="0" applyNumberFormat="1" applyFont="1" applyFill="1" applyBorder="1" applyAlignment="1">
      <alignment horizontal="center" vertical="center" shrinkToFit="1"/>
    </xf>
    <xf numFmtId="49" fontId="50" fillId="30" borderId="255" xfId="0" applyNumberFormat="1" applyFont="1" applyFill="1" applyBorder="1" applyAlignment="1">
      <alignment horizontal="center" vertical="center" shrinkToFit="1"/>
    </xf>
    <xf numFmtId="49" fontId="53" fillId="30" borderId="255" xfId="0" applyNumberFormat="1" applyFont="1" applyFill="1" applyBorder="1" applyAlignment="1">
      <alignment horizontal="center" vertical="center" shrinkToFit="1"/>
    </xf>
    <xf numFmtId="49" fontId="53" fillId="30" borderId="23" xfId="0" applyNumberFormat="1" applyFont="1" applyFill="1" applyBorder="1" applyAlignment="1">
      <alignment horizontal="center" vertical="center" shrinkToFit="1"/>
    </xf>
    <xf numFmtId="49" fontId="60" fillId="30" borderId="255" xfId="0" applyNumberFormat="1" applyFont="1" applyFill="1" applyBorder="1" applyAlignment="1">
      <alignment horizontal="center" vertical="center" shrinkToFit="1"/>
    </xf>
    <xf numFmtId="0" fontId="50" fillId="0" borderId="256" xfId="0" applyFont="1" applyBorder="1" applyAlignment="1">
      <alignment horizontal="center" vertical="center" shrinkToFit="1"/>
    </xf>
    <xf numFmtId="49" fontId="50" fillId="30" borderId="245" xfId="0" applyNumberFormat="1" applyFont="1" applyFill="1" applyBorder="1" applyAlignment="1">
      <alignment horizontal="center" vertical="center" shrinkToFit="1"/>
    </xf>
    <xf numFmtId="49" fontId="50" fillId="30" borderId="240" xfId="0" applyNumberFormat="1" applyFont="1" applyFill="1" applyBorder="1" applyAlignment="1">
      <alignment horizontal="center" vertical="center" shrinkToFit="1"/>
    </xf>
    <xf numFmtId="0" fontId="43" fillId="2" borderId="258" xfId="0" applyNumberFormat="1" applyFont="1" applyFill="1" applyBorder="1" applyAlignment="1">
      <alignment horizontal="center" vertical="center" shrinkToFit="1"/>
    </xf>
    <xf numFmtId="0" fontId="39" fillId="0" borderId="257" xfId="0" applyFont="1" applyBorder="1" applyAlignment="1">
      <alignment horizontal="center" vertical="center" shrinkToFit="1"/>
    </xf>
    <xf numFmtId="0" fontId="45" fillId="2" borderId="258" xfId="0" applyNumberFormat="1" applyFont="1" applyFill="1" applyBorder="1" applyAlignment="1">
      <alignment horizontal="center" vertical="center" shrinkToFit="1"/>
    </xf>
    <xf numFmtId="0" fontId="43" fillId="20" borderId="259" xfId="0" applyFont="1" applyFill="1" applyBorder="1" applyAlignment="1">
      <alignment horizontal="center" vertical="center" shrinkToFit="1"/>
    </xf>
    <xf numFmtId="0" fontId="49" fillId="20" borderId="259" xfId="0" applyFont="1" applyFill="1" applyBorder="1" applyAlignment="1">
      <alignment horizontal="center" vertical="center" shrinkToFit="1"/>
    </xf>
    <xf numFmtId="0" fontId="49" fillId="20" borderId="260" xfId="0" applyFont="1" applyFill="1" applyBorder="1" applyAlignment="1">
      <alignment horizontal="center" vertical="center" shrinkToFit="1"/>
    </xf>
    <xf numFmtId="0" fontId="43" fillId="0" borderId="260" xfId="0" applyFont="1" applyBorder="1" applyAlignment="1">
      <alignment horizontal="center" vertical="center" shrinkToFit="1"/>
    </xf>
    <xf numFmtId="0" fontId="43" fillId="0" borderId="259" xfId="0" applyFont="1" applyBorder="1" applyAlignment="1">
      <alignment horizontal="center" vertical="center" shrinkToFit="1"/>
    </xf>
    <xf numFmtId="0" fontId="49" fillId="2" borderId="260" xfId="0" applyNumberFormat="1" applyFont="1" applyFill="1" applyBorder="1" applyAlignment="1">
      <alignment horizontal="center" vertical="center" shrinkToFit="1"/>
    </xf>
    <xf numFmtId="0" fontId="43" fillId="20" borderId="259" xfId="0" quotePrefix="1" applyFont="1" applyFill="1" applyBorder="1" applyAlignment="1">
      <alignment horizontal="center" vertical="center" shrinkToFit="1"/>
    </xf>
    <xf numFmtId="49" fontId="50" fillId="30" borderId="261" xfId="0" applyNumberFormat="1" applyFont="1" applyFill="1" applyBorder="1" applyAlignment="1">
      <alignment horizontal="center" vertical="center" shrinkToFit="1"/>
    </xf>
    <xf numFmtId="49" fontId="53" fillId="30" borderId="261" xfId="0" applyNumberFormat="1" applyFont="1" applyFill="1" applyBorder="1" applyAlignment="1">
      <alignment horizontal="center" vertical="center" shrinkToFit="1"/>
    </xf>
    <xf numFmtId="49" fontId="60" fillId="30" borderId="261" xfId="0" applyNumberFormat="1" applyFont="1" applyFill="1" applyBorder="1" applyAlignment="1">
      <alignment horizontal="center" vertical="center" shrinkToFit="1"/>
    </xf>
    <xf numFmtId="0" fontId="53" fillId="0" borderId="262" xfId="0" applyFont="1" applyBorder="1" applyAlignment="1">
      <alignment horizontal="center" vertical="center" shrinkToFit="1"/>
    </xf>
    <xf numFmtId="0" fontId="43" fillId="0" borderId="261" xfId="0" applyFont="1" applyBorder="1" applyAlignment="1">
      <alignment horizontal="center" vertical="center" shrinkToFit="1"/>
    </xf>
    <xf numFmtId="0" fontId="49" fillId="2" borderId="262" xfId="0" applyNumberFormat="1" applyFont="1" applyFill="1" applyBorder="1" applyAlignment="1">
      <alignment horizontal="center" vertical="center" shrinkToFit="1"/>
    </xf>
    <xf numFmtId="49" fontId="53" fillId="30" borderId="262" xfId="0" applyNumberFormat="1" applyFont="1" applyFill="1" applyBorder="1" applyAlignment="1">
      <alignment horizontal="center" vertical="center" shrinkToFit="1"/>
    </xf>
    <xf numFmtId="0" fontId="43" fillId="20" borderId="261" xfId="0" quotePrefix="1" applyFont="1" applyFill="1" applyBorder="1" applyAlignment="1">
      <alignment horizontal="center" vertical="center" shrinkToFit="1"/>
    </xf>
    <xf numFmtId="0" fontId="43" fillId="20" borderId="261" xfId="0" applyFont="1" applyFill="1" applyBorder="1" applyAlignment="1">
      <alignment horizontal="center" vertical="center" shrinkToFit="1"/>
    </xf>
    <xf numFmtId="0" fontId="49" fillId="20" borderId="261" xfId="0" applyFont="1" applyFill="1" applyBorder="1" applyAlignment="1">
      <alignment horizontal="center" vertical="center" shrinkToFit="1"/>
    </xf>
    <xf numFmtId="0" fontId="43" fillId="0" borderId="262" xfId="0" applyFont="1" applyBorder="1" applyAlignment="1">
      <alignment horizontal="center" vertical="center" shrinkToFit="1"/>
    </xf>
    <xf numFmtId="49" fontId="49" fillId="30" borderId="262" xfId="0" applyNumberFormat="1" applyFont="1" applyFill="1" applyBorder="1" applyAlignment="1">
      <alignment horizontal="center" vertical="center" shrinkToFit="1"/>
    </xf>
    <xf numFmtId="49" fontId="43" fillId="31" borderId="263" xfId="0" applyNumberFormat="1" applyFont="1" applyFill="1" applyBorder="1" applyAlignment="1">
      <alignment horizontal="center" vertical="center" shrinkToFit="1"/>
    </xf>
    <xf numFmtId="0" fontId="43" fillId="20" borderId="264" xfId="0" applyFont="1" applyFill="1" applyBorder="1" applyAlignment="1">
      <alignment horizontal="center" vertical="center" shrinkToFit="1"/>
    </xf>
    <xf numFmtId="0" fontId="49" fillId="20" borderId="265" xfId="0" applyFont="1" applyFill="1" applyBorder="1" applyAlignment="1">
      <alignment horizontal="center" vertical="center" shrinkToFit="1"/>
    </xf>
    <xf numFmtId="0" fontId="43" fillId="0" borderId="265" xfId="0" applyFont="1" applyBorder="1" applyAlignment="1">
      <alignment horizontal="center" vertical="center" shrinkToFit="1"/>
    </xf>
    <xf numFmtId="49" fontId="49" fillId="31" borderId="266" xfId="0" applyNumberFormat="1" applyFont="1" applyFill="1" applyBorder="1" applyAlignment="1">
      <alignment horizontal="center" vertical="center" shrinkToFit="1"/>
    </xf>
    <xf numFmtId="49" fontId="43" fillId="31" borderId="266" xfId="0" applyNumberFormat="1" applyFont="1" applyFill="1" applyBorder="1" applyAlignment="1">
      <alignment horizontal="center" vertical="center" shrinkToFit="1"/>
    </xf>
    <xf numFmtId="0" fontId="49" fillId="0" borderId="268" xfId="0" applyFont="1" applyBorder="1" applyAlignment="1">
      <alignment horizontal="center" vertical="center" shrinkToFit="1"/>
    </xf>
    <xf numFmtId="0" fontId="42" fillId="0" borderId="257" xfId="0" applyFont="1" applyBorder="1" applyAlignment="1">
      <alignment horizontal="center" vertical="center" shrinkToFit="1"/>
    </xf>
    <xf numFmtId="0" fontId="43" fillId="21" borderId="270" xfId="0" applyNumberFormat="1" applyFont="1" applyFill="1" applyBorder="1" applyAlignment="1">
      <alignment horizontal="center" vertical="center" shrinkToFit="1"/>
    </xf>
    <xf numFmtId="0" fontId="46" fillId="21" borderId="269" xfId="0" applyFont="1" applyFill="1" applyBorder="1" applyAlignment="1">
      <alignment horizontal="center" vertical="center" shrinkToFit="1"/>
    </xf>
    <xf numFmtId="0" fontId="52" fillId="21" borderId="269" xfId="0" applyFont="1" applyFill="1" applyBorder="1" applyAlignment="1">
      <alignment horizontal="center" vertical="center" shrinkToFit="1"/>
    </xf>
    <xf numFmtId="0" fontId="46" fillId="21" borderId="269" xfId="0" quotePrefix="1" applyFont="1" applyFill="1" applyBorder="1" applyAlignment="1">
      <alignment horizontal="center" vertical="center" shrinkToFit="1"/>
    </xf>
    <xf numFmtId="0" fontId="39" fillId="21" borderId="269" xfId="0" applyFont="1" applyFill="1" applyBorder="1" applyAlignment="1">
      <alignment horizontal="center" vertical="center" shrinkToFit="1"/>
    </xf>
    <xf numFmtId="0" fontId="43" fillId="2" borderId="270" xfId="0" applyNumberFormat="1" applyFont="1" applyFill="1" applyBorder="1" applyAlignment="1">
      <alignment horizontal="center" vertical="center" shrinkToFit="1"/>
    </xf>
    <xf numFmtId="0" fontId="46" fillId="0" borderId="270" xfId="0" applyFont="1" applyBorder="1" applyAlignment="1">
      <alignment horizontal="center" vertical="center" shrinkToFit="1"/>
    </xf>
    <xf numFmtId="0" fontId="46" fillId="21" borderId="47" xfId="0" quotePrefix="1" applyNumberFormat="1" applyFont="1" applyFill="1" applyBorder="1" applyAlignment="1">
      <alignment horizontal="center" vertical="center" shrinkToFit="1"/>
    </xf>
    <xf numFmtId="0" fontId="46" fillId="21" borderId="269" xfId="0" quotePrefix="1" applyNumberFormat="1" applyFont="1" applyFill="1" applyBorder="1" applyAlignment="1">
      <alignment horizontal="center" vertical="center" shrinkToFit="1"/>
    </xf>
    <xf numFmtId="49" fontId="50" fillId="30" borderId="271" xfId="0" applyNumberFormat="1" applyFont="1" applyFill="1" applyBorder="1" applyAlignment="1">
      <alignment horizontal="center" vertical="center" shrinkToFit="1"/>
    </xf>
    <xf numFmtId="49" fontId="60" fillId="30" borderId="271" xfId="0" applyNumberFormat="1" applyFont="1" applyFill="1" applyBorder="1" applyAlignment="1">
      <alignment horizontal="center" vertical="center" shrinkToFit="1"/>
    </xf>
    <xf numFmtId="0" fontId="43" fillId="0" borderId="273" xfId="0" applyFont="1" applyBorder="1" applyAlignment="1">
      <alignment horizontal="center" vertical="center" shrinkToFit="1"/>
    </xf>
    <xf numFmtId="0" fontId="49" fillId="2" borderId="274" xfId="0" applyNumberFormat="1" applyFont="1" applyFill="1" applyBorder="1" applyAlignment="1">
      <alignment horizontal="center" vertical="center" shrinkToFit="1"/>
    </xf>
    <xf numFmtId="0" fontId="43" fillId="20" borderId="273" xfId="0" applyFont="1" applyFill="1" applyBorder="1" applyAlignment="1">
      <alignment horizontal="center" vertical="center" shrinkToFit="1"/>
    </xf>
    <xf numFmtId="0" fontId="49" fillId="20" borderId="273" xfId="0" applyFont="1" applyFill="1" applyBorder="1" applyAlignment="1">
      <alignment horizontal="center" vertical="center" shrinkToFit="1"/>
    </xf>
    <xf numFmtId="0" fontId="43" fillId="0" borderId="274" xfId="0" applyFont="1" applyBorder="1" applyAlignment="1">
      <alignment horizontal="center" vertical="center" shrinkToFit="1"/>
    </xf>
    <xf numFmtId="49" fontId="42" fillId="30" borderId="273" xfId="0" applyNumberFormat="1" applyFont="1" applyFill="1" applyBorder="1" applyAlignment="1">
      <alignment horizontal="center" vertical="center" shrinkToFit="1"/>
    </xf>
    <xf numFmtId="49" fontId="43" fillId="30" borderId="275" xfId="0" applyNumberFormat="1" applyFont="1" applyFill="1" applyBorder="1" applyAlignment="1">
      <alignment horizontal="center" vertical="center" shrinkToFit="1"/>
    </xf>
    <xf numFmtId="49" fontId="49" fillId="30" borderId="275" xfId="0" applyNumberFormat="1" applyFont="1" applyFill="1" applyBorder="1" applyAlignment="1">
      <alignment horizontal="center" vertical="center" shrinkToFit="1"/>
    </xf>
    <xf numFmtId="0" fontId="43" fillId="0" borderId="275" xfId="0" applyFont="1" applyBorder="1" applyAlignment="1">
      <alignment horizontal="center" vertical="center" shrinkToFit="1"/>
    </xf>
    <xf numFmtId="0" fontId="49" fillId="2" borderId="276" xfId="0" applyNumberFormat="1" applyFont="1" applyFill="1" applyBorder="1" applyAlignment="1">
      <alignment horizontal="center" vertical="center" shrinkToFit="1"/>
    </xf>
    <xf numFmtId="0" fontId="43" fillId="2" borderId="278" xfId="0" applyNumberFormat="1" applyFont="1" applyFill="1" applyBorder="1" applyAlignment="1">
      <alignment horizontal="center" vertical="center" shrinkToFit="1"/>
    </xf>
    <xf numFmtId="0" fontId="43" fillId="21" borderId="277" xfId="0" applyNumberFormat="1" applyFont="1" applyFill="1" applyBorder="1" applyAlignment="1">
      <alignment horizontal="center" vertical="center" shrinkToFit="1"/>
    </xf>
    <xf numFmtId="0" fontId="46" fillId="21" borderId="277" xfId="0" applyFont="1" applyFill="1" applyBorder="1" applyAlignment="1">
      <alignment horizontal="center" vertical="center" shrinkToFit="1"/>
    </xf>
    <xf numFmtId="0" fontId="52" fillId="21" borderId="277" xfId="0" applyFont="1" applyFill="1" applyBorder="1" applyAlignment="1">
      <alignment horizontal="center" vertical="center" shrinkToFit="1"/>
    </xf>
    <xf numFmtId="0" fontId="46" fillId="21" borderId="277" xfId="0" quotePrefix="1" applyFont="1" applyFill="1" applyBorder="1" applyAlignment="1">
      <alignment horizontal="center" vertical="center" shrinkToFit="1"/>
    </xf>
    <xf numFmtId="0" fontId="39" fillId="21" borderId="277" xfId="0" applyFont="1" applyFill="1" applyBorder="1" applyAlignment="1">
      <alignment horizontal="center" vertical="center" shrinkToFit="1"/>
    </xf>
    <xf numFmtId="0" fontId="46" fillId="0" borderId="277" xfId="0" applyFont="1" applyBorder="1" applyAlignment="1">
      <alignment horizontal="center" vertical="center" shrinkToFit="1"/>
    </xf>
    <xf numFmtId="0" fontId="49" fillId="21" borderId="277" xfId="0" applyFont="1" applyFill="1" applyBorder="1" applyAlignment="1">
      <alignment horizontal="center" vertical="center" shrinkToFit="1"/>
    </xf>
    <xf numFmtId="0" fontId="43" fillId="20" borderId="279" xfId="0" applyFont="1" applyFill="1" applyBorder="1" applyAlignment="1">
      <alignment horizontal="center" vertical="center" shrinkToFit="1"/>
    </xf>
    <xf numFmtId="0" fontId="49" fillId="20" borderId="279" xfId="0" applyFont="1" applyFill="1" applyBorder="1" applyAlignment="1">
      <alignment horizontal="center" vertical="center" shrinkToFit="1"/>
    </xf>
    <xf numFmtId="0" fontId="49" fillId="20" borderId="280" xfId="0" applyFont="1" applyFill="1" applyBorder="1" applyAlignment="1">
      <alignment horizontal="center" vertical="center" shrinkToFit="1"/>
    </xf>
    <xf numFmtId="0" fontId="43" fillId="0" borderId="280" xfId="0" applyFont="1" applyBorder="1" applyAlignment="1">
      <alignment horizontal="center" vertical="center" shrinkToFit="1"/>
    </xf>
    <xf numFmtId="0" fontId="43" fillId="0" borderId="279" xfId="0" applyFont="1" applyBorder="1" applyAlignment="1">
      <alignment horizontal="center" vertical="center" shrinkToFit="1"/>
    </xf>
    <xf numFmtId="0" fontId="49" fillId="2" borderId="280" xfId="0" applyNumberFormat="1" applyFont="1" applyFill="1" applyBorder="1" applyAlignment="1">
      <alignment horizontal="center" vertical="center" shrinkToFit="1"/>
    </xf>
    <xf numFmtId="0" fontId="50" fillId="21" borderId="277" xfId="0" applyNumberFormat="1" applyFont="1" applyFill="1" applyBorder="1" applyAlignment="1">
      <alignment horizontal="center" vertical="center" shrinkToFit="1"/>
    </xf>
    <xf numFmtId="0" fontId="50" fillId="21" borderId="277" xfId="0" applyFont="1" applyFill="1" applyBorder="1" applyAlignment="1">
      <alignment horizontal="center" vertical="center" shrinkToFit="1"/>
    </xf>
    <xf numFmtId="0" fontId="53" fillId="21" borderId="277" xfId="0" applyFont="1" applyFill="1" applyBorder="1" applyAlignment="1">
      <alignment horizontal="center" vertical="center" shrinkToFit="1"/>
    </xf>
    <xf numFmtId="0" fontId="50" fillId="21" borderId="277" xfId="0" quotePrefix="1" applyFont="1" applyFill="1" applyBorder="1" applyAlignment="1">
      <alignment horizontal="center" vertical="center" shrinkToFit="1"/>
    </xf>
    <xf numFmtId="0" fontId="53" fillId="21" borderId="23" xfId="0" applyFont="1" applyFill="1" applyBorder="1" applyAlignment="1">
      <alignment horizontal="center" vertical="center" shrinkToFit="1"/>
    </xf>
    <xf numFmtId="0" fontId="43" fillId="20" borderId="249" xfId="0" quotePrefix="1" applyNumberFormat="1" applyFont="1" applyFill="1" applyBorder="1" applyAlignment="1">
      <alignment horizontal="center" vertical="center" shrinkToFit="1"/>
    </xf>
    <xf numFmtId="0" fontId="46" fillId="21" borderId="277" xfId="0" quotePrefix="1" applyNumberFormat="1" applyFont="1" applyFill="1" applyBorder="1" applyAlignment="1">
      <alignment horizontal="center" vertical="center" shrinkToFit="1"/>
    </xf>
    <xf numFmtId="0" fontId="43" fillId="20" borderId="273" xfId="0" quotePrefix="1" applyNumberFormat="1" applyFont="1" applyFill="1" applyBorder="1" applyAlignment="1">
      <alignment horizontal="center" vertical="center" shrinkToFit="1"/>
    </xf>
    <xf numFmtId="0" fontId="43" fillId="20" borderId="279" xfId="0" quotePrefix="1" applyNumberFormat="1" applyFont="1" applyFill="1" applyBorder="1" applyAlignment="1">
      <alignment horizontal="center" vertical="center" shrinkToFit="1"/>
    </xf>
    <xf numFmtId="176" fontId="53" fillId="0" borderId="52" xfId="0" applyNumberFormat="1" applyFont="1" applyBorder="1" applyAlignment="1">
      <alignment horizontal="center" vertical="center" shrinkToFit="1"/>
    </xf>
    <xf numFmtId="0" fontId="50" fillId="0" borderId="53" xfId="0" applyNumberFormat="1" applyFont="1" applyFill="1" applyBorder="1" applyAlignment="1">
      <alignment horizontal="center" vertical="center" shrinkToFit="1"/>
    </xf>
    <xf numFmtId="0" fontId="53" fillId="0" borderId="52" xfId="0" applyFont="1" applyBorder="1" applyAlignment="1">
      <alignment horizontal="center" vertical="center" shrinkToFit="1"/>
    </xf>
    <xf numFmtId="0" fontId="50" fillId="0" borderId="52" xfId="0" applyFont="1" applyBorder="1" applyAlignment="1">
      <alignment horizontal="center" vertical="center" shrinkToFit="1"/>
    </xf>
    <xf numFmtId="0" fontId="50" fillId="0" borderId="52" xfId="0" applyFont="1" applyFill="1" applyBorder="1" applyAlignment="1">
      <alignment horizontal="center" vertical="center" shrinkToFit="1"/>
    </xf>
    <xf numFmtId="49" fontId="53" fillId="2" borderId="23" xfId="0" applyNumberFormat="1" applyFont="1" applyFill="1" applyBorder="1" applyAlignment="1">
      <alignment horizontal="center" vertical="center" shrinkToFit="1"/>
    </xf>
    <xf numFmtId="176" fontId="60" fillId="0" borderId="52" xfId="0" applyNumberFormat="1" applyFont="1" applyFill="1" applyBorder="1" applyAlignment="1">
      <alignment horizontal="center" vertical="center" shrinkToFit="1"/>
    </xf>
    <xf numFmtId="0" fontId="49" fillId="2" borderId="278" xfId="0" applyNumberFormat="1" applyFont="1" applyFill="1" applyBorder="1" applyAlignment="1">
      <alignment horizontal="center" vertical="center" shrinkToFit="1"/>
    </xf>
    <xf numFmtId="49" fontId="50" fillId="0" borderId="52" xfId="0" applyNumberFormat="1" applyFont="1" applyBorder="1" applyAlignment="1">
      <alignment horizontal="center" vertical="center" shrinkToFit="1"/>
    </xf>
    <xf numFmtId="49" fontId="42" fillId="31" borderId="266" xfId="0" applyNumberFormat="1" applyFont="1" applyFill="1" applyBorder="1" applyAlignment="1">
      <alignment horizontal="center" vertical="center" shrinkToFit="1"/>
    </xf>
    <xf numFmtId="49" fontId="50" fillId="30" borderId="283" xfId="0" applyNumberFormat="1" applyFont="1" applyFill="1" applyBorder="1" applyAlignment="1">
      <alignment horizontal="center" vertical="center" shrinkToFit="1"/>
    </xf>
    <xf numFmtId="49" fontId="53" fillId="30" borderId="283" xfId="0" applyNumberFormat="1" applyFont="1" applyFill="1" applyBorder="1" applyAlignment="1">
      <alignment horizontal="center" vertical="center" shrinkToFit="1"/>
    </xf>
    <xf numFmtId="49" fontId="60" fillId="30" borderId="283" xfId="0" applyNumberFormat="1" applyFont="1" applyFill="1" applyBorder="1" applyAlignment="1">
      <alignment horizontal="center" vertical="center" shrinkToFit="1"/>
    </xf>
    <xf numFmtId="49" fontId="49" fillId="31" borderId="283" xfId="0" applyNumberFormat="1" applyFont="1" applyFill="1" applyBorder="1" applyAlignment="1">
      <alignment horizontal="center" vertical="center" shrinkToFit="1"/>
    </xf>
    <xf numFmtId="49" fontId="43" fillId="31" borderId="283" xfId="0" applyNumberFormat="1" applyFont="1" applyFill="1" applyBorder="1" applyAlignment="1">
      <alignment horizontal="center" vertical="center" shrinkToFit="1"/>
    </xf>
    <xf numFmtId="49" fontId="42" fillId="31" borderId="283" xfId="0" applyNumberFormat="1" applyFont="1" applyFill="1" applyBorder="1" applyAlignment="1">
      <alignment horizontal="center" vertical="center" shrinkToFit="1"/>
    </xf>
    <xf numFmtId="0" fontId="49" fillId="2" borderId="286" xfId="0" applyNumberFormat="1" applyFont="1" applyFill="1" applyBorder="1" applyAlignment="1">
      <alignment horizontal="center" vertical="center" shrinkToFit="1"/>
    </xf>
    <xf numFmtId="0" fontId="43" fillId="20" borderId="285" xfId="0" applyFont="1" applyFill="1" applyBorder="1" applyAlignment="1">
      <alignment horizontal="center" vertical="center" shrinkToFit="1"/>
    </xf>
    <xf numFmtId="0" fontId="49" fillId="20" borderId="285" xfId="0" applyFont="1" applyFill="1" applyBorder="1" applyAlignment="1">
      <alignment horizontal="center" vertical="center" shrinkToFit="1"/>
    </xf>
    <xf numFmtId="0" fontId="49" fillId="20" borderId="286" xfId="0" applyFont="1" applyFill="1" applyBorder="1" applyAlignment="1">
      <alignment horizontal="center" vertical="center" shrinkToFit="1"/>
    </xf>
    <xf numFmtId="0" fontId="42" fillId="20" borderId="285" xfId="0" applyFont="1" applyFill="1" applyBorder="1" applyAlignment="1">
      <alignment horizontal="center" vertical="center" shrinkToFit="1"/>
    </xf>
    <xf numFmtId="0" fontId="43" fillId="0" borderId="285" xfId="0" applyFont="1" applyBorder="1" applyAlignment="1">
      <alignment horizontal="center" vertical="center" shrinkToFit="1"/>
    </xf>
    <xf numFmtId="0" fontId="43" fillId="20" borderId="285" xfId="0" quotePrefix="1" applyFont="1" applyFill="1" applyBorder="1" applyAlignment="1">
      <alignment horizontal="center" vertical="center" shrinkToFit="1"/>
    </xf>
    <xf numFmtId="49" fontId="50" fillId="21" borderId="277" xfId="0" quotePrefix="1" applyNumberFormat="1" applyFont="1" applyFill="1" applyBorder="1" applyAlignment="1">
      <alignment horizontal="center" vertical="center" shrinkToFit="1"/>
    </xf>
    <xf numFmtId="49" fontId="43" fillId="20" borderId="285" xfId="0" quotePrefix="1" applyNumberFormat="1" applyFont="1" applyFill="1" applyBorder="1" applyAlignment="1">
      <alignment horizontal="center" vertical="center" shrinkToFit="1"/>
    </xf>
    <xf numFmtId="49" fontId="37" fillId="0" borderId="27" xfId="0" applyNumberFormat="1" applyFont="1" applyFill="1" applyBorder="1" applyAlignment="1">
      <alignment vertical="center" shrinkToFit="1"/>
    </xf>
    <xf numFmtId="49" fontId="37" fillId="0" borderId="32" xfId="0" applyNumberFormat="1" applyFont="1" applyFill="1" applyBorder="1" applyAlignment="1">
      <alignment vertical="center" shrinkToFit="1"/>
    </xf>
    <xf numFmtId="49" fontId="39" fillId="0" borderId="0" xfId="0" applyNumberFormat="1" applyFont="1" applyFill="1" applyBorder="1" applyAlignment="1">
      <alignment horizontal="left" vertical="center" shrinkToFit="1"/>
    </xf>
    <xf numFmtId="49" fontId="40" fillId="0" borderId="29" xfId="0" applyNumberFormat="1" applyFont="1" applyFill="1" applyBorder="1" applyAlignment="1">
      <alignment horizontal="center" vertical="center" shrinkToFit="1"/>
    </xf>
    <xf numFmtId="49" fontId="41" fillId="0" borderId="33" xfId="0" applyNumberFormat="1" applyFont="1" applyFill="1" applyBorder="1" applyAlignment="1">
      <alignment horizontal="center" vertical="center" shrinkToFit="1"/>
    </xf>
    <xf numFmtId="49" fontId="41" fillId="0" borderId="36" xfId="0" applyNumberFormat="1" applyFont="1" applyFill="1" applyBorder="1" applyAlignment="1">
      <alignment vertical="center" shrinkToFit="1"/>
    </xf>
    <xf numFmtId="49" fontId="42" fillId="0" borderId="34" xfId="0" applyNumberFormat="1" applyFont="1" applyFill="1" applyBorder="1" applyAlignment="1">
      <alignment horizontal="center" vertical="center" shrinkToFit="1"/>
    </xf>
    <xf numFmtId="49" fontId="37" fillId="0" borderId="24" xfId="0" applyNumberFormat="1" applyFont="1" applyFill="1" applyBorder="1" applyAlignment="1">
      <alignment vertical="center" shrinkToFit="1"/>
    </xf>
    <xf numFmtId="49" fontId="37" fillId="0" borderId="25" xfId="0" applyNumberFormat="1" applyFont="1" applyFill="1" applyBorder="1" applyAlignment="1">
      <alignment vertical="center" shrinkToFit="1"/>
    </xf>
    <xf numFmtId="49" fontId="39" fillId="0" borderId="0" xfId="0" applyNumberFormat="1" applyFont="1" applyFill="1" applyAlignment="1">
      <alignment horizontal="left" vertical="center" shrinkToFit="1"/>
    </xf>
    <xf numFmtId="49" fontId="39" fillId="19" borderId="34" xfId="0" applyNumberFormat="1" applyFont="1" applyFill="1" applyBorder="1" applyAlignment="1">
      <alignment horizontal="center" vertical="center" shrinkToFit="1"/>
    </xf>
    <xf numFmtId="49" fontId="46" fillId="0" borderId="36" xfId="0" applyNumberFormat="1" applyFont="1" applyFill="1" applyBorder="1" applyAlignment="1">
      <alignment horizontal="left" vertical="center" shrinkToFit="1"/>
    </xf>
    <xf numFmtId="49" fontId="46" fillId="0" borderId="34" xfId="0" applyNumberFormat="1" applyFont="1" applyFill="1" applyBorder="1" applyAlignment="1">
      <alignment horizontal="left" vertical="center" shrinkToFit="1"/>
    </xf>
    <xf numFmtId="49" fontId="46" fillId="0" borderId="37" xfId="0" applyNumberFormat="1" applyFont="1" applyFill="1" applyBorder="1" applyAlignment="1">
      <alignment horizontal="left" vertical="center" shrinkToFit="1"/>
    </xf>
    <xf numFmtId="49" fontId="43" fillId="0" borderId="37" xfId="0" applyNumberFormat="1" applyFont="1" applyFill="1" applyBorder="1" applyAlignment="1">
      <alignment horizontal="center" vertical="center" shrinkToFit="1"/>
    </xf>
    <xf numFmtId="49" fontId="46" fillId="0" borderId="37" xfId="0" applyNumberFormat="1" applyFont="1" applyFill="1" applyBorder="1" applyAlignment="1">
      <alignment horizontal="center" vertical="center" shrinkToFit="1"/>
    </xf>
    <xf numFmtId="49" fontId="46" fillId="0" borderId="34" xfId="0" applyNumberFormat="1" applyFont="1" applyFill="1" applyBorder="1" applyAlignment="1">
      <alignment horizontal="center" vertical="center" shrinkToFit="1"/>
    </xf>
    <xf numFmtId="49" fontId="46" fillId="0" borderId="0" xfId="0" applyNumberFormat="1" applyFont="1" applyFill="1" applyAlignment="1">
      <alignment horizontal="left" vertical="center" shrinkToFit="1"/>
    </xf>
    <xf numFmtId="49" fontId="43" fillId="28" borderId="230" xfId="0" quotePrefix="1" applyNumberFormat="1" applyFont="1" applyFill="1" applyBorder="1" applyAlignment="1">
      <alignment horizontal="center" vertical="center" shrinkToFit="1"/>
    </xf>
    <xf numFmtId="49" fontId="43" fillId="28" borderId="231" xfId="0" applyNumberFormat="1" applyFont="1" applyFill="1" applyBorder="1" applyAlignment="1">
      <alignment horizontal="center" vertical="center" shrinkToFit="1"/>
    </xf>
    <xf numFmtId="49" fontId="43" fillId="28" borderId="230" xfId="0" applyNumberFormat="1" applyFont="1" applyFill="1" applyBorder="1" applyAlignment="1">
      <alignment horizontal="center" vertical="center" shrinkToFit="1"/>
    </xf>
    <xf numFmtId="49" fontId="53" fillId="28" borderId="230" xfId="0" applyNumberFormat="1" applyFont="1" applyFill="1" applyBorder="1" applyAlignment="1">
      <alignment horizontal="center" vertical="center" shrinkToFit="1"/>
    </xf>
    <xf numFmtId="49" fontId="50" fillId="28" borderId="230" xfId="0" applyNumberFormat="1" applyFont="1" applyFill="1" applyBorder="1" applyAlignment="1">
      <alignment horizontal="center" vertical="center" shrinkToFit="1"/>
    </xf>
    <xf numFmtId="49" fontId="53" fillId="28" borderId="231" xfId="0" applyNumberFormat="1" applyFont="1" applyFill="1" applyBorder="1" applyAlignment="1">
      <alignment horizontal="center" vertical="center" shrinkToFit="1"/>
    </xf>
    <xf numFmtId="49" fontId="49" fillId="28" borderId="230" xfId="0" applyNumberFormat="1" applyFont="1" applyFill="1" applyBorder="1" applyAlignment="1">
      <alignment horizontal="center" vertical="center" shrinkToFit="1"/>
    </xf>
    <xf numFmtId="49" fontId="42" fillId="28" borderId="230" xfId="0" applyNumberFormat="1" applyFont="1" applyFill="1" applyBorder="1" applyAlignment="1">
      <alignment horizontal="center" vertical="center" shrinkToFit="1"/>
    </xf>
    <xf numFmtId="49" fontId="43" fillId="2" borderId="231" xfId="0" applyNumberFormat="1" applyFont="1" applyFill="1" applyBorder="1" applyAlignment="1">
      <alignment horizontal="center" vertical="center" shrinkToFit="1"/>
    </xf>
    <xf numFmtId="49" fontId="60" fillId="0" borderId="230" xfId="0" applyNumberFormat="1" applyFont="1" applyBorder="1" applyAlignment="1">
      <alignment horizontal="center" vertical="center" shrinkToFit="1"/>
    </xf>
    <xf numFmtId="49" fontId="62" fillId="2" borderId="231" xfId="0" applyNumberFormat="1" applyFont="1" applyFill="1" applyBorder="1" applyAlignment="1">
      <alignment horizontal="center" vertical="center" shrinkToFit="1"/>
    </xf>
    <xf numFmtId="49" fontId="60" fillId="0" borderId="0" xfId="0" applyNumberFormat="1" applyFont="1" applyAlignment="1">
      <alignment horizontal="left" vertical="center" shrinkToFit="1"/>
    </xf>
    <xf numFmtId="49" fontId="50" fillId="21" borderId="277" xfId="0" applyNumberFormat="1" applyFont="1" applyFill="1" applyBorder="1" applyAlignment="1">
      <alignment horizontal="center" vertical="center" shrinkToFit="1"/>
    </xf>
    <xf numFmtId="49" fontId="53" fillId="21" borderId="277" xfId="0" applyNumberFormat="1" applyFont="1" applyFill="1" applyBorder="1" applyAlignment="1">
      <alignment horizontal="center" vertical="center" shrinkToFit="1"/>
    </xf>
    <xf numFmtId="49" fontId="53" fillId="21" borderId="23" xfId="0" applyNumberFormat="1" applyFont="1" applyFill="1" applyBorder="1" applyAlignment="1">
      <alignment horizontal="center" vertical="center" shrinkToFit="1"/>
    </xf>
    <xf numFmtId="49" fontId="39" fillId="21" borderId="277" xfId="0" applyNumberFormat="1" applyFont="1" applyFill="1" applyBorder="1" applyAlignment="1">
      <alignment horizontal="center" vertical="center" shrinkToFit="1"/>
    </xf>
    <xf numFmtId="49" fontId="43" fillId="2" borderId="278" xfId="0" applyNumberFormat="1" applyFont="1" applyFill="1" applyBorder="1" applyAlignment="1">
      <alignment horizontal="center" vertical="center" shrinkToFit="1"/>
    </xf>
    <xf numFmtId="49" fontId="46" fillId="0" borderId="277" xfId="0" applyNumberFormat="1" applyFont="1" applyBorder="1" applyAlignment="1">
      <alignment horizontal="center" vertical="center" shrinkToFit="1"/>
    </xf>
    <xf numFmtId="49" fontId="49" fillId="2" borderId="278" xfId="0" applyNumberFormat="1" applyFont="1" applyFill="1" applyBorder="1" applyAlignment="1">
      <alignment horizontal="center" vertical="center" shrinkToFit="1"/>
    </xf>
    <xf numFmtId="49" fontId="46" fillId="0" borderId="0" xfId="0" applyNumberFormat="1" applyFont="1" applyAlignment="1">
      <alignment horizontal="left" vertical="center" shrinkToFit="1"/>
    </xf>
    <xf numFmtId="49" fontId="43" fillId="20" borderId="264" xfId="0" quotePrefix="1" applyNumberFormat="1" applyFont="1" applyFill="1" applyBorder="1" applyAlignment="1">
      <alignment horizontal="center" vertical="center" shrinkToFit="1"/>
    </xf>
    <xf numFmtId="49" fontId="43" fillId="20" borderId="264" xfId="0" applyNumberFormat="1" applyFont="1" applyFill="1" applyBorder="1" applyAlignment="1">
      <alignment horizontal="center" vertical="center" shrinkToFit="1"/>
    </xf>
    <xf numFmtId="49" fontId="49" fillId="20" borderId="264" xfId="0" applyNumberFormat="1" applyFont="1" applyFill="1" applyBorder="1" applyAlignment="1">
      <alignment horizontal="center" vertical="center" shrinkToFit="1"/>
    </xf>
    <xf numFmtId="49" fontId="49" fillId="20" borderId="265" xfId="0" applyNumberFormat="1" applyFont="1" applyFill="1" applyBorder="1" applyAlignment="1">
      <alignment horizontal="center" vertical="center" shrinkToFit="1"/>
    </xf>
    <xf numFmtId="49" fontId="42" fillId="20" borderId="264" xfId="0" applyNumberFormat="1" applyFont="1" applyFill="1" applyBorder="1" applyAlignment="1">
      <alignment horizontal="center" vertical="center" shrinkToFit="1"/>
    </xf>
    <xf numFmtId="49" fontId="43" fillId="0" borderId="0" xfId="0" applyNumberFormat="1" applyFont="1" applyAlignment="1">
      <alignment horizontal="left" vertical="center" shrinkToFit="1"/>
    </xf>
    <xf numFmtId="49" fontId="43" fillId="0" borderId="265" xfId="0" applyNumberFormat="1" applyFont="1" applyBorder="1" applyAlignment="1">
      <alignment horizontal="center" vertical="center" shrinkToFit="1"/>
    </xf>
    <xf numFmtId="49" fontId="43" fillId="0" borderId="264" xfId="0" applyNumberFormat="1" applyFont="1" applyBorder="1" applyAlignment="1">
      <alignment horizontal="center" vertical="center" shrinkToFit="1"/>
    </xf>
    <xf numFmtId="49" fontId="49" fillId="2" borderId="265" xfId="0" applyNumberFormat="1" applyFont="1" applyFill="1" applyBorder="1" applyAlignment="1">
      <alignment horizontal="center" vertical="center" shrinkToFit="1"/>
    </xf>
    <xf numFmtId="49" fontId="50" fillId="0" borderId="272" xfId="0" applyNumberFormat="1" applyFont="1" applyBorder="1" applyAlignment="1">
      <alignment horizontal="center" vertical="center" shrinkToFit="1"/>
    </xf>
    <xf numFmtId="49" fontId="43" fillId="0" borderId="271" xfId="0" applyNumberFormat="1" applyFont="1" applyBorder="1" applyAlignment="1">
      <alignment horizontal="center" vertical="center" shrinkToFit="1"/>
    </xf>
    <xf numFmtId="49" fontId="49" fillId="2" borderId="216" xfId="0" applyNumberFormat="1" applyFont="1" applyFill="1" applyBorder="1" applyAlignment="1">
      <alignment horizontal="center" vertical="center" shrinkToFit="1"/>
    </xf>
    <xf numFmtId="49" fontId="42" fillId="0" borderId="0" xfId="0" applyNumberFormat="1" applyFont="1" applyAlignment="1">
      <alignment horizontal="left" vertical="center" shrinkToFit="1"/>
    </xf>
    <xf numFmtId="49" fontId="50" fillId="0" borderId="284" xfId="0" applyNumberFormat="1" applyFont="1" applyBorder="1" applyAlignment="1">
      <alignment horizontal="center" vertical="center" shrinkToFit="1"/>
    </xf>
    <xf numFmtId="49" fontId="50" fillId="0" borderId="283" xfId="0" applyNumberFormat="1" applyFont="1" applyBorder="1" applyAlignment="1">
      <alignment horizontal="center" vertical="center" shrinkToFit="1"/>
    </xf>
    <xf numFmtId="49" fontId="53" fillId="2" borderId="284" xfId="0" applyNumberFormat="1" applyFont="1" applyFill="1" applyBorder="1" applyAlignment="1">
      <alignment horizontal="center" vertical="center" shrinkToFit="1"/>
    </xf>
    <xf numFmtId="49" fontId="43" fillId="0" borderId="214" xfId="0" applyNumberFormat="1" applyFont="1" applyBorder="1" applyAlignment="1">
      <alignment horizontal="center" vertical="center" shrinkToFit="1"/>
    </xf>
    <xf numFmtId="49" fontId="43" fillId="0" borderId="215" xfId="0" applyNumberFormat="1" applyFont="1" applyBorder="1" applyAlignment="1">
      <alignment horizontal="center" vertical="center" shrinkToFit="1"/>
    </xf>
    <xf numFmtId="49" fontId="49" fillId="2" borderId="282" xfId="0" applyNumberFormat="1" applyFont="1" applyFill="1" applyBorder="1" applyAlignment="1">
      <alignment horizontal="center" vertical="center" shrinkToFit="1"/>
    </xf>
    <xf numFmtId="49" fontId="43" fillId="2" borderId="258" xfId="0" applyNumberFormat="1" applyFont="1" applyFill="1" applyBorder="1" applyAlignment="1">
      <alignment horizontal="center" vertical="center" shrinkToFit="1"/>
    </xf>
    <xf numFmtId="49" fontId="42" fillId="0" borderId="257" xfId="0" applyNumberFormat="1" applyFont="1" applyBorder="1" applyAlignment="1">
      <alignment horizontal="center" vertical="center" shrinkToFit="1"/>
    </xf>
    <xf numFmtId="49" fontId="45" fillId="2" borderId="258" xfId="0" applyNumberFormat="1" applyFont="1" applyFill="1" applyBorder="1" applyAlignment="1">
      <alignment horizontal="center" vertical="center" shrinkToFit="1"/>
    </xf>
    <xf numFmtId="49" fontId="43" fillId="2" borderId="284" xfId="0" applyNumberFormat="1" applyFont="1" applyFill="1" applyBorder="1" applyAlignment="1">
      <alignment horizontal="center" vertical="center" shrinkToFit="1"/>
    </xf>
    <xf numFmtId="49" fontId="42" fillId="0" borderId="283" xfId="0" applyNumberFormat="1" applyFont="1" applyBorder="1" applyAlignment="1">
      <alignment horizontal="center" vertical="center" shrinkToFit="1"/>
    </xf>
    <xf numFmtId="49" fontId="45" fillId="2" borderId="284" xfId="0" applyNumberFormat="1" applyFont="1" applyFill="1" applyBorder="1" applyAlignment="1">
      <alignment horizontal="center" vertical="center" shrinkToFit="1"/>
    </xf>
    <xf numFmtId="49" fontId="43" fillId="2" borderId="268" xfId="0" applyNumberFormat="1" applyFont="1" applyFill="1" applyBorder="1" applyAlignment="1">
      <alignment horizontal="center" vertical="center" shrinkToFit="1"/>
    </xf>
    <xf numFmtId="49" fontId="39" fillId="0" borderId="266" xfId="0" applyNumberFormat="1" applyFont="1" applyBorder="1" applyAlignment="1">
      <alignment horizontal="center" vertical="center" shrinkToFit="1"/>
    </xf>
    <xf numFmtId="49" fontId="45" fillId="2" borderId="268" xfId="0" applyNumberFormat="1" applyFont="1" applyFill="1" applyBorder="1" applyAlignment="1">
      <alignment horizontal="center" vertical="center" shrinkToFit="1"/>
    </xf>
    <xf numFmtId="49" fontId="39" fillId="0" borderId="0" xfId="0" applyNumberFormat="1" applyFont="1" applyAlignment="1">
      <alignment horizontal="left" vertical="center" shrinkToFit="1"/>
    </xf>
    <xf numFmtId="49" fontId="43" fillId="0" borderId="44" xfId="0" applyNumberFormat="1" applyFont="1" applyFill="1" applyBorder="1" applyAlignment="1">
      <alignment horizontal="center" vertical="center" shrinkToFit="1"/>
    </xf>
    <xf numFmtId="49" fontId="50" fillId="0" borderId="43" xfId="0" applyNumberFormat="1" applyFont="1" applyBorder="1" applyAlignment="1">
      <alignment horizontal="center" vertical="center" shrinkToFit="1"/>
    </xf>
    <xf numFmtId="49" fontId="46" fillId="0" borderId="43" xfId="0" applyNumberFormat="1" applyFont="1" applyFill="1" applyBorder="1" applyAlignment="1">
      <alignment horizontal="center" vertical="center" shrinkToFit="1"/>
    </xf>
    <xf numFmtId="49" fontId="46" fillId="0" borderId="23" xfId="0" applyNumberFormat="1" applyFont="1" applyFill="1" applyBorder="1" applyAlignment="1">
      <alignment horizontal="center" vertical="center" shrinkToFit="1"/>
    </xf>
    <xf numFmtId="49" fontId="39" fillId="0" borderId="43" xfId="0" applyNumberFormat="1" applyFont="1" applyFill="1" applyBorder="1" applyAlignment="1">
      <alignment horizontal="center" vertical="center" shrinkToFit="1"/>
    </xf>
    <xf numFmtId="49" fontId="45" fillId="2" borderId="44" xfId="0" applyNumberFormat="1" applyFont="1" applyFill="1" applyBorder="1" applyAlignment="1">
      <alignment horizontal="center" vertical="center" shrinkToFit="1"/>
    </xf>
    <xf numFmtId="49" fontId="45" fillId="2" borderId="34" xfId="0" applyNumberFormat="1" applyFont="1" applyFill="1" applyBorder="1" applyAlignment="1">
      <alignment horizontal="center" vertical="center" shrinkToFit="1"/>
    </xf>
    <xf numFmtId="49" fontId="43" fillId="0" borderId="219" xfId="0" applyNumberFormat="1" applyFont="1" applyFill="1" applyBorder="1" applyAlignment="1">
      <alignment horizontal="center" vertical="center" shrinkToFit="1"/>
    </xf>
    <xf numFmtId="49" fontId="43" fillId="0" borderId="218" xfId="0" applyNumberFormat="1" applyFont="1" applyBorder="1" applyAlignment="1">
      <alignment horizontal="center" vertical="center" shrinkToFit="1"/>
    </xf>
    <xf numFmtId="49" fontId="46" fillId="0" borderId="218" xfId="0" applyNumberFormat="1" applyFont="1" applyBorder="1" applyAlignment="1">
      <alignment horizontal="center" vertical="center" shrinkToFit="1"/>
    </xf>
    <xf numFmtId="49" fontId="46" fillId="0" borderId="218" xfId="0" applyNumberFormat="1" applyFont="1" applyFill="1" applyBorder="1" applyAlignment="1">
      <alignment horizontal="center" vertical="center" shrinkToFit="1"/>
    </xf>
    <xf numFmtId="49" fontId="39" fillId="0" borderId="218" xfId="0" applyNumberFormat="1" applyFont="1" applyFill="1" applyBorder="1" applyAlignment="1">
      <alignment horizontal="center" vertical="center" shrinkToFit="1"/>
    </xf>
    <xf numFmtId="49" fontId="43" fillId="2" borderId="219" xfId="0" applyNumberFormat="1" applyFont="1" applyFill="1" applyBorder="1" applyAlignment="1">
      <alignment horizontal="center" vertical="center" shrinkToFit="1"/>
    </xf>
    <xf numFmtId="49" fontId="45" fillId="2" borderId="219" xfId="0" applyNumberFormat="1" applyFont="1" applyFill="1" applyBorder="1" applyAlignment="1">
      <alignment horizontal="center" vertical="center" shrinkToFit="1"/>
    </xf>
    <xf numFmtId="49" fontId="43" fillId="0" borderId="35" xfId="0" applyNumberFormat="1" applyFont="1" applyBorder="1" applyAlignment="1">
      <alignment horizontal="center" vertical="center" shrinkToFit="1"/>
    </xf>
    <xf numFmtId="49" fontId="46" fillId="0" borderId="35" xfId="0" applyNumberFormat="1" applyFont="1" applyBorder="1" applyAlignment="1">
      <alignment horizontal="center" vertical="center" shrinkToFit="1"/>
    </xf>
    <xf numFmtId="49" fontId="39" fillId="0" borderId="23" xfId="0" applyNumberFormat="1" applyFont="1" applyFill="1" applyBorder="1" applyAlignment="1">
      <alignment horizontal="center" vertical="center" shrinkToFit="1"/>
    </xf>
    <xf numFmtId="49" fontId="52" fillId="21" borderId="23" xfId="0" applyNumberFormat="1" applyFont="1" applyFill="1" applyBorder="1" applyAlignment="1">
      <alignment horizontal="center" vertical="center" shrinkToFit="1"/>
    </xf>
    <xf numFmtId="49" fontId="49" fillId="0" borderId="218" xfId="0" applyNumberFormat="1" applyFont="1" applyBorder="1" applyAlignment="1">
      <alignment horizontal="center" vertical="center" shrinkToFit="1"/>
    </xf>
    <xf numFmtId="49" fontId="43" fillId="21" borderId="277" xfId="0" quotePrefix="1" applyNumberFormat="1" applyFont="1" applyFill="1" applyBorder="1" applyAlignment="1">
      <alignment horizontal="center" vertical="center" shrinkToFit="1"/>
    </xf>
    <xf numFmtId="49" fontId="43" fillId="21" borderId="277" xfId="0" applyNumberFormat="1" applyFont="1" applyFill="1" applyBorder="1" applyAlignment="1">
      <alignment horizontal="center" vertical="center" shrinkToFit="1"/>
    </xf>
    <xf numFmtId="49" fontId="49" fillId="21" borderId="277" xfId="0" applyNumberFormat="1" applyFont="1" applyFill="1" applyBorder="1" applyAlignment="1">
      <alignment horizontal="center" vertical="center" shrinkToFit="1"/>
    </xf>
    <xf numFmtId="49" fontId="49" fillId="21" borderId="23" xfId="0" applyNumberFormat="1" applyFont="1" applyFill="1" applyBorder="1" applyAlignment="1">
      <alignment horizontal="center" vertical="center" shrinkToFit="1"/>
    </xf>
    <xf numFmtId="49" fontId="42" fillId="21" borderId="277" xfId="0" applyNumberFormat="1" applyFont="1" applyFill="1" applyBorder="1" applyAlignment="1">
      <alignment horizontal="center" vertical="center" shrinkToFit="1"/>
    </xf>
    <xf numFmtId="49" fontId="43" fillId="0" borderId="277" xfId="0" applyNumberFormat="1" applyFont="1" applyBorder="1" applyAlignment="1">
      <alignment horizontal="center" vertical="center" shrinkToFit="1"/>
    </xf>
    <xf numFmtId="49" fontId="45" fillId="0" borderId="34" xfId="0" applyNumberFormat="1" applyFont="1" applyFill="1" applyBorder="1" applyAlignment="1">
      <alignment horizontal="center" vertical="center" shrinkToFit="1"/>
    </xf>
    <xf numFmtId="49" fontId="44" fillId="0" borderId="35" xfId="0" applyNumberFormat="1" applyFont="1" applyFill="1" applyBorder="1" applyAlignment="1">
      <alignment horizontal="center" vertical="center" shrinkToFit="1"/>
    </xf>
    <xf numFmtId="49" fontId="46" fillId="0" borderId="35" xfId="0" quotePrefix="1" applyNumberFormat="1" applyFont="1" applyFill="1" applyBorder="1" applyAlignment="1">
      <alignment horizontal="center" vertical="center" shrinkToFit="1"/>
    </xf>
    <xf numFmtId="49" fontId="43" fillId="2" borderId="34" xfId="0" applyNumberFormat="1" applyFont="1" applyFill="1" applyBorder="1" applyAlignment="1">
      <alignment horizontal="center" vertical="center" shrinkToFit="1"/>
    </xf>
    <xf numFmtId="49" fontId="44" fillId="0" borderId="34" xfId="0" applyNumberFormat="1" applyFont="1" applyBorder="1" applyAlignment="1">
      <alignment horizontal="center" vertical="center" shrinkToFit="1"/>
    </xf>
    <xf numFmtId="49" fontId="43" fillId="0" borderId="34" xfId="0" applyNumberFormat="1" applyFont="1" applyBorder="1" applyAlignment="1">
      <alignment horizontal="center" vertical="center" shrinkToFit="1"/>
    </xf>
    <xf numFmtId="49" fontId="46" fillId="0" borderId="34" xfId="0" applyNumberFormat="1" applyFont="1" applyBorder="1" applyAlignment="1">
      <alignment horizontal="center" vertical="center" shrinkToFit="1"/>
    </xf>
    <xf numFmtId="49" fontId="47" fillId="0" borderId="34" xfId="0" applyNumberFormat="1" applyFont="1" applyBorder="1" applyAlignment="1">
      <alignment horizontal="center" vertical="center" shrinkToFit="1"/>
    </xf>
    <xf numFmtId="49" fontId="42" fillId="0" borderId="0" xfId="0" applyNumberFormat="1" applyFont="1" applyAlignment="1">
      <alignment horizontal="center" vertical="center" shrinkToFit="1"/>
    </xf>
    <xf numFmtId="49" fontId="39" fillId="0" borderId="0" xfId="0" applyNumberFormat="1" applyFont="1" applyAlignment="1">
      <alignment horizontal="center" vertical="center" shrinkToFit="1"/>
    </xf>
    <xf numFmtId="49" fontId="43" fillId="28" borderId="287" xfId="0" quotePrefix="1" applyNumberFormat="1" applyFont="1" applyFill="1" applyBorder="1" applyAlignment="1">
      <alignment horizontal="center" vertical="center" shrinkToFit="1"/>
    </xf>
    <xf numFmtId="49" fontId="43" fillId="28" borderId="287" xfId="0" applyNumberFormat="1" applyFont="1" applyFill="1" applyBorder="1" applyAlignment="1">
      <alignment horizontal="center" vertical="center" shrinkToFit="1"/>
    </xf>
    <xf numFmtId="49" fontId="49" fillId="28" borderId="287" xfId="0" applyNumberFormat="1" applyFont="1" applyFill="1" applyBorder="1" applyAlignment="1">
      <alignment horizontal="center" vertical="center" shrinkToFit="1"/>
    </xf>
    <xf numFmtId="49" fontId="42" fillId="28" borderId="287" xfId="0" applyNumberFormat="1" applyFont="1" applyFill="1" applyBorder="1" applyAlignment="1">
      <alignment horizontal="center" vertical="center" shrinkToFit="1"/>
    </xf>
    <xf numFmtId="49" fontId="43" fillId="2" borderId="288" xfId="0" applyNumberFormat="1" applyFont="1" applyFill="1" applyBorder="1" applyAlignment="1">
      <alignment horizontal="center" vertical="center" shrinkToFit="1"/>
    </xf>
    <xf numFmtId="49" fontId="62" fillId="2" borderId="288" xfId="0" applyNumberFormat="1" applyFont="1" applyFill="1" applyBorder="1" applyAlignment="1">
      <alignment horizontal="center" vertical="center" shrinkToFit="1"/>
    </xf>
    <xf numFmtId="49" fontId="50" fillId="30" borderId="289" xfId="0" applyNumberFormat="1" applyFont="1" applyFill="1" applyBorder="1" applyAlignment="1">
      <alignment horizontal="center" vertical="center" shrinkToFit="1"/>
    </xf>
    <xf numFmtId="49" fontId="60" fillId="30" borderId="289" xfId="0" applyNumberFormat="1" applyFont="1" applyFill="1" applyBorder="1" applyAlignment="1">
      <alignment horizontal="center" vertical="center" shrinkToFit="1"/>
    </xf>
    <xf numFmtId="49" fontId="50" fillId="0" borderId="289" xfId="0" applyNumberFormat="1" applyFont="1" applyBorder="1" applyAlignment="1">
      <alignment horizontal="center" vertical="center" shrinkToFit="1"/>
    </xf>
    <xf numFmtId="49" fontId="53" fillId="2" borderId="290" xfId="0" applyNumberFormat="1" applyFont="1" applyFill="1" applyBorder="1" applyAlignment="1">
      <alignment horizontal="center" vertical="center" shrinkToFit="1"/>
    </xf>
    <xf numFmtId="49" fontId="50" fillId="31" borderId="222" xfId="0" applyNumberFormat="1" applyFont="1" applyFill="1" applyBorder="1" applyAlignment="1">
      <alignment horizontal="center" vertical="center" shrinkToFit="1"/>
    </xf>
    <xf numFmtId="49" fontId="53" fillId="31" borderId="222" xfId="0" applyNumberFormat="1" applyFont="1" applyFill="1" applyBorder="1" applyAlignment="1">
      <alignment horizontal="center" vertical="center" shrinkToFit="1"/>
    </xf>
    <xf numFmtId="49" fontId="50" fillId="31" borderId="263" xfId="0" applyNumberFormat="1" applyFont="1" applyFill="1" applyBorder="1" applyAlignment="1">
      <alignment horizontal="center" vertical="center" shrinkToFit="1"/>
    </xf>
    <xf numFmtId="49" fontId="60" fillId="31" borderId="222" xfId="0" applyNumberFormat="1" applyFont="1" applyFill="1" applyBorder="1" applyAlignment="1">
      <alignment horizontal="center" vertical="center" shrinkToFit="1"/>
    </xf>
    <xf numFmtId="49" fontId="50" fillId="2" borderId="258" xfId="0" applyNumberFormat="1" applyFont="1" applyFill="1" applyBorder="1" applyAlignment="1">
      <alignment horizontal="center" vertical="center" shrinkToFit="1"/>
    </xf>
    <xf numFmtId="49" fontId="60" fillId="0" borderId="257" xfId="0" applyNumberFormat="1" applyFont="1" applyBorder="1" applyAlignment="1">
      <alignment horizontal="center" vertical="center" shrinkToFit="1"/>
    </xf>
    <xf numFmtId="49" fontId="44" fillId="2" borderId="258" xfId="0" applyNumberFormat="1" applyFont="1" applyFill="1" applyBorder="1" applyAlignment="1">
      <alignment horizontal="center" vertical="center" shrinkToFit="1"/>
    </xf>
    <xf numFmtId="49" fontId="50" fillId="31" borderId="291" xfId="0" applyNumberFormat="1" applyFont="1" applyFill="1" applyBorder="1" applyAlignment="1">
      <alignment horizontal="center" vertical="center" shrinkToFit="1"/>
    </xf>
    <xf numFmtId="49" fontId="60" fillId="31" borderId="291" xfId="0" applyNumberFormat="1" applyFont="1" applyFill="1" applyBorder="1" applyAlignment="1">
      <alignment horizontal="center" vertical="center" shrinkToFit="1"/>
    </xf>
    <xf numFmtId="49" fontId="60" fillId="0" borderId="291" xfId="0" applyNumberFormat="1" applyFont="1" applyBorder="1" applyAlignment="1">
      <alignment horizontal="center" vertical="center" shrinkToFit="1"/>
    </xf>
    <xf numFmtId="49" fontId="44" fillId="2" borderId="292" xfId="0" applyNumberFormat="1" applyFont="1" applyFill="1" applyBorder="1" applyAlignment="1">
      <alignment horizontal="center" vertical="center" shrinkToFit="1"/>
    </xf>
    <xf numFmtId="49" fontId="43" fillId="2" borderId="222" xfId="0" applyNumberFormat="1" applyFont="1" applyFill="1" applyBorder="1" applyAlignment="1">
      <alignment horizontal="center" vertical="center" shrinkToFit="1"/>
    </xf>
    <xf numFmtId="49" fontId="49" fillId="28" borderId="231" xfId="0" applyNumberFormat="1" applyFont="1" applyFill="1" applyBorder="1" applyAlignment="1">
      <alignment horizontal="center" vertical="center" shrinkToFit="1"/>
    </xf>
    <xf numFmtId="49" fontId="42" fillId="0" borderId="287" xfId="0" applyNumberFormat="1" applyFont="1" applyBorder="1" applyAlignment="1">
      <alignment horizontal="center" vertical="center" shrinkToFit="1"/>
    </xf>
    <xf numFmtId="49" fontId="50" fillId="30" borderId="293" xfId="0" applyNumberFormat="1" applyFont="1" applyFill="1" applyBorder="1" applyAlignment="1">
      <alignment horizontal="center" vertical="center" shrinkToFit="1"/>
    </xf>
    <xf numFmtId="49" fontId="53" fillId="30" borderId="293" xfId="0" applyNumberFormat="1" applyFont="1" applyFill="1" applyBorder="1" applyAlignment="1">
      <alignment horizontal="center" vertical="center" shrinkToFit="1"/>
    </xf>
    <xf numFmtId="49" fontId="60" fillId="30" borderId="293" xfId="0" applyNumberFormat="1" applyFont="1" applyFill="1" applyBorder="1" applyAlignment="1">
      <alignment horizontal="center" vertical="center" shrinkToFit="1"/>
    </xf>
    <xf numFmtId="49" fontId="50" fillId="0" borderId="294" xfId="0" applyNumberFormat="1" applyFont="1" applyBorder="1" applyAlignment="1">
      <alignment horizontal="center" vertical="center" shrinkToFit="1"/>
    </xf>
    <xf numFmtId="49" fontId="50" fillId="0" borderId="293" xfId="0" applyNumberFormat="1" applyFont="1" applyBorder="1" applyAlignment="1">
      <alignment horizontal="center" vertical="center" shrinkToFit="1"/>
    </xf>
    <xf numFmtId="49" fontId="49" fillId="2" borderId="294" xfId="0" applyNumberFormat="1" applyFont="1" applyFill="1" applyBorder="1" applyAlignment="1">
      <alignment horizontal="center" vertical="center" shrinkToFit="1"/>
    </xf>
    <xf numFmtId="49" fontId="50" fillId="30" borderId="295" xfId="0" applyNumberFormat="1" applyFont="1" applyFill="1" applyBorder="1" applyAlignment="1">
      <alignment horizontal="center" vertical="center" shrinkToFit="1"/>
    </xf>
    <xf numFmtId="49" fontId="53" fillId="30" borderId="295" xfId="0" applyNumberFormat="1" applyFont="1" applyFill="1" applyBorder="1" applyAlignment="1">
      <alignment horizontal="center" vertical="center" shrinkToFit="1"/>
    </xf>
    <xf numFmtId="49" fontId="60" fillId="30" borderId="295" xfId="0" applyNumberFormat="1" applyFont="1" applyFill="1" applyBorder="1" applyAlignment="1">
      <alignment horizontal="center" vertical="center" shrinkToFit="1"/>
    </xf>
    <xf numFmtId="49" fontId="50" fillId="0" borderId="296" xfId="0" applyNumberFormat="1" applyFont="1" applyBorder="1" applyAlignment="1">
      <alignment horizontal="center" vertical="center" shrinkToFit="1"/>
    </xf>
    <xf numFmtId="49" fontId="50" fillId="0" borderId="295" xfId="0" applyNumberFormat="1" applyFont="1" applyBorder="1" applyAlignment="1">
      <alignment horizontal="center" vertical="center" shrinkToFit="1"/>
    </xf>
    <xf numFmtId="49" fontId="49" fillId="2" borderId="296" xfId="0" applyNumberFormat="1" applyFont="1" applyFill="1" applyBorder="1" applyAlignment="1">
      <alignment horizontal="center" vertical="center" shrinkToFit="1"/>
    </xf>
    <xf numFmtId="49" fontId="43" fillId="30" borderId="251" xfId="0" quotePrefix="1" applyNumberFormat="1" applyFont="1" applyFill="1" applyBorder="1" applyAlignment="1">
      <alignment horizontal="center" vertical="center" shrinkToFit="1"/>
    </xf>
    <xf numFmtId="0" fontId="43" fillId="0" borderId="29" xfId="0" applyFont="1" applyFill="1" applyBorder="1" applyAlignment="1">
      <alignment horizontal="center" vertical="center" shrinkToFit="1"/>
    </xf>
    <xf numFmtId="0" fontId="43" fillId="20" borderId="34" xfId="0" applyNumberFormat="1" applyFont="1" applyFill="1" applyBorder="1" applyAlignment="1">
      <alignment horizontal="center" vertical="center" shrinkToFit="1"/>
    </xf>
    <xf numFmtId="0" fontId="64" fillId="0" borderId="0" xfId="0" applyFont="1"/>
    <xf numFmtId="49" fontId="53" fillId="30" borderId="296" xfId="0" applyNumberFormat="1" applyFont="1" applyFill="1" applyBorder="1" applyAlignment="1">
      <alignment horizontal="center" vertical="center" shrinkToFit="1"/>
    </xf>
    <xf numFmtId="49" fontId="60" fillId="21" borderId="277" xfId="0" applyNumberFormat="1" applyFont="1" applyFill="1" applyBorder="1" applyAlignment="1">
      <alignment horizontal="center" vertical="center" shrinkToFit="1"/>
    </xf>
    <xf numFmtId="49" fontId="50" fillId="2" borderId="278" xfId="0" applyNumberFormat="1" applyFont="1" applyFill="1" applyBorder="1" applyAlignment="1">
      <alignment horizontal="center" vertical="center" shrinkToFit="1"/>
    </xf>
    <xf numFmtId="49" fontId="50" fillId="0" borderId="277" xfId="0" applyNumberFormat="1" applyFont="1" applyBorder="1" applyAlignment="1">
      <alignment horizontal="center" vertical="center" shrinkToFit="1"/>
    </xf>
    <xf numFmtId="49" fontId="53" fillId="2" borderId="278" xfId="0" applyNumberFormat="1" applyFont="1" applyFill="1" applyBorder="1" applyAlignment="1">
      <alignment horizontal="center" vertical="center" shrinkToFit="1"/>
    </xf>
    <xf numFmtId="49" fontId="50" fillId="0" borderId="0" xfId="0" applyNumberFormat="1" applyFont="1" applyAlignment="1">
      <alignment horizontal="left" vertical="center" shrinkToFit="1"/>
    </xf>
    <xf numFmtId="49" fontId="50" fillId="30" borderId="297" xfId="0" applyNumberFormat="1" applyFont="1" applyFill="1" applyBorder="1" applyAlignment="1">
      <alignment horizontal="center" vertical="center" shrinkToFit="1"/>
    </xf>
    <xf numFmtId="49" fontId="53" fillId="30" borderId="297" xfId="0" applyNumberFormat="1" applyFont="1" applyFill="1" applyBorder="1" applyAlignment="1">
      <alignment horizontal="center" vertical="center" shrinkToFit="1"/>
    </xf>
    <xf numFmtId="49" fontId="60" fillId="30" borderId="297" xfId="0" applyNumberFormat="1" applyFont="1" applyFill="1" applyBorder="1" applyAlignment="1">
      <alignment horizontal="center" vertical="center" shrinkToFit="1"/>
    </xf>
    <xf numFmtId="49" fontId="50" fillId="0" borderId="298" xfId="0" applyNumberFormat="1" applyFont="1" applyBorder="1" applyAlignment="1">
      <alignment horizontal="center" vertical="center" shrinkToFit="1"/>
    </xf>
    <xf numFmtId="49" fontId="50" fillId="0" borderId="297" xfId="0" applyNumberFormat="1" applyFont="1" applyBorder="1" applyAlignment="1">
      <alignment horizontal="center" vertical="center" shrinkToFit="1"/>
    </xf>
    <xf numFmtId="49" fontId="49" fillId="2" borderId="298" xfId="0" applyNumberFormat="1" applyFont="1" applyFill="1" applyBorder="1" applyAlignment="1">
      <alignment horizontal="center" vertical="center" shrinkToFit="1"/>
    </xf>
    <xf numFmtId="49" fontId="49" fillId="0" borderId="35" xfId="0" applyNumberFormat="1" applyFont="1" applyBorder="1" applyAlignment="1">
      <alignment horizontal="center" vertical="center" shrinkToFit="1"/>
    </xf>
    <xf numFmtId="49" fontId="50" fillId="0" borderId="35" xfId="0" applyNumberFormat="1" applyFont="1" applyBorder="1" applyAlignment="1">
      <alignment horizontal="center" vertical="center" shrinkToFit="1"/>
    </xf>
    <xf numFmtId="49" fontId="43" fillId="30" borderId="299" xfId="0" applyNumberFormat="1" applyFont="1" applyFill="1" applyBorder="1" applyAlignment="1">
      <alignment horizontal="center" vertical="center" shrinkToFit="1"/>
    </xf>
    <xf numFmtId="49" fontId="49" fillId="30" borderId="299" xfId="0" applyNumberFormat="1" applyFont="1" applyFill="1" applyBorder="1" applyAlignment="1">
      <alignment horizontal="center" vertical="center" shrinkToFit="1"/>
    </xf>
    <xf numFmtId="49" fontId="42" fillId="30" borderId="299" xfId="0" applyNumberFormat="1" applyFont="1" applyFill="1" applyBorder="1" applyAlignment="1">
      <alignment horizontal="center" vertical="center" shrinkToFit="1"/>
    </xf>
    <xf numFmtId="49" fontId="43" fillId="0" borderId="300" xfId="0" applyNumberFormat="1" applyFont="1" applyBorder="1" applyAlignment="1">
      <alignment horizontal="center" vertical="center" shrinkToFit="1"/>
    </xf>
    <xf numFmtId="49" fontId="43" fillId="0" borderId="299" xfId="0" applyNumberFormat="1" applyFont="1" applyBorder="1" applyAlignment="1">
      <alignment horizontal="center" vertical="center" shrinkToFit="1"/>
    </xf>
    <xf numFmtId="49" fontId="49" fillId="2" borderId="300" xfId="0" applyNumberFormat="1" applyFont="1" applyFill="1" applyBorder="1" applyAlignment="1">
      <alignment horizontal="center" vertical="center" shrinkToFit="1"/>
    </xf>
    <xf numFmtId="49" fontId="50" fillId="30" borderId="299" xfId="0" applyNumberFormat="1" applyFont="1" applyFill="1" applyBorder="1" applyAlignment="1">
      <alignment horizontal="center" vertical="center" shrinkToFit="1"/>
    </xf>
    <xf numFmtId="49" fontId="53" fillId="30" borderId="299" xfId="0" applyNumberFormat="1" applyFont="1" applyFill="1" applyBorder="1" applyAlignment="1">
      <alignment horizontal="center" vertical="center" shrinkToFit="1"/>
    </xf>
    <xf numFmtId="49" fontId="60" fillId="30" borderId="299" xfId="0" applyNumberFormat="1" applyFont="1" applyFill="1" applyBorder="1" applyAlignment="1">
      <alignment horizontal="center" vertical="center" shrinkToFit="1"/>
    </xf>
    <xf numFmtId="49" fontId="50" fillId="0" borderId="300" xfId="0" applyNumberFormat="1" applyFont="1" applyBorder="1" applyAlignment="1">
      <alignment horizontal="center" vertical="center" shrinkToFit="1"/>
    </xf>
    <xf numFmtId="49" fontId="50" fillId="0" borderId="299" xfId="0" applyNumberFormat="1" applyFont="1" applyBorder="1" applyAlignment="1">
      <alignment horizontal="center" vertical="center" shrinkToFit="1"/>
    </xf>
    <xf numFmtId="49" fontId="43" fillId="20" borderId="301" xfId="0" quotePrefix="1" applyNumberFormat="1" applyFont="1" applyFill="1" applyBorder="1" applyAlignment="1">
      <alignment horizontal="center" vertical="center" shrinkToFit="1"/>
    </xf>
    <xf numFmtId="0" fontId="43" fillId="20" borderId="301" xfId="0" applyFont="1" applyFill="1" applyBorder="1" applyAlignment="1">
      <alignment horizontal="center" vertical="center" shrinkToFit="1"/>
    </xf>
    <xf numFmtId="0" fontId="49" fillId="20" borderId="301" xfId="0" applyFont="1" applyFill="1" applyBorder="1" applyAlignment="1">
      <alignment horizontal="center" vertical="center" shrinkToFit="1"/>
    </xf>
    <xf numFmtId="0" fontId="43" fillId="20" borderId="301" xfId="0" quotePrefix="1" applyFont="1" applyFill="1" applyBorder="1" applyAlignment="1">
      <alignment horizontal="center" vertical="center" shrinkToFit="1"/>
    </xf>
    <xf numFmtId="0" fontId="42" fillId="20" borderId="301" xfId="0" applyFont="1" applyFill="1" applyBorder="1" applyAlignment="1">
      <alignment horizontal="center" vertical="center" shrinkToFit="1"/>
    </xf>
    <xf numFmtId="0" fontId="43" fillId="0" borderId="302" xfId="0" applyFont="1" applyBorder="1" applyAlignment="1">
      <alignment horizontal="center" vertical="center" shrinkToFit="1"/>
    </xf>
    <xf numFmtId="0" fontId="43" fillId="0" borderId="301" xfId="0" applyFont="1" applyBorder="1" applyAlignment="1">
      <alignment horizontal="center" vertical="center" shrinkToFit="1"/>
    </xf>
    <xf numFmtId="0" fontId="49" fillId="2" borderId="302" xfId="0" applyNumberFormat="1" applyFont="1" applyFill="1" applyBorder="1" applyAlignment="1">
      <alignment horizontal="center" vertical="center" shrinkToFit="1"/>
    </xf>
    <xf numFmtId="49" fontId="50" fillId="20" borderId="301" xfId="0" quotePrefix="1" applyNumberFormat="1" applyFont="1" applyFill="1" applyBorder="1" applyAlignment="1">
      <alignment horizontal="center" vertical="center" shrinkToFit="1"/>
    </xf>
    <xf numFmtId="0" fontId="50" fillId="20" borderId="301" xfId="0" applyFont="1" applyFill="1" applyBorder="1" applyAlignment="1">
      <alignment horizontal="center" vertical="center" shrinkToFit="1"/>
    </xf>
    <xf numFmtId="0" fontId="53" fillId="20" borderId="301" xfId="0" applyFont="1" applyFill="1" applyBorder="1" applyAlignment="1">
      <alignment horizontal="center" vertical="center" shrinkToFit="1"/>
    </xf>
    <xf numFmtId="0" fontId="50" fillId="20" borderId="301" xfId="0" quotePrefix="1" applyFont="1" applyFill="1" applyBorder="1" applyAlignment="1">
      <alignment horizontal="center" vertical="center" shrinkToFit="1"/>
    </xf>
    <xf numFmtId="0" fontId="53" fillId="20" borderId="23" xfId="0" applyFont="1" applyFill="1" applyBorder="1" applyAlignment="1">
      <alignment horizontal="center" vertical="center" shrinkToFit="1"/>
    </xf>
    <xf numFmtId="0" fontId="60" fillId="20" borderId="301" xfId="0" applyFont="1" applyFill="1" applyBorder="1" applyAlignment="1">
      <alignment horizontal="center" vertical="center" shrinkToFit="1"/>
    </xf>
    <xf numFmtId="0" fontId="50" fillId="0" borderId="302" xfId="0" applyFont="1" applyBorder="1" applyAlignment="1">
      <alignment horizontal="center" vertical="center" shrinkToFit="1"/>
    </xf>
    <xf numFmtId="0" fontId="50" fillId="0" borderId="301" xfId="0" applyFont="1" applyBorder="1" applyAlignment="1">
      <alignment horizontal="center" vertical="center" shrinkToFit="1"/>
    </xf>
    <xf numFmtId="0" fontId="53" fillId="2" borderId="302" xfId="0" applyNumberFormat="1" applyFont="1" applyFill="1" applyBorder="1" applyAlignment="1">
      <alignment horizontal="center" vertical="center" shrinkToFit="1"/>
    </xf>
    <xf numFmtId="0" fontId="50" fillId="0" borderId="0" xfId="0" applyFont="1" applyAlignment="1">
      <alignment horizontal="left" vertical="center" shrinkToFit="1"/>
    </xf>
    <xf numFmtId="49" fontId="50" fillId="30" borderId="303" xfId="0" applyNumberFormat="1" applyFont="1" applyFill="1" applyBorder="1" applyAlignment="1">
      <alignment horizontal="center" vertical="center" shrinkToFit="1"/>
    </xf>
    <xf numFmtId="49" fontId="53" fillId="30" borderId="303" xfId="0" applyNumberFormat="1" applyFont="1" applyFill="1" applyBorder="1" applyAlignment="1">
      <alignment horizontal="center" vertical="center" shrinkToFit="1"/>
    </xf>
    <xf numFmtId="49" fontId="60" fillId="30" borderId="303" xfId="0" applyNumberFormat="1" applyFont="1" applyFill="1" applyBorder="1" applyAlignment="1">
      <alignment horizontal="center" vertical="center" shrinkToFit="1"/>
    </xf>
    <xf numFmtId="49" fontId="50" fillId="0" borderId="304" xfId="0" applyNumberFormat="1" applyFont="1" applyBorder="1" applyAlignment="1">
      <alignment horizontal="center" vertical="center" shrinkToFit="1"/>
    </xf>
    <xf numFmtId="49" fontId="50" fillId="0" borderId="303" xfId="0" applyNumberFormat="1" applyFont="1" applyBorder="1" applyAlignment="1">
      <alignment horizontal="center" vertical="center" shrinkToFit="1"/>
    </xf>
    <xf numFmtId="49" fontId="49" fillId="2" borderId="304" xfId="0" applyNumberFormat="1" applyFont="1" applyFill="1" applyBorder="1" applyAlignment="1">
      <alignment horizontal="center" vertical="center" shrinkToFit="1"/>
    </xf>
    <xf numFmtId="49" fontId="50" fillId="0" borderId="305" xfId="0" applyNumberFormat="1" applyFont="1" applyBorder="1" applyAlignment="1">
      <alignment horizontal="center" vertical="center" shrinkToFit="1"/>
    </xf>
    <xf numFmtId="49" fontId="50" fillId="20" borderId="305" xfId="0" quotePrefix="1" applyNumberFormat="1" applyFont="1" applyFill="1" applyBorder="1" applyAlignment="1">
      <alignment horizontal="center" vertical="center" shrinkToFit="1"/>
    </xf>
    <xf numFmtId="0" fontId="50" fillId="20" borderId="305" xfId="0" applyFont="1" applyFill="1" applyBorder="1" applyAlignment="1">
      <alignment horizontal="center" vertical="center" shrinkToFit="1"/>
    </xf>
    <xf numFmtId="0" fontId="53" fillId="20" borderId="305" xfId="0" applyFont="1" applyFill="1" applyBorder="1" applyAlignment="1">
      <alignment horizontal="center" vertical="center" shrinkToFit="1"/>
    </xf>
    <xf numFmtId="0" fontId="50" fillId="20" borderId="305" xfId="0" quotePrefix="1" applyFont="1" applyFill="1" applyBorder="1" applyAlignment="1">
      <alignment horizontal="center" vertical="center" shrinkToFit="1"/>
    </xf>
    <xf numFmtId="0" fontId="60" fillId="20" borderId="305" xfId="0" applyFont="1" applyFill="1" applyBorder="1" applyAlignment="1">
      <alignment horizontal="center" vertical="center" shrinkToFit="1"/>
    </xf>
    <xf numFmtId="0" fontId="50" fillId="0" borderId="306" xfId="0" applyFont="1" applyBorder="1" applyAlignment="1">
      <alignment horizontal="center" vertical="center" shrinkToFit="1"/>
    </xf>
    <xf numFmtId="0" fontId="50" fillId="0" borderId="305" xfId="0" applyFont="1" applyBorder="1" applyAlignment="1">
      <alignment horizontal="center" vertical="center" shrinkToFit="1"/>
    </xf>
    <xf numFmtId="0" fontId="53" fillId="2" borderId="306" xfId="0" applyNumberFormat="1" applyFont="1" applyFill="1" applyBorder="1" applyAlignment="1">
      <alignment horizontal="center" vertical="center" shrinkToFit="1"/>
    </xf>
    <xf numFmtId="49" fontId="46" fillId="20" borderId="305" xfId="0" quotePrefix="1" applyNumberFormat="1" applyFont="1" applyFill="1" applyBorder="1" applyAlignment="1">
      <alignment horizontal="center" vertical="center" shrinkToFit="1"/>
    </xf>
    <xf numFmtId="0" fontId="46" fillId="20" borderId="301" xfId="0" applyFont="1" applyFill="1" applyBorder="1" applyAlignment="1">
      <alignment horizontal="center" vertical="center" shrinkToFit="1"/>
    </xf>
    <xf numFmtId="0" fontId="46" fillId="20" borderId="305" xfId="0" applyFont="1" applyFill="1" applyBorder="1" applyAlignment="1">
      <alignment horizontal="center" vertical="center" shrinkToFit="1"/>
    </xf>
    <xf numFmtId="0" fontId="52" fillId="20" borderId="305" xfId="0" applyFont="1" applyFill="1" applyBorder="1" applyAlignment="1">
      <alignment horizontal="center" vertical="center" shrinkToFit="1"/>
    </xf>
    <xf numFmtId="0" fontId="46" fillId="20" borderId="305" xfId="0" quotePrefix="1" applyFont="1" applyFill="1" applyBorder="1" applyAlignment="1">
      <alignment horizontal="center" vertical="center" shrinkToFit="1"/>
    </xf>
    <xf numFmtId="0" fontId="52" fillId="20" borderId="23" xfId="0" applyFont="1" applyFill="1" applyBorder="1" applyAlignment="1">
      <alignment horizontal="center" vertical="center" shrinkToFit="1"/>
    </xf>
    <xf numFmtId="0" fontId="39" fillId="20" borderId="305" xfId="0" applyFont="1" applyFill="1" applyBorder="1" applyAlignment="1">
      <alignment horizontal="center" vertical="center" shrinkToFit="1"/>
    </xf>
    <xf numFmtId="0" fontId="46" fillId="0" borderId="306" xfId="0" applyFont="1" applyBorder="1" applyAlignment="1">
      <alignment horizontal="center" vertical="center" shrinkToFit="1"/>
    </xf>
    <xf numFmtId="0" fontId="46" fillId="0" borderId="305" xfId="0" applyFont="1" applyBorder="1" applyAlignment="1">
      <alignment horizontal="center" vertical="center" shrinkToFit="1"/>
    </xf>
    <xf numFmtId="0" fontId="52" fillId="2" borderId="306" xfId="0" applyNumberFormat="1" applyFont="1" applyFill="1" applyBorder="1" applyAlignment="1">
      <alignment horizontal="center" vertical="center" shrinkToFit="1"/>
    </xf>
    <xf numFmtId="49" fontId="50" fillId="30" borderId="305" xfId="0" applyNumberFormat="1" applyFont="1" applyFill="1" applyBorder="1" applyAlignment="1">
      <alignment horizontal="center" vertical="center" shrinkToFit="1"/>
    </xf>
    <xf numFmtId="49" fontId="53" fillId="30" borderId="305" xfId="0" applyNumberFormat="1" applyFont="1" applyFill="1" applyBorder="1" applyAlignment="1">
      <alignment horizontal="center" vertical="center" shrinkToFit="1"/>
    </xf>
    <xf numFmtId="49" fontId="60" fillId="30" borderId="305" xfId="0" applyNumberFormat="1" applyFont="1" applyFill="1" applyBorder="1" applyAlignment="1">
      <alignment horizontal="center" vertical="center" shrinkToFit="1"/>
    </xf>
    <xf numFmtId="49" fontId="50" fillId="0" borderId="306" xfId="0" applyNumberFormat="1" applyFont="1" applyBorder="1" applyAlignment="1">
      <alignment horizontal="center" vertical="center" shrinkToFit="1"/>
    </xf>
    <xf numFmtId="49" fontId="49" fillId="2" borderId="306" xfId="0" applyNumberFormat="1" applyFont="1" applyFill="1" applyBorder="1" applyAlignment="1">
      <alignment horizontal="center" vertical="center" shrinkToFit="1"/>
    </xf>
    <xf numFmtId="49" fontId="43" fillId="28" borderId="307" xfId="0" quotePrefix="1" applyNumberFormat="1" applyFont="1" applyFill="1" applyBorder="1" applyAlignment="1">
      <alignment horizontal="center" vertical="center" shrinkToFit="1"/>
    </xf>
    <xf numFmtId="49" fontId="43" fillId="28" borderId="307" xfId="0" applyNumberFormat="1" applyFont="1" applyFill="1" applyBorder="1" applyAlignment="1">
      <alignment horizontal="center" vertical="center" shrinkToFit="1"/>
    </xf>
    <xf numFmtId="49" fontId="49" fillId="28" borderId="307" xfId="0" applyNumberFormat="1" applyFont="1" applyFill="1" applyBorder="1" applyAlignment="1">
      <alignment horizontal="center" vertical="center" shrinkToFit="1"/>
    </xf>
    <xf numFmtId="49" fontId="42" fillId="28" borderId="307" xfId="0" applyNumberFormat="1" applyFont="1" applyFill="1" applyBorder="1" applyAlignment="1">
      <alignment horizontal="center" vertical="center" shrinkToFit="1"/>
    </xf>
    <xf numFmtId="49" fontId="43" fillId="2" borderId="308" xfId="0" applyNumberFormat="1" applyFont="1" applyFill="1" applyBorder="1" applyAlignment="1">
      <alignment horizontal="center" vertical="center" shrinkToFit="1"/>
    </xf>
    <xf numFmtId="49" fontId="42" fillId="0" borderId="307" xfId="0" applyNumberFormat="1" applyFont="1" applyBorder="1" applyAlignment="1">
      <alignment horizontal="center" vertical="center" shrinkToFit="1"/>
    </xf>
    <xf numFmtId="49" fontId="62" fillId="2" borderId="308" xfId="0" applyNumberFormat="1" applyFont="1" applyFill="1" applyBorder="1" applyAlignment="1">
      <alignment horizontal="center" vertical="center" shrinkToFit="1"/>
    </xf>
    <xf numFmtId="49" fontId="50" fillId="30" borderId="309" xfId="0" applyNumberFormat="1" applyFont="1" applyFill="1" applyBorder="1" applyAlignment="1">
      <alignment horizontal="center" vertical="center" shrinkToFit="1"/>
    </xf>
    <xf numFmtId="49" fontId="53" fillId="30" borderId="309" xfId="0" applyNumberFormat="1" applyFont="1" applyFill="1" applyBorder="1" applyAlignment="1">
      <alignment horizontal="center" vertical="center" shrinkToFit="1"/>
    </xf>
    <xf numFmtId="49" fontId="60" fillId="30" borderId="309" xfId="0" applyNumberFormat="1" applyFont="1" applyFill="1" applyBorder="1" applyAlignment="1">
      <alignment horizontal="center" vertical="center" shrinkToFit="1"/>
    </xf>
    <xf numFmtId="49" fontId="50" fillId="0" borderId="310" xfId="0" applyNumberFormat="1" applyFont="1" applyBorder="1" applyAlignment="1">
      <alignment horizontal="center" vertical="center" shrinkToFit="1"/>
    </xf>
    <xf numFmtId="49" fontId="50" fillId="0" borderId="309" xfId="0" applyNumberFormat="1" applyFont="1" applyBorder="1" applyAlignment="1">
      <alignment horizontal="center" vertical="center" shrinkToFit="1"/>
    </xf>
    <xf numFmtId="49" fontId="49" fillId="2" borderId="310" xfId="0" applyNumberFormat="1" applyFont="1" applyFill="1" applyBorder="1" applyAlignment="1">
      <alignment horizontal="center" vertical="center" shrinkToFit="1"/>
    </xf>
    <xf numFmtId="49" fontId="43" fillId="28" borderId="311" xfId="0" quotePrefix="1" applyNumberFormat="1" applyFont="1" applyFill="1" applyBorder="1" applyAlignment="1">
      <alignment horizontal="center" vertical="center" shrinkToFit="1"/>
    </xf>
    <xf numFmtId="49" fontId="43" fillId="28" borderId="311" xfId="0" applyNumberFormat="1" applyFont="1" applyFill="1" applyBorder="1" applyAlignment="1">
      <alignment horizontal="center" vertical="center" shrinkToFit="1"/>
    </xf>
    <xf numFmtId="49" fontId="49" fillId="28" borderId="311" xfId="0" applyNumberFormat="1" applyFont="1" applyFill="1" applyBorder="1" applyAlignment="1">
      <alignment horizontal="center" vertical="center" shrinkToFit="1"/>
    </xf>
    <xf numFmtId="49" fontId="49" fillId="28" borderId="23" xfId="0" applyNumberFormat="1" applyFont="1" applyFill="1" applyBorder="1" applyAlignment="1">
      <alignment horizontal="center" vertical="center" shrinkToFit="1"/>
    </xf>
    <xf numFmtId="49" fontId="42" fillId="28" borderId="311" xfId="0" applyNumberFormat="1" applyFont="1" applyFill="1" applyBorder="1" applyAlignment="1">
      <alignment horizontal="center" vertical="center" shrinkToFit="1"/>
    </xf>
    <xf numFmtId="49" fontId="43" fillId="2" borderId="312" xfId="0" applyNumberFormat="1" applyFont="1" applyFill="1" applyBorder="1" applyAlignment="1">
      <alignment horizontal="center" vertical="center" shrinkToFit="1"/>
    </xf>
    <xf numFmtId="49" fontId="42" fillId="0" borderId="311" xfId="0" applyNumberFormat="1" applyFont="1" applyBorder="1" applyAlignment="1">
      <alignment horizontal="center" vertical="center" shrinkToFit="1"/>
    </xf>
    <xf numFmtId="49" fontId="62" fillId="2" borderId="312" xfId="0" applyNumberFormat="1" applyFont="1" applyFill="1" applyBorder="1" applyAlignment="1">
      <alignment horizontal="center" vertical="center" shrinkToFit="1"/>
    </xf>
    <xf numFmtId="49" fontId="46" fillId="21" borderId="277" xfId="0" quotePrefix="1" applyNumberFormat="1" applyFont="1" applyFill="1" applyBorder="1" applyAlignment="1">
      <alignment horizontal="center" vertical="center" shrinkToFit="1"/>
    </xf>
    <xf numFmtId="49" fontId="46" fillId="21" borderId="277" xfId="0" applyNumberFormat="1" applyFont="1" applyFill="1" applyBorder="1" applyAlignment="1">
      <alignment horizontal="center" vertical="center" shrinkToFit="1"/>
    </xf>
    <xf numFmtId="49" fontId="52" fillId="21" borderId="277" xfId="0" applyNumberFormat="1" applyFont="1" applyFill="1" applyBorder="1" applyAlignment="1">
      <alignment horizontal="center" vertical="center" shrinkToFit="1"/>
    </xf>
    <xf numFmtId="49" fontId="46" fillId="2" borderId="278" xfId="0" applyNumberFormat="1" applyFont="1" applyFill="1" applyBorder="1" applyAlignment="1">
      <alignment horizontal="center" vertical="center" shrinkToFit="1"/>
    </xf>
    <xf numFmtId="49" fontId="52" fillId="2" borderId="278" xfId="0" applyNumberFormat="1" applyFont="1" applyFill="1" applyBorder="1" applyAlignment="1">
      <alignment horizontal="center" vertical="center" shrinkToFit="1"/>
    </xf>
    <xf numFmtId="49" fontId="52" fillId="2" borderId="310" xfId="0" applyNumberFormat="1" applyFont="1" applyFill="1" applyBorder="1" applyAlignment="1">
      <alignment horizontal="center" vertical="center" shrinkToFit="1"/>
    </xf>
    <xf numFmtId="49" fontId="53" fillId="2" borderId="306" xfId="0" applyNumberFormat="1" applyFont="1" applyFill="1" applyBorder="1" applyAlignment="1">
      <alignment horizontal="center" vertical="center" shrinkToFit="1"/>
    </xf>
    <xf numFmtId="49" fontId="50" fillId="30" borderId="313" xfId="0" applyNumberFormat="1" applyFont="1" applyFill="1" applyBorder="1" applyAlignment="1">
      <alignment horizontal="center" vertical="center" shrinkToFit="1"/>
    </xf>
    <xf numFmtId="49" fontId="53" fillId="30" borderId="313" xfId="0" applyNumberFormat="1" applyFont="1" applyFill="1" applyBorder="1" applyAlignment="1">
      <alignment horizontal="center" vertical="center" shrinkToFit="1"/>
    </xf>
    <xf numFmtId="49" fontId="60" fillId="30" borderId="313" xfId="0" applyNumberFormat="1" applyFont="1" applyFill="1" applyBorder="1" applyAlignment="1">
      <alignment horizontal="center" vertical="center" shrinkToFit="1"/>
    </xf>
    <xf numFmtId="49" fontId="50" fillId="0" borderId="314" xfId="0" applyNumberFormat="1" applyFont="1" applyBorder="1" applyAlignment="1">
      <alignment horizontal="center" vertical="center" shrinkToFit="1"/>
    </xf>
    <xf numFmtId="49" fontId="50" fillId="0" borderId="313" xfId="0" applyNumberFormat="1" applyFont="1" applyBorder="1" applyAlignment="1">
      <alignment horizontal="center" vertical="center" shrinkToFit="1"/>
    </xf>
    <xf numFmtId="49" fontId="53" fillId="2" borderId="314" xfId="0" applyNumberFormat="1" applyFont="1" applyFill="1" applyBorder="1" applyAlignment="1">
      <alignment horizontal="center" vertical="center" shrinkToFit="1"/>
    </xf>
    <xf numFmtId="49" fontId="50" fillId="30" borderId="315" xfId="0" applyNumberFormat="1" applyFont="1" applyFill="1" applyBorder="1" applyAlignment="1">
      <alignment horizontal="center" vertical="center" shrinkToFit="1"/>
    </xf>
    <xf numFmtId="49" fontId="53" fillId="30" borderId="315" xfId="0" applyNumberFormat="1" applyFont="1" applyFill="1" applyBorder="1" applyAlignment="1">
      <alignment horizontal="center" vertical="center" shrinkToFit="1"/>
    </xf>
    <xf numFmtId="49" fontId="60" fillId="30" borderId="315" xfId="0" applyNumberFormat="1" applyFont="1" applyFill="1" applyBorder="1" applyAlignment="1">
      <alignment horizontal="center" vertical="center" shrinkToFit="1"/>
    </xf>
    <xf numFmtId="49" fontId="50" fillId="0" borderId="316" xfId="0" applyNumberFormat="1" applyFont="1" applyBorder="1" applyAlignment="1">
      <alignment horizontal="center" vertical="center" shrinkToFit="1"/>
    </xf>
    <xf numFmtId="49" fontId="50" fillId="0" borderId="315" xfId="0" applyNumberFormat="1" applyFont="1" applyBorder="1" applyAlignment="1">
      <alignment horizontal="center" vertical="center" shrinkToFit="1"/>
    </xf>
    <xf numFmtId="49" fontId="49" fillId="2" borderId="316" xfId="0" applyNumberFormat="1" applyFont="1" applyFill="1" applyBorder="1" applyAlignment="1">
      <alignment horizontal="center" vertical="center" shrinkToFit="1"/>
    </xf>
    <xf numFmtId="49" fontId="50" fillId="30" borderId="321" xfId="0" applyNumberFormat="1" applyFont="1" applyFill="1" applyBorder="1" applyAlignment="1">
      <alignment horizontal="center" vertical="center" shrinkToFit="1"/>
    </xf>
    <xf numFmtId="49" fontId="53" fillId="30" borderId="321" xfId="0" applyNumberFormat="1" applyFont="1" applyFill="1" applyBorder="1" applyAlignment="1">
      <alignment horizontal="center" vertical="center" shrinkToFit="1"/>
    </xf>
    <xf numFmtId="49" fontId="60" fillId="30" borderId="321" xfId="0" applyNumberFormat="1" applyFont="1" applyFill="1" applyBorder="1" applyAlignment="1">
      <alignment horizontal="center" vertical="center" shrinkToFit="1"/>
    </xf>
    <xf numFmtId="49" fontId="50" fillId="0" borderId="322" xfId="0" applyNumberFormat="1" applyFont="1" applyBorder="1" applyAlignment="1">
      <alignment horizontal="center" vertical="center" shrinkToFit="1"/>
    </xf>
    <xf numFmtId="49" fontId="50" fillId="0" borderId="321" xfId="0" applyNumberFormat="1" applyFont="1" applyBorder="1" applyAlignment="1">
      <alignment horizontal="center" vertical="center" shrinkToFit="1"/>
    </xf>
    <xf numFmtId="49" fontId="53" fillId="2" borderId="322" xfId="0" applyNumberFormat="1" applyFont="1" applyFill="1" applyBorder="1" applyAlignment="1">
      <alignment horizontal="center" vertical="center" shrinkToFit="1"/>
    </xf>
    <xf numFmtId="49" fontId="50" fillId="28" borderId="319" xfId="0" quotePrefix="1" applyNumberFormat="1" applyFont="1" applyFill="1" applyBorder="1" applyAlignment="1">
      <alignment horizontal="center" vertical="center" shrinkToFit="1"/>
    </xf>
    <xf numFmtId="49" fontId="50" fillId="28" borderId="287" xfId="0" applyNumberFormat="1" applyFont="1" applyFill="1" applyBorder="1" applyAlignment="1">
      <alignment horizontal="center" vertical="center" shrinkToFit="1"/>
    </xf>
    <xf numFmtId="49" fontId="50" fillId="28" borderId="319" xfId="0" applyNumberFormat="1" applyFont="1" applyFill="1" applyBorder="1" applyAlignment="1">
      <alignment horizontal="center" vertical="center" shrinkToFit="1"/>
    </xf>
    <xf numFmtId="49" fontId="53" fillId="28" borderId="307" xfId="0" applyNumberFormat="1" applyFont="1" applyFill="1" applyBorder="1" applyAlignment="1">
      <alignment horizontal="center" vertical="center" shrinkToFit="1"/>
    </xf>
    <xf numFmtId="49" fontId="53" fillId="28" borderId="319" xfId="0" applyNumberFormat="1" applyFont="1" applyFill="1" applyBorder="1" applyAlignment="1">
      <alignment horizontal="center" vertical="center" shrinkToFit="1"/>
    </xf>
    <xf numFmtId="49" fontId="60" fillId="28" borderId="319" xfId="0" applyNumberFormat="1" applyFont="1" applyFill="1" applyBorder="1" applyAlignment="1">
      <alignment horizontal="center" vertical="center" shrinkToFit="1"/>
    </xf>
    <xf numFmtId="49" fontId="50" fillId="2" borderId="320" xfId="0" applyNumberFormat="1" applyFont="1" applyFill="1" applyBorder="1" applyAlignment="1">
      <alignment horizontal="center" vertical="center" shrinkToFit="1"/>
    </xf>
    <xf numFmtId="49" fontId="60" fillId="0" borderId="319" xfId="0" applyNumberFormat="1" applyFont="1" applyBorder="1" applyAlignment="1">
      <alignment horizontal="center" vertical="center" shrinkToFit="1"/>
    </xf>
    <xf numFmtId="49" fontId="63" fillId="2" borderId="320" xfId="0" applyNumberFormat="1" applyFont="1" applyFill="1" applyBorder="1" applyAlignment="1">
      <alignment horizontal="center" vertical="center" shrinkToFit="1"/>
    </xf>
    <xf numFmtId="49" fontId="63" fillId="2" borderId="308" xfId="0" applyNumberFormat="1" applyFont="1" applyFill="1" applyBorder="1" applyAlignment="1">
      <alignment horizontal="center" vertical="center" shrinkToFit="1"/>
    </xf>
    <xf numFmtId="49" fontId="46" fillId="20" borderId="323" xfId="0" quotePrefix="1" applyNumberFormat="1" applyFont="1" applyFill="1" applyBorder="1" applyAlignment="1">
      <alignment horizontal="center" vertical="center" shrinkToFit="1"/>
    </xf>
    <xf numFmtId="0" fontId="46" fillId="20" borderId="323" xfId="0" applyFont="1" applyFill="1" applyBorder="1" applyAlignment="1">
      <alignment horizontal="center" vertical="center" shrinkToFit="1"/>
    </xf>
    <xf numFmtId="0" fontId="52" fillId="20" borderId="323" xfId="0" applyFont="1" applyFill="1" applyBorder="1" applyAlignment="1">
      <alignment horizontal="center" vertical="center" shrinkToFit="1"/>
    </xf>
    <xf numFmtId="0" fontId="46" fillId="20" borderId="323" xfId="0" quotePrefix="1" applyFont="1" applyFill="1" applyBorder="1" applyAlignment="1">
      <alignment horizontal="center" vertical="center" shrinkToFit="1"/>
    </xf>
    <xf numFmtId="0" fontId="39" fillId="20" borderId="323" xfId="0" applyFont="1" applyFill="1" applyBorder="1" applyAlignment="1">
      <alignment horizontal="center" vertical="center" shrinkToFit="1"/>
    </xf>
    <xf numFmtId="0" fontId="46" fillId="0" borderId="324" xfId="0" applyFont="1" applyBorder="1" applyAlignment="1">
      <alignment horizontal="center" vertical="center" shrinkToFit="1"/>
    </xf>
    <xf numFmtId="0" fontId="46" fillId="0" borderId="323" xfId="0" applyFont="1" applyBorder="1" applyAlignment="1">
      <alignment horizontal="center" vertical="center" shrinkToFit="1"/>
    </xf>
    <xf numFmtId="0" fontId="52" fillId="2" borderId="324" xfId="0" applyNumberFormat="1" applyFont="1" applyFill="1" applyBorder="1" applyAlignment="1">
      <alignment horizontal="center" vertical="center" shrinkToFit="1"/>
    </xf>
    <xf numFmtId="49" fontId="60" fillId="0" borderId="43" xfId="0" applyNumberFormat="1" applyFont="1" applyBorder="1" applyAlignment="1">
      <alignment horizontal="center" vertical="center" shrinkToFit="1"/>
    </xf>
    <xf numFmtId="49" fontId="50" fillId="0" borderId="44" xfId="0" applyNumberFormat="1" applyFont="1" applyFill="1" applyBorder="1" applyAlignment="1">
      <alignment horizontal="center" vertical="center" shrinkToFit="1"/>
    </xf>
    <xf numFmtId="49" fontId="50" fillId="0" borderId="43" xfId="0" applyNumberFormat="1" applyFont="1" applyFill="1" applyBorder="1" applyAlignment="1">
      <alignment horizontal="center" vertical="center" shrinkToFit="1"/>
    </xf>
    <xf numFmtId="49" fontId="50" fillId="0" borderId="23" xfId="0" applyNumberFormat="1" applyFont="1" applyFill="1" applyBorder="1" applyAlignment="1">
      <alignment horizontal="center" vertical="center" shrinkToFit="1"/>
    </xf>
    <xf numFmtId="49" fontId="60" fillId="0" borderId="43" xfId="0" applyNumberFormat="1" applyFont="1" applyFill="1" applyBorder="1" applyAlignment="1">
      <alignment horizontal="center" vertical="center" shrinkToFit="1"/>
    </xf>
    <xf numFmtId="49" fontId="50" fillId="2" borderId="44" xfId="0" applyNumberFormat="1" applyFont="1" applyFill="1" applyBorder="1" applyAlignment="1">
      <alignment horizontal="center" vertical="center" shrinkToFit="1"/>
    </xf>
    <xf numFmtId="49" fontId="44" fillId="2" borderId="44" xfId="0" applyNumberFormat="1" applyFont="1" applyFill="1" applyBorder="1" applyAlignment="1">
      <alignment horizontal="center" vertical="center" shrinkToFit="1"/>
    </xf>
    <xf numFmtId="49" fontId="50" fillId="30" borderId="325" xfId="0" applyNumberFormat="1" applyFont="1" applyFill="1" applyBorder="1" applyAlignment="1">
      <alignment horizontal="center" vertical="center" shrinkToFit="1"/>
    </xf>
    <xf numFmtId="49" fontId="53" fillId="30" borderId="325" xfId="0" applyNumberFormat="1" applyFont="1" applyFill="1" applyBorder="1" applyAlignment="1">
      <alignment horizontal="center" vertical="center" shrinkToFit="1"/>
    </xf>
    <xf numFmtId="49" fontId="60" fillId="30" borderId="325" xfId="0" applyNumberFormat="1" applyFont="1" applyFill="1" applyBorder="1" applyAlignment="1">
      <alignment horizontal="center" vertical="center" shrinkToFit="1"/>
    </xf>
    <xf numFmtId="49" fontId="50" fillId="0" borderId="326" xfId="0" applyNumberFormat="1" applyFont="1" applyBorder="1" applyAlignment="1">
      <alignment horizontal="center" vertical="center" shrinkToFit="1"/>
    </xf>
    <xf numFmtId="49" fontId="50" fillId="0" borderId="325" xfId="0" applyNumberFormat="1" applyFont="1" applyBorder="1" applyAlignment="1">
      <alignment horizontal="center" vertical="center" shrinkToFit="1"/>
    </xf>
    <xf numFmtId="49" fontId="53" fillId="2" borderId="326" xfId="0" applyNumberFormat="1" applyFont="1" applyFill="1" applyBorder="1" applyAlignment="1">
      <alignment horizontal="center" vertical="center" shrinkToFit="1"/>
    </xf>
    <xf numFmtId="49" fontId="50" fillId="30" borderId="327" xfId="0" applyNumberFormat="1" applyFont="1" applyFill="1" applyBorder="1" applyAlignment="1">
      <alignment horizontal="center" vertical="center" shrinkToFit="1"/>
    </xf>
    <xf numFmtId="49" fontId="53" fillId="30" borderId="327" xfId="0" applyNumberFormat="1" applyFont="1" applyFill="1" applyBorder="1" applyAlignment="1">
      <alignment horizontal="center" vertical="center" shrinkToFit="1"/>
    </xf>
    <xf numFmtId="49" fontId="60" fillId="30" borderId="327" xfId="0" applyNumberFormat="1" applyFont="1" applyFill="1" applyBorder="1" applyAlignment="1">
      <alignment horizontal="center" vertical="center" shrinkToFit="1"/>
    </xf>
    <xf numFmtId="49" fontId="50" fillId="0" borderId="328" xfId="0" applyNumberFormat="1" applyFont="1" applyBorder="1" applyAlignment="1">
      <alignment horizontal="center" vertical="center" shrinkToFit="1"/>
    </xf>
    <xf numFmtId="49" fontId="50" fillId="0" borderId="327" xfId="0" applyNumberFormat="1" applyFont="1" applyBorder="1" applyAlignment="1">
      <alignment horizontal="center" vertical="center" shrinkToFit="1"/>
    </xf>
    <xf numFmtId="49" fontId="53" fillId="2" borderId="328" xfId="0" applyNumberFormat="1" applyFont="1" applyFill="1" applyBorder="1" applyAlignment="1">
      <alignment horizontal="center" vertical="center" shrinkToFit="1"/>
    </xf>
    <xf numFmtId="49" fontId="46" fillId="21" borderId="329" xfId="0" quotePrefix="1" applyNumberFormat="1" applyFont="1" applyFill="1" applyBorder="1" applyAlignment="1">
      <alignment horizontal="center" vertical="center" shrinkToFit="1"/>
    </xf>
    <xf numFmtId="49" fontId="46" fillId="21" borderId="329" xfId="0" applyNumberFormat="1" applyFont="1" applyFill="1" applyBorder="1" applyAlignment="1">
      <alignment horizontal="center" vertical="center" shrinkToFit="1"/>
    </xf>
    <xf numFmtId="49" fontId="52" fillId="21" borderId="329" xfId="0" applyNumberFormat="1" applyFont="1" applyFill="1" applyBorder="1" applyAlignment="1">
      <alignment horizontal="center" vertical="center" shrinkToFit="1"/>
    </xf>
    <xf numFmtId="49" fontId="39" fillId="21" borderId="329" xfId="0" applyNumberFormat="1" applyFont="1" applyFill="1" applyBorder="1" applyAlignment="1">
      <alignment horizontal="center" vertical="center" shrinkToFit="1"/>
    </xf>
    <xf numFmtId="49" fontId="46" fillId="2" borderId="330" xfId="0" applyNumberFormat="1" applyFont="1" applyFill="1" applyBorder="1" applyAlignment="1">
      <alignment horizontal="center" vertical="center" shrinkToFit="1"/>
    </xf>
    <xf numFmtId="49" fontId="46" fillId="0" borderId="329" xfId="0" applyNumberFormat="1" applyFont="1" applyBorder="1" applyAlignment="1">
      <alignment horizontal="center" vertical="center" shrinkToFit="1"/>
    </xf>
    <xf numFmtId="49" fontId="52" fillId="2" borderId="330" xfId="0" applyNumberFormat="1" applyFont="1" applyFill="1" applyBorder="1" applyAlignment="1">
      <alignment horizontal="center" vertical="center" shrinkToFit="1"/>
    </xf>
    <xf numFmtId="49" fontId="49" fillId="2" borderId="332" xfId="0" applyNumberFormat="1" applyFont="1" applyFill="1" applyBorder="1" applyAlignment="1">
      <alignment horizontal="center" vertical="center" shrinkToFit="1"/>
    </xf>
    <xf numFmtId="49" fontId="50" fillId="30" borderId="333" xfId="0" applyNumberFormat="1" applyFont="1" applyFill="1" applyBorder="1" applyAlignment="1">
      <alignment horizontal="center" vertical="center" shrinkToFit="1"/>
    </xf>
    <xf numFmtId="49" fontId="53" fillId="30" borderId="333" xfId="0" applyNumberFormat="1" applyFont="1" applyFill="1" applyBorder="1" applyAlignment="1">
      <alignment horizontal="center" vertical="center" shrinkToFit="1"/>
    </xf>
    <xf numFmtId="49" fontId="60" fillId="30" borderId="333" xfId="0" applyNumberFormat="1" applyFont="1" applyFill="1" applyBorder="1" applyAlignment="1">
      <alignment horizontal="center" vertical="center" shrinkToFit="1"/>
    </xf>
    <xf numFmtId="49" fontId="50" fillId="0" borderId="334" xfId="0" applyNumberFormat="1" applyFont="1" applyBorder="1" applyAlignment="1">
      <alignment horizontal="center" vertical="center" shrinkToFit="1"/>
    </xf>
    <xf numFmtId="49" fontId="50" fillId="0" borderId="333" xfId="0" applyNumberFormat="1" applyFont="1" applyBorder="1" applyAlignment="1">
      <alignment horizontal="center" vertical="center" shrinkToFit="1"/>
    </xf>
    <xf numFmtId="49" fontId="53" fillId="2" borderId="334" xfId="0" applyNumberFormat="1" applyFont="1" applyFill="1" applyBorder="1" applyAlignment="1">
      <alignment horizontal="center" vertical="center" shrinkToFit="1"/>
    </xf>
    <xf numFmtId="49" fontId="63" fillId="2" borderId="336" xfId="0" applyNumberFormat="1" applyFont="1" applyFill="1" applyBorder="1" applyAlignment="1">
      <alignment horizontal="center" vertical="center" shrinkToFit="1"/>
    </xf>
    <xf numFmtId="49" fontId="52" fillId="21" borderId="277" xfId="0" applyNumberFormat="1" applyFont="1" applyFill="1" applyBorder="1" applyAlignment="1">
      <alignment horizontal="center" vertical="center" wrapText="1" shrinkToFit="1"/>
    </xf>
    <xf numFmtId="49" fontId="46" fillId="0" borderId="44" xfId="0" applyNumberFormat="1" applyFont="1" applyFill="1" applyBorder="1" applyAlignment="1">
      <alignment horizontal="center" vertical="center" shrinkToFit="1"/>
    </xf>
    <xf numFmtId="49" fontId="46" fillId="2" borderId="44" xfId="0" applyNumberFormat="1" applyFont="1" applyFill="1" applyBorder="1" applyAlignment="1">
      <alignment horizontal="center" vertical="center" shrinkToFit="1"/>
    </xf>
    <xf numFmtId="49" fontId="47" fillId="2" borderId="44" xfId="0" applyNumberFormat="1" applyFont="1" applyFill="1" applyBorder="1" applyAlignment="1">
      <alignment horizontal="center" vertical="center" shrinkToFit="1"/>
    </xf>
    <xf numFmtId="49" fontId="50" fillId="30" borderId="337" xfId="0" applyNumberFormat="1" applyFont="1" applyFill="1" applyBorder="1" applyAlignment="1">
      <alignment horizontal="center" vertical="center" shrinkToFit="1"/>
    </xf>
    <xf numFmtId="49" fontId="53" fillId="30" borderId="337" xfId="0" applyNumberFormat="1" applyFont="1" applyFill="1" applyBorder="1" applyAlignment="1">
      <alignment horizontal="center" vertical="center" shrinkToFit="1"/>
    </xf>
    <xf numFmtId="49" fontId="60" fillId="30" borderId="337" xfId="0" applyNumberFormat="1" applyFont="1" applyFill="1" applyBorder="1" applyAlignment="1">
      <alignment horizontal="center" vertical="center" shrinkToFit="1"/>
    </xf>
    <xf numFmtId="49" fontId="50" fillId="0" borderId="338" xfId="0" applyNumberFormat="1" applyFont="1" applyBorder="1" applyAlignment="1">
      <alignment horizontal="center" vertical="center" shrinkToFit="1"/>
    </xf>
    <xf numFmtId="49" fontId="50" fillId="0" borderId="337" xfId="0" applyNumberFormat="1" applyFont="1" applyBorder="1" applyAlignment="1">
      <alignment horizontal="center" vertical="center" shrinkToFit="1"/>
    </xf>
    <xf numFmtId="49" fontId="53" fillId="2" borderId="338" xfId="0" applyNumberFormat="1" applyFont="1" applyFill="1" applyBorder="1" applyAlignment="1">
      <alignment horizontal="center" vertical="center" shrinkToFit="1"/>
    </xf>
    <xf numFmtId="49" fontId="52" fillId="0" borderId="43" xfId="0" applyNumberFormat="1" applyFont="1" applyBorder="1" applyAlignment="1">
      <alignment horizontal="center" vertical="center" shrinkToFit="1"/>
    </xf>
    <xf numFmtId="49" fontId="52" fillId="0" borderId="23" xfId="0" applyNumberFormat="1" applyFont="1" applyFill="1" applyBorder="1" applyAlignment="1">
      <alignment horizontal="center" vertical="center" shrinkToFit="1"/>
    </xf>
    <xf numFmtId="49" fontId="50" fillId="0" borderId="69" xfId="0" applyNumberFormat="1" applyFont="1" applyFill="1" applyBorder="1" applyAlignment="1">
      <alignment horizontal="center" vertical="center" shrinkToFit="1"/>
    </xf>
    <xf numFmtId="49" fontId="43" fillId="30" borderId="339" xfId="0" applyNumberFormat="1" applyFont="1" applyFill="1" applyBorder="1" applyAlignment="1">
      <alignment horizontal="center" vertical="center" shrinkToFit="1"/>
    </xf>
    <xf numFmtId="49" fontId="49" fillId="30" borderId="339" xfId="0" applyNumberFormat="1" applyFont="1" applyFill="1" applyBorder="1" applyAlignment="1">
      <alignment horizontal="center" vertical="center" shrinkToFit="1"/>
    </xf>
    <xf numFmtId="49" fontId="42" fillId="30" borderId="339" xfId="0" applyNumberFormat="1" applyFont="1" applyFill="1" applyBorder="1" applyAlignment="1">
      <alignment horizontal="center" vertical="center" shrinkToFit="1"/>
    </xf>
    <xf numFmtId="49" fontId="43" fillId="0" borderId="340" xfId="0" applyNumberFormat="1" applyFont="1" applyBorder="1" applyAlignment="1">
      <alignment horizontal="center" vertical="center" shrinkToFit="1"/>
    </xf>
    <xf numFmtId="49" fontId="43" fillId="0" borderId="339" xfId="0" applyNumberFormat="1" applyFont="1" applyBorder="1" applyAlignment="1">
      <alignment horizontal="center" vertical="center" shrinkToFit="1"/>
    </xf>
    <xf numFmtId="49" fontId="49" fillId="2" borderId="340" xfId="0" applyNumberFormat="1" applyFont="1" applyFill="1" applyBorder="1" applyAlignment="1">
      <alignment horizontal="center" vertical="center" shrinkToFit="1"/>
    </xf>
    <xf numFmtId="49" fontId="53" fillId="30" borderId="173" xfId="0" applyNumberFormat="1" applyFont="1" applyFill="1" applyBorder="1" applyAlignment="1">
      <alignment horizontal="center" vertical="center" shrinkToFit="1"/>
    </xf>
    <xf numFmtId="49" fontId="53" fillId="0" borderId="326" xfId="0" applyNumberFormat="1" applyFont="1" applyBorder="1" applyAlignment="1">
      <alignment horizontal="center" vertical="center" shrinkToFit="1"/>
    </xf>
    <xf numFmtId="49" fontId="53" fillId="0" borderId="43" xfId="0" applyNumberFormat="1" applyFont="1" applyBorder="1" applyAlignment="1">
      <alignment horizontal="center" vertical="center" shrinkToFit="1"/>
    </xf>
    <xf numFmtId="49" fontId="53" fillId="0" borderId="23" xfId="0" applyNumberFormat="1" applyFont="1" applyFill="1" applyBorder="1" applyAlignment="1">
      <alignment horizontal="center" vertical="center" shrinkToFit="1"/>
    </xf>
    <xf numFmtId="49" fontId="46" fillId="20" borderId="341" xfId="0" quotePrefix="1" applyNumberFormat="1" applyFont="1" applyFill="1" applyBorder="1" applyAlignment="1">
      <alignment horizontal="center" vertical="center" shrinkToFit="1"/>
    </xf>
    <xf numFmtId="0" fontId="46" fillId="20" borderId="341" xfId="0" applyFont="1" applyFill="1" applyBorder="1" applyAlignment="1">
      <alignment horizontal="center" vertical="center" shrinkToFit="1"/>
    </xf>
    <xf numFmtId="0" fontId="52" fillId="20" borderId="341" xfId="0" applyFont="1" applyFill="1" applyBorder="1" applyAlignment="1">
      <alignment horizontal="center" vertical="center" shrinkToFit="1"/>
    </xf>
    <xf numFmtId="0" fontId="46" fillId="20" borderId="341" xfId="0" quotePrefix="1" applyFont="1" applyFill="1" applyBorder="1" applyAlignment="1">
      <alignment horizontal="center" vertical="center" shrinkToFit="1"/>
    </xf>
    <xf numFmtId="0" fontId="52" fillId="20" borderId="341" xfId="0" applyFont="1" applyFill="1" applyBorder="1" applyAlignment="1">
      <alignment horizontal="center" vertical="center" wrapText="1" shrinkToFit="1"/>
    </xf>
    <xf numFmtId="0" fontId="39" fillId="20" borderId="341" xfId="0" applyFont="1" applyFill="1" applyBorder="1" applyAlignment="1">
      <alignment horizontal="center" vertical="center" shrinkToFit="1"/>
    </xf>
    <xf numFmtId="49" fontId="46" fillId="0" borderId="342" xfId="0" applyNumberFormat="1" applyFont="1" applyFill="1" applyBorder="1" applyAlignment="1">
      <alignment horizontal="center" vertical="center" shrinkToFit="1"/>
    </xf>
    <xf numFmtId="0" fontId="46" fillId="0" borderId="342" xfId="0" applyFont="1" applyBorder="1" applyAlignment="1">
      <alignment horizontal="center" vertical="center" shrinkToFit="1"/>
    </xf>
    <xf numFmtId="0" fontId="46" fillId="0" borderId="341" xfId="0" applyFont="1" applyBorder="1" applyAlignment="1">
      <alignment horizontal="center" vertical="center" shrinkToFit="1"/>
    </xf>
    <xf numFmtId="0" fontId="52" fillId="2" borderId="342" xfId="0" applyNumberFormat="1" applyFont="1" applyFill="1" applyBorder="1" applyAlignment="1">
      <alignment horizontal="center" vertical="center" shrinkToFit="1"/>
    </xf>
    <xf numFmtId="49" fontId="43" fillId="30" borderId="341" xfId="0" applyNumberFormat="1" applyFont="1" applyFill="1" applyBorder="1" applyAlignment="1">
      <alignment horizontal="center" vertical="center" shrinkToFit="1"/>
    </xf>
    <xf numFmtId="49" fontId="49" fillId="30" borderId="341" xfId="0" applyNumberFormat="1" applyFont="1" applyFill="1" applyBorder="1" applyAlignment="1">
      <alignment horizontal="center" vertical="center" shrinkToFit="1"/>
    </xf>
    <xf numFmtId="49" fontId="42" fillId="30" borderId="341" xfId="0" applyNumberFormat="1" applyFont="1" applyFill="1" applyBorder="1" applyAlignment="1">
      <alignment horizontal="center" vertical="center" shrinkToFit="1"/>
    </xf>
    <xf numFmtId="49" fontId="43" fillId="0" borderId="342" xfId="0" applyNumberFormat="1" applyFont="1" applyBorder="1" applyAlignment="1">
      <alignment horizontal="center" vertical="center" shrinkToFit="1"/>
    </xf>
    <xf numFmtId="49" fontId="43" fillId="0" borderId="341" xfId="0" applyNumberFormat="1" applyFont="1" applyBorder="1" applyAlignment="1">
      <alignment horizontal="center" vertical="center" shrinkToFit="1"/>
    </xf>
    <xf numFmtId="49" fontId="49" fillId="2" borderId="342" xfId="0" applyNumberFormat="1" applyFont="1" applyFill="1" applyBorder="1" applyAlignment="1">
      <alignment horizontal="center" vertical="center" shrinkToFit="1"/>
    </xf>
    <xf numFmtId="49" fontId="52" fillId="2" borderId="344" xfId="0" applyNumberFormat="1" applyFont="1" applyFill="1" applyBorder="1" applyAlignment="1">
      <alignment horizontal="center" vertical="center" shrinkToFit="1"/>
    </xf>
    <xf numFmtId="49" fontId="60" fillId="30" borderId="317" xfId="0" applyNumberFormat="1" applyFont="1" applyFill="1" applyBorder="1" applyAlignment="1">
      <alignment horizontal="center" vertical="center" shrinkToFit="1"/>
    </xf>
    <xf numFmtId="49" fontId="53" fillId="2" borderId="318" xfId="0" applyNumberFormat="1" applyFont="1" applyFill="1" applyBorder="1" applyAlignment="1">
      <alignment horizontal="center" vertical="center" shrinkToFit="1"/>
    </xf>
    <xf numFmtId="49" fontId="50" fillId="30" borderId="343" xfId="0" applyNumberFormat="1" applyFont="1" applyFill="1" applyBorder="1" applyAlignment="1">
      <alignment horizontal="center" vertical="center" shrinkToFit="1"/>
    </xf>
    <xf numFmtId="49" fontId="53" fillId="30" borderId="343" xfId="0" applyNumberFormat="1" applyFont="1" applyFill="1" applyBorder="1" applyAlignment="1">
      <alignment horizontal="center" vertical="center" shrinkToFit="1"/>
    </xf>
    <xf numFmtId="49" fontId="60" fillId="30" borderId="343" xfId="0" applyNumberFormat="1" applyFont="1" applyFill="1" applyBorder="1" applyAlignment="1">
      <alignment horizontal="center" vertical="center" shrinkToFit="1"/>
    </xf>
    <xf numFmtId="49" fontId="50" fillId="0" borderId="344" xfId="0" applyNumberFormat="1" applyFont="1" applyBorder="1" applyAlignment="1">
      <alignment horizontal="center" vertical="center" shrinkToFit="1"/>
    </xf>
    <xf numFmtId="49" fontId="50" fillId="0" borderId="343" xfId="0" applyNumberFormat="1" applyFont="1" applyBorder="1" applyAlignment="1">
      <alignment horizontal="center" vertical="center" shrinkToFit="1"/>
    </xf>
    <xf numFmtId="49" fontId="53" fillId="2" borderId="344" xfId="0" applyNumberFormat="1" applyFont="1" applyFill="1" applyBorder="1" applyAlignment="1">
      <alignment horizontal="center" vertical="center" shrinkToFit="1"/>
    </xf>
    <xf numFmtId="49" fontId="53" fillId="2" borderId="346" xfId="0" applyNumberFormat="1" applyFont="1" applyFill="1" applyBorder="1" applyAlignment="1">
      <alignment horizontal="center" vertical="center" shrinkToFit="1"/>
    </xf>
    <xf numFmtId="49" fontId="53" fillId="2" borderId="348" xfId="0" applyNumberFormat="1" applyFont="1" applyFill="1" applyBorder="1" applyAlignment="1">
      <alignment horizontal="center" vertical="center" shrinkToFit="1"/>
    </xf>
    <xf numFmtId="49" fontId="50" fillId="30" borderId="349" xfId="0" applyNumberFormat="1" applyFont="1" applyFill="1" applyBorder="1" applyAlignment="1">
      <alignment horizontal="center" vertical="center" shrinkToFit="1"/>
    </xf>
    <xf numFmtId="49" fontId="53" fillId="30" borderId="349" xfId="0" applyNumberFormat="1" applyFont="1" applyFill="1" applyBorder="1" applyAlignment="1">
      <alignment horizontal="center" vertical="center" shrinkToFit="1"/>
    </xf>
    <xf numFmtId="49" fontId="50" fillId="0" borderId="349" xfId="0" applyNumberFormat="1" applyFont="1" applyBorder="1" applyAlignment="1">
      <alignment horizontal="center" vertical="center" shrinkToFit="1"/>
    </xf>
    <xf numFmtId="49" fontId="53" fillId="2" borderId="350" xfId="0" applyNumberFormat="1" applyFont="1" applyFill="1" applyBorder="1" applyAlignment="1">
      <alignment horizontal="center" vertical="center" shrinkToFit="1"/>
    </xf>
    <xf numFmtId="0" fontId="53" fillId="20" borderId="341" xfId="0" applyFont="1" applyFill="1" applyBorder="1" applyAlignment="1">
      <alignment horizontal="center" vertical="center" wrapText="1" shrinkToFit="1"/>
    </xf>
    <xf numFmtId="49" fontId="50" fillId="30" borderId="351" xfId="0" applyNumberFormat="1" applyFont="1" applyFill="1" applyBorder="1" applyAlignment="1">
      <alignment horizontal="center" vertical="center" shrinkToFit="1"/>
    </xf>
    <xf numFmtId="49" fontId="60" fillId="30" borderId="351" xfId="0" applyNumberFormat="1" applyFont="1" applyFill="1" applyBorder="1" applyAlignment="1">
      <alignment horizontal="center" vertical="center" shrinkToFit="1"/>
    </xf>
    <xf numFmtId="49" fontId="50" fillId="0" borderId="352" xfId="0" applyNumberFormat="1" applyFont="1" applyBorder="1" applyAlignment="1">
      <alignment horizontal="center" vertical="center" shrinkToFit="1"/>
    </xf>
    <xf numFmtId="49" fontId="50" fillId="0" borderId="351" xfId="0" applyNumberFormat="1" applyFont="1" applyBorder="1" applyAlignment="1">
      <alignment horizontal="center" vertical="center" shrinkToFit="1"/>
    </xf>
    <xf numFmtId="49" fontId="53" fillId="2" borderId="352" xfId="0" applyNumberFormat="1" applyFont="1" applyFill="1" applyBorder="1" applyAlignment="1">
      <alignment horizontal="center" vertical="center" shrinkToFit="1"/>
    </xf>
    <xf numFmtId="49" fontId="53" fillId="2" borderId="354" xfId="0" applyNumberFormat="1" applyFont="1" applyFill="1" applyBorder="1" applyAlignment="1">
      <alignment horizontal="center" vertical="center" shrinkToFit="1"/>
    </xf>
    <xf numFmtId="49" fontId="43" fillId="0" borderId="0" xfId="0" applyNumberFormat="1" applyFont="1" applyFill="1" applyBorder="1" applyAlignment="1">
      <alignment horizontal="center" vertical="center" shrinkToFit="1"/>
    </xf>
    <xf numFmtId="49" fontId="49" fillId="2" borderId="356" xfId="0" applyNumberFormat="1" applyFont="1" applyFill="1" applyBorder="1" applyAlignment="1">
      <alignment horizontal="center" vertical="center" shrinkToFit="1"/>
    </xf>
    <xf numFmtId="49" fontId="46" fillId="0" borderId="358" xfId="0" applyNumberFormat="1" applyFont="1" applyFill="1" applyBorder="1" applyAlignment="1">
      <alignment horizontal="center" vertical="center" shrinkToFit="1"/>
    </xf>
    <xf numFmtId="0" fontId="52" fillId="2" borderId="358" xfId="0" applyNumberFormat="1" applyFont="1" applyFill="1" applyBorder="1" applyAlignment="1">
      <alignment horizontal="center" vertical="center" shrinkToFit="1"/>
    </xf>
    <xf numFmtId="49" fontId="52" fillId="2" borderId="358" xfId="0" applyNumberFormat="1" applyFont="1" applyFill="1" applyBorder="1" applyAlignment="1">
      <alignment horizontal="center" vertical="center" shrinkToFit="1"/>
    </xf>
    <xf numFmtId="49" fontId="50" fillId="0" borderId="307" xfId="0" quotePrefix="1" applyNumberFormat="1" applyFont="1" applyFill="1" applyBorder="1" applyAlignment="1">
      <alignment horizontal="center" vertical="center" shrinkToFit="1"/>
    </xf>
    <xf numFmtId="49" fontId="50" fillId="0" borderId="287" xfId="0" applyNumberFormat="1" applyFont="1" applyFill="1" applyBorder="1" applyAlignment="1">
      <alignment horizontal="center" vertical="center" shrinkToFit="1"/>
    </xf>
    <xf numFmtId="49" fontId="50" fillId="0" borderId="307" xfId="0" applyNumberFormat="1" applyFont="1" applyFill="1" applyBorder="1" applyAlignment="1">
      <alignment horizontal="center" vertical="center" shrinkToFit="1"/>
    </xf>
    <xf numFmtId="49" fontId="53" fillId="0" borderId="307" xfId="0" applyNumberFormat="1" applyFont="1" applyFill="1" applyBorder="1" applyAlignment="1">
      <alignment horizontal="center" vertical="center" shrinkToFit="1"/>
    </xf>
    <xf numFmtId="49" fontId="53" fillId="0" borderId="231" xfId="0" applyNumberFormat="1" applyFont="1" applyFill="1" applyBorder="1" applyAlignment="1">
      <alignment horizontal="center" vertical="center" shrinkToFit="1"/>
    </xf>
    <xf numFmtId="49" fontId="50" fillId="0" borderId="335" xfId="0" quotePrefix="1" applyNumberFormat="1" applyFont="1" applyFill="1" applyBorder="1" applyAlignment="1">
      <alignment horizontal="center" vertical="center" shrinkToFit="1"/>
    </xf>
    <xf numFmtId="49" fontId="50" fillId="0" borderId="335" xfId="0" applyNumberFormat="1" applyFont="1" applyFill="1" applyBorder="1" applyAlignment="1">
      <alignment horizontal="center" vertical="center" shrinkToFit="1"/>
    </xf>
    <xf numFmtId="49" fontId="53" fillId="0" borderId="333" xfId="0" applyNumberFormat="1" applyFont="1" applyFill="1" applyBorder="1" applyAlignment="1">
      <alignment horizontal="center" vertical="center" shrinkToFit="1"/>
    </xf>
    <xf numFmtId="49" fontId="46" fillId="0" borderId="341" xfId="0" quotePrefix="1" applyNumberFormat="1" applyFont="1" applyFill="1" applyBorder="1" applyAlignment="1">
      <alignment horizontal="center" vertical="center" shrinkToFit="1"/>
    </xf>
    <xf numFmtId="0" fontId="46" fillId="0" borderId="341" xfId="0" applyFont="1" applyFill="1" applyBorder="1" applyAlignment="1">
      <alignment horizontal="center" vertical="center" shrinkToFit="1"/>
    </xf>
    <xf numFmtId="0" fontId="52" fillId="0" borderId="341" xfId="0" applyFont="1" applyFill="1" applyBorder="1" applyAlignment="1">
      <alignment horizontal="center" vertical="center" shrinkToFit="1"/>
    </xf>
    <xf numFmtId="0" fontId="46" fillId="0" borderId="341" xfId="0" quotePrefix="1" applyFont="1" applyFill="1" applyBorder="1" applyAlignment="1">
      <alignment horizontal="center" vertical="center" shrinkToFit="1"/>
    </xf>
    <xf numFmtId="0" fontId="52" fillId="0" borderId="341" xfId="0" applyFont="1" applyFill="1" applyBorder="1" applyAlignment="1">
      <alignment horizontal="center" vertical="center" wrapText="1" shrinkToFit="1"/>
    </xf>
    <xf numFmtId="49" fontId="46" fillId="0" borderId="357" xfId="0" quotePrefix="1" applyNumberFormat="1" applyFont="1" applyFill="1" applyBorder="1" applyAlignment="1">
      <alignment horizontal="center" vertical="center" shrinkToFit="1"/>
    </xf>
    <xf numFmtId="0" fontId="46" fillId="0" borderId="357" xfId="0" applyFont="1" applyFill="1" applyBorder="1" applyAlignment="1">
      <alignment horizontal="center" vertical="center" shrinkToFit="1"/>
    </xf>
    <xf numFmtId="0" fontId="52" fillId="0" borderId="357" xfId="0" applyFont="1" applyFill="1" applyBorder="1" applyAlignment="1">
      <alignment horizontal="center" vertical="center" shrinkToFit="1"/>
    </xf>
    <xf numFmtId="0" fontId="46" fillId="0" borderId="357" xfId="0" quotePrefix="1" applyFont="1" applyFill="1" applyBorder="1" applyAlignment="1">
      <alignment horizontal="center" vertical="center" shrinkToFit="1"/>
    </xf>
    <xf numFmtId="0" fontId="52" fillId="0" borderId="357" xfId="0" applyFont="1" applyFill="1" applyBorder="1" applyAlignment="1">
      <alignment horizontal="center" vertical="center" wrapText="1" shrinkToFit="1"/>
    </xf>
    <xf numFmtId="49" fontId="50" fillId="0" borderId="277" xfId="0" quotePrefix="1" applyNumberFormat="1" applyFont="1" applyFill="1" applyBorder="1" applyAlignment="1">
      <alignment horizontal="center" vertical="center" shrinkToFit="1"/>
    </xf>
    <xf numFmtId="49" fontId="50" fillId="0" borderId="277" xfId="0" applyNumberFormat="1" applyFont="1" applyFill="1" applyBorder="1" applyAlignment="1">
      <alignment horizontal="center" vertical="center" shrinkToFit="1"/>
    </xf>
    <xf numFmtId="49" fontId="53" fillId="0" borderId="277" xfId="0" applyNumberFormat="1" applyFont="1" applyFill="1" applyBorder="1" applyAlignment="1">
      <alignment horizontal="center" vertical="center" shrinkToFit="1"/>
    </xf>
    <xf numFmtId="49" fontId="43" fillId="0" borderId="355" xfId="0" quotePrefix="1" applyNumberFormat="1" applyFont="1" applyFill="1" applyBorder="1" applyAlignment="1">
      <alignment horizontal="center" vertical="center" shrinkToFit="1"/>
    </xf>
    <xf numFmtId="49" fontId="43" fillId="0" borderId="355" xfId="0" applyNumberFormat="1" applyFont="1" applyFill="1" applyBorder="1" applyAlignment="1">
      <alignment horizontal="center" vertical="center" shrinkToFit="1"/>
    </xf>
    <xf numFmtId="49" fontId="49" fillId="0" borderId="355" xfId="0" applyNumberFormat="1" applyFont="1" applyFill="1" applyBorder="1" applyAlignment="1">
      <alignment horizontal="center" vertical="center" shrinkToFit="1"/>
    </xf>
    <xf numFmtId="49" fontId="49" fillId="0" borderId="23" xfId="0" applyNumberFormat="1" applyFont="1" applyFill="1" applyBorder="1" applyAlignment="1">
      <alignment horizontal="center" vertical="center" shrinkToFit="1"/>
    </xf>
    <xf numFmtId="49" fontId="50" fillId="0" borderId="353" xfId="0" applyNumberFormat="1" applyFont="1" applyFill="1" applyBorder="1" applyAlignment="1">
      <alignment horizontal="center" vertical="center" shrinkToFit="1"/>
    </xf>
    <xf numFmtId="49" fontId="50" fillId="0" borderId="343" xfId="0" applyNumberFormat="1" applyFont="1" applyFill="1" applyBorder="1" applyAlignment="1">
      <alignment horizontal="center" vertical="center" shrinkToFit="1"/>
    </xf>
    <xf numFmtId="49" fontId="53" fillId="0" borderId="353" xfId="0" applyNumberFormat="1" applyFont="1" applyFill="1" applyBorder="1" applyAlignment="1">
      <alignment horizontal="center" vertical="center" shrinkToFit="1"/>
    </xf>
    <xf numFmtId="49" fontId="50" fillId="0" borderId="173" xfId="0" applyNumberFormat="1" applyFont="1" applyFill="1" applyBorder="1" applyAlignment="1">
      <alignment horizontal="center" vertical="center" shrinkToFit="1"/>
    </xf>
    <xf numFmtId="49" fontId="53" fillId="0" borderId="321" xfId="0" applyNumberFormat="1" applyFont="1" applyFill="1" applyBorder="1" applyAlignment="1">
      <alignment horizontal="center" vertical="center" shrinkToFit="1"/>
    </xf>
    <xf numFmtId="49" fontId="50" fillId="0" borderId="345" xfId="0" applyNumberFormat="1" applyFont="1" applyFill="1" applyBorder="1" applyAlignment="1">
      <alignment horizontal="center" vertical="center" shrinkToFit="1"/>
    </xf>
    <xf numFmtId="49" fontId="50" fillId="0" borderId="347" xfId="0" applyNumberFormat="1" applyFont="1" applyFill="1" applyBorder="1" applyAlignment="1">
      <alignment horizontal="center" vertical="center" shrinkToFit="1"/>
    </xf>
    <xf numFmtId="49" fontId="50" fillId="0" borderId="313" xfId="0" applyNumberFormat="1" applyFont="1" applyFill="1" applyBorder="1" applyAlignment="1">
      <alignment horizontal="center" vertical="center" shrinkToFit="1"/>
    </xf>
    <xf numFmtId="49" fontId="50" fillId="0" borderId="317" xfId="0" applyNumberFormat="1" applyFont="1" applyFill="1" applyBorder="1" applyAlignment="1">
      <alignment horizontal="center" vertical="center" shrinkToFit="1"/>
    </xf>
    <xf numFmtId="49" fontId="53" fillId="0" borderId="317" xfId="0" applyNumberFormat="1" applyFont="1" applyFill="1" applyBorder="1" applyAlignment="1">
      <alignment horizontal="center" vertical="center" shrinkToFit="1"/>
    </xf>
    <xf numFmtId="49" fontId="46" fillId="0" borderId="309" xfId="0" applyNumberFormat="1" applyFont="1" applyFill="1" applyBorder="1" applyAlignment="1">
      <alignment horizontal="center" vertical="center" shrinkToFit="1"/>
    </xf>
    <xf numFmtId="49" fontId="52" fillId="0" borderId="309" xfId="0" applyNumberFormat="1" applyFont="1" applyFill="1" applyBorder="1" applyAlignment="1">
      <alignment horizontal="center" vertical="center" shrinkToFit="1"/>
    </xf>
    <xf numFmtId="49" fontId="46" fillId="0" borderId="173" xfId="0" applyNumberFormat="1" applyFont="1" applyFill="1" applyBorder="1" applyAlignment="1">
      <alignment horizontal="center" vertical="center" shrinkToFit="1"/>
    </xf>
    <xf numFmtId="49" fontId="46" fillId="0" borderId="343" xfId="0" applyNumberFormat="1" applyFont="1" applyFill="1" applyBorder="1" applyAlignment="1">
      <alignment horizontal="center" vertical="center" shrinkToFit="1"/>
    </xf>
    <xf numFmtId="49" fontId="52" fillId="0" borderId="343" xfId="0" applyNumberFormat="1" applyFont="1" applyFill="1" applyBorder="1" applyAlignment="1">
      <alignment horizontal="center" vertical="center" shrinkToFit="1"/>
    </xf>
    <xf numFmtId="49" fontId="43" fillId="0" borderId="215" xfId="0" applyNumberFormat="1" applyFont="1" applyFill="1" applyBorder="1" applyAlignment="1">
      <alignment horizontal="center" vertical="center" shrinkToFit="1"/>
    </xf>
    <xf numFmtId="49" fontId="46" fillId="0" borderId="357" xfId="0" applyNumberFormat="1" applyFont="1" applyFill="1" applyBorder="1" applyAlignment="1">
      <alignment horizontal="center" vertical="center" shrinkToFit="1"/>
    </xf>
    <xf numFmtId="49" fontId="49" fillId="0" borderId="215" xfId="0" applyNumberFormat="1" applyFont="1" applyFill="1" applyBorder="1" applyAlignment="1">
      <alignment horizontal="center" vertical="center" shrinkToFit="1"/>
    </xf>
    <xf numFmtId="49" fontId="52" fillId="0" borderId="357" xfId="0" applyNumberFormat="1" applyFont="1" applyFill="1" applyBorder="1" applyAlignment="1">
      <alignment horizontal="center" vertical="center" shrinkToFit="1"/>
    </xf>
    <xf numFmtId="49" fontId="43" fillId="0" borderId="281" xfId="0" applyNumberFormat="1" applyFont="1" applyFill="1" applyBorder="1" applyAlignment="1">
      <alignment horizontal="center" vertical="center" shrinkToFit="1"/>
    </xf>
    <xf numFmtId="49" fontId="43" fillId="0" borderId="173" xfId="0" applyNumberFormat="1" applyFont="1" applyFill="1" applyBorder="1" applyAlignment="1">
      <alignment horizontal="center" vertical="center" shrinkToFit="1"/>
    </xf>
    <xf numFmtId="49" fontId="49" fillId="0" borderId="281" xfId="0" applyNumberFormat="1" applyFont="1" applyFill="1" applyBorder="1" applyAlignment="1">
      <alignment horizontal="center" vertical="center" shrinkToFit="1"/>
    </xf>
    <xf numFmtId="49" fontId="60" fillId="0" borderId="307" xfId="0" applyNumberFormat="1" applyFont="1" applyFill="1" applyBorder="1" applyAlignment="1">
      <alignment horizontal="center" vertical="center" shrinkToFit="1"/>
    </xf>
    <xf numFmtId="49" fontId="50" fillId="0" borderId="0" xfId="0" applyNumberFormat="1" applyFont="1" applyFill="1" applyBorder="1" applyAlignment="1">
      <alignment horizontal="center" vertical="center" shrinkToFit="1"/>
    </xf>
    <xf numFmtId="49" fontId="50" fillId="0" borderId="308" xfId="0" applyNumberFormat="1" applyFont="1" applyFill="1" applyBorder="1" applyAlignment="1">
      <alignment horizontal="center" vertical="center" shrinkToFit="1"/>
    </xf>
    <xf numFmtId="49" fontId="60" fillId="0" borderId="335" xfId="0" applyNumberFormat="1" applyFont="1" applyFill="1" applyBorder="1" applyAlignment="1">
      <alignment horizontal="center" vertical="center" shrinkToFit="1"/>
    </xf>
    <xf numFmtId="49" fontId="50" fillId="0" borderId="336" xfId="0" applyNumberFormat="1" applyFont="1" applyFill="1" applyBorder="1" applyAlignment="1">
      <alignment horizontal="center" vertical="center" shrinkToFit="1"/>
    </xf>
    <xf numFmtId="0" fontId="39" fillId="0" borderId="341" xfId="0" applyFont="1" applyFill="1" applyBorder="1" applyAlignment="1">
      <alignment horizontal="center" vertical="center" shrinkToFit="1"/>
    </xf>
    <xf numFmtId="0" fontId="46" fillId="0" borderId="342" xfId="0" applyFont="1" applyFill="1" applyBorder="1" applyAlignment="1">
      <alignment horizontal="center" vertical="center" shrinkToFit="1"/>
    </xf>
    <xf numFmtId="0" fontId="39" fillId="0" borderId="357" xfId="0" applyFont="1" applyFill="1" applyBorder="1" applyAlignment="1">
      <alignment horizontal="center" vertical="center" shrinkToFit="1"/>
    </xf>
    <xf numFmtId="0" fontId="46" fillId="0" borderId="358" xfId="0" applyFont="1" applyFill="1" applyBorder="1" applyAlignment="1">
      <alignment horizontal="center" vertical="center" shrinkToFit="1"/>
    </xf>
    <xf numFmtId="49" fontId="60" fillId="0" borderId="277" xfId="0" applyNumberFormat="1" applyFont="1" applyFill="1" applyBorder="1" applyAlignment="1">
      <alignment horizontal="center" vertical="center" shrinkToFit="1"/>
    </xf>
    <xf numFmtId="49" fontId="50" fillId="0" borderId="278" xfId="0" applyNumberFormat="1" applyFont="1" applyFill="1" applyBorder="1" applyAlignment="1">
      <alignment horizontal="center" vertical="center" shrinkToFit="1"/>
    </xf>
    <xf numFmtId="49" fontId="42" fillId="0" borderId="355" xfId="0" applyNumberFormat="1" applyFont="1" applyFill="1" applyBorder="1" applyAlignment="1">
      <alignment horizontal="center" vertical="center" shrinkToFit="1"/>
    </xf>
    <xf numFmtId="49" fontId="43" fillId="0" borderId="356" xfId="0" applyNumberFormat="1" applyFont="1" applyFill="1" applyBorder="1" applyAlignment="1">
      <alignment horizontal="center" vertical="center" shrinkToFit="1"/>
    </xf>
    <xf numFmtId="49" fontId="60" fillId="0" borderId="353" xfId="0" applyNumberFormat="1" applyFont="1" applyFill="1" applyBorder="1" applyAlignment="1">
      <alignment horizontal="center" vertical="center" shrinkToFit="1"/>
    </xf>
    <xf numFmtId="49" fontId="60" fillId="0" borderId="0" xfId="0" applyNumberFormat="1" applyFont="1" applyFill="1" applyAlignment="1">
      <alignment horizontal="left" vertical="center" shrinkToFit="1"/>
    </xf>
    <xf numFmtId="49" fontId="50" fillId="0" borderId="334" xfId="0" applyNumberFormat="1" applyFont="1" applyFill="1" applyBorder="1" applyAlignment="1">
      <alignment horizontal="center" vertical="center" shrinkToFit="1"/>
    </xf>
    <xf numFmtId="49" fontId="60" fillId="0" borderId="345" xfId="0" applyNumberFormat="1" applyFont="1" applyFill="1" applyBorder="1" applyAlignment="1">
      <alignment horizontal="center" vertical="center" shrinkToFit="1"/>
    </xf>
    <xf numFmtId="49" fontId="50" fillId="0" borderId="346" xfId="0" applyNumberFormat="1" applyFont="1" applyFill="1" applyBorder="1" applyAlignment="1">
      <alignment horizontal="center" vertical="center" shrinkToFit="1"/>
    </xf>
    <xf numFmtId="49" fontId="60" fillId="0" borderId="317" xfId="0" applyNumberFormat="1" applyFont="1" applyFill="1" applyBorder="1" applyAlignment="1">
      <alignment horizontal="center" vertical="center" shrinkToFit="1"/>
    </xf>
    <xf numFmtId="49" fontId="50" fillId="0" borderId="318" xfId="0" applyNumberFormat="1" applyFont="1" applyFill="1" applyBorder="1" applyAlignment="1">
      <alignment horizontal="center" vertical="center" shrinkToFit="1"/>
    </xf>
    <xf numFmtId="49" fontId="39" fillId="0" borderId="309" xfId="0" applyNumberFormat="1" applyFont="1" applyFill="1" applyBorder="1" applyAlignment="1">
      <alignment horizontal="center" vertical="center" shrinkToFit="1"/>
    </xf>
    <xf numFmtId="49" fontId="46" fillId="0" borderId="310" xfId="0" applyNumberFormat="1" applyFont="1" applyFill="1" applyBorder="1" applyAlignment="1">
      <alignment horizontal="center" vertical="center" shrinkToFit="1"/>
    </xf>
    <xf numFmtId="49" fontId="39" fillId="0" borderId="343" xfId="0" applyNumberFormat="1" applyFont="1" applyFill="1" applyBorder="1" applyAlignment="1">
      <alignment horizontal="center" vertical="center" shrinkToFit="1"/>
    </xf>
    <xf numFmtId="49" fontId="46" fillId="0" borderId="344" xfId="0" applyNumberFormat="1" applyFont="1" applyFill="1" applyBorder="1" applyAlignment="1">
      <alignment horizontal="center" vertical="center" shrinkToFit="1"/>
    </xf>
    <xf numFmtId="49" fontId="39" fillId="0" borderId="357" xfId="0" applyNumberFormat="1" applyFont="1" applyFill="1" applyBorder="1" applyAlignment="1">
      <alignment horizontal="center" vertical="center" shrinkToFit="1"/>
    </xf>
    <xf numFmtId="49" fontId="42" fillId="0" borderId="281" xfId="0" applyNumberFormat="1" applyFont="1" applyFill="1" applyBorder="1" applyAlignment="1">
      <alignment horizontal="center" vertical="center" shrinkToFit="1"/>
    </xf>
    <xf numFmtId="49" fontId="42" fillId="0" borderId="0" xfId="0" applyNumberFormat="1" applyFont="1" applyFill="1" applyAlignment="1">
      <alignment horizontal="left" vertical="center" shrinkToFit="1"/>
    </xf>
    <xf numFmtId="49" fontId="43" fillId="0" borderId="282" xfId="0" applyNumberFormat="1" applyFont="1" applyFill="1" applyBorder="1" applyAlignment="1">
      <alignment horizontal="center" vertical="center" shrinkToFit="1"/>
    </xf>
    <xf numFmtId="49" fontId="43" fillId="0" borderId="299" xfId="0" applyNumberFormat="1" applyFont="1" applyFill="1" applyBorder="1" applyAlignment="1">
      <alignment horizontal="center" vertical="center" shrinkToFit="1"/>
    </xf>
    <xf numFmtId="49" fontId="49" fillId="0" borderId="299" xfId="0" applyNumberFormat="1" applyFont="1" applyFill="1" applyBorder="1" applyAlignment="1">
      <alignment horizontal="center" vertical="center" shrinkToFit="1"/>
    </xf>
    <xf numFmtId="49" fontId="42" fillId="0" borderId="299" xfId="0" applyNumberFormat="1" applyFont="1" applyFill="1" applyBorder="1" applyAlignment="1">
      <alignment horizontal="center" vertical="center" shrinkToFit="1"/>
    </xf>
    <xf numFmtId="49" fontId="43" fillId="0" borderId="300" xfId="0" applyNumberFormat="1" applyFont="1" applyFill="1" applyBorder="1" applyAlignment="1">
      <alignment horizontal="center" vertical="center" shrinkToFit="1"/>
    </xf>
    <xf numFmtId="49" fontId="43" fillId="0" borderId="331" xfId="0" applyNumberFormat="1" applyFont="1" applyFill="1" applyBorder="1" applyAlignment="1">
      <alignment horizontal="center" vertical="center" shrinkToFit="1"/>
    </xf>
    <xf numFmtId="49" fontId="49" fillId="0" borderId="331" xfId="0" applyNumberFormat="1" applyFont="1" applyFill="1" applyBorder="1" applyAlignment="1">
      <alignment horizontal="center" vertical="center" shrinkToFit="1"/>
    </xf>
    <xf numFmtId="49" fontId="42" fillId="0" borderId="331" xfId="0" applyNumberFormat="1" applyFont="1" applyFill="1" applyBorder="1" applyAlignment="1">
      <alignment horizontal="center" vertical="center" shrinkToFit="1"/>
    </xf>
    <xf numFmtId="49" fontId="43" fillId="0" borderId="332" xfId="0" applyNumberFormat="1" applyFont="1" applyFill="1" applyBorder="1" applyAlignment="1">
      <alignment horizontal="center" vertical="center" shrinkToFit="1"/>
    </xf>
    <xf numFmtId="49" fontId="43" fillId="0" borderId="222" xfId="0" applyNumberFormat="1" applyFont="1" applyFill="1" applyBorder="1" applyAlignment="1">
      <alignment horizontal="center" vertical="center" shrinkToFit="1"/>
    </xf>
    <xf numFmtId="49" fontId="43" fillId="0" borderId="266" xfId="0" applyNumberFormat="1" applyFont="1" applyFill="1" applyBorder="1" applyAlignment="1">
      <alignment horizontal="center" vertical="center" shrinkToFit="1"/>
    </xf>
    <xf numFmtId="49" fontId="49" fillId="0" borderId="266" xfId="0" applyNumberFormat="1" applyFont="1" applyFill="1" applyBorder="1" applyAlignment="1">
      <alignment horizontal="center" vertical="center" shrinkToFit="1"/>
    </xf>
    <xf numFmtId="49" fontId="42" fillId="0" borderId="266" xfId="0" applyNumberFormat="1" applyFont="1" applyFill="1" applyBorder="1" applyAlignment="1">
      <alignment horizontal="center" vertical="center" shrinkToFit="1"/>
    </xf>
    <xf numFmtId="49" fontId="43" fillId="0" borderId="267" xfId="0" applyNumberFormat="1" applyFont="1" applyFill="1" applyBorder="1" applyAlignment="1">
      <alignment horizontal="center" vertical="center" shrinkToFit="1"/>
    </xf>
    <xf numFmtId="49" fontId="43" fillId="0" borderId="268" xfId="0" applyNumberFormat="1" applyFont="1" applyFill="1" applyBorder="1" applyAlignment="1">
      <alignment horizontal="center" vertical="center" shrinkToFit="1"/>
    </xf>
    <xf numFmtId="49" fontId="39" fillId="0" borderId="266" xfId="0" applyNumberFormat="1" applyFont="1" applyFill="1" applyBorder="1" applyAlignment="1">
      <alignment horizontal="center" vertical="center" shrinkToFit="1"/>
    </xf>
    <xf numFmtId="49" fontId="43" fillId="0" borderId="43" xfId="0" applyNumberFormat="1" applyFont="1" applyFill="1" applyBorder="1" applyAlignment="1">
      <alignment horizontal="center" vertical="center" shrinkToFit="1"/>
    </xf>
    <xf numFmtId="49" fontId="43" fillId="0" borderId="45" xfId="0" applyNumberFormat="1" applyFont="1" applyFill="1" applyBorder="1" applyAlignment="1">
      <alignment horizontal="center" vertical="center" shrinkToFit="1"/>
    </xf>
    <xf numFmtId="49" fontId="39" fillId="0" borderId="34" xfId="0" applyNumberFormat="1" applyFont="1" applyFill="1" applyBorder="1" applyAlignment="1">
      <alignment horizontal="center" vertical="center" shrinkToFit="1"/>
    </xf>
    <xf numFmtId="49" fontId="38" fillId="0" borderId="32" xfId="0" applyNumberFormat="1" applyFont="1" applyFill="1" applyBorder="1" applyAlignment="1">
      <alignment horizontal="center" vertical="center" shrinkToFit="1"/>
    </xf>
    <xf numFmtId="49" fontId="38" fillId="0" borderId="28" xfId="0" applyNumberFormat="1" applyFont="1" applyFill="1" applyBorder="1" applyAlignment="1">
      <alignment horizontal="center" vertical="center" shrinkToFit="1"/>
    </xf>
    <xf numFmtId="49" fontId="38" fillId="0" borderId="25" xfId="0" applyNumberFormat="1" applyFont="1" applyFill="1" applyBorder="1" applyAlignment="1">
      <alignment horizontal="center" vertical="center" shrinkToFit="1"/>
    </xf>
    <xf numFmtId="49" fontId="38" fillId="0" borderId="26" xfId="0" applyNumberFormat="1" applyFont="1" applyFill="1" applyBorder="1" applyAlignment="1">
      <alignment horizontal="center" vertical="center" shrinkToFit="1"/>
    </xf>
    <xf numFmtId="49" fontId="36" fillId="0" borderId="30" xfId="0" applyNumberFormat="1" applyFont="1" applyFill="1" applyBorder="1" applyAlignment="1">
      <alignment horizontal="center" vertical="center" shrinkToFit="1"/>
    </xf>
    <xf numFmtId="49" fontId="36" fillId="0" borderId="25" xfId="0" applyNumberFormat="1" applyFont="1" applyFill="1" applyBorder="1" applyAlignment="1">
      <alignment horizontal="center" vertical="center" shrinkToFit="1"/>
    </xf>
    <xf numFmtId="49" fontId="36" fillId="0" borderId="26" xfId="0" applyNumberFormat="1" applyFont="1" applyFill="1" applyBorder="1" applyAlignment="1">
      <alignment horizontal="center" vertical="center" shrinkToFit="1"/>
    </xf>
    <xf numFmtId="0" fontId="34" fillId="0" borderId="30" xfId="0" applyFont="1" applyFill="1" applyBorder="1" applyAlignment="1">
      <alignment horizontal="center" vertical="center" shrinkToFit="1"/>
    </xf>
    <xf numFmtId="0" fontId="36" fillId="0" borderId="25" xfId="0" applyFont="1" applyFill="1" applyBorder="1" applyAlignment="1">
      <alignment horizontal="center" vertical="center" shrinkToFit="1"/>
    </xf>
    <xf numFmtId="0" fontId="36" fillId="0" borderId="26" xfId="0" applyFont="1" applyFill="1" applyBorder="1" applyAlignment="1">
      <alignment horizontal="center" vertical="center" shrinkToFit="1"/>
    </xf>
    <xf numFmtId="0" fontId="55" fillId="0" borderId="32" xfId="0" applyFont="1" applyFill="1" applyBorder="1" applyAlignment="1">
      <alignment horizontal="center" vertical="center" shrinkToFit="1"/>
    </xf>
    <xf numFmtId="0" fontId="55" fillId="0" borderId="28" xfId="0" applyFont="1" applyFill="1" applyBorder="1" applyAlignment="1">
      <alignment horizontal="center" vertical="center" shrinkToFit="1"/>
    </xf>
    <xf numFmtId="0" fontId="55" fillId="0" borderId="25" xfId="0" applyFont="1" applyFill="1" applyBorder="1" applyAlignment="1">
      <alignment horizontal="center" vertical="center" shrinkToFit="1"/>
    </xf>
    <xf numFmtId="0" fontId="55" fillId="0" borderId="26" xfId="0" applyFont="1" applyFill="1" applyBorder="1" applyAlignment="1">
      <alignment horizontal="center" vertical="center" shrinkToFit="1"/>
    </xf>
    <xf numFmtId="0" fontId="63" fillId="2" borderId="239" xfId="0" applyNumberFormat="1" applyFont="1" applyFill="1" applyBorder="1" applyAlignment="1">
      <alignment horizontal="center" vertical="center" wrapText="1" shrinkToFit="1"/>
    </xf>
    <xf numFmtId="0" fontId="63" fillId="2" borderId="238" xfId="0" applyNumberFormat="1" applyFont="1" applyFill="1" applyBorder="1" applyAlignment="1">
      <alignment horizontal="center" vertical="center" wrapText="1" shrinkToFit="1"/>
    </xf>
    <xf numFmtId="0" fontId="63" fillId="2" borderId="23" xfId="0" applyNumberFormat="1" applyFont="1" applyFill="1" applyBorder="1" applyAlignment="1">
      <alignment horizontal="center" vertical="center" wrapText="1" shrinkToFit="1"/>
    </xf>
    <xf numFmtId="179" fontId="27" fillId="21" borderId="17" xfId="0" applyNumberFormat="1" applyFont="1" applyFill="1" applyBorder="1" applyAlignment="1">
      <alignment horizontal="left" vertical="center" shrinkToFit="1"/>
    </xf>
    <xf numFmtId="0" fontId="27" fillId="0" borderId="18" xfId="0" applyFont="1" applyBorder="1" applyAlignment="1">
      <alignment horizontal="left" vertical="center" shrinkToFit="1"/>
    </xf>
    <xf numFmtId="0" fontId="27" fillId="0" borderId="19" xfId="0" applyFont="1" applyBorder="1" applyAlignment="1">
      <alignment horizontal="left" vertical="center" shrinkToFit="1"/>
    </xf>
    <xf numFmtId="0" fontId="28" fillId="0" borderId="11" xfId="0" applyFont="1" applyFill="1" applyBorder="1" applyAlignment="1">
      <alignment horizontal="left" vertical="center" shrinkToFit="1"/>
    </xf>
    <xf numFmtId="0" fontId="27" fillId="0" borderId="22" xfId="0" applyFont="1" applyFill="1" applyBorder="1" applyAlignment="1">
      <alignment horizontal="left" vertical="center" shrinkToFit="1"/>
    </xf>
    <xf numFmtId="0" fontId="29" fillId="0" borderId="11" xfId="0" applyFont="1" applyFill="1" applyBorder="1" applyAlignment="1">
      <alignment horizontal="left" vertical="center" shrinkToFit="1"/>
    </xf>
    <xf numFmtId="49" fontId="39" fillId="0" borderId="23" xfId="0" applyNumberFormat="1" applyFont="1" applyBorder="1" applyAlignment="1">
      <alignment horizontal="center" vertical="center" shrinkToFit="1"/>
    </xf>
    <xf numFmtId="49" fontId="44" fillId="0" borderId="359" xfId="0" applyNumberFormat="1" applyFont="1" applyFill="1" applyBorder="1" applyAlignment="1">
      <alignment horizontal="center" vertical="center" shrinkToFit="1"/>
    </xf>
    <xf numFmtId="49" fontId="43" fillId="0" borderId="359" xfId="0" applyNumberFormat="1" applyFont="1" applyFill="1" applyBorder="1" applyAlignment="1">
      <alignment horizontal="center" vertical="center" shrinkToFit="1"/>
    </xf>
    <xf numFmtId="49" fontId="39" fillId="0" borderId="359" xfId="0" applyNumberFormat="1" applyFont="1" applyFill="1" applyBorder="1" applyAlignment="1">
      <alignment horizontal="center" vertical="center" shrinkToFit="1"/>
    </xf>
    <xf numFmtId="49" fontId="46" fillId="0" borderId="359" xfId="0" quotePrefix="1" applyNumberFormat="1" applyFont="1" applyFill="1" applyBorder="1" applyAlignment="1">
      <alignment horizontal="center" vertical="center" shrinkToFit="1"/>
    </xf>
    <xf numFmtId="49" fontId="45" fillId="0" borderId="359" xfId="0" applyNumberFormat="1" applyFont="1" applyFill="1" applyBorder="1" applyAlignment="1">
      <alignment horizontal="center" vertical="center" shrinkToFit="1"/>
    </xf>
    <xf numFmtId="49" fontId="45" fillId="2" borderId="359" xfId="0" applyNumberFormat="1" applyFont="1" applyFill="1" applyBorder="1" applyAlignment="1">
      <alignment horizontal="center" vertical="center" shrinkToFit="1"/>
    </xf>
    <xf numFmtId="49" fontId="39" fillId="0" borderId="0" xfId="0" applyNumberFormat="1" applyFont="1" applyBorder="1" applyAlignment="1">
      <alignment horizontal="left" vertical="center" shrinkToFit="1"/>
    </xf>
    <xf numFmtId="49" fontId="39" fillId="0" borderId="0" xfId="0" applyNumberFormat="1" applyFont="1" applyBorder="1" applyAlignment="1">
      <alignment horizontal="center" vertical="center" shrinkToFit="1"/>
    </xf>
    <xf numFmtId="49" fontId="40" fillId="0" borderId="359" xfId="0" applyNumberFormat="1" applyFont="1" applyFill="1" applyBorder="1" applyAlignment="1">
      <alignment horizontal="center" vertical="center" shrinkToFit="1"/>
    </xf>
    <xf numFmtId="49" fontId="40" fillId="0" borderId="0" xfId="0" applyNumberFormat="1" applyFont="1" applyFill="1" applyBorder="1" applyAlignment="1">
      <alignment horizontal="right" vertical="center" shrinkToFit="1"/>
    </xf>
    <xf numFmtId="49" fontId="43" fillId="0" borderId="23" xfId="0" applyNumberFormat="1" applyFont="1" applyFill="1" applyBorder="1" applyAlignment="1">
      <alignment horizontal="center" vertical="center" shrinkToFit="1"/>
    </xf>
    <xf numFmtId="49" fontId="50" fillId="0" borderId="34" xfId="0" applyNumberFormat="1" applyFont="1" applyFill="1" applyBorder="1" applyAlignment="1">
      <alignment horizontal="center" vertical="center" shrinkToFit="1"/>
    </xf>
  </cellXfs>
  <cellStyles count="717">
    <cellStyle name="20% - 輔色1 2" xfId="3"/>
    <cellStyle name="20% - 輔色2 2" xfId="4"/>
    <cellStyle name="20% - 輔色3 2" xfId="5"/>
    <cellStyle name="20% - 輔色4 2" xfId="6"/>
    <cellStyle name="20% - 輔色5 2" xfId="7"/>
    <cellStyle name="20% - 輔色6 2" xfId="8"/>
    <cellStyle name="40% - 輔色1 2" xfId="9"/>
    <cellStyle name="40% - 輔色2 2" xfId="10"/>
    <cellStyle name="40% - 輔色3 2" xfId="11"/>
    <cellStyle name="40% - 輔色4 2" xfId="12"/>
    <cellStyle name="40% - 輔色5 2" xfId="13"/>
    <cellStyle name="40% - 輔色6 2" xfId="14"/>
    <cellStyle name="60% - 輔色1 2" xfId="15"/>
    <cellStyle name="60% - 輔色2 2" xfId="16"/>
    <cellStyle name="60% - 輔色3 2" xfId="17"/>
    <cellStyle name="60% - 輔色4 2" xfId="18"/>
    <cellStyle name="60% - 輔色5 2" xfId="19"/>
    <cellStyle name="60% - 輔色6 2" xfId="20"/>
    <cellStyle name="一般" xfId="0" builtinId="0"/>
    <cellStyle name="一般 10" xfId="21"/>
    <cellStyle name="一般 10 2" xfId="22"/>
    <cellStyle name="一般 10 2 2" xfId="23"/>
    <cellStyle name="一般 10 2 2 2" xfId="289"/>
    <cellStyle name="一般 10 2 2 3" xfId="498"/>
    <cellStyle name="一般 10 2 3" xfId="288"/>
    <cellStyle name="一般 10 2 4" xfId="497"/>
    <cellStyle name="一般 10 3" xfId="24"/>
    <cellStyle name="一般 10 3 2" xfId="290"/>
    <cellStyle name="一般 10 3 3" xfId="499"/>
    <cellStyle name="一般 10 4" xfId="25"/>
    <cellStyle name="一般 10 5" xfId="287"/>
    <cellStyle name="一般 10 6" xfId="496"/>
    <cellStyle name="一般 11" xfId="26"/>
    <cellStyle name="一般 11 2" xfId="27"/>
    <cellStyle name="一般 11 2 2" xfId="28"/>
    <cellStyle name="一般 11 2 2 2" xfId="293"/>
    <cellStyle name="一般 11 2 2 3" xfId="502"/>
    <cellStyle name="一般 11 2 3" xfId="292"/>
    <cellStyle name="一般 11 2 4" xfId="501"/>
    <cellStyle name="一般 11 3" xfId="29"/>
    <cellStyle name="一般 11 3 2" xfId="294"/>
    <cellStyle name="一般 11 3 3" xfId="503"/>
    <cellStyle name="一般 11 4" xfId="30"/>
    <cellStyle name="一般 11 5" xfId="291"/>
    <cellStyle name="一般 11 6" xfId="500"/>
    <cellStyle name="一般 12" xfId="31"/>
    <cellStyle name="一般 12 2" xfId="32"/>
    <cellStyle name="一般 12 2 2" xfId="33"/>
    <cellStyle name="一般 12 2 2 2" xfId="297"/>
    <cellStyle name="一般 12 2 2 3" xfId="506"/>
    <cellStyle name="一般 12 2 3" xfId="296"/>
    <cellStyle name="一般 12 2 4" xfId="505"/>
    <cellStyle name="一般 12 3" xfId="34"/>
    <cellStyle name="一般 12 3 2" xfId="298"/>
    <cellStyle name="一般 12 3 3" xfId="507"/>
    <cellStyle name="一般 12 4" xfId="35"/>
    <cellStyle name="一般 12 5" xfId="295"/>
    <cellStyle name="一般 12 6" xfId="504"/>
    <cellStyle name="一般 13" xfId="36"/>
    <cellStyle name="一般 13 2" xfId="37"/>
    <cellStyle name="一般 13 2 2" xfId="38"/>
    <cellStyle name="一般 13 2 2 2" xfId="301"/>
    <cellStyle name="一般 13 2 2 3" xfId="510"/>
    <cellStyle name="一般 13 2 3" xfId="300"/>
    <cellStyle name="一般 13 2 4" xfId="509"/>
    <cellStyle name="一般 13 3" xfId="39"/>
    <cellStyle name="一般 13 3 2" xfId="302"/>
    <cellStyle name="一般 13 3 3" xfId="511"/>
    <cellStyle name="一般 13 4" xfId="40"/>
    <cellStyle name="一般 13 5" xfId="299"/>
    <cellStyle name="一般 13 6" xfId="508"/>
    <cellStyle name="一般 14" xfId="41"/>
    <cellStyle name="一般 14 2" xfId="42"/>
    <cellStyle name="一般 14 2 2" xfId="43"/>
    <cellStyle name="一般 14 2 2 2" xfId="305"/>
    <cellStyle name="一般 14 2 2 3" xfId="514"/>
    <cellStyle name="一般 14 2 3" xfId="304"/>
    <cellStyle name="一般 14 2 4" xfId="513"/>
    <cellStyle name="一般 14 3" xfId="44"/>
    <cellStyle name="一般 14 3 2" xfId="306"/>
    <cellStyle name="一般 14 3 3" xfId="515"/>
    <cellStyle name="一般 14 4" xfId="45"/>
    <cellStyle name="一般 14 5" xfId="303"/>
    <cellStyle name="一般 14 6" xfId="512"/>
    <cellStyle name="一般 15" xfId="46"/>
    <cellStyle name="一般 15 2" xfId="47"/>
    <cellStyle name="一般 15 2 2" xfId="48"/>
    <cellStyle name="一般 15 2 2 2" xfId="309"/>
    <cellStyle name="一般 15 2 2 3" xfId="518"/>
    <cellStyle name="一般 15 2 3" xfId="308"/>
    <cellStyle name="一般 15 2 4" xfId="517"/>
    <cellStyle name="一般 15 3" xfId="49"/>
    <cellStyle name="一般 15 3 2" xfId="310"/>
    <cellStyle name="一般 15 3 3" xfId="519"/>
    <cellStyle name="一般 15 4" xfId="50"/>
    <cellStyle name="一般 15 5" xfId="307"/>
    <cellStyle name="一般 15 6" xfId="516"/>
    <cellStyle name="一般 16" xfId="51"/>
    <cellStyle name="一般 16 2" xfId="52"/>
    <cellStyle name="一般 16 2 2" xfId="53"/>
    <cellStyle name="一般 16 2 2 2" xfId="313"/>
    <cellStyle name="一般 16 2 2 3" xfId="522"/>
    <cellStyle name="一般 16 2 3" xfId="312"/>
    <cellStyle name="一般 16 2 4" xfId="521"/>
    <cellStyle name="一般 16 3" xfId="54"/>
    <cellStyle name="一般 16 3 2" xfId="314"/>
    <cellStyle name="一般 16 3 3" xfId="523"/>
    <cellStyle name="一般 16 4" xfId="55"/>
    <cellStyle name="一般 16 5" xfId="311"/>
    <cellStyle name="一般 16 6" xfId="520"/>
    <cellStyle name="一般 17" xfId="56"/>
    <cellStyle name="一般 17 2" xfId="57"/>
    <cellStyle name="一般 17 2 2" xfId="58"/>
    <cellStyle name="一般 17 2 2 2" xfId="317"/>
    <cellStyle name="一般 17 2 2 3" xfId="526"/>
    <cellStyle name="一般 17 2 3" xfId="316"/>
    <cellStyle name="一般 17 2 4" xfId="525"/>
    <cellStyle name="一般 17 3" xfId="59"/>
    <cellStyle name="一般 17 3 2" xfId="318"/>
    <cellStyle name="一般 17 3 3" xfId="527"/>
    <cellStyle name="一般 17 4" xfId="60"/>
    <cellStyle name="一般 17 5" xfId="315"/>
    <cellStyle name="一般 17 6" xfId="524"/>
    <cellStyle name="一般 18" xfId="61"/>
    <cellStyle name="一般 18 2" xfId="62"/>
    <cellStyle name="一般 18 2 2" xfId="63"/>
    <cellStyle name="一般 18 2 2 2" xfId="321"/>
    <cellStyle name="一般 18 2 2 3" xfId="530"/>
    <cellStyle name="一般 18 2 3" xfId="320"/>
    <cellStyle name="一般 18 2 4" xfId="529"/>
    <cellStyle name="一般 18 3" xfId="64"/>
    <cellStyle name="一般 18 3 2" xfId="322"/>
    <cellStyle name="一般 18 3 3" xfId="531"/>
    <cellStyle name="一般 18 4" xfId="65"/>
    <cellStyle name="一般 18 5" xfId="319"/>
    <cellStyle name="一般 18 6" xfId="528"/>
    <cellStyle name="一般 19" xfId="66"/>
    <cellStyle name="一般 19 2" xfId="67"/>
    <cellStyle name="一般 19 2 2" xfId="68"/>
    <cellStyle name="一般 19 2 2 2" xfId="325"/>
    <cellStyle name="一般 19 2 2 3" xfId="534"/>
    <cellStyle name="一般 19 2 3" xfId="324"/>
    <cellStyle name="一般 19 2 4" xfId="533"/>
    <cellStyle name="一般 19 3" xfId="69"/>
    <cellStyle name="一般 19 3 2" xfId="326"/>
    <cellStyle name="一般 19 3 3" xfId="535"/>
    <cellStyle name="一般 19 4" xfId="70"/>
    <cellStyle name="一般 19 5" xfId="323"/>
    <cellStyle name="一般 19 6" xfId="532"/>
    <cellStyle name="一般 2" xfId="71"/>
    <cellStyle name="一般 2 2" xfId="72"/>
    <cellStyle name="一般 2 3" xfId="73"/>
    <cellStyle name="一般 2 3 2" xfId="74"/>
    <cellStyle name="一般 2 3 2 2" xfId="329"/>
    <cellStyle name="一般 2 3 2 3" xfId="537"/>
    <cellStyle name="一般 2 3 3" xfId="328"/>
    <cellStyle name="一般 2 3 4" xfId="536"/>
    <cellStyle name="一般 2 4" xfId="75"/>
    <cellStyle name="一般 2 4 2" xfId="330"/>
    <cellStyle name="一般 2 4 3" xfId="538"/>
    <cellStyle name="一般 2 5" xfId="76"/>
    <cellStyle name="一般 2 6" xfId="327"/>
    <cellStyle name="一般 20" xfId="77"/>
    <cellStyle name="一般 20 2" xfId="78"/>
    <cellStyle name="一般 20 2 2" xfId="79"/>
    <cellStyle name="一般 20 2 2 2" xfId="333"/>
    <cellStyle name="一般 20 2 2 3" xfId="541"/>
    <cellStyle name="一般 20 2 3" xfId="332"/>
    <cellStyle name="一般 20 2 4" xfId="540"/>
    <cellStyle name="一般 20 3" xfId="80"/>
    <cellStyle name="一般 20 3 2" xfId="334"/>
    <cellStyle name="一般 20 3 3" xfId="542"/>
    <cellStyle name="一般 20 4" xfId="81"/>
    <cellStyle name="一般 20 5" xfId="331"/>
    <cellStyle name="一般 20 6" xfId="539"/>
    <cellStyle name="一般 21" xfId="82"/>
    <cellStyle name="一般 21 2" xfId="83"/>
    <cellStyle name="一般 21 2 2" xfId="84"/>
    <cellStyle name="一般 21 2 2 2" xfId="337"/>
    <cellStyle name="一般 21 2 2 3" xfId="545"/>
    <cellStyle name="一般 21 2 3" xfId="336"/>
    <cellStyle name="一般 21 2 4" xfId="544"/>
    <cellStyle name="一般 21 3" xfId="85"/>
    <cellStyle name="一般 21 3 2" xfId="338"/>
    <cellStyle name="一般 21 3 3" xfId="546"/>
    <cellStyle name="一般 21 4" xfId="86"/>
    <cellStyle name="一般 21 5" xfId="335"/>
    <cellStyle name="一般 21 6" xfId="543"/>
    <cellStyle name="一般 22" xfId="87"/>
    <cellStyle name="一般 22 2" xfId="88"/>
    <cellStyle name="一般 22 2 2" xfId="89"/>
    <cellStyle name="一般 22 2 2 2" xfId="341"/>
    <cellStyle name="一般 22 2 2 3" xfId="549"/>
    <cellStyle name="一般 22 2 3" xfId="340"/>
    <cellStyle name="一般 22 2 4" xfId="548"/>
    <cellStyle name="一般 22 3" xfId="90"/>
    <cellStyle name="一般 22 3 2" xfId="342"/>
    <cellStyle name="一般 22 3 3" xfId="550"/>
    <cellStyle name="一般 22 4" xfId="91"/>
    <cellStyle name="一般 22 5" xfId="339"/>
    <cellStyle name="一般 22 6" xfId="547"/>
    <cellStyle name="一般 23" xfId="92"/>
    <cellStyle name="一般 23 2" xfId="93"/>
    <cellStyle name="一般 23 2 2" xfId="94"/>
    <cellStyle name="一般 23 2 2 2" xfId="345"/>
    <cellStyle name="一般 23 2 2 3" xfId="553"/>
    <cellStyle name="一般 23 2 3" xfId="344"/>
    <cellStyle name="一般 23 2 4" xfId="552"/>
    <cellStyle name="一般 23 3" xfId="95"/>
    <cellStyle name="一般 23 3 2" xfId="346"/>
    <cellStyle name="一般 23 3 3" xfId="554"/>
    <cellStyle name="一般 23 4" xfId="96"/>
    <cellStyle name="一般 23 5" xfId="343"/>
    <cellStyle name="一般 23 6" xfId="551"/>
    <cellStyle name="一般 24" xfId="97"/>
    <cellStyle name="一般 24 2" xfId="98"/>
    <cellStyle name="一般 24 2 2" xfId="99"/>
    <cellStyle name="一般 24 2 2 2" xfId="349"/>
    <cellStyle name="一般 24 2 2 3" xfId="557"/>
    <cellStyle name="一般 24 2 3" xfId="348"/>
    <cellStyle name="一般 24 2 4" xfId="556"/>
    <cellStyle name="一般 24 3" xfId="100"/>
    <cellStyle name="一般 24 3 2" xfId="350"/>
    <cellStyle name="一般 24 3 3" xfId="558"/>
    <cellStyle name="一般 24 4" xfId="101"/>
    <cellStyle name="一般 24 5" xfId="347"/>
    <cellStyle name="一般 24 6" xfId="555"/>
    <cellStyle name="一般 25" xfId="102"/>
    <cellStyle name="一般 25 2" xfId="103"/>
    <cellStyle name="一般 25 2 2" xfId="104"/>
    <cellStyle name="一般 25 2 2 2" xfId="353"/>
    <cellStyle name="一般 25 2 2 3" xfId="561"/>
    <cellStyle name="一般 25 2 3" xfId="352"/>
    <cellStyle name="一般 25 2 4" xfId="560"/>
    <cellStyle name="一般 25 3" xfId="105"/>
    <cellStyle name="一般 25 3 2" xfId="354"/>
    <cellStyle name="一般 25 3 3" xfId="562"/>
    <cellStyle name="一般 25 4" xfId="106"/>
    <cellStyle name="一般 25 5" xfId="351"/>
    <cellStyle name="一般 25 6" xfId="559"/>
    <cellStyle name="一般 26" xfId="107"/>
    <cellStyle name="一般 26 2" xfId="108"/>
    <cellStyle name="一般 26 2 2" xfId="109"/>
    <cellStyle name="一般 26 2 2 2" xfId="357"/>
    <cellStyle name="一般 26 2 2 3" xfId="565"/>
    <cellStyle name="一般 26 2 3" xfId="356"/>
    <cellStyle name="一般 26 2 4" xfId="564"/>
    <cellStyle name="一般 26 3" xfId="110"/>
    <cellStyle name="一般 26 3 2" xfId="358"/>
    <cellStyle name="一般 26 3 3" xfId="566"/>
    <cellStyle name="一般 26 4" xfId="111"/>
    <cellStyle name="一般 26 5" xfId="355"/>
    <cellStyle name="一般 26 6" xfId="563"/>
    <cellStyle name="一般 27" xfId="112"/>
    <cellStyle name="一般 27 2" xfId="113"/>
    <cellStyle name="一般 27 2 2" xfId="114"/>
    <cellStyle name="一般 27 2 2 2" xfId="361"/>
    <cellStyle name="一般 27 2 2 3" xfId="569"/>
    <cellStyle name="一般 27 2 3" xfId="360"/>
    <cellStyle name="一般 27 2 4" xfId="568"/>
    <cellStyle name="一般 27 3" xfId="115"/>
    <cellStyle name="一般 27 3 2" xfId="362"/>
    <cellStyle name="一般 27 3 3" xfId="570"/>
    <cellStyle name="一般 27 4" xfId="116"/>
    <cellStyle name="一般 27 5" xfId="359"/>
    <cellStyle name="一般 27 6" xfId="567"/>
    <cellStyle name="一般 28" xfId="117"/>
    <cellStyle name="一般 28 2" xfId="118"/>
    <cellStyle name="一般 28 2 2" xfId="119"/>
    <cellStyle name="一般 28 2 2 2" xfId="365"/>
    <cellStyle name="一般 28 2 2 3" xfId="573"/>
    <cellStyle name="一般 28 2 3" xfId="364"/>
    <cellStyle name="一般 28 2 4" xfId="572"/>
    <cellStyle name="一般 28 3" xfId="120"/>
    <cellStyle name="一般 28 3 2" xfId="366"/>
    <cellStyle name="一般 28 3 3" xfId="574"/>
    <cellStyle name="一般 28 4" xfId="121"/>
    <cellStyle name="一般 28 5" xfId="363"/>
    <cellStyle name="一般 28 6" xfId="571"/>
    <cellStyle name="一般 29" xfId="122"/>
    <cellStyle name="一般 29 2" xfId="123"/>
    <cellStyle name="一般 29 2 2" xfId="124"/>
    <cellStyle name="一般 29 2 2 2" xfId="369"/>
    <cellStyle name="一般 29 2 2 3" xfId="577"/>
    <cellStyle name="一般 29 2 3" xfId="368"/>
    <cellStyle name="一般 29 2 4" xfId="576"/>
    <cellStyle name="一般 29 3" xfId="125"/>
    <cellStyle name="一般 29 3 2" xfId="370"/>
    <cellStyle name="一般 29 3 3" xfId="578"/>
    <cellStyle name="一般 29 4" xfId="126"/>
    <cellStyle name="一般 29 5" xfId="367"/>
    <cellStyle name="一般 29 6" xfId="575"/>
    <cellStyle name="一般 3" xfId="127"/>
    <cellStyle name="一般 3 2" xfId="128"/>
    <cellStyle name="一般 3 2 2" xfId="129"/>
    <cellStyle name="一般 3 2 2 2" xfId="373"/>
    <cellStyle name="一般 3 2 2 3" xfId="581"/>
    <cellStyle name="一般 3 2 3" xfId="372"/>
    <cellStyle name="一般 3 2 4" xfId="580"/>
    <cellStyle name="一般 3 3" xfId="130"/>
    <cellStyle name="一般 3 3 2" xfId="374"/>
    <cellStyle name="一般 3 3 3" xfId="582"/>
    <cellStyle name="一般 3 4" xfId="131"/>
    <cellStyle name="一般 3 5" xfId="371"/>
    <cellStyle name="一般 3 6" xfId="579"/>
    <cellStyle name="一般 30" xfId="132"/>
    <cellStyle name="一般 30 2" xfId="133"/>
    <cellStyle name="一般 30 2 2" xfId="134"/>
    <cellStyle name="一般 30 2 2 2" xfId="377"/>
    <cellStyle name="一般 30 2 2 3" xfId="585"/>
    <cellStyle name="一般 30 2 3" xfId="376"/>
    <cellStyle name="一般 30 2 4" xfId="584"/>
    <cellStyle name="一般 30 3" xfId="135"/>
    <cellStyle name="一般 30 3 2" xfId="378"/>
    <cellStyle name="一般 30 3 3" xfId="586"/>
    <cellStyle name="一般 30 4" xfId="136"/>
    <cellStyle name="一般 30 5" xfId="375"/>
    <cellStyle name="一般 30 6" xfId="583"/>
    <cellStyle name="一般 31" xfId="137"/>
    <cellStyle name="一般 31 2" xfId="138"/>
    <cellStyle name="一般 31 2 2" xfId="139"/>
    <cellStyle name="一般 31 2 2 2" xfId="381"/>
    <cellStyle name="一般 31 2 2 3" xfId="589"/>
    <cellStyle name="一般 31 2 3" xfId="380"/>
    <cellStyle name="一般 31 2 4" xfId="588"/>
    <cellStyle name="一般 31 3" xfId="140"/>
    <cellStyle name="一般 31 3 2" xfId="382"/>
    <cellStyle name="一般 31 3 3" xfId="590"/>
    <cellStyle name="一般 31 4" xfId="141"/>
    <cellStyle name="一般 31 5" xfId="379"/>
    <cellStyle name="一般 31 6" xfId="587"/>
    <cellStyle name="一般 32" xfId="142"/>
    <cellStyle name="一般 32 2" xfId="143"/>
    <cellStyle name="一般 32 2 2" xfId="144"/>
    <cellStyle name="一般 32 2 2 2" xfId="385"/>
    <cellStyle name="一般 32 2 2 3" xfId="593"/>
    <cellStyle name="一般 32 2 3" xfId="384"/>
    <cellStyle name="一般 32 2 4" xfId="592"/>
    <cellStyle name="一般 32 3" xfId="145"/>
    <cellStyle name="一般 32 3 2" xfId="386"/>
    <cellStyle name="一般 32 3 3" xfId="594"/>
    <cellStyle name="一般 32 4" xfId="146"/>
    <cellStyle name="一般 32 5" xfId="383"/>
    <cellStyle name="一般 32 6" xfId="591"/>
    <cellStyle name="一般 33" xfId="147"/>
    <cellStyle name="一般 33 2" xfId="148"/>
    <cellStyle name="一般 33 2 2" xfId="149"/>
    <cellStyle name="一般 33 2 2 2" xfId="389"/>
    <cellStyle name="一般 33 2 2 3" xfId="597"/>
    <cellStyle name="一般 33 2 3" xfId="388"/>
    <cellStyle name="一般 33 2 4" xfId="596"/>
    <cellStyle name="一般 33 3" xfId="150"/>
    <cellStyle name="一般 33 3 2" xfId="390"/>
    <cellStyle name="一般 33 3 3" xfId="598"/>
    <cellStyle name="一般 33 4" xfId="151"/>
    <cellStyle name="一般 33 5" xfId="387"/>
    <cellStyle name="一般 33 5 2" xfId="599"/>
    <cellStyle name="一般 33 6" xfId="595"/>
    <cellStyle name="一般 34" xfId="152"/>
    <cellStyle name="一般 34 2" xfId="153"/>
    <cellStyle name="一般 34 2 2" xfId="154"/>
    <cellStyle name="一般 34 2 2 2" xfId="393"/>
    <cellStyle name="一般 34 2 2 3" xfId="602"/>
    <cellStyle name="一般 34 2 3" xfId="392"/>
    <cellStyle name="一般 34 2 4" xfId="601"/>
    <cellStyle name="一般 34 3" xfId="155"/>
    <cellStyle name="一般 34 3 2" xfId="394"/>
    <cellStyle name="一般 34 3 3" xfId="603"/>
    <cellStyle name="一般 34 4" xfId="156"/>
    <cellStyle name="一般 34 5" xfId="391"/>
    <cellStyle name="一般 34 6" xfId="600"/>
    <cellStyle name="一般 35" xfId="157"/>
    <cellStyle name="一般 35 2" xfId="158"/>
    <cellStyle name="一般 35 2 2" xfId="159"/>
    <cellStyle name="一般 35 2 2 2" xfId="397"/>
    <cellStyle name="一般 35 2 2 3" xfId="606"/>
    <cellStyle name="一般 35 2 3" xfId="396"/>
    <cellStyle name="一般 35 2 4" xfId="605"/>
    <cellStyle name="一般 35 3" xfId="160"/>
    <cellStyle name="一般 35 3 2" xfId="398"/>
    <cellStyle name="一般 35 3 3" xfId="607"/>
    <cellStyle name="一般 35 4" xfId="395"/>
    <cellStyle name="一般 35 5" xfId="604"/>
    <cellStyle name="一般 36" xfId="161"/>
    <cellStyle name="一般 36 2" xfId="162"/>
    <cellStyle name="一般 36 2 2" xfId="163"/>
    <cellStyle name="一般 36 2 2 2" xfId="401"/>
    <cellStyle name="一般 36 2 2 3" xfId="610"/>
    <cellStyle name="一般 36 2 3" xfId="400"/>
    <cellStyle name="一般 36 2 4" xfId="609"/>
    <cellStyle name="一般 36 3" xfId="164"/>
    <cellStyle name="一般 36 3 2" xfId="402"/>
    <cellStyle name="一般 36 3 3" xfId="611"/>
    <cellStyle name="一般 36 4" xfId="399"/>
    <cellStyle name="一般 36 5" xfId="608"/>
    <cellStyle name="一般 37" xfId="165"/>
    <cellStyle name="一般 37 2" xfId="166"/>
    <cellStyle name="一般 37 2 2" xfId="167"/>
    <cellStyle name="一般 37 2 2 2" xfId="405"/>
    <cellStyle name="一般 37 2 2 3" xfId="614"/>
    <cellStyle name="一般 37 2 3" xfId="404"/>
    <cellStyle name="一般 37 2 4" xfId="613"/>
    <cellStyle name="一般 37 3" xfId="168"/>
    <cellStyle name="一般 37 3 2" xfId="406"/>
    <cellStyle name="一般 37 3 3" xfId="615"/>
    <cellStyle name="一般 37 4" xfId="403"/>
    <cellStyle name="一般 37 5" xfId="612"/>
    <cellStyle name="一般 38" xfId="169"/>
    <cellStyle name="一般 38 2" xfId="170"/>
    <cellStyle name="一般 38 2 2" xfId="171"/>
    <cellStyle name="一般 38 2 2 2" xfId="409"/>
    <cellStyle name="一般 38 2 2 3" xfId="618"/>
    <cellStyle name="一般 38 2 3" xfId="408"/>
    <cellStyle name="一般 38 2 4" xfId="617"/>
    <cellStyle name="一般 38 3" xfId="172"/>
    <cellStyle name="一般 38 3 2" xfId="410"/>
    <cellStyle name="一般 38 3 3" xfId="619"/>
    <cellStyle name="一般 38 4" xfId="407"/>
    <cellStyle name="一般 38 5" xfId="616"/>
    <cellStyle name="一般 39" xfId="173"/>
    <cellStyle name="一般 39 2" xfId="174"/>
    <cellStyle name="一般 39 2 2" xfId="175"/>
    <cellStyle name="一般 39 2 2 2" xfId="413"/>
    <cellStyle name="一般 39 2 2 3" xfId="622"/>
    <cellStyle name="一般 39 2 3" xfId="412"/>
    <cellStyle name="一般 39 2 4" xfId="621"/>
    <cellStyle name="一般 39 3" xfId="176"/>
    <cellStyle name="一般 39 3 2" xfId="414"/>
    <cellStyle name="一般 39 3 3" xfId="623"/>
    <cellStyle name="一般 39 4" xfId="411"/>
    <cellStyle name="一般 39 5" xfId="620"/>
    <cellStyle name="一般 4" xfId="177"/>
    <cellStyle name="一般 4 2" xfId="178"/>
    <cellStyle name="一般 4 2 2" xfId="179"/>
    <cellStyle name="一般 4 2 2 2" xfId="417"/>
    <cellStyle name="一般 4 2 2 3" xfId="626"/>
    <cellStyle name="一般 4 2 3" xfId="416"/>
    <cellStyle name="一般 4 2 4" xfId="625"/>
    <cellStyle name="一般 4 3" xfId="180"/>
    <cellStyle name="一般 4 3 2" xfId="418"/>
    <cellStyle name="一般 4 3 3" xfId="627"/>
    <cellStyle name="一般 4 4" xfId="181"/>
    <cellStyle name="一般 4 5" xfId="415"/>
    <cellStyle name="一般 4 6" xfId="624"/>
    <cellStyle name="一般 40" xfId="182"/>
    <cellStyle name="一般 40 2" xfId="183"/>
    <cellStyle name="一般 40 2 2" xfId="184"/>
    <cellStyle name="一般 40 2 2 2" xfId="421"/>
    <cellStyle name="一般 40 2 2 3" xfId="630"/>
    <cellStyle name="一般 40 2 3" xfId="420"/>
    <cellStyle name="一般 40 2 4" xfId="629"/>
    <cellStyle name="一般 40 3" xfId="185"/>
    <cellStyle name="一般 40 3 2" xfId="422"/>
    <cellStyle name="一般 40 3 3" xfId="631"/>
    <cellStyle name="一般 40 4" xfId="419"/>
    <cellStyle name="一般 40 5" xfId="628"/>
    <cellStyle name="一般 41" xfId="186"/>
    <cellStyle name="一般 41 2" xfId="187"/>
    <cellStyle name="一般 41 2 2" xfId="188"/>
    <cellStyle name="一般 41 2 2 2" xfId="425"/>
    <cellStyle name="一般 41 2 2 3" xfId="634"/>
    <cellStyle name="一般 41 2 3" xfId="424"/>
    <cellStyle name="一般 41 2 4" xfId="633"/>
    <cellStyle name="一般 41 3" xfId="189"/>
    <cellStyle name="一般 41 3 2" xfId="426"/>
    <cellStyle name="一般 41 3 3" xfId="635"/>
    <cellStyle name="一般 41 4" xfId="423"/>
    <cellStyle name="一般 41 5" xfId="632"/>
    <cellStyle name="一般 42" xfId="190"/>
    <cellStyle name="一般 42 2" xfId="191"/>
    <cellStyle name="一般 42 2 2" xfId="192"/>
    <cellStyle name="一般 42 2 2 2" xfId="429"/>
    <cellStyle name="一般 42 2 2 3" xfId="638"/>
    <cellStyle name="一般 42 2 3" xfId="428"/>
    <cellStyle name="一般 42 2 4" xfId="637"/>
    <cellStyle name="一般 42 3" xfId="193"/>
    <cellStyle name="一般 42 3 2" xfId="430"/>
    <cellStyle name="一般 42 3 3" xfId="639"/>
    <cellStyle name="一般 42 4" xfId="427"/>
    <cellStyle name="一般 42 5" xfId="636"/>
    <cellStyle name="一般 43" xfId="1"/>
    <cellStyle name="一般 43 2" xfId="195"/>
    <cellStyle name="一般 43 2 2" xfId="196"/>
    <cellStyle name="一般 43 2 2 2" xfId="433"/>
    <cellStyle name="一般 43 2 2 3" xfId="642"/>
    <cellStyle name="一般 43 2 3" xfId="432"/>
    <cellStyle name="一般 43 2 4" xfId="641"/>
    <cellStyle name="一般 43 3" xfId="197"/>
    <cellStyle name="一般 43 3 2" xfId="434"/>
    <cellStyle name="一般 43 3 3" xfId="643"/>
    <cellStyle name="一般 43 4" xfId="194"/>
    <cellStyle name="一般 43 5" xfId="431"/>
    <cellStyle name="一般 43 6" xfId="640"/>
    <cellStyle name="一般 44" xfId="198"/>
    <cellStyle name="一般 44 2" xfId="199"/>
    <cellStyle name="一般 44 2 2" xfId="200"/>
    <cellStyle name="一般 44 2 2 2" xfId="437"/>
    <cellStyle name="一般 44 2 2 3" xfId="646"/>
    <cellStyle name="一般 44 2 3" xfId="436"/>
    <cellStyle name="一般 44 2 4" xfId="645"/>
    <cellStyle name="一般 44 3" xfId="201"/>
    <cellStyle name="一般 44 3 2" xfId="438"/>
    <cellStyle name="一般 44 3 3" xfId="647"/>
    <cellStyle name="一般 44 4" xfId="435"/>
    <cellStyle name="一般 44 5" xfId="644"/>
    <cellStyle name="一般 45" xfId="202"/>
    <cellStyle name="一般 45 2" xfId="203"/>
    <cellStyle name="一般 45 2 2" xfId="204"/>
    <cellStyle name="一般 45 2 2 2" xfId="441"/>
    <cellStyle name="一般 45 2 2 3" xfId="650"/>
    <cellStyle name="一般 45 2 3" xfId="440"/>
    <cellStyle name="一般 45 2 4" xfId="649"/>
    <cellStyle name="一般 45 3" xfId="205"/>
    <cellStyle name="一般 45 3 2" xfId="442"/>
    <cellStyle name="一般 45 3 3" xfId="651"/>
    <cellStyle name="一般 45 4" xfId="439"/>
    <cellStyle name="一般 45 5" xfId="648"/>
    <cellStyle name="一般 46" xfId="206"/>
    <cellStyle name="一般 46 2" xfId="207"/>
    <cellStyle name="一般 46 2 2" xfId="208"/>
    <cellStyle name="一般 46 2 2 2" xfId="445"/>
    <cellStyle name="一般 46 2 2 3" xfId="654"/>
    <cellStyle name="一般 46 2 3" xfId="444"/>
    <cellStyle name="一般 46 2 4" xfId="653"/>
    <cellStyle name="一般 46 3" xfId="209"/>
    <cellStyle name="一般 46 3 2" xfId="446"/>
    <cellStyle name="一般 46 3 3" xfId="655"/>
    <cellStyle name="一般 46 4" xfId="443"/>
    <cellStyle name="一般 46 5" xfId="652"/>
    <cellStyle name="一般 47" xfId="210"/>
    <cellStyle name="一般 47 2" xfId="211"/>
    <cellStyle name="一般 47 2 2" xfId="212"/>
    <cellStyle name="一般 47 2 2 2" xfId="449"/>
    <cellStyle name="一般 47 2 2 3" xfId="658"/>
    <cellStyle name="一般 47 2 3" xfId="448"/>
    <cellStyle name="一般 47 2 4" xfId="657"/>
    <cellStyle name="一般 47 3" xfId="213"/>
    <cellStyle name="一般 47 3 2" xfId="450"/>
    <cellStyle name="一般 47 3 3" xfId="659"/>
    <cellStyle name="一般 47 4" xfId="447"/>
    <cellStyle name="一般 47 5" xfId="656"/>
    <cellStyle name="一般 48" xfId="214"/>
    <cellStyle name="一般 48 2" xfId="215"/>
    <cellStyle name="一般 48 2 2" xfId="216"/>
    <cellStyle name="一般 48 2 2 2" xfId="453"/>
    <cellStyle name="一般 48 2 2 3" xfId="662"/>
    <cellStyle name="一般 48 2 3" xfId="452"/>
    <cellStyle name="一般 48 2 4" xfId="661"/>
    <cellStyle name="一般 48 3" xfId="217"/>
    <cellStyle name="一般 48 3 2" xfId="454"/>
    <cellStyle name="一般 48 3 3" xfId="663"/>
    <cellStyle name="一般 48 4" xfId="451"/>
    <cellStyle name="一般 48 5" xfId="660"/>
    <cellStyle name="一般 49" xfId="218"/>
    <cellStyle name="一般 49 2" xfId="219"/>
    <cellStyle name="一般 49 2 2" xfId="220"/>
    <cellStyle name="一般 49 2 2 2" xfId="457"/>
    <cellStyle name="一般 49 2 2 3" xfId="666"/>
    <cellStyle name="一般 49 2 3" xfId="456"/>
    <cellStyle name="一般 49 2 4" xfId="665"/>
    <cellStyle name="一般 49 3" xfId="221"/>
    <cellStyle name="一般 49 3 2" xfId="458"/>
    <cellStyle name="一般 49 3 3" xfId="667"/>
    <cellStyle name="一般 49 4" xfId="455"/>
    <cellStyle name="一般 49 5" xfId="664"/>
    <cellStyle name="一般 5" xfId="222"/>
    <cellStyle name="一般 5 2" xfId="223"/>
    <cellStyle name="一般 5 2 2" xfId="224"/>
    <cellStyle name="一般 5 2 2 2" xfId="461"/>
    <cellStyle name="一般 5 2 2 3" xfId="670"/>
    <cellStyle name="一般 5 2 3" xfId="460"/>
    <cellStyle name="一般 5 2 4" xfId="669"/>
    <cellStyle name="一般 5 3" xfId="225"/>
    <cellStyle name="一般 5 3 2" xfId="462"/>
    <cellStyle name="一般 5 3 3" xfId="671"/>
    <cellStyle name="一般 5 4" xfId="226"/>
    <cellStyle name="一般 5 5" xfId="459"/>
    <cellStyle name="一般 5 6" xfId="668"/>
    <cellStyle name="一般 50" xfId="227"/>
    <cellStyle name="一般 51" xfId="228"/>
    <cellStyle name="一般 51 2" xfId="229"/>
    <cellStyle name="一般 51 2 2" xfId="464"/>
    <cellStyle name="一般 51 2 3" xfId="673"/>
    <cellStyle name="一般 51 3" xfId="463"/>
    <cellStyle name="一般 51 4" xfId="672"/>
    <cellStyle name="一般 52" xfId="230"/>
    <cellStyle name="一般 52 2" xfId="231"/>
    <cellStyle name="一般 52 2 2" xfId="466"/>
    <cellStyle name="一般 52 2 3" xfId="675"/>
    <cellStyle name="一般 52 3" xfId="465"/>
    <cellStyle name="一般 52 3 2" xfId="676"/>
    <cellStyle name="一般 52 4" xfId="674"/>
    <cellStyle name="一般 53" xfId="232"/>
    <cellStyle name="一般 53 2" xfId="233"/>
    <cellStyle name="一般 53 2 2" xfId="468"/>
    <cellStyle name="一般 53 2 3" xfId="678"/>
    <cellStyle name="一般 53 3" xfId="467"/>
    <cellStyle name="一般 53 4" xfId="677"/>
    <cellStyle name="一般 54" xfId="2"/>
    <cellStyle name="一般 55" xfId="234"/>
    <cellStyle name="一般 56" xfId="235"/>
    <cellStyle name="一般 56 2" xfId="469"/>
    <cellStyle name="一般 56 3" xfId="679"/>
    <cellStyle name="一般 57" xfId="236"/>
    <cellStyle name="一般 57 2" xfId="470"/>
    <cellStyle name="一般 57 3" xfId="680"/>
    <cellStyle name="一般 58" xfId="237"/>
    <cellStyle name="一般 58 2" xfId="471"/>
    <cellStyle name="一般 58 3" xfId="681"/>
    <cellStyle name="一般 59" xfId="238"/>
    <cellStyle name="一般 59 2" xfId="472"/>
    <cellStyle name="一般 59 3" xfId="682"/>
    <cellStyle name="一般 6" xfId="239"/>
    <cellStyle name="一般 6 2" xfId="240"/>
    <cellStyle name="一般 6 2 2" xfId="241"/>
    <cellStyle name="一般 6 2 2 2" xfId="475"/>
    <cellStyle name="一般 6 2 2 3" xfId="685"/>
    <cellStyle name="一般 6 2 3" xfId="474"/>
    <cellStyle name="一般 6 2 4" xfId="684"/>
    <cellStyle name="一般 6 3" xfId="242"/>
    <cellStyle name="一般 6 3 2" xfId="476"/>
    <cellStyle name="一般 6 3 3" xfId="686"/>
    <cellStyle name="一般 6 4" xfId="243"/>
    <cellStyle name="一般 6 5" xfId="473"/>
    <cellStyle name="一般 6 6" xfId="683"/>
    <cellStyle name="一般 60" xfId="244"/>
    <cellStyle name="一般 60 2" xfId="477"/>
    <cellStyle name="一般 60 2 2" xfId="688"/>
    <cellStyle name="一般 60 3" xfId="687"/>
    <cellStyle name="一般 61" xfId="245"/>
    <cellStyle name="一般 61 2" xfId="478"/>
    <cellStyle name="一般 61 3" xfId="689"/>
    <cellStyle name="一般 62" xfId="286"/>
    <cellStyle name="一般 62 2" xfId="479"/>
    <cellStyle name="一般 62 3" xfId="690"/>
    <cellStyle name="一般 63" xfId="480"/>
    <cellStyle name="一般 63 2" xfId="691"/>
    <cellStyle name="一般 64" xfId="481"/>
    <cellStyle name="一般 64 2" xfId="692"/>
    <cellStyle name="一般 65" xfId="482"/>
    <cellStyle name="一般 65 2" xfId="693"/>
    <cellStyle name="一般 66" xfId="694"/>
    <cellStyle name="一般 67" xfId="695"/>
    <cellStyle name="一般 68" xfId="696"/>
    <cellStyle name="一般 69" xfId="697"/>
    <cellStyle name="一般 7" xfId="246"/>
    <cellStyle name="一般 7 2" xfId="247"/>
    <cellStyle name="一般 7 2 2" xfId="248"/>
    <cellStyle name="一般 7 2 2 2" xfId="485"/>
    <cellStyle name="一般 7 2 2 3" xfId="700"/>
    <cellStyle name="一般 7 2 3" xfId="484"/>
    <cellStyle name="一般 7 2 4" xfId="699"/>
    <cellStyle name="一般 7 3" xfId="249"/>
    <cellStyle name="一般 7 3 2" xfId="486"/>
    <cellStyle name="一般 7 3 3" xfId="701"/>
    <cellStyle name="一般 7 4" xfId="250"/>
    <cellStyle name="一般 7 5" xfId="483"/>
    <cellStyle name="一般 7 6" xfId="698"/>
    <cellStyle name="一般 70" xfId="702"/>
    <cellStyle name="一般 71" xfId="703"/>
    <cellStyle name="一般 72" xfId="495"/>
    <cellStyle name="一般 8" xfId="251"/>
    <cellStyle name="一般 8 2" xfId="252"/>
    <cellStyle name="一般 8 2 2" xfId="253"/>
    <cellStyle name="一般 8 2 2 2" xfId="489"/>
    <cellStyle name="一般 8 2 2 3" xfId="706"/>
    <cellStyle name="一般 8 2 3" xfId="488"/>
    <cellStyle name="一般 8 2 4" xfId="705"/>
    <cellStyle name="一般 8 3" xfId="254"/>
    <cellStyle name="一般 8 3 2" xfId="490"/>
    <cellStyle name="一般 8 3 3" xfId="707"/>
    <cellStyle name="一般 8 4" xfId="255"/>
    <cellStyle name="一般 8 5" xfId="487"/>
    <cellStyle name="一般 8 6" xfId="704"/>
    <cellStyle name="一般 9" xfId="256"/>
    <cellStyle name="一般 9 2" xfId="257"/>
    <cellStyle name="一般 9 2 2" xfId="258"/>
    <cellStyle name="一般 9 2 2 2" xfId="493"/>
    <cellStyle name="一般 9 2 2 3" xfId="710"/>
    <cellStyle name="一般 9 2 3" xfId="492"/>
    <cellStyle name="一般 9 2 4" xfId="709"/>
    <cellStyle name="一般 9 3" xfId="259"/>
    <cellStyle name="一般 9 3 2" xfId="494"/>
    <cellStyle name="一般 9 3 3" xfId="711"/>
    <cellStyle name="一般 9 4" xfId="260"/>
    <cellStyle name="一般 9 5" xfId="491"/>
    <cellStyle name="一般 9 6" xfId="708"/>
    <cellStyle name="千分位 2" xfId="261"/>
    <cellStyle name="千分位 3" xfId="262"/>
    <cellStyle name="中等 2" xfId="263"/>
    <cellStyle name="合計 2" xfId="264"/>
    <cellStyle name="合計 2 2" xfId="712"/>
    <cellStyle name="好 2" xfId="265"/>
    <cellStyle name="計算方式 2" xfId="266"/>
    <cellStyle name="計算方式 2 2" xfId="713"/>
    <cellStyle name="連結的儲存格 2" xfId="267"/>
    <cellStyle name="備註 2" xfId="268"/>
    <cellStyle name="備註 2 2" xfId="714"/>
    <cellStyle name="說明文字 2" xfId="269"/>
    <cellStyle name="輔色1 2" xfId="270"/>
    <cellStyle name="輔色2 2" xfId="271"/>
    <cellStyle name="輔色3 2" xfId="272"/>
    <cellStyle name="輔色4 2" xfId="273"/>
    <cellStyle name="輔色5 2" xfId="274"/>
    <cellStyle name="輔色6 2" xfId="275"/>
    <cellStyle name="標題 1 2" xfId="276"/>
    <cellStyle name="標題 2 2" xfId="277"/>
    <cellStyle name="標題 3 2" xfId="278"/>
    <cellStyle name="標題 4 2" xfId="279"/>
    <cellStyle name="標題 5" xfId="280"/>
    <cellStyle name="輸入 2" xfId="281"/>
    <cellStyle name="輸入 2 2" xfId="715"/>
    <cellStyle name="輸出 2" xfId="282"/>
    <cellStyle name="輸出 2 2" xfId="716"/>
    <cellStyle name="檢查儲存格 2" xfId="283"/>
    <cellStyle name="壞 2" xfId="284"/>
    <cellStyle name="警告文字 2" xfId="285"/>
  </cellStyles>
  <dxfs count="109">
    <dxf>
      <fill>
        <patternFill patternType="solid">
          <fgColor indexed="64"/>
          <bgColor theme="9" tint="0.59996337778862885"/>
        </patternFill>
      </fill>
    </dxf>
    <dxf>
      <font>
        <color rgb="FFFF0000"/>
      </font>
      <fill>
        <patternFill patternType="solid">
          <fgColor indexed="64"/>
          <bgColor theme="5" tint="0.79992065187536243"/>
        </patternFill>
      </fill>
    </dxf>
    <dxf>
      <fill>
        <patternFill patternType="solid">
          <fgColor indexed="64"/>
          <bgColor theme="6" tint="0.59996337778862885"/>
        </patternFill>
      </fill>
    </dxf>
    <dxf>
      <fill>
        <patternFill patternType="solid">
          <fgColor indexed="64"/>
          <bgColor theme="6" tint="0.59996337778862885"/>
        </patternFill>
      </fill>
    </dxf>
    <dxf>
      <fill>
        <patternFill patternType="solid">
          <fgColor indexed="64"/>
          <bgColor theme="9" tint="0.59996337778862885"/>
        </patternFill>
      </fill>
    </dxf>
    <dxf>
      <font>
        <color rgb="FFFF0000"/>
      </font>
      <fill>
        <patternFill patternType="solid">
          <fgColor indexed="64"/>
          <bgColor theme="5" tint="0.79992065187536243"/>
        </patternFill>
      </fill>
    </dxf>
    <dxf>
      <fill>
        <patternFill patternType="solid">
          <fgColor indexed="64"/>
          <bgColor theme="6" tint="0.59996337778862885"/>
        </patternFill>
      </fill>
    </dxf>
    <dxf>
      <fill>
        <patternFill patternType="solid">
          <fgColor indexed="64"/>
          <bgColor theme="6" tint="0.59996337778862885"/>
        </patternFill>
      </fill>
    </dxf>
    <dxf>
      <fill>
        <patternFill patternType="solid">
          <fgColor indexed="64"/>
          <bgColor theme="9" tint="0.59996337778862885"/>
        </patternFill>
      </fill>
    </dxf>
    <dxf>
      <font>
        <color rgb="FFFF0000"/>
      </font>
      <fill>
        <patternFill patternType="solid">
          <fgColor indexed="64"/>
          <bgColor theme="5" tint="0.79992065187536243"/>
        </patternFill>
      </fill>
    </dxf>
    <dxf>
      <fill>
        <patternFill patternType="solid">
          <fgColor indexed="64"/>
          <bgColor theme="6" tint="0.59996337778862885"/>
        </patternFill>
      </fill>
    </dxf>
    <dxf>
      <fill>
        <patternFill patternType="solid">
          <fgColor indexed="64"/>
          <bgColor theme="6" tint="0.59996337778862885"/>
        </patternFill>
      </fill>
    </dxf>
    <dxf>
      <fill>
        <patternFill patternType="solid">
          <fgColor indexed="64"/>
          <bgColor theme="9" tint="0.59996337778862885"/>
        </patternFill>
      </fill>
    </dxf>
    <dxf>
      <font>
        <color rgb="FFFF0000"/>
      </font>
      <fill>
        <patternFill patternType="solid">
          <fgColor indexed="64"/>
          <bgColor theme="5" tint="0.79992065187536243"/>
        </patternFill>
      </fill>
    </dxf>
    <dxf>
      <fill>
        <patternFill patternType="solid">
          <fgColor indexed="64"/>
          <bgColor theme="6" tint="0.59996337778862885"/>
        </patternFill>
      </fill>
    </dxf>
    <dxf>
      <fill>
        <patternFill patternType="solid">
          <fgColor indexed="64"/>
          <bgColor theme="6" tint="0.59996337778862885"/>
        </patternFill>
      </fill>
    </dxf>
    <dxf>
      <fill>
        <patternFill patternType="solid">
          <fgColor indexed="64"/>
          <bgColor theme="9" tint="0.59996337778862885"/>
        </patternFill>
      </fill>
    </dxf>
    <dxf>
      <font>
        <color rgb="FFFF0000"/>
      </font>
      <fill>
        <patternFill patternType="solid">
          <fgColor indexed="64"/>
          <bgColor theme="5" tint="0.79992065187536243"/>
        </patternFill>
      </fill>
    </dxf>
    <dxf>
      <fill>
        <patternFill patternType="solid">
          <fgColor indexed="64"/>
          <bgColor theme="6" tint="0.59996337778862885"/>
        </patternFill>
      </fill>
    </dxf>
    <dxf>
      <fill>
        <patternFill patternType="solid">
          <fgColor indexed="64"/>
          <bgColor theme="6" tint="0.59996337778862885"/>
        </patternFill>
      </fill>
    </dxf>
    <dxf>
      <fill>
        <patternFill patternType="solid">
          <fgColor indexed="64"/>
          <bgColor theme="9" tint="0.59996337778862885"/>
        </patternFill>
      </fill>
    </dxf>
    <dxf>
      <font>
        <color rgb="FFFF0000"/>
      </font>
      <fill>
        <patternFill patternType="solid">
          <fgColor indexed="64"/>
          <bgColor theme="5" tint="0.79992065187536243"/>
        </patternFill>
      </fill>
    </dxf>
    <dxf>
      <fill>
        <patternFill patternType="solid">
          <fgColor indexed="64"/>
          <bgColor theme="6" tint="0.59996337778862885"/>
        </patternFill>
      </fill>
    </dxf>
    <dxf>
      <fill>
        <patternFill patternType="solid">
          <fgColor indexed="64"/>
          <bgColor theme="6" tint="0.59996337778862885"/>
        </patternFill>
      </fill>
    </dxf>
    <dxf>
      <fill>
        <patternFill patternType="solid">
          <fgColor indexed="64"/>
          <bgColor theme="9" tint="0.59996337778862885"/>
        </patternFill>
      </fill>
    </dxf>
    <dxf>
      <font>
        <color rgb="FFFF0000"/>
      </font>
      <fill>
        <patternFill patternType="solid">
          <fgColor indexed="64"/>
          <bgColor theme="5" tint="0.79992065187536243"/>
        </patternFill>
      </fill>
    </dxf>
    <dxf>
      <fill>
        <patternFill patternType="solid">
          <fgColor indexed="64"/>
          <bgColor theme="6" tint="0.59996337778862885"/>
        </patternFill>
      </fill>
    </dxf>
    <dxf>
      <fill>
        <patternFill patternType="solid">
          <fgColor indexed="64"/>
          <bgColor theme="6" tint="0.59996337778862885"/>
        </patternFill>
      </fill>
    </dxf>
    <dxf>
      <border>
        <top style="thin">
          <color theme="1"/>
        </top>
        <vertical/>
        <horizontal/>
      </border>
    </dxf>
    <dxf>
      <border>
        <top style="thin">
          <color theme="1"/>
        </top>
        <vertical/>
        <horizontal/>
      </border>
    </dxf>
    <dxf>
      <fill>
        <patternFill patternType="none">
          <bgColor auto="1"/>
        </patternFill>
      </fill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border>
        <top style="thin">
          <color theme="1"/>
        </top>
        <vertical/>
        <horizontal/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trike/>
      </font>
    </dxf>
    <dxf>
      <border>
        <top style="thin">
          <color theme="1"/>
        </top>
        <vertical/>
        <horizontal/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trike/>
      </font>
    </dxf>
    <dxf>
      <fill>
        <patternFill patternType="solid">
          <fgColor indexed="64"/>
          <bgColor theme="9" tint="0.59996337778862885"/>
        </patternFill>
      </fill>
    </dxf>
    <dxf>
      <font>
        <color rgb="FFFF0000"/>
      </font>
      <fill>
        <patternFill patternType="solid">
          <fgColor indexed="64"/>
          <bgColor theme="5" tint="0.79992065187536243"/>
        </patternFill>
      </fill>
    </dxf>
    <dxf>
      <fill>
        <patternFill patternType="solid">
          <fgColor indexed="64"/>
          <bgColor theme="6" tint="0.59996337778862885"/>
        </patternFill>
      </fill>
    </dxf>
    <dxf>
      <fill>
        <patternFill patternType="solid">
          <fgColor indexed="64"/>
          <bgColor theme="6" tint="0.59996337778862885"/>
        </patternFill>
      </fill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trike/>
      </font>
    </dxf>
    <dxf>
      <border>
        <top style="thin">
          <color theme="1"/>
        </top>
        <vertical/>
        <horizontal/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trike/>
      </font>
    </dxf>
    <dxf>
      <border>
        <top style="thin">
          <color theme="1"/>
        </top>
        <vertical/>
        <horizontal/>
      </border>
    </dxf>
    <dxf>
      <border>
        <top style="thin">
          <color theme="1"/>
        </top>
        <vertical/>
        <horizontal/>
      </border>
    </dxf>
    <dxf>
      <fill>
        <patternFill patternType="solid">
          <fgColor indexed="64"/>
          <bgColor theme="9" tint="0.59996337778862885"/>
        </patternFill>
      </fill>
    </dxf>
    <dxf>
      <font>
        <color rgb="FFFF0000"/>
      </font>
      <fill>
        <patternFill patternType="solid">
          <fgColor indexed="64"/>
          <bgColor theme="5" tint="0.79992065187536243"/>
        </patternFill>
      </fill>
    </dxf>
    <dxf>
      <fill>
        <patternFill patternType="solid">
          <fgColor indexed="64"/>
          <bgColor theme="6" tint="0.59996337778862885"/>
        </patternFill>
      </fill>
    </dxf>
    <dxf>
      <fill>
        <patternFill patternType="solid">
          <fgColor indexed="64"/>
          <bgColor theme="6" tint="0.59996337778862885"/>
        </patternFill>
      </fill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 patternType="solid">
          <fgColor indexed="64"/>
          <bgColor theme="9" tint="0.59996337778862885"/>
        </patternFill>
      </fill>
    </dxf>
    <dxf>
      <font>
        <color rgb="FFFF0000"/>
      </font>
      <fill>
        <patternFill patternType="solid">
          <fgColor indexed="64"/>
          <bgColor theme="5" tint="0.79992065187536243"/>
        </patternFill>
      </fill>
    </dxf>
    <dxf>
      <fill>
        <patternFill patternType="solid">
          <fgColor indexed="64"/>
          <bgColor theme="6" tint="0.59996337778862885"/>
        </patternFill>
      </fill>
    </dxf>
    <dxf>
      <fill>
        <patternFill patternType="solid">
          <fgColor indexed="64"/>
          <bgColor theme="6" tint="0.59996337778862885"/>
        </patternFill>
      </fill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trike/>
      </font>
    </dxf>
    <dxf>
      <border>
        <top style="thin">
          <color theme="1"/>
        </top>
        <vertical/>
        <horizontal/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trike/>
      </font>
    </dxf>
    <dxf>
      <border>
        <top style="thin">
          <color theme="1"/>
        </top>
        <vertical/>
        <horizontal/>
      </border>
    </dxf>
    <dxf>
      <fill>
        <patternFill patternType="solid">
          <fgColor indexed="64"/>
          <bgColor theme="9" tint="0.59996337778862885"/>
        </patternFill>
      </fill>
    </dxf>
    <dxf>
      <font>
        <color rgb="FFFF0000"/>
      </font>
      <fill>
        <patternFill patternType="solid">
          <fgColor indexed="64"/>
          <bgColor theme="5" tint="0.79992065187536243"/>
        </patternFill>
      </fill>
    </dxf>
    <dxf>
      <fill>
        <patternFill patternType="solid">
          <fgColor indexed="64"/>
          <bgColor theme="6" tint="0.59996337778862885"/>
        </patternFill>
      </fill>
    </dxf>
    <dxf>
      <fill>
        <patternFill patternType="solid">
          <fgColor indexed="64"/>
          <bgColor theme="6" tint="0.59996337778862885"/>
        </patternFill>
      </fill>
    </dxf>
    <dxf>
      <fill>
        <patternFill patternType="solid">
          <fgColor indexed="64"/>
          <bgColor theme="9" tint="0.59996337778862885"/>
        </patternFill>
      </fill>
    </dxf>
    <dxf>
      <font>
        <color rgb="FFFF0000"/>
      </font>
      <fill>
        <patternFill patternType="solid">
          <fgColor indexed="64"/>
          <bgColor theme="5" tint="0.79992065187536243"/>
        </patternFill>
      </fill>
    </dxf>
    <dxf>
      <fill>
        <patternFill patternType="solid">
          <fgColor indexed="64"/>
          <bgColor theme="6" tint="0.59996337778862885"/>
        </patternFill>
      </fill>
    </dxf>
    <dxf>
      <fill>
        <patternFill patternType="solid">
          <fgColor indexed="64"/>
          <bgColor theme="6" tint="0.59996337778862885"/>
        </patternFill>
      </fill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ont>
        <strike/>
      </font>
    </dxf>
    <dxf>
      <fill>
        <patternFill patternType="solid">
          <fgColor indexed="64"/>
          <bgColor theme="9" tint="0.59996337778862885"/>
        </patternFill>
      </fill>
    </dxf>
    <dxf>
      <font>
        <color rgb="FFFF0000"/>
      </font>
      <fill>
        <patternFill patternType="solid">
          <fgColor indexed="64"/>
          <bgColor theme="5" tint="0.79992065187536243"/>
        </patternFill>
      </fill>
    </dxf>
    <dxf>
      <fill>
        <patternFill patternType="solid">
          <fgColor indexed="64"/>
          <bgColor theme="6" tint="0.59996337778862885"/>
        </patternFill>
      </fill>
    </dxf>
    <dxf>
      <fill>
        <patternFill patternType="solid">
          <fgColor indexed="64"/>
          <bgColor theme="6" tint="0.59996337778862885"/>
        </patternFill>
      </fill>
    </dxf>
    <dxf>
      <fill>
        <patternFill patternType="solid">
          <fgColor indexed="64"/>
          <bgColor theme="9" tint="0.59996337778862885"/>
        </patternFill>
      </fill>
    </dxf>
    <dxf>
      <font>
        <color rgb="FFFF0000"/>
      </font>
      <fill>
        <patternFill patternType="solid">
          <fgColor indexed="64"/>
          <bgColor theme="5" tint="0.79992065187536243"/>
        </patternFill>
      </fill>
    </dxf>
    <dxf>
      <fill>
        <patternFill patternType="solid">
          <fgColor indexed="64"/>
          <bgColor theme="6" tint="0.59996337778862885"/>
        </patternFill>
      </fill>
    </dxf>
    <dxf>
      <fill>
        <patternFill patternType="solid">
          <fgColor indexed="64"/>
          <bgColor theme="6" tint="0.59996337778862885"/>
        </patternFill>
      </fill>
    </dxf>
    <dxf>
      <fill>
        <patternFill patternType="solid">
          <fgColor indexed="64"/>
          <bgColor theme="9" tint="0.59996337778862885"/>
        </patternFill>
      </fill>
    </dxf>
    <dxf>
      <font>
        <color rgb="FFFF0000"/>
      </font>
      <fill>
        <patternFill patternType="solid">
          <fgColor indexed="64"/>
          <bgColor theme="5" tint="0.79992065187536243"/>
        </patternFill>
      </fill>
    </dxf>
    <dxf>
      <fill>
        <patternFill patternType="solid">
          <fgColor indexed="64"/>
          <bgColor theme="6" tint="0.59996337778862885"/>
        </patternFill>
      </fill>
    </dxf>
    <dxf>
      <fill>
        <patternFill patternType="solid">
          <fgColor indexed="64"/>
          <bgColor theme="6" tint="0.5999633777886288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微軟正黑體"/>
        <scheme val="none"/>
      </font>
      <numFmt numFmtId="176" formatCode="0_);[Red]\(0\)"/>
      <alignment horizontal="center" vertical="center" textRotation="0" wrapText="0" indent="0" justifyLastLine="0" shrinkToFit="1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微軟正黑體"/>
        <scheme val="none"/>
      </font>
      <alignment horizontal="center" vertical="center" textRotation="0" wrapText="0" indent="0" justifyLastLine="0" shrinkToFit="1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微軟正黑體"/>
        <scheme val="none"/>
      </font>
      <numFmt numFmtId="176" formatCode="0_);[Red]\(0\)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1" readingOrder="0"/>
    </dxf>
  </dxfs>
  <tableStyles count="0" defaultTableStyle="TableStyleMedium2" defaultPivotStyle="PivotStyleMedium9"/>
  <colors>
    <mruColors>
      <color rgb="FF5F5F5F"/>
      <color rgb="FFFF66FF"/>
      <color rgb="FF33CC33"/>
      <color rgb="FFC0C0C0"/>
      <color rgb="FF0000CC"/>
      <color rgb="FF990099"/>
      <color rgb="FF004070"/>
      <color rgb="FFFFFF00"/>
      <color rgb="FF009900"/>
      <color rgb="FFA7DF4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29983;&#31649;&#25490;&#31243;/BOM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29983;&#31649;&#25490;&#31243;/&#27599;&#26085;&#26356;&#26032;-052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查庫存與BOM"/>
      <sheetName val="其他紀錄"/>
      <sheetName val="寶嘉誠銷售量"/>
      <sheetName val="寶嘉誠0806"/>
      <sheetName val="工作日設定"/>
      <sheetName val="寶-玉鳳0628"/>
      <sheetName val="追蹤中"/>
      <sheetName val="雷刻面"/>
      <sheetName val="交期試算"/>
      <sheetName val="訂單"/>
      <sheetName val="移送紀錄"/>
      <sheetName val="客戶表"/>
      <sheetName val="寶嘉誠20220110庫存"/>
      <sheetName val="未交左側貼上"/>
      <sheetName val="說明"/>
      <sheetName val="材料"/>
      <sheetName val="齒輪"/>
      <sheetName val="備註事項"/>
      <sheetName val="齒研下修說明"/>
      <sheetName val="進度備份 (2)"/>
      <sheetName val="追蹤中 (2)"/>
      <sheetName val="寶嘉誠0626"/>
      <sheetName val="品號與客戶"/>
      <sheetName val="訂單備註"/>
      <sheetName val="未結單"/>
      <sheetName val="已結單"/>
      <sheetName val="工序"/>
      <sheetName val="ALL左側貼上"/>
      <sheetName val="ALL舊表"/>
      <sheetName val="ALL格式"/>
      <sheetName val="移送-左側貼上"/>
      <sheetName val="進度備份"/>
      <sheetName val="舊訂單"/>
      <sheetName val="檢驗紀錄表"/>
      <sheetName val="工作表2"/>
      <sheetName val="_x0000__x0008__x0000_宀ʠ_x0000_"/>
      <sheetName val="寶嘉誠0版1版庫存-0727"/>
      <sheetName val="工作表4"/>
      <sheetName val="BOM"/>
      <sheetName val="寶嘉誠0528"/>
      <sheetName val="寶-玉鳳0528"/>
      <sheetName val="寶嘉誠A"/>
      <sheetName val="盟英"/>
      <sheetName val="公式"/>
      <sheetName val="備註"/>
      <sheetName val="蝴蝶籠計算"/>
      <sheetName val="寶-算訂單用"/>
      <sheetName val="原億昌"/>
      <sheetName val="寶-出貨-玉鳳"/>
      <sheetName val="寶-出貨-玉鳳 (2)"/>
      <sheetName val="寶嘉誠0518"/>
      <sheetName val="寶嘉誠進度表"/>
      <sheetName val="追蹤中 (3)"/>
      <sheetName val="原晨-未回"/>
      <sheetName val="聯鑫"/>
      <sheetName val="超正其他-未回"/>
      <sheetName val="寶嘉誠舊版庫存-0812"/>
      <sheetName val="未完"/>
      <sheetName val="工作表3"/>
      <sheetName val="生管討論事項"/>
    </sheetNames>
    <sheetDataSet>
      <sheetData sheetId="0"/>
      <sheetData sheetId="1"/>
      <sheetData sheetId="2">
        <row r="1">
          <cell r="A1" t="str">
            <v>項目名稱</v>
          </cell>
        </row>
      </sheetData>
      <sheetData sheetId="3">
        <row r="1">
          <cell r="A1" t="str">
            <v>項目名稱</v>
          </cell>
        </row>
      </sheetData>
      <sheetData sheetId="4">
        <row r="1">
          <cell r="A1" t="str">
            <v>日期</v>
          </cell>
        </row>
      </sheetData>
      <sheetData sheetId="5">
        <row r="1">
          <cell r="A1" t="str">
            <v>項目名稱</v>
          </cell>
        </row>
      </sheetData>
      <sheetData sheetId="6">
        <row r="1">
          <cell r="B1" t="str">
            <v>品牌</v>
          </cell>
        </row>
      </sheetData>
      <sheetData sheetId="7">
        <row r="1">
          <cell r="A1" t="str">
            <v>備註</v>
          </cell>
        </row>
      </sheetData>
      <sheetData sheetId="8">
        <row r="1">
          <cell r="C1" t="str">
            <v>工作天</v>
          </cell>
        </row>
      </sheetData>
      <sheetData sheetId="9">
        <row r="1">
          <cell r="B1" t="str">
            <v>製程</v>
          </cell>
        </row>
      </sheetData>
      <sheetData sheetId="10">
        <row r="1">
          <cell r="B1" t="str">
            <v>製程</v>
          </cell>
        </row>
      </sheetData>
      <sheetData sheetId="11">
        <row r="1">
          <cell r="A1" t="str">
            <v>製令單號</v>
          </cell>
        </row>
      </sheetData>
      <sheetData sheetId="12">
        <row r="1">
          <cell r="A1" t="str">
            <v>製令單號</v>
          </cell>
        </row>
      </sheetData>
      <sheetData sheetId="13">
        <row r="1">
          <cell r="A1" t="str">
            <v>製令單號</v>
          </cell>
        </row>
      </sheetData>
      <sheetData sheetId="14">
        <row r="1">
          <cell r="A1" t="str">
            <v>製令單號</v>
          </cell>
        </row>
      </sheetData>
      <sheetData sheetId="15">
        <row r="2">
          <cell r="A2" t="str">
            <v>品號</v>
          </cell>
        </row>
      </sheetData>
      <sheetData sheetId="16">
        <row r="1">
          <cell r="B1" t="str">
            <v>縮寫</v>
          </cell>
        </row>
      </sheetData>
      <sheetData sheetId="17">
        <row r="1">
          <cell r="B1" t="str">
            <v>縮寫</v>
          </cell>
        </row>
      </sheetData>
      <sheetData sheetId="18">
        <row r="1">
          <cell r="B1" t="str">
            <v>縮寫</v>
          </cell>
        </row>
      </sheetData>
      <sheetData sheetId="19"/>
      <sheetData sheetId="20"/>
      <sheetData sheetId="21">
        <row r="2">
          <cell r="N2" t="str">
            <v>顯示</v>
          </cell>
        </row>
      </sheetData>
      <sheetData sheetId="22">
        <row r="2">
          <cell r="N2" t="str">
            <v>顯示</v>
          </cell>
        </row>
      </sheetData>
      <sheetData sheetId="23"/>
      <sheetData sheetId="24"/>
      <sheetData sheetId="25"/>
      <sheetData sheetId="26"/>
      <sheetData sheetId="27"/>
      <sheetData sheetId="28"/>
      <sheetData sheetId="29"/>
      <sheetData sheetId="30">
        <row r="3">
          <cell r="A3">
            <v>12001457</v>
          </cell>
        </row>
      </sheetData>
      <sheetData sheetId="31"/>
      <sheetData sheetId="32" refreshError="1"/>
      <sheetData sheetId="33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查庫存與BOM"/>
      <sheetName val="追蹤中"/>
      <sheetName val="訂單"/>
      <sheetName val="移送紀錄"/>
      <sheetName val="客戶表"/>
      <sheetName val="追蹤中 (2)"/>
    </sheetNames>
    <sheetDataSet>
      <sheetData sheetId="0" refreshError="1"/>
      <sheetData sheetId="1" refreshError="1"/>
      <sheetData sheetId="2" refreshError="1">
        <row r="4">
          <cell r="B4" t="str">
            <v>預交日期</v>
          </cell>
          <cell r="AE4">
            <v>1</v>
          </cell>
        </row>
        <row r="5">
          <cell r="D5" t="str">
            <v>6026002503</v>
          </cell>
        </row>
        <row r="6">
          <cell r="D6" t="str">
            <v>3038002520</v>
          </cell>
        </row>
        <row r="7">
          <cell r="D7" t="str">
            <v>3015012540</v>
          </cell>
        </row>
        <row r="8">
          <cell r="D8" t="str">
            <v>3038002550</v>
          </cell>
        </row>
        <row r="9">
          <cell r="D9" t="str">
            <v>1006002591</v>
          </cell>
        </row>
        <row r="10">
          <cell r="D10" t="str">
            <v>5008042501</v>
          </cell>
        </row>
        <row r="11">
          <cell r="D11" t="str">
            <v>5008042501</v>
          </cell>
        </row>
        <row r="12">
          <cell r="D12" t="str">
            <v>3038002541</v>
          </cell>
        </row>
        <row r="13">
          <cell r="D13" t="str">
            <v>3011012532</v>
          </cell>
        </row>
        <row r="14">
          <cell r="D14" t="str">
            <v>5001002540</v>
          </cell>
        </row>
        <row r="15">
          <cell r="D15" t="str">
            <v>3003012542</v>
          </cell>
        </row>
        <row r="16">
          <cell r="D16" t="str">
            <v>3038002541</v>
          </cell>
        </row>
        <row r="17">
          <cell r="D17" t="str">
            <v>1003012512</v>
          </cell>
        </row>
        <row r="18">
          <cell r="D18" t="str">
            <v>2803002101-5</v>
          </cell>
        </row>
        <row r="19">
          <cell r="D19" t="str">
            <v>3004002541</v>
          </cell>
        </row>
        <row r="20">
          <cell r="D20" t="str">
            <v>3004002541</v>
          </cell>
        </row>
        <row r="21">
          <cell r="D21" t="str">
            <v>3011012532</v>
          </cell>
        </row>
        <row r="22">
          <cell r="D22" t="str">
            <v>6010002503</v>
          </cell>
        </row>
        <row r="23">
          <cell r="D23" t="str">
            <v>5008002522</v>
          </cell>
        </row>
        <row r="24">
          <cell r="D24" t="str">
            <v>7017002500</v>
          </cell>
        </row>
        <row r="25">
          <cell r="D25" t="str">
            <v>7003002521</v>
          </cell>
        </row>
        <row r="26">
          <cell r="D26" t="str">
            <v>3012002510</v>
          </cell>
        </row>
        <row r="27">
          <cell r="D27" t="str">
            <v>2804002101-4</v>
          </cell>
        </row>
        <row r="28">
          <cell r="D28" t="str">
            <v>2804002101-5</v>
          </cell>
        </row>
        <row r="29">
          <cell r="D29" t="str">
            <v>5008002522</v>
          </cell>
        </row>
        <row r="30">
          <cell r="D30" t="str">
            <v>3011012543</v>
          </cell>
        </row>
        <row r="31">
          <cell r="D31" t="str">
            <v>1004012500</v>
          </cell>
        </row>
        <row r="32">
          <cell r="D32" t="str">
            <v>1003002522</v>
          </cell>
        </row>
        <row r="33">
          <cell r="D33" t="str">
            <v>3015002570</v>
          </cell>
        </row>
        <row r="34">
          <cell r="D34" t="str">
            <v>3010002522</v>
          </cell>
        </row>
        <row r="35">
          <cell r="D35" t="str">
            <v>5002002521</v>
          </cell>
        </row>
        <row r="36">
          <cell r="D36" t="str">
            <v>5008002502</v>
          </cell>
        </row>
        <row r="37">
          <cell r="D37" t="str">
            <v>5020002521</v>
          </cell>
        </row>
        <row r="38">
          <cell r="D38" t="str">
            <v>1007002513</v>
          </cell>
        </row>
        <row r="39">
          <cell r="D39" t="str">
            <v>5010012502</v>
          </cell>
        </row>
        <row r="40">
          <cell r="D40" t="str">
            <v>1007002542</v>
          </cell>
        </row>
        <row r="41">
          <cell r="D41" t="str">
            <v>1024005400</v>
          </cell>
        </row>
        <row r="42">
          <cell r="D42" t="str">
            <v>1003012513</v>
          </cell>
        </row>
        <row r="43">
          <cell r="D43" t="str">
            <v>1003022513</v>
          </cell>
        </row>
        <row r="44">
          <cell r="D44" t="str">
            <v>1007002513</v>
          </cell>
        </row>
        <row r="45">
          <cell r="D45" t="str">
            <v>3015002543</v>
          </cell>
        </row>
        <row r="46">
          <cell r="D46" t="str">
            <v>5019002501</v>
          </cell>
        </row>
        <row r="47">
          <cell r="D47" t="str">
            <v>5008002532</v>
          </cell>
        </row>
        <row r="48">
          <cell r="D48" t="str">
            <v>2802002110-4</v>
          </cell>
        </row>
        <row r="49">
          <cell r="D49" t="str">
            <v>5017002502</v>
          </cell>
        </row>
        <row r="50">
          <cell r="D50" t="str">
            <v>5019002501</v>
          </cell>
        </row>
        <row r="51">
          <cell r="D51" t="str">
            <v>6001002501</v>
          </cell>
        </row>
        <row r="52">
          <cell r="D52" t="str">
            <v>5017002502</v>
          </cell>
        </row>
        <row r="53">
          <cell r="D53" t="str">
            <v>6001002513</v>
          </cell>
        </row>
        <row r="54">
          <cell r="D54" t="str">
            <v>1003012512</v>
          </cell>
        </row>
        <row r="55">
          <cell r="D55" t="str">
            <v>6009002013</v>
          </cell>
        </row>
        <row r="56">
          <cell r="D56" t="str">
            <v>1004002502</v>
          </cell>
        </row>
        <row r="57">
          <cell r="D57" t="str">
            <v>5003002501</v>
          </cell>
        </row>
        <row r="58">
          <cell r="D58" t="str">
            <v>5008002522</v>
          </cell>
        </row>
        <row r="59">
          <cell r="D59" t="str">
            <v>3007002513</v>
          </cell>
        </row>
        <row r="60">
          <cell r="D60" t="str">
            <v>5004002523</v>
          </cell>
        </row>
        <row r="61">
          <cell r="D61" t="str">
            <v>5005002503</v>
          </cell>
        </row>
        <row r="62">
          <cell r="D62" t="str">
            <v>1003002521</v>
          </cell>
        </row>
        <row r="63">
          <cell r="D63" t="str">
            <v>6010002504</v>
          </cell>
        </row>
        <row r="64">
          <cell r="D64" t="str">
            <v>3004002500</v>
          </cell>
        </row>
        <row r="65">
          <cell r="D65" t="str">
            <v>3015002544</v>
          </cell>
        </row>
        <row r="66">
          <cell r="D66" t="str">
            <v>5008002523</v>
          </cell>
        </row>
        <row r="67">
          <cell r="D67" t="str">
            <v>5033002511</v>
          </cell>
        </row>
        <row r="68">
          <cell r="D68" t="str">
            <v>5033002531</v>
          </cell>
        </row>
        <row r="69">
          <cell r="D69" t="str">
            <v>6010002503</v>
          </cell>
        </row>
        <row r="70">
          <cell r="D70" t="str">
            <v>6001002501</v>
          </cell>
        </row>
        <row r="71">
          <cell r="D71" t="str">
            <v>6001002513</v>
          </cell>
        </row>
        <row r="72">
          <cell r="D72" t="str">
            <v>2803002100-4</v>
          </cell>
        </row>
        <row r="73">
          <cell r="D73" t="str">
            <v>2803002101-5</v>
          </cell>
        </row>
        <row r="74">
          <cell r="D74" t="str">
            <v>5004002511</v>
          </cell>
        </row>
        <row r="75">
          <cell r="D75" t="str">
            <v>6003002512</v>
          </cell>
        </row>
        <row r="76">
          <cell r="D76" t="str">
            <v>5004002522</v>
          </cell>
        </row>
        <row r="77">
          <cell r="D77" t="str">
            <v>1007002512</v>
          </cell>
        </row>
        <row r="78">
          <cell r="D78" t="str">
            <v>3003012542</v>
          </cell>
        </row>
        <row r="79">
          <cell r="D79" t="str">
            <v>3003012570</v>
          </cell>
        </row>
        <row r="80">
          <cell r="D80" t="str">
            <v>3038002542</v>
          </cell>
        </row>
        <row r="81">
          <cell r="D81" t="str">
            <v>5003002521</v>
          </cell>
        </row>
        <row r="82">
          <cell r="D82" t="str">
            <v>5005002502</v>
          </cell>
        </row>
        <row r="83">
          <cell r="D83" t="str">
            <v>5033002522</v>
          </cell>
        </row>
        <row r="84">
          <cell r="D84" t="str">
            <v>6001002501</v>
          </cell>
        </row>
        <row r="85">
          <cell r="D85" t="str">
            <v>1004002502</v>
          </cell>
        </row>
        <row r="86">
          <cell r="D86" t="str">
            <v>6009002013</v>
          </cell>
        </row>
        <row r="87">
          <cell r="D87" t="str">
            <v>6009002560</v>
          </cell>
        </row>
        <row r="88">
          <cell r="D88" t="str">
            <v>3038002520</v>
          </cell>
        </row>
        <row r="89">
          <cell r="D89" t="str">
            <v>3038002550</v>
          </cell>
        </row>
        <row r="90">
          <cell r="D90" t="str">
            <v>2005012511</v>
          </cell>
        </row>
        <row r="91">
          <cell r="D91" t="str">
            <v>1004012500</v>
          </cell>
        </row>
        <row r="92">
          <cell r="D92" t="str">
            <v>5004002522</v>
          </cell>
        </row>
        <row r="93">
          <cell r="D93" t="str">
            <v>6001002501</v>
          </cell>
        </row>
        <row r="94">
          <cell r="D94" t="str">
            <v>6003002512</v>
          </cell>
        </row>
        <row r="95">
          <cell r="D95" t="str">
            <v>1003022513</v>
          </cell>
        </row>
        <row r="96">
          <cell r="D96" t="str">
            <v>5020002522</v>
          </cell>
        </row>
        <row r="97">
          <cell r="D97" t="str">
            <v>6003002512</v>
          </cell>
        </row>
        <row r="98">
          <cell r="D98" t="str">
            <v>6028002500</v>
          </cell>
        </row>
        <row r="99">
          <cell r="D99" t="str">
            <v>6009002560</v>
          </cell>
        </row>
        <row r="100">
          <cell r="D100" t="str">
            <v>6027002560</v>
          </cell>
        </row>
        <row r="101">
          <cell r="D101" t="str">
            <v>6027002570</v>
          </cell>
        </row>
        <row r="102">
          <cell r="D102" t="str">
            <v>6027002580</v>
          </cell>
        </row>
        <row r="103">
          <cell r="D103" t="str">
            <v>7003002522</v>
          </cell>
        </row>
        <row r="104">
          <cell r="D104" t="str">
            <v>6010002513</v>
          </cell>
        </row>
        <row r="105">
          <cell r="D105" t="str">
            <v>3006002532</v>
          </cell>
        </row>
        <row r="106">
          <cell r="D106" t="str">
            <v>3006002532</v>
          </cell>
        </row>
        <row r="107">
          <cell r="D107" t="str">
            <v>5008002522</v>
          </cell>
        </row>
        <row r="108">
          <cell r="D108" t="str">
            <v>1007002543</v>
          </cell>
        </row>
        <row r="109">
          <cell r="D109" t="str">
            <v>5001002540</v>
          </cell>
        </row>
        <row r="110">
          <cell r="D110" t="str">
            <v>5001002541</v>
          </cell>
        </row>
        <row r="111">
          <cell r="D111" t="str">
            <v>1000002563</v>
          </cell>
        </row>
        <row r="112">
          <cell r="D112" t="str">
            <v>3004000001</v>
          </cell>
        </row>
        <row r="113">
          <cell r="D113" t="str">
            <v>3004000001</v>
          </cell>
        </row>
        <row r="114">
          <cell r="D114" t="str">
            <v>6001002501</v>
          </cell>
        </row>
        <row r="115">
          <cell r="D115" t="str">
            <v>1003012513</v>
          </cell>
        </row>
        <row r="116">
          <cell r="D116" t="str">
            <v>3010002511</v>
          </cell>
        </row>
        <row r="117">
          <cell r="D117" t="str">
            <v>1004012500</v>
          </cell>
        </row>
        <row r="118">
          <cell r="D118" t="str">
            <v>3006002542</v>
          </cell>
        </row>
        <row r="119">
          <cell r="D119" t="str">
            <v>1000002563</v>
          </cell>
        </row>
        <row r="120">
          <cell r="D120" t="str">
            <v>6001002513</v>
          </cell>
        </row>
        <row r="121">
          <cell r="D121" t="str">
            <v>6009002013</v>
          </cell>
        </row>
        <row r="122">
          <cell r="D122" t="str">
            <v>6010002504</v>
          </cell>
        </row>
        <row r="123">
          <cell r="D123" t="str">
            <v>6010002513</v>
          </cell>
        </row>
        <row r="124">
          <cell r="D124" t="str">
            <v>6009002504</v>
          </cell>
        </row>
        <row r="125">
          <cell r="D125" t="str">
            <v>6009002504</v>
          </cell>
        </row>
        <row r="126">
          <cell r="D126" t="str">
            <v>6009002504</v>
          </cell>
        </row>
        <row r="127">
          <cell r="D127" t="str">
            <v>TWTT-420135</v>
          </cell>
        </row>
        <row r="128">
          <cell r="D128" t="str">
            <v>TWTT-420448</v>
          </cell>
        </row>
        <row r="129">
          <cell r="D129" t="str">
            <v>A4-HA03015</v>
          </cell>
        </row>
        <row r="130">
          <cell r="D130" t="str">
            <v>3214-T130-1001-1</v>
          </cell>
        </row>
        <row r="131">
          <cell r="D131" t="str">
            <v>3268-T031-0600-1A</v>
          </cell>
        </row>
        <row r="132">
          <cell r="D132" t="str">
            <v>3290-S010-14A0</v>
          </cell>
        </row>
        <row r="133">
          <cell r="D133" t="str">
            <v>3290-S010-14A1</v>
          </cell>
        </row>
        <row r="134">
          <cell r="D134" t="str">
            <v>3290-S05B-0600-1</v>
          </cell>
        </row>
        <row r="135">
          <cell r="D135" t="str">
            <v>3290-S040-0204A</v>
          </cell>
        </row>
        <row r="136">
          <cell r="D136" t="str">
            <v>3290-S040-0205</v>
          </cell>
        </row>
        <row r="137">
          <cell r="D137" t="str">
            <v>3268-T031-0600-1B</v>
          </cell>
        </row>
        <row r="138">
          <cell r="D138" t="str">
            <v>3282-T02A-0600-1A</v>
          </cell>
        </row>
        <row r="139">
          <cell r="D139" t="str">
            <v>3282-T02A-0600-1B</v>
          </cell>
        </row>
        <row r="140">
          <cell r="D140" t="str">
            <v>3282-Y031-0300-1A</v>
          </cell>
        </row>
        <row r="141">
          <cell r="D141" t="str">
            <v>3282-Y031-0300-1B</v>
          </cell>
        </row>
        <row r="142">
          <cell r="D142" t="str">
            <v>3282-T02A-0700-1</v>
          </cell>
        </row>
        <row r="143">
          <cell r="D143" t="str">
            <v>3290-S05B-0700-1</v>
          </cell>
        </row>
        <row r="144">
          <cell r="D144" t="str">
            <v>3290-S05B-0800-1</v>
          </cell>
        </row>
        <row r="145">
          <cell r="D145" t="str">
            <v>3290-S05B-0900-1</v>
          </cell>
        </row>
        <row r="146">
          <cell r="D146" t="str">
            <v>3290-Y021-0700-1</v>
          </cell>
        </row>
        <row r="147">
          <cell r="D147" t="str">
            <v>DP32*96T</v>
          </cell>
        </row>
        <row r="148">
          <cell r="D148" t="str">
            <v>AT-10400100</v>
          </cell>
        </row>
        <row r="149">
          <cell r="D149" t="str">
            <v>ATK-2040100</v>
          </cell>
        </row>
        <row r="150">
          <cell r="D150" t="str">
            <v>ATK-2040170</v>
          </cell>
        </row>
        <row r="151">
          <cell r="D151" t="str">
            <v>ATK-2040180</v>
          </cell>
        </row>
        <row r="152">
          <cell r="D152" t="str">
            <v>DHS-47000050</v>
          </cell>
        </row>
        <row r="153">
          <cell r="D153" t="str">
            <v>DHS-47000090</v>
          </cell>
        </row>
        <row r="154">
          <cell r="D154" t="str">
            <v>861.CD1.A17.D00</v>
          </cell>
        </row>
        <row r="155">
          <cell r="D155" t="str">
            <v>861.CD1.A20.D00</v>
          </cell>
        </row>
        <row r="156">
          <cell r="D156" t="str">
            <v>861.CD1.A21.D00</v>
          </cell>
        </row>
        <row r="157">
          <cell r="D157" t="str">
            <v>861.CD1.A22.D00</v>
          </cell>
        </row>
        <row r="158">
          <cell r="D158" t="str">
            <v>861.CD1.A23.D00</v>
          </cell>
        </row>
        <row r="159">
          <cell r="D159" t="str">
            <v>861.CD1.A17.D00</v>
          </cell>
        </row>
        <row r="160">
          <cell r="D160" t="str">
            <v>861.CD1.A20.D00</v>
          </cell>
        </row>
        <row r="161">
          <cell r="D161" t="str">
            <v>861.CD1.A21.D00</v>
          </cell>
        </row>
        <row r="162">
          <cell r="D162" t="str">
            <v>861.CD1.A22.D00</v>
          </cell>
        </row>
        <row r="163">
          <cell r="D163" t="str">
            <v>861.CD1.A23.D00</v>
          </cell>
        </row>
        <row r="164">
          <cell r="D164" t="str">
            <v>3J0000080001</v>
          </cell>
        </row>
        <row r="165">
          <cell r="D165" t="str">
            <v>3J0000080003</v>
          </cell>
        </row>
        <row r="166">
          <cell r="D166" t="str">
            <v>3J0000080007</v>
          </cell>
        </row>
        <row r="167">
          <cell r="D167" t="str">
            <v>3K0000080002</v>
          </cell>
        </row>
        <row r="168">
          <cell r="D168" t="str">
            <v>3K0000080004</v>
          </cell>
        </row>
        <row r="169">
          <cell r="D169" t="str">
            <v>AC250J103DEX015</v>
          </cell>
        </row>
        <row r="170">
          <cell r="D170" t="str">
            <v>RD320J103DEX002</v>
          </cell>
        </row>
        <row r="171">
          <cell r="D171" t="str">
            <v>ACL160J103DEX002</v>
          </cell>
        </row>
        <row r="172">
          <cell r="D172" t="str">
            <v>IC-9ACUB200J-01</v>
          </cell>
        </row>
        <row r="173">
          <cell r="D173" t="str">
            <v>ACL160J103DEX002</v>
          </cell>
        </row>
        <row r="174">
          <cell r="D174" t="str">
            <v>RD320J103DEX003</v>
          </cell>
        </row>
        <row r="175">
          <cell r="D175" t="str">
            <v>ACL160J103DEX005</v>
          </cell>
        </row>
        <row r="176">
          <cell r="D176" t="str">
            <v>ACL250J103DEX002</v>
          </cell>
        </row>
        <row r="177">
          <cell r="D177" t="str">
            <v>RD200J103DEX003</v>
          </cell>
        </row>
        <row r="178">
          <cell r="D178" t="str">
            <v>RD320J103DEX001</v>
          </cell>
        </row>
        <row r="179">
          <cell r="D179" t="str">
            <v>ACL160J103DEX004</v>
          </cell>
        </row>
        <row r="180">
          <cell r="D180" t="str">
            <v>RD200J103DEX004</v>
          </cell>
        </row>
        <row r="181">
          <cell r="D181" t="str">
            <v>AC250J103DEX005</v>
          </cell>
        </row>
        <row r="182">
          <cell r="D182" t="str">
            <v>AC250J103DEX008</v>
          </cell>
        </row>
        <row r="183">
          <cell r="D183" t="str">
            <v>RD200J103DEX002</v>
          </cell>
        </row>
        <row r="184">
          <cell r="D184" t="str">
            <v>ACZM250J103DEX004</v>
          </cell>
        </row>
        <row r="185">
          <cell r="D185" t="str">
            <v>RD170J103DEX001-1</v>
          </cell>
        </row>
        <row r="186">
          <cell r="D186" t="str">
            <v>ACL160J103HD5002</v>
          </cell>
        </row>
        <row r="187">
          <cell r="D187" t="str">
            <v>RD170J103DEX001</v>
          </cell>
        </row>
        <row r="188">
          <cell r="D188" t="str">
            <v>ACU125J103DEX003</v>
          </cell>
        </row>
        <row r="189">
          <cell r="D189" t="str">
            <v>ACU125J103DEX012</v>
          </cell>
        </row>
        <row r="190">
          <cell r="D190" t="str">
            <v>RD200J103DEX001</v>
          </cell>
        </row>
        <row r="191">
          <cell r="D191" t="str">
            <v>RD200J103DEX001</v>
          </cell>
        </row>
        <row r="192">
          <cell r="D192" t="str">
            <v>RD200J103DEX001</v>
          </cell>
        </row>
        <row r="193">
          <cell r="D193" t="str">
            <v>AC100J103DEX001</v>
          </cell>
        </row>
        <row r="194">
          <cell r="D194" t="str">
            <v>RD170J103DEX001</v>
          </cell>
        </row>
        <row r="195">
          <cell r="D195" t="str">
            <v>AC100J103DEX014</v>
          </cell>
        </row>
        <row r="196">
          <cell r="D196" t="str">
            <v>ACL160J103DEX002</v>
          </cell>
        </row>
        <row r="197">
          <cell r="D197" t="str">
            <v>ACL160J103DEX003-1</v>
          </cell>
        </row>
        <row r="198">
          <cell r="D198" t="str">
            <v>ACL160J103HD5002</v>
          </cell>
        </row>
        <row r="199">
          <cell r="D199" t="str">
            <v>ACU125J103DEX017-1</v>
          </cell>
        </row>
        <row r="200">
          <cell r="D200" t="str">
            <v>ACUB200J103DEX001-2</v>
          </cell>
        </row>
        <row r="201">
          <cell r="D201" t="str">
            <v>ACL160J103DEX004-1</v>
          </cell>
        </row>
        <row r="202">
          <cell r="D202" t="str">
            <v>ACL160J103HD5001-1</v>
          </cell>
        </row>
        <row r="203">
          <cell r="D203" t="str">
            <v>ACU125J103DEX015-1</v>
          </cell>
        </row>
        <row r="204">
          <cell r="D204" t="str">
            <v>ACUB150J103DEX001</v>
          </cell>
        </row>
        <row r="205">
          <cell r="D205" t="str">
            <v>OVJB-51033000</v>
          </cell>
        </row>
        <row r="206">
          <cell r="D206" t="str">
            <v>OVJB-51034000</v>
          </cell>
        </row>
        <row r="207">
          <cell r="D207" t="str">
            <v>VJB510100</v>
          </cell>
        </row>
        <row r="208">
          <cell r="D208" t="str">
            <v>VJB510200</v>
          </cell>
        </row>
        <row r="209">
          <cell r="D209" t="str">
            <v>VJB510300</v>
          </cell>
        </row>
        <row r="210">
          <cell r="D210" t="str">
            <v>VJB510400</v>
          </cell>
        </row>
        <row r="211">
          <cell r="D211" t="str">
            <v>11122-HB2-0000-R05</v>
          </cell>
        </row>
        <row r="212">
          <cell r="D212" t="str">
            <v>11211-HB2-0000-R04</v>
          </cell>
        </row>
        <row r="213">
          <cell r="D213" t="str">
            <v>M5T15L105.85-A</v>
          </cell>
        </row>
        <row r="214">
          <cell r="D214" t="str">
            <v>M5T15L105.85-B</v>
          </cell>
        </row>
        <row r="215">
          <cell r="D215" t="str">
            <v>GS-M050T30T65-Z</v>
          </cell>
        </row>
        <row r="216">
          <cell r="D216" t="str">
            <v>GS-M100T15M050T65-Z</v>
          </cell>
        </row>
        <row r="217">
          <cell r="D217" t="str">
            <v>GS-M100T26T52</v>
          </cell>
        </row>
        <row r="218">
          <cell r="D218" t="str">
            <v>GS-M100T48-01</v>
          </cell>
        </row>
        <row r="219">
          <cell r="D219" t="str">
            <v>GS-M100T26T52</v>
          </cell>
        </row>
        <row r="220">
          <cell r="D220" t="str">
            <v>GS-M100T48-01</v>
          </cell>
        </row>
        <row r="221">
          <cell r="D221" t="str">
            <v>GS-M100T48-02</v>
          </cell>
        </row>
        <row r="222">
          <cell r="D222" t="str">
            <v>GS-M100T58-02</v>
          </cell>
        </row>
        <row r="223">
          <cell r="D223" t="str">
            <v>GS-M100T59</v>
          </cell>
        </row>
        <row r="224">
          <cell r="D224" t="str">
            <v>GS-M100T78</v>
          </cell>
        </row>
        <row r="225">
          <cell r="D225" t="str">
            <v>GS-M070T25M050T66</v>
          </cell>
        </row>
        <row r="226">
          <cell r="D226" t="str">
            <v>GS-M100T15M075T50-1</v>
          </cell>
        </row>
        <row r="227">
          <cell r="D227" t="str">
            <v>GS-M100T15M075T50-2</v>
          </cell>
        </row>
        <row r="228">
          <cell r="D228" t="str">
            <v>GS-M100T26T52</v>
          </cell>
        </row>
        <row r="229">
          <cell r="D229" t="str">
            <v>GS-M100T48-01</v>
          </cell>
        </row>
        <row r="230">
          <cell r="D230" t="str">
            <v>GS-M100T58-01</v>
          </cell>
        </row>
        <row r="231">
          <cell r="D231" t="str">
            <v>GS-M100T58-02</v>
          </cell>
        </row>
        <row r="232">
          <cell r="D232" t="str">
            <v>M1*26T-M1*52T-A1</v>
          </cell>
        </row>
        <row r="233">
          <cell r="D233" t="str">
            <v>M1*26T-M1*52T-B</v>
          </cell>
        </row>
        <row r="234">
          <cell r="D234" t="str">
            <v>CHGH02032</v>
          </cell>
        </row>
        <row r="235">
          <cell r="D235" t="str">
            <v>DV-32063081</v>
          </cell>
        </row>
        <row r="236">
          <cell r="D236" t="str">
            <v>DV-32063102</v>
          </cell>
        </row>
        <row r="237">
          <cell r="D237" t="str">
            <v>M2.5*26T*L258</v>
          </cell>
        </row>
        <row r="238">
          <cell r="D238" t="str">
            <v>M2.5*26T*L43</v>
          </cell>
        </row>
        <row r="239">
          <cell r="D239" t="str">
            <v>M2.5*53T*L37</v>
          </cell>
        </row>
        <row r="240">
          <cell r="D240" t="str">
            <v>M2.5*53T*L41</v>
          </cell>
        </row>
        <row r="241">
          <cell r="D241" t="str">
            <v>W156-B01-021-A1</v>
          </cell>
        </row>
        <row r="242">
          <cell r="D242" t="str">
            <v>W156-B01-022-A1</v>
          </cell>
        </row>
        <row r="243">
          <cell r="D243" t="str">
            <v>W156-B07-001-B0</v>
          </cell>
        </row>
        <row r="244">
          <cell r="D244" t="str">
            <v>W156-B08-004-B0</v>
          </cell>
        </row>
        <row r="245">
          <cell r="D245" t="str">
            <v>AR017007-00</v>
          </cell>
        </row>
        <row r="246">
          <cell r="D246" t="str">
            <v>AR017007-E0</v>
          </cell>
        </row>
        <row r="247">
          <cell r="D247" t="str">
            <v>AR017007-F0</v>
          </cell>
        </row>
        <row r="248">
          <cell r="D248" t="str">
            <v>AR017008-01</v>
          </cell>
        </row>
        <row r="249">
          <cell r="D249" t="str">
            <v>AR017008-A0</v>
          </cell>
        </row>
        <row r="250">
          <cell r="D250" t="str">
            <v>FAR012007-C0</v>
          </cell>
        </row>
        <row r="251">
          <cell r="D251" t="str">
            <v>FAR017010-00</v>
          </cell>
        </row>
        <row r="252">
          <cell r="D252" t="str">
            <v>FHR032011-01</v>
          </cell>
        </row>
        <row r="253">
          <cell r="D253" t="str">
            <v>HR025007-B1</v>
          </cell>
        </row>
        <row r="254">
          <cell r="D254" t="str">
            <v>HR025008-00</v>
          </cell>
        </row>
        <row r="255">
          <cell r="D255" t="str">
            <v>HR032007-01</v>
          </cell>
        </row>
        <row r="256">
          <cell r="D256" t="str">
            <v>HR032008-00</v>
          </cell>
        </row>
        <row r="257">
          <cell r="D257" t="str">
            <v>HR050007-00</v>
          </cell>
        </row>
        <row r="258">
          <cell r="D258" t="str">
            <v>HR063012-00</v>
          </cell>
        </row>
        <row r="259">
          <cell r="D259" t="str">
            <v>MTH2550800</v>
          </cell>
        </row>
        <row r="260">
          <cell r="D260" t="str">
            <v>AR017008-A0</v>
          </cell>
        </row>
        <row r="261">
          <cell r="D261" t="str">
            <v>HR025008-00</v>
          </cell>
        </row>
        <row r="262">
          <cell r="D262" t="str">
            <v>HR025008-00</v>
          </cell>
        </row>
        <row r="263">
          <cell r="D263" t="str">
            <v>FHR025012-00</v>
          </cell>
        </row>
        <row r="264">
          <cell r="D264" t="str">
            <v>FHR025012-00</v>
          </cell>
        </row>
        <row r="265">
          <cell r="D265" t="str">
            <v>FHR025012-00</v>
          </cell>
        </row>
        <row r="266">
          <cell r="D266" t="str">
            <v>FAR012007-C0</v>
          </cell>
        </row>
        <row r="267">
          <cell r="D267" t="str">
            <v>FAR012007-C0</v>
          </cell>
        </row>
        <row r="268">
          <cell r="D268" t="str">
            <v>FAR012007-C0</v>
          </cell>
        </row>
        <row r="269">
          <cell r="D269" t="str">
            <v>RC025012-01</v>
          </cell>
        </row>
        <row r="270">
          <cell r="D270" t="str">
            <v>FAR012008-01</v>
          </cell>
        </row>
        <row r="271">
          <cell r="D271" t="str">
            <v>FAR012008-01</v>
          </cell>
        </row>
        <row r="272">
          <cell r="D272" t="str">
            <v>FAR012008-01</v>
          </cell>
        </row>
        <row r="273">
          <cell r="D273" t="str">
            <v>AR017007-00</v>
          </cell>
        </row>
        <row r="274">
          <cell r="D274" t="str">
            <v>AR017007-C1</v>
          </cell>
        </row>
        <row r="275">
          <cell r="D275" t="str">
            <v>AR017008-A0</v>
          </cell>
        </row>
        <row r="276">
          <cell r="D276" t="str">
            <v>AR017008-A0</v>
          </cell>
        </row>
        <row r="277">
          <cell r="D277" t="str">
            <v>AR017008-A0</v>
          </cell>
        </row>
        <row r="278">
          <cell r="D278" t="str">
            <v>RC025011-02</v>
          </cell>
        </row>
        <row r="279">
          <cell r="D279" t="str">
            <v>RC025013-01</v>
          </cell>
        </row>
        <row r="280">
          <cell r="D280" t="str">
            <v>FAR017009-A0</v>
          </cell>
        </row>
        <row r="281">
          <cell r="D281" t="str">
            <v>FAR017009-A0</v>
          </cell>
        </row>
        <row r="282">
          <cell r="D282" t="str">
            <v>HR025008-00</v>
          </cell>
        </row>
        <row r="283">
          <cell r="D283" t="str">
            <v>FAR017007-A0</v>
          </cell>
        </row>
        <row r="284">
          <cell r="D284" t="str">
            <v>FAR017007-A0</v>
          </cell>
        </row>
        <row r="285">
          <cell r="D285" t="str">
            <v>FAR017007-A0</v>
          </cell>
        </row>
        <row r="286">
          <cell r="D286" t="str">
            <v>HR025009-01</v>
          </cell>
        </row>
        <row r="287">
          <cell r="D287" t="str">
            <v>HR025009-01</v>
          </cell>
        </row>
        <row r="288">
          <cell r="D288" t="str">
            <v>AR017007-B1</v>
          </cell>
        </row>
        <row r="289">
          <cell r="D289" t="str">
            <v>AR017007-B1</v>
          </cell>
        </row>
        <row r="290">
          <cell r="D290" t="str">
            <v>AR017007-B1</v>
          </cell>
        </row>
        <row r="291">
          <cell r="D291" t="str">
            <v>FHR02502W008-00</v>
          </cell>
        </row>
        <row r="292">
          <cell r="D292" t="str">
            <v>FHR02502W009-00</v>
          </cell>
        </row>
        <row r="293">
          <cell r="D293" t="str">
            <v>HR063012-00</v>
          </cell>
        </row>
        <row r="294">
          <cell r="D294" t="str">
            <v>FHR032011-01</v>
          </cell>
        </row>
        <row r="295">
          <cell r="D295" t="str">
            <v>TGF60065-GS2039A</v>
          </cell>
        </row>
        <row r="296">
          <cell r="D296" t="str">
            <v>TGF60065-GS1043A</v>
          </cell>
        </row>
        <row r="297">
          <cell r="D297" t="str">
            <v>10601-0530-04</v>
          </cell>
        </row>
        <row r="298">
          <cell r="D298" t="str">
            <v>10601-0531-01</v>
          </cell>
        </row>
        <row r="299">
          <cell r="D299" t="str">
            <v>10601-0530-04</v>
          </cell>
        </row>
        <row r="300">
          <cell r="D300" t="str">
            <v>10601-0531-01</v>
          </cell>
        </row>
        <row r="301">
          <cell r="D301" t="str">
            <v>22150-3001-01</v>
          </cell>
        </row>
        <row r="302">
          <cell r="D302" t="str">
            <v>22150-3002-00</v>
          </cell>
        </row>
        <row r="303">
          <cell r="D303" t="str">
            <v>22150-3005-01</v>
          </cell>
        </row>
        <row r="304">
          <cell r="D304" t="str">
            <v>22150-3006-02</v>
          </cell>
        </row>
        <row r="305">
          <cell r="D305" t="str">
            <v>22150-3005-01</v>
          </cell>
        </row>
        <row r="306">
          <cell r="D306" t="str">
            <v>22150-3008-01</v>
          </cell>
        </row>
        <row r="307">
          <cell r="D307" t="str">
            <v>22150-3005-01</v>
          </cell>
        </row>
        <row r="308">
          <cell r="D308" t="str">
            <v>22150-3006-02</v>
          </cell>
        </row>
        <row r="309">
          <cell r="D309" t="str">
            <v>22150-3005-01</v>
          </cell>
        </row>
        <row r="310">
          <cell r="D310" t="str">
            <v>22150-3006-03</v>
          </cell>
        </row>
        <row r="311">
          <cell r="D311" t="str">
            <v>21436-3001-00</v>
          </cell>
        </row>
        <row r="312">
          <cell r="D312" t="str">
            <v>21436-3002-00</v>
          </cell>
        </row>
        <row r="313">
          <cell r="D313" t="str">
            <v>21436-3003-00</v>
          </cell>
        </row>
        <row r="314">
          <cell r="D314" t="str">
            <v>21436-3004-00</v>
          </cell>
        </row>
        <row r="315">
          <cell r="D315" t="str">
            <v>SVS-74</v>
          </cell>
        </row>
        <row r="316">
          <cell r="D316" t="str">
            <v>VS-74</v>
          </cell>
        </row>
        <row r="317">
          <cell r="D317" t="str">
            <v>VS-66</v>
          </cell>
        </row>
        <row r="318">
          <cell r="D318" t="str">
            <v>007035</v>
          </cell>
        </row>
        <row r="319">
          <cell r="D319" t="str">
            <v>042111</v>
          </cell>
        </row>
        <row r="320">
          <cell r="D320" t="str">
            <v>005074</v>
          </cell>
        </row>
        <row r="321">
          <cell r="D321" t="str">
            <v>005117</v>
          </cell>
        </row>
        <row r="322">
          <cell r="D322" t="str">
            <v>RD-170DEC0003</v>
          </cell>
        </row>
        <row r="323">
          <cell r="D323" t="str">
            <v>RD-170DEC00B1</v>
          </cell>
        </row>
        <row r="324">
          <cell r="D324" t="str">
            <v>RTB250-A230-EC00C1</v>
          </cell>
        </row>
        <row r="325">
          <cell r="D325" t="str">
            <v>RTB250-A230-EC00A2</v>
          </cell>
        </row>
        <row r="326">
          <cell r="D326" t="str">
            <v>RTB250-A230-EC00B2</v>
          </cell>
        </row>
        <row r="327">
          <cell r="D327" t="str">
            <v>RTB250-C250-EC00A3</v>
          </cell>
        </row>
        <row r="328">
          <cell r="D328" t="str">
            <v>RTB250-A230-EC0001</v>
          </cell>
        </row>
        <row r="329">
          <cell r="D329" t="str">
            <v>RTB250-C250-EC0003</v>
          </cell>
        </row>
        <row r="330">
          <cell r="D330" t="str">
            <v>15014E-011</v>
          </cell>
        </row>
        <row r="331">
          <cell r="D331" t="str">
            <v>GM07-03-005B</v>
          </cell>
        </row>
        <row r="332">
          <cell r="D332" t="str">
            <v>GM07-04-004B</v>
          </cell>
        </row>
        <row r="333">
          <cell r="D333" t="str">
            <v>KA-004C</v>
          </cell>
        </row>
        <row r="334">
          <cell r="D334" t="str">
            <v>KA-015C</v>
          </cell>
        </row>
        <row r="335">
          <cell r="D335" t="str">
            <v>KA-019C</v>
          </cell>
        </row>
        <row r="336">
          <cell r="D336" t="str">
            <v>KA-005C</v>
          </cell>
        </row>
        <row r="337">
          <cell r="D337" t="str">
            <v>KA-009C</v>
          </cell>
        </row>
        <row r="338">
          <cell r="D338" t="str">
            <v>68-1-20355C020B</v>
          </cell>
        </row>
        <row r="339">
          <cell r="D339" t="str">
            <v>68-1-20355C020B</v>
          </cell>
        </row>
        <row r="340">
          <cell r="D340" t="str">
            <v>80/100A-015A-00</v>
          </cell>
        </row>
        <row r="341">
          <cell r="D341" t="str">
            <v>80/100A-017-01</v>
          </cell>
        </row>
        <row r="342">
          <cell r="D342" t="str">
            <v>80/100A-018-01</v>
          </cell>
        </row>
        <row r="343">
          <cell r="D343" t="str">
            <v>80/100A-023-01</v>
          </cell>
        </row>
        <row r="344">
          <cell r="D344" t="str">
            <v>80/100A-024-00</v>
          </cell>
        </row>
        <row r="345">
          <cell r="D345" t="str">
            <v>80/100A-025-0A</v>
          </cell>
        </row>
        <row r="346">
          <cell r="D346" t="str">
            <v>ZQJ00-01-10</v>
          </cell>
        </row>
        <row r="347">
          <cell r="D347" t="str">
            <v>I5031589</v>
          </cell>
        </row>
        <row r="348">
          <cell r="D348" t="str">
            <v>M1.5*30T*110L-Φ25</v>
          </cell>
        </row>
        <row r="349">
          <cell r="D349" t="str">
            <v>G446-01-194</v>
          </cell>
        </row>
        <row r="350">
          <cell r="D350" t="str">
            <v>I5023441</v>
          </cell>
        </row>
        <row r="351">
          <cell r="D351" t="str">
            <v>MHGH020025-41017-1</v>
          </cell>
        </row>
        <row r="352">
          <cell r="D352" t="str">
            <v>MHGH020030-41017-1</v>
          </cell>
        </row>
        <row r="353">
          <cell r="D353" t="str">
            <v>CHGH-020-20</v>
          </cell>
        </row>
        <row r="354">
          <cell r="D354" t="str">
            <v>CHGH0401812-Q6</v>
          </cell>
        </row>
        <row r="355">
          <cell r="D355" t="str">
            <v>MHFGH02002611-DIN6</v>
          </cell>
        </row>
        <row r="356">
          <cell r="D356" t="str">
            <v>MHGH02002572-99021</v>
          </cell>
        </row>
        <row r="357">
          <cell r="D357" t="str">
            <v>CHGH-20-21-2-Φ22K8</v>
          </cell>
        </row>
        <row r="358">
          <cell r="D358" t="str">
            <v>3000445541</v>
          </cell>
        </row>
        <row r="359">
          <cell r="D359" t="str">
            <v>D2-1003</v>
          </cell>
        </row>
        <row r="360">
          <cell r="D360" t="str">
            <v>D2-1004</v>
          </cell>
        </row>
        <row r="361">
          <cell r="D361" t="str">
            <v>I5031589</v>
          </cell>
        </row>
        <row r="362">
          <cell r="D362" t="str">
            <v>MHFGH02003711-DIN6</v>
          </cell>
        </row>
        <row r="363">
          <cell r="D363" t="str">
            <v>TD-11-024</v>
          </cell>
        </row>
        <row r="364">
          <cell r="D364" t="str">
            <v>TD-11-051</v>
          </cell>
        </row>
        <row r="365">
          <cell r="D365" t="str">
            <v>TD-11-056</v>
          </cell>
        </row>
        <row r="366">
          <cell r="D366" t="str">
            <v>MHGH02002552-DIN6</v>
          </cell>
        </row>
        <row r="367">
          <cell r="D367" t="str">
            <v>MPP-K35-2109-0400</v>
          </cell>
        </row>
        <row r="368">
          <cell r="D368" t="str">
            <v>MPP-K35-2110-0400</v>
          </cell>
        </row>
        <row r="369">
          <cell r="D369" t="str">
            <v>MPP-P24-2109-1400</v>
          </cell>
        </row>
        <row r="370">
          <cell r="D370" t="str">
            <v>MPP-P24-2110-0400</v>
          </cell>
        </row>
        <row r="371">
          <cell r="D371" t="str">
            <v>MPP-T14-2004-0300</v>
          </cell>
        </row>
        <row r="372">
          <cell r="D372" t="str">
            <v>SM10907TW1-064S-0</v>
          </cell>
        </row>
        <row r="373">
          <cell r="D373" t="str">
            <v>108606</v>
          </cell>
        </row>
        <row r="374">
          <cell r="D374" t="str">
            <v>106-2-24</v>
          </cell>
        </row>
        <row r="375">
          <cell r="D375" t="str">
            <v>JIG-53-5302-A</v>
          </cell>
        </row>
        <row r="376">
          <cell r="D376" t="str">
            <v>M3*30TA*31L-L-48080</v>
          </cell>
        </row>
        <row r="377">
          <cell r="D377" t="str">
            <v>M4*22TB*65L-42271</v>
          </cell>
        </row>
        <row r="378">
          <cell r="D378" t="str">
            <v>IM038019</v>
          </cell>
        </row>
        <row r="379">
          <cell r="D379" t="str">
            <v>IM038019</v>
          </cell>
        </row>
        <row r="380">
          <cell r="D380" t="str">
            <v>I5025365</v>
          </cell>
        </row>
        <row r="381">
          <cell r="D381" t="str">
            <v>MHFGH02003711-DIN6</v>
          </cell>
        </row>
        <row r="382">
          <cell r="D382" t="str">
            <v>M2*28T*20L</v>
          </cell>
        </row>
        <row r="383">
          <cell r="D383" t="str">
            <v>M2*28T*20L LH</v>
          </cell>
        </row>
        <row r="384">
          <cell r="D384" t="str">
            <v>M2*28T*20L RH</v>
          </cell>
        </row>
        <row r="385">
          <cell r="D385" t="str">
            <v>MHGH02002051-DIN6</v>
          </cell>
        </row>
        <row r="386">
          <cell r="D386" t="str">
            <v>MHGH02002072-DIN6</v>
          </cell>
        </row>
        <row r="387">
          <cell r="D387" t="str">
            <v>ZQJ00-01-10</v>
          </cell>
        </row>
        <row r="388">
          <cell r="D388" t="str">
            <v>75541</v>
          </cell>
        </row>
        <row r="389">
          <cell r="D389" t="str">
            <v>I5031586</v>
          </cell>
        </row>
        <row r="390">
          <cell r="D390" t="str">
            <v>I5031589</v>
          </cell>
        </row>
        <row r="391">
          <cell r="D391" t="str">
            <v>LJJX-0701</v>
          </cell>
        </row>
        <row r="392">
          <cell r="D392" t="str">
            <v>80641</v>
          </cell>
        </row>
        <row r="393">
          <cell r="D393" t="str">
            <v>108606</v>
          </cell>
        </row>
        <row r="394">
          <cell r="D394" t="str">
            <v>LJJX-0701</v>
          </cell>
        </row>
        <row r="395">
          <cell r="D395" t="str">
            <v>M2*29TB*46L-US080</v>
          </cell>
        </row>
        <row r="396">
          <cell r="D396" t="str">
            <v>M2*29TB*46L-US080-1</v>
          </cell>
        </row>
        <row r="397">
          <cell r="D397" t="str">
            <v>M2*29TB*46L-US080-2</v>
          </cell>
        </row>
        <row r="398">
          <cell r="D398" t="str">
            <v>NRFP01132590</v>
          </cell>
        </row>
        <row r="399">
          <cell r="D399" t="str">
            <v>NRFP01132830</v>
          </cell>
        </row>
        <row r="400">
          <cell r="D400" t="str">
            <v>MHGH-L-0300281-DIN6</v>
          </cell>
        </row>
        <row r="401">
          <cell r="D401" t="str">
            <v>121112301</v>
          </cell>
        </row>
        <row r="402">
          <cell r="D402" t="str">
            <v>119957</v>
          </cell>
        </row>
        <row r="403">
          <cell r="D403" t="str">
            <v>LJJX-0701</v>
          </cell>
        </row>
        <row r="404">
          <cell r="D404" t="str">
            <v>LJJX-0701</v>
          </cell>
        </row>
        <row r="405">
          <cell r="D405" t="str">
            <v>LJJX-0701</v>
          </cell>
        </row>
        <row r="406">
          <cell r="D406" t="str">
            <v>LJJX-0701</v>
          </cell>
        </row>
        <row r="407">
          <cell r="D407" t="str">
            <v>LJJX-0701</v>
          </cell>
        </row>
        <row r="408">
          <cell r="D408" t="str">
            <v>9MDH936</v>
          </cell>
        </row>
        <row r="409">
          <cell r="D409" t="str">
            <v>9MDH937</v>
          </cell>
        </row>
        <row r="410">
          <cell r="D410" t="str">
            <v>S022009-3</v>
          </cell>
        </row>
        <row r="411">
          <cell r="D411" t="str">
            <v>S022009-4</v>
          </cell>
        </row>
        <row r="412">
          <cell r="D412" t="str">
            <v>9MDH829A</v>
          </cell>
        </row>
        <row r="413">
          <cell r="D413" t="str">
            <v>9MDH829A</v>
          </cell>
        </row>
        <row r="414">
          <cell r="D414" t="str">
            <v>PP140</v>
          </cell>
        </row>
        <row r="415">
          <cell r="D415" t="str">
            <v>M10*13T*ID28*W15L24</v>
          </cell>
        </row>
        <row r="416">
          <cell r="D416" t="str">
            <v>PS2T31-1302B</v>
          </cell>
        </row>
        <row r="417">
          <cell r="D417" t="str">
            <v>PS2040-0905A</v>
          </cell>
        </row>
        <row r="418">
          <cell r="D418" t="str">
            <v>PS2056-0901A</v>
          </cell>
        </row>
        <row r="419">
          <cell r="D419" t="str">
            <v>PS2056-0901A</v>
          </cell>
        </row>
        <row r="420">
          <cell r="D420" t="str">
            <v>PS2156-0910A</v>
          </cell>
        </row>
        <row r="421">
          <cell r="D421" t="str">
            <v>PS2056-0901A</v>
          </cell>
        </row>
        <row r="422">
          <cell r="D422" t="str">
            <v>PM1324-0201A</v>
          </cell>
        </row>
        <row r="423">
          <cell r="D423" t="str">
            <v>PM1734-0205A</v>
          </cell>
        </row>
        <row r="424">
          <cell r="D424" t="str">
            <v>PS2056-0901A</v>
          </cell>
        </row>
        <row r="425">
          <cell r="D425" t="str">
            <v>PS2056-0901A</v>
          </cell>
        </row>
        <row r="426">
          <cell r="D426" t="str">
            <v>PS2156-0910A</v>
          </cell>
        </row>
        <row r="427">
          <cell r="D427" t="str">
            <v>RB-100</v>
          </cell>
        </row>
        <row r="428">
          <cell r="D428" t="str">
            <v>RB-87</v>
          </cell>
        </row>
        <row r="429">
          <cell r="D429" t="str">
            <v>RB-90</v>
          </cell>
        </row>
        <row r="430">
          <cell r="D430" t="str">
            <v>RB-93</v>
          </cell>
        </row>
        <row r="431">
          <cell r="D431" t="str">
            <v>RB-93-1</v>
          </cell>
        </row>
        <row r="432">
          <cell r="D432" t="str">
            <v>RB-99</v>
          </cell>
        </row>
        <row r="433">
          <cell r="D433" t="str">
            <v>DB-08</v>
          </cell>
        </row>
        <row r="434">
          <cell r="D434" t="str">
            <v>DB-09</v>
          </cell>
        </row>
        <row r="435">
          <cell r="D435" t="str">
            <v>DB-2</v>
          </cell>
        </row>
        <row r="436">
          <cell r="D436" t="str">
            <v>DB-3</v>
          </cell>
        </row>
        <row r="437">
          <cell r="D437" t="str">
            <v>DB-4</v>
          </cell>
        </row>
        <row r="438">
          <cell r="D438" t="str">
            <v>DD-10</v>
          </cell>
        </row>
        <row r="439">
          <cell r="D439" t="str">
            <v>DD-11</v>
          </cell>
        </row>
        <row r="440">
          <cell r="D440" t="str">
            <v>DD-12</v>
          </cell>
        </row>
        <row r="441">
          <cell r="D441" t="str">
            <v>DD-13</v>
          </cell>
        </row>
        <row r="442">
          <cell r="D442" t="str">
            <v>DD-14</v>
          </cell>
        </row>
        <row r="443">
          <cell r="D443" t="str">
            <v>DD-15</v>
          </cell>
        </row>
        <row r="444">
          <cell r="D444" t="str">
            <v>DD-16</v>
          </cell>
        </row>
        <row r="445">
          <cell r="D445" t="str">
            <v>DD-22</v>
          </cell>
        </row>
        <row r="446">
          <cell r="D446" t="str">
            <v>DD-23</v>
          </cell>
        </row>
        <row r="447">
          <cell r="D447" t="str">
            <v>DD-24</v>
          </cell>
        </row>
        <row r="448">
          <cell r="D448" t="str">
            <v>DD-25</v>
          </cell>
        </row>
        <row r="449">
          <cell r="D449" t="str">
            <v>DD-26</v>
          </cell>
        </row>
        <row r="450">
          <cell r="D450" t="str">
            <v>DD-27</v>
          </cell>
        </row>
        <row r="451">
          <cell r="D451" t="str">
            <v>DD-28</v>
          </cell>
        </row>
        <row r="452">
          <cell r="D452" t="str">
            <v>DD-29</v>
          </cell>
        </row>
        <row r="453">
          <cell r="D453" t="str">
            <v>DD-3</v>
          </cell>
        </row>
        <row r="454">
          <cell r="D454" t="str">
            <v>DD-32</v>
          </cell>
        </row>
        <row r="455">
          <cell r="D455" t="str">
            <v>DD-9</v>
          </cell>
        </row>
        <row r="456">
          <cell r="D456" t="str">
            <v>RB-1</v>
          </cell>
        </row>
        <row r="457">
          <cell r="D457" t="str">
            <v>RB-100</v>
          </cell>
        </row>
        <row r="458">
          <cell r="D458" t="str">
            <v>RB-14-1</v>
          </cell>
        </row>
        <row r="459">
          <cell r="D459" t="str">
            <v>RB-15</v>
          </cell>
        </row>
        <row r="460">
          <cell r="D460" t="str">
            <v>RB-18</v>
          </cell>
        </row>
        <row r="461">
          <cell r="D461" t="str">
            <v>RB-21</v>
          </cell>
        </row>
        <row r="462">
          <cell r="D462" t="str">
            <v>RB-27</v>
          </cell>
        </row>
        <row r="463">
          <cell r="D463" t="str">
            <v>RB-28</v>
          </cell>
        </row>
        <row r="464">
          <cell r="D464" t="str">
            <v>RB-29</v>
          </cell>
        </row>
        <row r="465">
          <cell r="D465" t="str">
            <v>RB-31</v>
          </cell>
        </row>
        <row r="466">
          <cell r="D466" t="str">
            <v>RB-33</v>
          </cell>
        </row>
        <row r="467">
          <cell r="D467" t="str">
            <v>RB-36</v>
          </cell>
        </row>
        <row r="468">
          <cell r="D468" t="str">
            <v>RB-64</v>
          </cell>
        </row>
        <row r="469">
          <cell r="D469" t="str">
            <v>RB-77</v>
          </cell>
        </row>
        <row r="470">
          <cell r="D470" t="str">
            <v>RB-79</v>
          </cell>
        </row>
        <row r="471">
          <cell r="D471" t="str">
            <v>RB-8</v>
          </cell>
        </row>
        <row r="472">
          <cell r="D472" t="str">
            <v>RB-87</v>
          </cell>
        </row>
        <row r="473">
          <cell r="D473" t="str">
            <v>RB-90</v>
          </cell>
        </row>
        <row r="474">
          <cell r="D474" t="str">
            <v>RB-93</v>
          </cell>
        </row>
        <row r="475">
          <cell r="D475" t="str">
            <v>RB-93-1</v>
          </cell>
        </row>
        <row r="476">
          <cell r="D476" t="str">
            <v>RB-99</v>
          </cell>
        </row>
        <row r="477">
          <cell r="D477" t="str">
            <v>14-14T</v>
          </cell>
        </row>
        <row r="478">
          <cell r="D478" t="str">
            <v>14-37T</v>
          </cell>
        </row>
        <row r="479">
          <cell r="D479" t="str">
            <v>14-38T</v>
          </cell>
        </row>
        <row r="480">
          <cell r="D480" t="str">
            <v>14-39T</v>
          </cell>
        </row>
        <row r="481">
          <cell r="D481" t="str">
            <v>20-C-010A</v>
          </cell>
        </row>
        <row r="482">
          <cell r="D482" t="str">
            <v>20-C-013</v>
          </cell>
        </row>
        <row r="483">
          <cell r="D483" t="str">
            <v>20-C-014A</v>
          </cell>
        </row>
        <row r="484">
          <cell r="D484" t="str">
            <v>20-C-020</v>
          </cell>
        </row>
        <row r="485">
          <cell r="D485" t="str">
            <v>TA-1202100</v>
          </cell>
        </row>
        <row r="486">
          <cell r="D486" t="str">
            <v>101</v>
          </cell>
        </row>
        <row r="487">
          <cell r="D487" t="str">
            <v>102</v>
          </cell>
        </row>
        <row r="488">
          <cell r="D488" t="str">
            <v>103</v>
          </cell>
        </row>
        <row r="489">
          <cell r="D489" t="str">
            <v>104</v>
          </cell>
        </row>
        <row r="490">
          <cell r="D490" t="str">
            <v>105</v>
          </cell>
        </row>
        <row r="491">
          <cell r="D491" t="str">
            <v>106</v>
          </cell>
        </row>
        <row r="492">
          <cell r="D492" t="str">
            <v>108</v>
          </cell>
        </row>
        <row r="493">
          <cell r="D493" t="str">
            <v>109</v>
          </cell>
        </row>
        <row r="494">
          <cell r="D494" t="str">
            <v>110</v>
          </cell>
        </row>
        <row r="495">
          <cell r="D495" t="str">
            <v>111</v>
          </cell>
        </row>
        <row r="496">
          <cell r="D496" t="str">
            <v>107-1</v>
          </cell>
        </row>
        <row r="497">
          <cell r="D497" t="str">
            <v>107-2</v>
          </cell>
        </row>
        <row r="498">
          <cell r="D498" t="str">
            <v>107-3</v>
          </cell>
        </row>
        <row r="499">
          <cell r="D499" t="str">
            <v>21001S</v>
          </cell>
        </row>
        <row r="500">
          <cell r="D500" t="str">
            <v>21003L</v>
          </cell>
        </row>
        <row r="501">
          <cell r="D501" t="str">
            <v>21003L</v>
          </cell>
        </row>
        <row r="502">
          <cell r="D502" t="str">
            <v>21012H</v>
          </cell>
        </row>
        <row r="503">
          <cell r="D503" t="str">
            <v>21022L</v>
          </cell>
        </row>
        <row r="504">
          <cell r="D504" t="str">
            <v>21024L</v>
          </cell>
        </row>
        <row r="505">
          <cell r="D505" t="str">
            <v>21111L</v>
          </cell>
        </row>
        <row r="506">
          <cell r="D506" t="str">
            <v>21112L</v>
          </cell>
        </row>
        <row r="507">
          <cell r="D507" t="str">
            <v>99045L-T</v>
          </cell>
        </row>
        <row r="508">
          <cell r="D508" t="str">
            <v>462-40035001A</v>
          </cell>
        </row>
        <row r="509">
          <cell r="D509" t="str">
            <v>462-40035001A</v>
          </cell>
        </row>
        <row r="510">
          <cell r="D510" t="str">
            <v>462-40060001A</v>
          </cell>
        </row>
        <row r="511">
          <cell r="D511" t="str">
            <v>462-40060001A</v>
          </cell>
        </row>
        <row r="512">
          <cell r="D512" t="str">
            <v>462-40076001A</v>
          </cell>
        </row>
        <row r="513">
          <cell r="D513" t="str">
            <v>462-40076001A</v>
          </cell>
        </row>
        <row r="514">
          <cell r="D514" t="str">
            <v>462-40078001A</v>
          </cell>
        </row>
        <row r="515">
          <cell r="D515" t="str">
            <v>462-40078001A</v>
          </cell>
        </row>
        <row r="516">
          <cell r="D516" t="str">
            <v>462-50036001A</v>
          </cell>
        </row>
        <row r="517">
          <cell r="D517" t="str">
            <v>462-50036001A</v>
          </cell>
        </row>
        <row r="518">
          <cell r="D518" t="str">
            <v>462-50050001A</v>
          </cell>
        </row>
        <row r="519">
          <cell r="D519" t="str">
            <v>462-50050001A</v>
          </cell>
        </row>
        <row r="520">
          <cell r="D520" t="str">
            <v>461-30060002A</v>
          </cell>
        </row>
        <row r="521">
          <cell r="D521" t="str">
            <v>461-30060002A</v>
          </cell>
        </row>
        <row r="522">
          <cell r="D522" t="str">
            <v>A405F803DEX002B</v>
          </cell>
        </row>
        <row r="523">
          <cell r="D523" t="str">
            <v>A405F803DEX002B</v>
          </cell>
        </row>
        <row r="524">
          <cell r="D524" t="str">
            <v>A505F803DEX002B-1</v>
          </cell>
        </row>
        <row r="525">
          <cell r="D525" t="str">
            <v>A505F803DEX002B</v>
          </cell>
        </row>
        <row r="526">
          <cell r="D526" t="str">
            <v>A505F803DEX002B</v>
          </cell>
        </row>
        <row r="527">
          <cell r="D527" t="str">
            <v>BD101000340</v>
          </cell>
        </row>
        <row r="528">
          <cell r="D528" t="str">
            <v>BD101000340</v>
          </cell>
        </row>
        <row r="529">
          <cell r="D529" t="str">
            <v>CP齒條+輪組-CP5</v>
          </cell>
        </row>
        <row r="530">
          <cell r="D530" t="str">
            <v>TR54011-01</v>
          </cell>
        </row>
        <row r="531">
          <cell r="D531" t="str">
            <v>TR54012-01</v>
          </cell>
        </row>
        <row r="532">
          <cell r="D532" t="str">
            <v>TR54011-01</v>
          </cell>
        </row>
        <row r="533">
          <cell r="D533" t="str">
            <v>TR54012-01</v>
          </cell>
        </row>
        <row r="534">
          <cell r="D534" t="str">
            <v>TR54012-01</v>
          </cell>
        </row>
        <row r="535">
          <cell r="D535" t="str">
            <v>TR54011-01</v>
          </cell>
        </row>
        <row r="536">
          <cell r="D536" t="str">
            <v>MN25019</v>
          </cell>
        </row>
        <row r="537">
          <cell r="D537" t="str">
            <v>MN25019</v>
          </cell>
        </row>
        <row r="538">
          <cell r="D538" t="str">
            <v>MN25016</v>
          </cell>
        </row>
        <row r="539">
          <cell r="D539" t="str">
            <v>MN25019</v>
          </cell>
        </row>
        <row r="540">
          <cell r="D540" t="str">
            <v>MN32015-A</v>
          </cell>
        </row>
        <row r="541">
          <cell r="D541" t="str">
            <v>T28M15D19-01</v>
          </cell>
        </row>
        <row r="542">
          <cell r="D542" t="str">
            <v>GT2024-00100</v>
          </cell>
        </row>
        <row r="543">
          <cell r="D543" t="str">
            <v>GT2060-00201</v>
          </cell>
        </row>
        <row r="544">
          <cell r="D544" t="str">
            <v>GT3028-00100</v>
          </cell>
        </row>
        <row r="545">
          <cell r="D545" t="str">
            <v>GT3045-00100</v>
          </cell>
        </row>
        <row r="546">
          <cell r="D546" t="str">
            <v>GT3049-00100</v>
          </cell>
        </row>
        <row r="547">
          <cell r="D547" t="str">
            <v>MN50015</v>
          </cell>
        </row>
        <row r="548">
          <cell r="D548" t="str">
            <v>TR54017</v>
          </cell>
        </row>
        <row r="549">
          <cell r="D549" t="str">
            <v>MN25016</v>
          </cell>
        </row>
        <row r="550">
          <cell r="D550" t="str">
            <v>TR17016-E-01</v>
          </cell>
        </row>
        <row r="551">
          <cell r="D551" t="str">
            <v>TR17204</v>
          </cell>
        </row>
        <row r="552">
          <cell r="D552" t="str">
            <v>TR54018-C</v>
          </cell>
        </row>
        <row r="553">
          <cell r="D553" t="str">
            <v>TR54018-G</v>
          </cell>
        </row>
        <row r="554">
          <cell r="D554" t="str">
            <v>VB21005-A</v>
          </cell>
        </row>
        <row r="555">
          <cell r="D555" t="str">
            <v>VB21006</v>
          </cell>
        </row>
        <row r="556">
          <cell r="D556" t="str">
            <v>GT2032-00100</v>
          </cell>
        </row>
        <row r="557">
          <cell r="D557" t="str">
            <v>GT2036-00100</v>
          </cell>
        </row>
        <row r="558">
          <cell r="D558" t="str">
            <v>MN32015-A</v>
          </cell>
        </row>
        <row r="559">
          <cell r="D559" t="str">
            <v>MN32017/18A</v>
          </cell>
        </row>
        <row r="560">
          <cell r="D560" t="str">
            <v>MN32021-A-01</v>
          </cell>
        </row>
        <row r="561">
          <cell r="D561" t="str">
            <v>MN63A12</v>
          </cell>
        </row>
        <row r="562">
          <cell r="D562" t="str">
            <v>MN63A13</v>
          </cell>
        </row>
        <row r="563">
          <cell r="D563" t="str">
            <v>MN63006-01</v>
          </cell>
        </row>
        <row r="564">
          <cell r="D564" t="str">
            <v>T28M15D19-01</v>
          </cell>
        </row>
        <row r="565">
          <cell r="D565" t="str">
            <v>H3AA013B-1</v>
          </cell>
        </row>
        <row r="566">
          <cell r="D566" t="str">
            <v>TR54017</v>
          </cell>
        </row>
        <row r="567">
          <cell r="D567" t="str">
            <v>21060005171</v>
          </cell>
        </row>
        <row r="568">
          <cell r="D568" t="str">
            <v>21060005751</v>
          </cell>
        </row>
        <row r="569">
          <cell r="D569" t="str">
            <v>21060005851</v>
          </cell>
        </row>
        <row r="570">
          <cell r="D570" t="str">
            <v>HGHAN2002</v>
          </cell>
        </row>
        <row r="571">
          <cell r="D571" t="str">
            <v>HGHAN3002</v>
          </cell>
        </row>
        <row r="572">
          <cell r="D572" t="str">
            <v>HGHAN4003</v>
          </cell>
        </row>
        <row r="573">
          <cell r="D573" t="str">
            <v>HGHAN4004</v>
          </cell>
        </row>
        <row r="574">
          <cell r="D574" t="str">
            <v>HGHAN4005</v>
          </cell>
        </row>
        <row r="575">
          <cell r="D575" t="str">
            <v>HGHAN4006</v>
          </cell>
        </row>
        <row r="576">
          <cell r="D576" t="str">
            <v>HGHANA003</v>
          </cell>
        </row>
        <row r="577">
          <cell r="D577" t="str">
            <v>HGHANA004</v>
          </cell>
        </row>
        <row r="578">
          <cell r="D578" t="str">
            <v>HGHANA005</v>
          </cell>
        </row>
        <row r="579">
          <cell r="D579" t="str">
            <v>HGHDNJ002</v>
          </cell>
        </row>
        <row r="580">
          <cell r="D580" t="str">
            <v>HGHDNJ004</v>
          </cell>
        </row>
        <row r="581">
          <cell r="D581" t="str">
            <v>HGHDNJ005</v>
          </cell>
        </row>
        <row r="582">
          <cell r="D582" t="str">
            <v>HGHDNJ006</v>
          </cell>
        </row>
        <row r="583">
          <cell r="D583" t="str">
            <v>HGHDNJ007</v>
          </cell>
        </row>
        <row r="584">
          <cell r="D584" t="str">
            <v>21060004481</v>
          </cell>
        </row>
        <row r="585">
          <cell r="D585" t="str">
            <v>HGHDND000</v>
          </cell>
        </row>
        <row r="586">
          <cell r="D586" t="str">
            <v>HGHDNG000</v>
          </cell>
        </row>
        <row r="587">
          <cell r="D587" t="str">
            <v>HGHDNJ000</v>
          </cell>
        </row>
        <row r="588">
          <cell r="D588" t="str">
            <v>21060005751</v>
          </cell>
        </row>
        <row r="589">
          <cell r="D589" t="str">
            <v>HGHAN4003</v>
          </cell>
        </row>
        <row r="590">
          <cell r="D590" t="str">
            <v>HGHAN4004</v>
          </cell>
        </row>
        <row r="591">
          <cell r="D591" t="str">
            <v>HGHAN4005</v>
          </cell>
        </row>
        <row r="592">
          <cell r="D592" t="str">
            <v>HGHAN4006</v>
          </cell>
        </row>
        <row r="593">
          <cell r="D593" t="str">
            <v>HGHDNG000</v>
          </cell>
        </row>
        <row r="594">
          <cell r="D594" t="str">
            <v>M4-420T-36L</v>
          </cell>
        </row>
        <row r="595">
          <cell r="D595" t="str">
            <v>ENG-GEAR-003</v>
          </cell>
        </row>
        <row r="596">
          <cell r="D596" t="str">
            <v>ENG-GEAR-003J</v>
          </cell>
        </row>
        <row r="597">
          <cell r="D597" t="str">
            <v>ENG-GEAR-003L</v>
          </cell>
        </row>
        <row r="598">
          <cell r="D598" t="str">
            <v>ENG-GEAR-003Y</v>
          </cell>
        </row>
        <row r="599">
          <cell r="D599" t="str">
            <v>2103340250400</v>
          </cell>
        </row>
        <row r="600">
          <cell r="D600" t="str">
            <v>2094120120202</v>
          </cell>
        </row>
        <row r="601">
          <cell r="D601" t="str">
            <v>2123730070001</v>
          </cell>
        </row>
        <row r="602">
          <cell r="D602" t="str">
            <v>2103400240001</v>
          </cell>
        </row>
        <row r="603">
          <cell r="D603" t="str">
            <v>2103430230101</v>
          </cell>
        </row>
        <row r="604">
          <cell r="D604" t="str">
            <v>2103430230201</v>
          </cell>
        </row>
        <row r="605">
          <cell r="D605" t="str">
            <v>2103440180002</v>
          </cell>
        </row>
        <row r="606">
          <cell r="D606" t="str">
            <v>2090060120303</v>
          </cell>
        </row>
        <row r="607">
          <cell r="D607" t="str">
            <v>2103430230902</v>
          </cell>
        </row>
        <row r="608">
          <cell r="D608" t="str">
            <v>2094120110207</v>
          </cell>
        </row>
        <row r="609">
          <cell r="D609" t="str">
            <v>2094120120202</v>
          </cell>
        </row>
        <row r="610">
          <cell r="D610" t="str">
            <v>2123730070001</v>
          </cell>
        </row>
        <row r="611">
          <cell r="D611" t="str">
            <v>E2090330170000</v>
          </cell>
        </row>
        <row r="612">
          <cell r="D612" t="str">
            <v>2954360080100</v>
          </cell>
        </row>
        <row r="613">
          <cell r="D613" t="str">
            <v>2954480060101</v>
          </cell>
        </row>
        <row r="614">
          <cell r="D614" t="str">
            <v>E2090330040000</v>
          </cell>
        </row>
        <row r="615">
          <cell r="D615" t="str">
            <v>2103400240001</v>
          </cell>
        </row>
        <row r="616">
          <cell r="D616" t="str">
            <v>E2093350270001</v>
          </cell>
        </row>
        <row r="617">
          <cell r="D617" t="str">
            <v>2094120110207</v>
          </cell>
        </row>
        <row r="618">
          <cell r="D618" t="str">
            <v>2094120120202</v>
          </cell>
        </row>
        <row r="619">
          <cell r="D619" t="str">
            <v>2953710030000</v>
          </cell>
        </row>
        <row r="620">
          <cell r="D620" t="str">
            <v>E2093340040001</v>
          </cell>
        </row>
        <row r="621">
          <cell r="D621" t="str">
            <v>2094120110207</v>
          </cell>
        </row>
        <row r="622">
          <cell r="D622" t="str">
            <v>2094120120202</v>
          </cell>
        </row>
        <row r="623">
          <cell r="D623" t="str">
            <v>E2093350110001</v>
          </cell>
        </row>
        <row r="624">
          <cell r="D624" t="str">
            <v>2094120110207</v>
          </cell>
        </row>
        <row r="625">
          <cell r="D625" t="str">
            <v>2094120120202</v>
          </cell>
        </row>
        <row r="626">
          <cell r="D626" t="str">
            <v>2090060120303</v>
          </cell>
        </row>
        <row r="627">
          <cell r="D627" t="str">
            <v>JKGF03764L</v>
          </cell>
        </row>
        <row r="628">
          <cell r="D628" t="str">
            <v>LKNC040012022</v>
          </cell>
        </row>
        <row r="629">
          <cell r="D629" t="str">
            <v>JKGASS17R2</v>
          </cell>
        </row>
        <row r="630">
          <cell r="D630" t="str">
            <v>KKYM16302811</v>
          </cell>
        </row>
        <row r="631">
          <cell r="D631" t="str">
            <v>JKGF06780L</v>
          </cell>
        </row>
        <row r="632">
          <cell r="D632" t="str">
            <v>LKNC152060L22</v>
          </cell>
        </row>
        <row r="633">
          <cell r="D633" t="str">
            <v>JKGASS24R</v>
          </cell>
        </row>
        <row r="634">
          <cell r="D634" t="str">
            <v>PGNX110D-M</v>
          </cell>
        </row>
        <row r="635">
          <cell r="D635" t="str">
            <v>KKYM16301913</v>
          </cell>
        </row>
        <row r="636">
          <cell r="D636" t="str">
            <v>JKYM11001611</v>
          </cell>
        </row>
        <row r="637">
          <cell r="D637" t="str">
            <v>KKYC14005821</v>
          </cell>
        </row>
        <row r="638">
          <cell r="D638" t="str">
            <v>KKYC14006521</v>
          </cell>
        </row>
        <row r="639">
          <cell r="D639" t="str">
            <v>KKYM16302811</v>
          </cell>
        </row>
        <row r="640">
          <cell r="D640" t="str">
            <v>KKYM20003311</v>
          </cell>
        </row>
        <row r="641">
          <cell r="D641" t="str">
            <v>JKKF06781L</v>
          </cell>
        </row>
        <row r="642">
          <cell r="D642" t="str">
            <v>JKGE08713R</v>
          </cell>
        </row>
        <row r="643">
          <cell r="D643" t="str">
            <v>JKKE06716R</v>
          </cell>
        </row>
        <row r="644">
          <cell r="D644" t="str">
            <v>JKGC04718L1</v>
          </cell>
        </row>
        <row r="645">
          <cell r="D645" t="str">
            <v>JKGD04794R</v>
          </cell>
        </row>
        <row r="646">
          <cell r="D646" t="str">
            <v>JKGD04770R</v>
          </cell>
        </row>
        <row r="647">
          <cell r="D647" t="str">
            <v>JKGF06780L</v>
          </cell>
        </row>
        <row r="648">
          <cell r="D648" t="str">
            <v>JKGF06754L</v>
          </cell>
        </row>
        <row r="649">
          <cell r="D649" t="str">
            <v>JKGC03715L1</v>
          </cell>
        </row>
        <row r="650">
          <cell r="D650" t="str">
            <v>JKGC04718L1</v>
          </cell>
        </row>
        <row r="651">
          <cell r="D651" t="str">
            <v>JKGF03788L</v>
          </cell>
        </row>
        <row r="652">
          <cell r="D652" t="str">
            <v>JKGA1420R1</v>
          </cell>
        </row>
        <row r="653">
          <cell r="D653" t="str">
            <v>H2S5-02-D1</v>
          </cell>
        </row>
        <row r="654">
          <cell r="D654" t="str">
            <v>JKGASS13R3</v>
          </cell>
        </row>
        <row r="655">
          <cell r="D655" t="str">
            <v>JKGC04719L1</v>
          </cell>
        </row>
        <row r="656">
          <cell r="D656" t="str">
            <v>JKGE07723R</v>
          </cell>
        </row>
        <row r="657">
          <cell r="D657" t="str">
            <v>JKGE09716R</v>
          </cell>
        </row>
        <row r="658">
          <cell r="D658" t="str">
            <v>JKGE09716R</v>
          </cell>
        </row>
        <row r="659">
          <cell r="D659" t="str">
            <v>JKKE03720R-1</v>
          </cell>
        </row>
        <row r="660">
          <cell r="D660" t="str">
            <v>JKGB03749L</v>
          </cell>
        </row>
        <row r="661">
          <cell r="D661" t="str">
            <v>JKGE03719R</v>
          </cell>
        </row>
        <row r="662">
          <cell r="D662" t="str">
            <v>KKYC36011521</v>
          </cell>
        </row>
        <row r="663">
          <cell r="D663" t="str">
            <v>KKYM36002411</v>
          </cell>
        </row>
        <row r="664">
          <cell r="D664" t="str">
            <v>JKGB07790L</v>
          </cell>
        </row>
        <row r="665">
          <cell r="D665" t="str">
            <v>KKYC11007121</v>
          </cell>
        </row>
        <row r="666">
          <cell r="D666" t="str">
            <v>KKYM11001611</v>
          </cell>
        </row>
        <row r="667">
          <cell r="D667" t="str">
            <v>KKYM12201611</v>
          </cell>
        </row>
        <row r="668">
          <cell r="D668" t="str">
            <v>KKYM14001611</v>
          </cell>
        </row>
        <row r="669">
          <cell r="D669" t="str">
            <v>KKYM16301913</v>
          </cell>
        </row>
        <row r="670">
          <cell r="D670" t="str">
            <v>KKYD28601421</v>
          </cell>
        </row>
        <row r="671">
          <cell r="D671" t="str">
            <v>KKYM12202311-1</v>
          </cell>
        </row>
        <row r="672">
          <cell r="D672" t="str">
            <v>KKYM28602113</v>
          </cell>
        </row>
        <row r="673">
          <cell r="D673" t="str">
            <v>JKKE04721R</v>
          </cell>
        </row>
        <row r="674">
          <cell r="D674" t="str">
            <v>JKGA2225R</v>
          </cell>
        </row>
        <row r="675">
          <cell r="D675" t="str">
            <v>JKGB07751L</v>
          </cell>
        </row>
        <row r="676">
          <cell r="D676" t="str">
            <v>KKYD16301421</v>
          </cell>
        </row>
        <row r="677">
          <cell r="D677" t="str">
            <v>KKYC32207011</v>
          </cell>
        </row>
        <row r="678">
          <cell r="D678" t="str">
            <v>KKYC32208121</v>
          </cell>
        </row>
        <row r="679">
          <cell r="D679" t="str">
            <v>KKYD11001521</v>
          </cell>
        </row>
        <row r="680">
          <cell r="D680" t="str">
            <v>JKGB09763L1</v>
          </cell>
        </row>
        <row r="681">
          <cell r="D681" t="str">
            <v>KKYC20008421</v>
          </cell>
        </row>
        <row r="682">
          <cell r="D682" t="str">
            <v>KKYC24707511</v>
          </cell>
        </row>
        <row r="683">
          <cell r="D683" t="str">
            <v>KKYC24710021-1</v>
          </cell>
        </row>
        <row r="684">
          <cell r="D684" t="str">
            <v>KKYC28607711</v>
          </cell>
        </row>
        <row r="685">
          <cell r="D685" t="str">
            <v>KKYC28609521</v>
          </cell>
        </row>
        <row r="686">
          <cell r="D686" t="str">
            <v>KKYM14002311</v>
          </cell>
        </row>
        <row r="687">
          <cell r="D687" t="str">
            <v>KKYM14002411</v>
          </cell>
        </row>
        <row r="688">
          <cell r="D688" t="str">
            <v>JKGC03715L1</v>
          </cell>
        </row>
        <row r="689">
          <cell r="D689" t="str">
            <v>JKGE03715R</v>
          </cell>
        </row>
        <row r="690">
          <cell r="D690" t="str">
            <v>JKGE06715R</v>
          </cell>
        </row>
        <row r="691">
          <cell r="D691" t="str">
            <v>JKGE04721R</v>
          </cell>
        </row>
        <row r="692">
          <cell r="D692" t="str">
            <v>JKGB03742L</v>
          </cell>
        </row>
        <row r="693">
          <cell r="D693" t="str">
            <v>JKGB06747L</v>
          </cell>
        </row>
        <row r="694">
          <cell r="D694" t="str">
            <v>JKGD09773R2</v>
          </cell>
        </row>
        <row r="695">
          <cell r="D695" t="str">
            <v>JKGD04794R</v>
          </cell>
        </row>
        <row r="696">
          <cell r="D696" t="str">
            <v>KKYM14002811</v>
          </cell>
        </row>
        <row r="697">
          <cell r="D697" t="str">
            <v>JKGE04717R</v>
          </cell>
        </row>
        <row r="698">
          <cell r="D698" t="str">
            <v>KKYM28602113</v>
          </cell>
        </row>
        <row r="699">
          <cell r="D699" t="str">
            <v>JKGASS19R</v>
          </cell>
        </row>
        <row r="700">
          <cell r="D700" t="str">
            <v>JKGE10717R</v>
          </cell>
        </row>
        <row r="701">
          <cell r="D701" t="str">
            <v>JKGASS22R</v>
          </cell>
        </row>
        <row r="702">
          <cell r="D702" t="str">
            <v>JKGASS25R</v>
          </cell>
        </row>
        <row r="703">
          <cell r="D703" t="str">
            <v>JKGB01737L</v>
          </cell>
        </row>
        <row r="704">
          <cell r="D704" t="str">
            <v>JKGA01718R</v>
          </cell>
        </row>
        <row r="705">
          <cell r="D705" t="str">
            <v>JKGA1425R-S</v>
          </cell>
        </row>
        <row r="706">
          <cell r="D706" t="str">
            <v>JKGA1824R</v>
          </cell>
        </row>
        <row r="707">
          <cell r="D707" t="str">
            <v>JKGASS20R</v>
          </cell>
        </row>
        <row r="708">
          <cell r="D708" t="str">
            <v>JKGASS20R1</v>
          </cell>
        </row>
        <row r="709">
          <cell r="D709" t="str">
            <v>JKGASS24R</v>
          </cell>
        </row>
        <row r="710">
          <cell r="D710" t="str">
            <v>JKGB03750L-S</v>
          </cell>
        </row>
        <row r="711">
          <cell r="D711" t="str">
            <v>JKGB03768L</v>
          </cell>
        </row>
        <row r="712">
          <cell r="D712" t="str">
            <v>JKGB03771L</v>
          </cell>
        </row>
        <row r="713">
          <cell r="D713" t="str">
            <v>JKGE05721R</v>
          </cell>
        </row>
        <row r="714">
          <cell r="D714" t="str">
            <v>JKGA1621R</v>
          </cell>
        </row>
        <row r="715">
          <cell r="D715" t="str">
            <v>JKGE08722R</v>
          </cell>
        </row>
        <row r="716">
          <cell r="D716" t="str">
            <v>JKGB08753L-S</v>
          </cell>
        </row>
        <row r="717">
          <cell r="D717" t="str">
            <v>KKYD11001521</v>
          </cell>
        </row>
        <row r="718">
          <cell r="D718" t="str">
            <v>KKYC32208121</v>
          </cell>
        </row>
        <row r="719">
          <cell r="D719" t="str">
            <v>JKGC04719L1</v>
          </cell>
        </row>
        <row r="720">
          <cell r="D720" t="str">
            <v>JKGB08740L-S</v>
          </cell>
        </row>
        <row r="721">
          <cell r="D721" t="str">
            <v>KKYC14005821</v>
          </cell>
        </row>
        <row r="722">
          <cell r="D722" t="str">
            <v>KKYC14006521</v>
          </cell>
        </row>
        <row r="723">
          <cell r="D723" t="str">
            <v>JKGF03788L</v>
          </cell>
        </row>
        <row r="724">
          <cell r="D724" t="str">
            <v>JKGB04749L</v>
          </cell>
        </row>
        <row r="725">
          <cell r="D725" t="str">
            <v>JKGE06715R</v>
          </cell>
        </row>
        <row r="726">
          <cell r="D726" t="str">
            <v>JKGC03715L1</v>
          </cell>
        </row>
        <row r="727">
          <cell r="D727" t="str">
            <v>KKYC28607711</v>
          </cell>
        </row>
        <row r="728">
          <cell r="D728" t="str">
            <v>JKGF07756L</v>
          </cell>
        </row>
        <row r="729">
          <cell r="D729" t="str">
            <v>KKYC20008421</v>
          </cell>
        </row>
        <row r="730">
          <cell r="D730" t="str">
            <v>KKYM12202311-1</v>
          </cell>
        </row>
        <row r="731">
          <cell r="D731" t="str">
            <v>JKGF03764L</v>
          </cell>
        </row>
        <row r="732">
          <cell r="D732" t="str">
            <v>JKGD04794R</v>
          </cell>
        </row>
        <row r="733">
          <cell r="D733" t="str">
            <v>JKKE06714R</v>
          </cell>
        </row>
        <row r="734">
          <cell r="D734" t="str">
            <v>JKGB09763L1</v>
          </cell>
        </row>
        <row r="735">
          <cell r="D735" t="str">
            <v>JKGA01715R</v>
          </cell>
        </row>
        <row r="736">
          <cell r="D736" t="str">
            <v>JKGA01718R</v>
          </cell>
        </row>
        <row r="737">
          <cell r="D737" t="str">
            <v>JKGA1425R-S</v>
          </cell>
        </row>
        <row r="738">
          <cell r="D738" t="str">
            <v>JKGA1824R</v>
          </cell>
        </row>
        <row r="739">
          <cell r="D739" t="str">
            <v>JKGASS19R</v>
          </cell>
        </row>
        <row r="740">
          <cell r="D740" t="str">
            <v>JKGASS20R</v>
          </cell>
        </row>
        <row r="741">
          <cell r="D741" t="str">
            <v>JKGASS20R1</v>
          </cell>
        </row>
        <row r="742">
          <cell r="D742" t="str">
            <v>JKGASS24R</v>
          </cell>
        </row>
        <row r="743">
          <cell r="D743" t="str">
            <v>JKGASS25R</v>
          </cell>
        </row>
        <row r="744">
          <cell r="D744" t="str">
            <v>JKGB01737L</v>
          </cell>
        </row>
        <row r="745">
          <cell r="D745" t="str">
            <v>JKGB03750L-S</v>
          </cell>
        </row>
        <row r="746">
          <cell r="D746" t="str">
            <v>JKGB03768L</v>
          </cell>
        </row>
        <row r="747">
          <cell r="D747" t="str">
            <v>JKGB03771L</v>
          </cell>
        </row>
        <row r="748">
          <cell r="D748" t="str">
            <v>JKGB04766L</v>
          </cell>
        </row>
        <row r="749">
          <cell r="D749" t="str">
            <v>JKGE04717R</v>
          </cell>
        </row>
        <row r="750">
          <cell r="D750" t="str">
            <v>JKKE07717R</v>
          </cell>
        </row>
        <row r="751">
          <cell r="D751" t="str">
            <v>JKGE08722R</v>
          </cell>
        </row>
        <row r="752">
          <cell r="D752" t="str">
            <v>JKGE04721R</v>
          </cell>
        </row>
        <row r="753">
          <cell r="D753" t="str">
            <v>JKGE03715R</v>
          </cell>
        </row>
        <row r="754">
          <cell r="D754" t="str">
            <v>JKGB04769L</v>
          </cell>
        </row>
        <row r="755">
          <cell r="D755" t="str">
            <v>JKGE06715R</v>
          </cell>
        </row>
        <row r="756">
          <cell r="D756" t="str">
            <v>JKGF08751L</v>
          </cell>
        </row>
        <row r="757">
          <cell r="D757" t="str">
            <v>KKYC14005821</v>
          </cell>
        </row>
        <row r="758">
          <cell r="D758" t="str">
            <v>KKYC14006521</v>
          </cell>
        </row>
        <row r="759">
          <cell r="D759" t="str">
            <v>KKYM16301913</v>
          </cell>
        </row>
        <row r="760">
          <cell r="D760" t="str">
            <v>KKYC24707511</v>
          </cell>
        </row>
        <row r="761">
          <cell r="D761" t="str">
            <v>KKYM14002311</v>
          </cell>
        </row>
        <row r="762">
          <cell r="D762" t="str">
            <v>JKGD08775R2</v>
          </cell>
        </row>
        <row r="763">
          <cell r="D763" t="str">
            <v>KKYC36011521</v>
          </cell>
        </row>
        <row r="764">
          <cell r="D764" t="str">
            <v>KKYM36002411</v>
          </cell>
        </row>
        <row r="765">
          <cell r="D765" t="str">
            <v>JKGC03715L1</v>
          </cell>
        </row>
        <row r="766">
          <cell r="D766" t="str">
            <v>JKGE08713R</v>
          </cell>
        </row>
        <row r="767">
          <cell r="D767" t="str">
            <v>KKYC20008421</v>
          </cell>
        </row>
        <row r="768">
          <cell r="D768" t="str">
            <v>JKGE03719R</v>
          </cell>
        </row>
        <row r="769">
          <cell r="D769" t="str">
            <v>KKYM12202311-1</v>
          </cell>
        </row>
        <row r="770">
          <cell r="D770" t="str">
            <v>KKYC28609521</v>
          </cell>
        </row>
        <row r="771">
          <cell r="D771" t="str">
            <v>JKGD04770R</v>
          </cell>
        </row>
        <row r="772">
          <cell r="D772" t="str">
            <v>JKGF06780L</v>
          </cell>
        </row>
        <row r="773">
          <cell r="D773" t="str">
            <v>JKGC04718L1</v>
          </cell>
        </row>
        <row r="774">
          <cell r="D774" t="str">
            <v>JKGF06754L</v>
          </cell>
        </row>
        <row r="775">
          <cell r="D775" t="str">
            <v>JKGB09763L1</v>
          </cell>
        </row>
        <row r="776">
          <cell r="D776" t="str">
            <v>KKYM14001611</v>
          </cell>
        </row>
        <row r="777">
          <cell r="D777" t="str">
            <v>KKYC14006521</v>
          </cell>
        </row>
        <row r="778">
          <cell r="D778" t="str">
            <v>KKYC28607711</v>
          </cell>
        </row>
        <row r="779">
          <cell r="D779" t="str">
            <v>KKYC14005821</v>
          </cell>
        </row>
        <row r="780">
          <cell r="D780" t="str">
            <v>JKGC03715L1</v>
          </cell>
        </row>
        <row r="781">
          <cell r="D781" t="str">
            <v>JKGE07723R</v>
          </cell>
        </row>
        <row r="782">
          <cell r="D782" t="str">
            <v>KKYC24707511</v>
          </cell>
        </row>
        <row r="783">
          <cell r="D783" t="str">
            <v>JKGC04719L1</v>
          </cell>
        </row>
        <row r="784">
          <cell r="D784" t="str">
            <v>JKGE04721R</v>
          </cell>
        </row>
        <row r="785">
          <cell r="D785" t="str">
            <v>JKGE06715R</v>
          </cell>
        </row>
        <row r="786">
          <cell r="D786" t="str">
            <v>KKYM12202311-1</v>
          </cell>
        </row>
        <row r="787">
          <cell r="D787" t="str">
            <v>KKYC20008421</v>
          </cell>
        </row>
        <row r="788">
          <cell r="D788" t="str">
            <v>KKYC24710021-1</v>
          </cell>
        </row>
        <row r="789">
          <cell r="D789" t="str">
            <v>KKYC24707511</v>
          </cell>
        </row>
        <row r="790">
          <cell r="D790" t="str">
            <v>JKGB03749L</v>
          </cell>
        </row>
        <row r="791">
          <cell r="D791" t="str">
            <v>JKGC04718L1</v>
          </cell>
        </row>
        <row r="792">
          <cell r="D792" t="str">
            <v>KKYC11007121</v>
          </cell>
        </row>
        <row r="793">
          <cell r="D793" t="str">
            <v>KKYM14002311</v>
          </cell>
        </row>
        <row r="794">
          <cell r="D794" t="str">
            <v>JKGASS13R3</v>
          </cell>
        </row>
        <row r="795">
          <cell r="D795" t="str">
            <v>JKGB09763L1</v>
          </cell>
        </row>
        <row r="796">
          <cell r="D796" t="str">
            <v>JKGE03719R</v>
          </cell>
        </row>
        <row r="797">
          <cell r="D797" t="str">
            <v>KKYD28601421</v>
          </cell>
        </row>
        <row r="798">
          <cell r="D798" t="str">
            <v>JKGC04718L1</v>
          </cell>
        </row>
        <row r="799">
          <cell r="D799" t="str">
            <v>JKGD08775R2</v>
          </cell>
        </row>
        <row r="800">
          <cell r="D800" t="str">
            <v>KKYC28609521</v>
          </cell>
        </row>
        <row r="801">
          <cell r="D801" t="str">
            <v>KKYM16301913</v>
          </cell>
        </row>
        <row r="802">
          <cell r="D802" t="str">
            <v>KKYC24710021-1</v>
          </cell>
        </row>
        <row r="803">
          <cell r="D803" t="str">
            <v>JKGE08713R</v>
          </cell>
        </row>
        <row r="804">
          <cell r="D804" t="str">
            <v>JKGA1422R</v>
          </cell>
        </row>
        <row r="805">
          <cell r="D805" t="str">
            <v>KKYM12201611</v>
          </cell>
        </row>
        <row r="806">
          <cell r="D806" t="str">
            <v>KKYM12202311-1</v>
          </cell>
        </row>
        <row r="807">
          <cell r="D807" t="str">
            <v>KKYC28607711</v>
          </cell>
        </row>
        <row r="808">
          <cell r="D808" t="str">
            <v>KKYM20003311</v>
          </cell>
        </row>
        <row r="809">
          <cell r="D809" t="str">
            <v>JKGC04718L1</v>
          </cell>
        </row>
        <row r="810">
          <cell r="D810" t="str">
            <v>JKGB09763L1</v>
          </cell>
        </row>
        <row r="811">
          <cell r="D811" t="str">
            <v>JKGE03719R</v>
          </cell>
        </row>
        <row r="812">
          <cell r="D812" t="str">
            <v>KKYM14001611</v>
          </cell>
        </row>
        <row r="813">
          <cell r="D813" t="str">
            <v>JKGB07790L</v>
          </cell>
        </row>
        <row r="814">
          <cell r="D814" t="str">
            <v>JKKE06716R</v>
          </cell>
        </row>
        <row r="815">
          <cell r="D815" t="str">
            <v>KKYC11007121</v>
          </cell>
        </row>
        <row r="816">
          <cell r="D816" t="str">
            <v>KKYM11001611</v>
          </cell>
        </row>
        <row r="817">
          <cell r="D817" t="str">
            <v>KKYM14002311</v>
          </cell>
        </row>
        <row r="818">
          <cell r="D818" t="str">
            <v>KKYC24710021-1</v>
          </cell>
        </row>
        <row r="819">
          <cell r="D819" t="str">
            <v>JKGASS22R</v>
          </cell>
        </row>
        <row r="820">
          <cell r="D820" t="str">
            <v>KKYC11007121</v>
          </cell>
        </row>
        <row r="821">
          <cell r="D821" t="str">
            <v>KKYM11001611</v>
          </cell>
        </row>
        <row r="822">
          <cell r="D822" t="str">
            <v>KKYM11001611</v>
          </cell>
        </row>
        <row r="823">
          <cell r="D823" t="str">
            <v>JKGD08775R2</v>
          </cell>
        </row>
        <row r="824">
          <cell r="D824" t="str">
            <v>JKGB09763L1</v>
          </cell>
        </row>
        <row r="825">
          <cell r="D825" t="str">
            <v>KKYC28609521</v>
          </cell>
        </row>
        <row r="826">
          <cell r="D826" t="str">
            <v>JKGE08713R</v>
          </cell>
        </row>
        <row r="827">
          <cell r="D827" t="str">
            <v>KKYM16301913</v>
          </cell>
        </row>
        <row r="828">
          <cell r="D828" t="str">
            <v>201102500520001A</v>
          </cell>
        </row>
        <row r="829">
          <cell r="D829" t="str">
            <v>201202500270001A</v>
          </cell>
        </row>
        <row r="830">
          <cell r="D830" t="str">
            <v>501103000450001A</v>
          </cell>
        </row>
        <row r="831">
          <cell r="D831" t="str">
            <v>501103000670001A</v>
          </cell>
        </row>
        <row r="832">
          <cell r="D832" t="str">
            <v>LC01-LB63032-2020000</v>
          </cell>
        </row>
        <row r="833">
          <cell r="D833" t="str">
            <v>LC01-LB63032-2020000</v>
          </cell>
        </row>
        <row r="834">
          <cell r="D834" t="str">
            <v>HH02-HB50060-306000D</v>
          </cell>
        </row>
        <row r="835">
          <cell r="D835" t="str">
            <v>HH02-HB50060-307000E</v>
          </cell>
        </row>
        <row r="836">
          <cell r="D836" t="str">
            <v>LC01-LB63032-2030000</v>
          </cell>
        </row>
        <row r="837">
          <cell r="D837" t="str">
            <v>LC01-LB63032-2020000</v>
          </cell>
        </row>
        <row r="838">
          <cell r="D838" t="str">
            <v>HH02-HB50060-308000D</v>
          </cell>
        </row>
        <row r="839">
          <cell r="D839" t="str">
            <v>LC01-LB63032-2030000</v>
          </cell>
        </row>
        <row r="840">
          <cell r="D840" t="str">
            <v>HSAN-HB50040-1060000</v>
          </cell>
        </row>
        <row r="841">
          <cell r="D841" t="str">
            <v>HSE8-HB50040-2060000</v>
          </cell>
        </row>
        <row r="842">
          <cell r="D842" t="str">
            <v>6P3A-LB63040-1030000</v>
          </cell>
        </row>
        <row r="843">
          <cell r="D843" t="str">
            <v>6P3A-LB63040-1030000</v>
          </cell>
        </row>
        <row r="844">
          <cell r="D844" t="str">
            <v>HH02-HB50060-306000D</v>
          </cell>
        </row>
        <row r="845">
          <cell r="D845" t="str">
            <v>HH02-HB50060-308000D</v>
          </cell>
        </row>
        <row r="846">
          <cell r="D846" t="str">
            <v>HH02-HB50060-309000D</v>
          </cell>
        </row>
        <row r="847">
          <cell r="D847" t="str">
            <v>HH02-HB50060-307000E</v>
          </cell>
        </row>
        <row r="848">
          <cell r="D848" t="str">
            <v>6P3A-LB63040-1020000</v>
          </cell>
        </row>
        <row r="849">
          <cell r="D849" t="str">
            <v>6P3A-LB63040-1020000</v>
          </cell>
        </row>
        <row r="850">
          <cell r="D850" t="str">
            <v>HSBH-HB40090-1060000</v>
          </cell>
        </row>
        <row r="851">
          <cell r="D851" t="str">
            <v>HH02-HB50060-309000D</v>
          </cell>
        </row>
        <row r="852">
          <cell r="D852" t="str">
            <v>ME20-HM40020-00006M0</v>
          </cell>
        </row>
        <row r="853">
          <cell r="D853" t="str">
            <v>ME20-HM40020-00007M0</v>
          </cell>
        </row>
        <row r="854">
          <cell r="D854" t="str">
            <v>ME20-HM40020-00008M0</v>
          </cell>
        </row>
        <row r="855">
          <cell r="D855" t="str">
            <v>HH02-HB50060-306000D</v>
          </cell>
        </row>
        <row r="856">
          <cell r="D856" t="str">
            <v>HH02-HB50060-307000E</v>
          </cell>
        </row>
        <row r="857">
          <cell r="D857" t="str">
            <v>HH02-HB50060-308000D</v>
          </cell>
        </row>
        <row r="858">
          <cell r="D858" t="str">
            <v>HH02-HB50060-309000D</v>
          </cell>
        </row>
        <row r="859">
          <cell r="D859" t="str">
            <v>HH02-HB50060-306000D</v>
          </cell>
        </row>
        <row r="860">
          <cell r="D860" t="str">
            <v>HH02-HB50060-307000E</v>
          </cell>
        </row>
        <row r="861">
          <cell r="D861" t="str">
            <v>HH02-HB50060-308000D</v>
          </cell>
        </row>
        <row r="862">
          <cell r="D862" t="str">
            <v>HH02-HB50060-309000D</v>
          </cell>
        </row>
        <row r="863">
          <cell r="D863" t="str">
            <v>HH02-HB50060-306000D</v>
          </cell>
        </row>
        <row r="864">
          <cell r="D864" t="str">
            <v>HH02-HB50060-307000E</v>
          </cell>
        </row>
        <row r="865">
          <cell r="D865" t="str">
            <v>HH02-HB50060-308000D</v>
          </cell>
        </row>
        <row r="866">
          <cell r="D866" t="str">
            <v>HH02-HB50060-309000D</v>
          </cell>
        </row>
        <row r="867">
          <cell r="D867" t="str">
            <v>HH02-HB50060-308000D</v>
          </cell>
        </row>
        <row r="868">
          <cell r="D868" t="str">
            <v>HH02-HB50060-309000D</v>
          </cell>
        </row>
        <row r="869">
          <cell r="D869" t="str">
            <v>ZZZ</v>
          </cell>
        </row>
        <row r="870">
          <cell r="D870" t="str">
            <v>ANT-181302</v>
          </cell>
        </row>
        <row r="871">
          <cell r="D871" t="str">
            <v>121481</v>
          </cell>
        </row>
        <row r="872">
          <cell r="D872" t="str">
            <v>RT664-344</v>
          </cell>
        </row>
        <row r="873">
          <cell r="D873" t="str">
            <v>RT664-344</v>
          </cell>
        </row>
        <row r="874">
          <cell r="D874" t="str">
            <v>RT664-344</v>
          </cell>
        </row>
        <row r="875">
          <cell r="D875" t="str">
            <v>ANT-181302</v>
          </cell>
        </row>
        <row r="876">
          <cell r="D876" t="str">
            <v>ANT-181302</v>
          </cell>
        </row>
        <row r="877">
          <cell r="D877" t="str">
            <v>RT664-344</v>
          </cell>
        </row>
        <row r="878">
          <cell r="D878" t="str">
            <v>23441-18S-00_C1</v>
          </cell>
        </row>
        <row r="879">
          <cell r="D879" t="str">
            <v>RT664-344</v>
          </cell>
        </row>
        <row r="880">
          <cell r="D880" t="str">
            <v>970</v>
          </cell>
        </row>
        <row r="881">
          <cell r="D881" t="str">
            <v>971</v>
          </cell>
        </row>
        <row r="882">
          <cell r="D882" t="str">
            <v>972</v>
          </cell>
        </row>
        <row r="883">
          <cell r="D883" t="str">
            <v>973</v>
          </cell>
        </row>
        <row r="884">
          <cell r="D884" t="str">
            <v>RACK6M450C39400</v>
          </cell>
        </row>
        <row r="885">
          <cell r="D885" t="str">
            <v>RACK4M420C39400</v>
          </cell>
        </row>
        <row r="886">
          <cell r="D886" t="str">
            <v>HG51T</v>
          </cell>
        </row>
        <row r="887">
          <cell r="D887" t="str">
            <v>直邊栓槽滾齒刀廠牌:</v>
          </cell>
        </row>
        <row r="888">
          <cell r="D888" t="str">
            <v>gear shaft</v>
          </cell>
        </row>
        <row r="889">
          <cell r="D889" t="str">
            <v>HG17T</v>
          </cell>
        </row>
        <row r="890">
          <cell r="D890" t="str">
            <v>gear shaft</v>
          </cell>
        </row>
        <row r="891">
          <cell r="D891" t="str">
            <v>CUTTER</v>
          </cell>
        </row>
        <row r="892">
          <cell r="D892" t="str">
            <v>YDH950-1115B</v>
          </cell>
        </row>
        <row r="893">
          <cell r="D893" t="str">
            <v>YDH950-1116A</v>
          </cell>
        </row>
        <row r="894">
          <cell r="D894" t="str">
            <v>YDH950-1118C</v>
          </cell>
        </row>
        <row r="895">
          <cell r="D895" t="str">
            <v>YDH210A-1110-2A</v>
          </cell>
        </row>
        <row r="896">
          <cell r="D896" t="str">
            <v>YDH210A-2109A</v>
          </cell>
        </row>
        <row r="897">
          <cell r="D897" t="str">
            <v>YYG260-1122</v>
          </cell>
        </row>
        <row r="898">
          <cell r="D898" t="str">
            <v>YYG260-1123</v>
          </cell>
        </row>
        <row r="899">
          <cell r="D899" t="str">
            <v>XW85-1111C</v>
          </cell>
        </row>
        <row r="900">
          <cell r="D900" t="str">
            <v>XW85-1112-1A</v>
          </cell>
        </row>
        <row r="901">
          <cell r="D901" t="str">
            <v>56-02-008</v>
          </cell>
        </row>
        <row r="902">
          <cell r="D902" t="str">
            <v>SP-5501677951</v>
          </cell>
        </row>
        <row r="903">
          <cell r="D903" t="str">
            <v>DH429L-5</v>
          </cell>
        </row>
        <row r="904">
          <cell r="D904" t="str">
            <v>F-DH416F-5</v>
          </cell>
        </row>
        <row r="905">
          <cell r="D905" t="str">
            <v>MG-DH416J-3</v>
          </cell>
        </row>
        <row r="906">
          <cell r="D906" t="str">
            <v>HG3010R</v>
          </cell>
        </row>
        <row r="907">
          <cell r="D907" t="str">
            <v>HG3008L</v>
          </cell>
        </row>
        <row r="908">
          <cell r="D908" t="str">
            <v>HG3009R</v>
          </cell>
        </row>
        <row r="909">
          <cell r="D909" t="str">
            <v>HG3010R</v>
          </cell>
        </row>
        <row r="910">
          <cell r="D910" t="str">
            <v>HA3019A</v>
          </cell>
        </row>
        <row r="911">
          <cell r="D911" t="str">
            <v>HA3022A</v>
          </cell>
        </row>
        <row r="912">
          <cell r="D912" t="str">
            <v>M2*270T</v>
          </cell>
        </row>
        <row r="913">
          <cell r="D913" t="str">
            <v>1301016700002</v>
          </cell>
        </row>
        <row r="914">
          <cell r="D914" t="str">
            <v>525-08-039.039M</v>
          </cell>
        </row>
        <row r="915">
          <cell r="D915" t="str">
            <v>525-08-036</v>
          </cell>
        </row>
        <row r="916">
          <cell r="D916" t="str">
            <v>525-08-039.039M</v>
          </cell>
        </row>
        <row r="917">
          <cell r="D917" t="str">
            <v>606-05-358S</v>
          </cell>
        </row>
        <row r="918">
          <cell r="D918" t="str">
            <v>HOB</v>
          </cell>
        </row>
        <row r="919">
          <cell r="D919" t="str">
            <v>WHEEL</v>
          </cell>
        </row>
        <row r="920">
          <cell r="D920" t="str">
            <v>AC080070</v>
          </cell>
        </row>
        <row r="921">
          <cell r="D921" t="str">
            <v>AC080660</v>
          </cell>
        </row>
        <row r="922">
          <cell r="D922" t="str">
            <v>AC08067</v>
          </cell>
        </row>
        <row r="923">
          <cell r="D923" t="str">
            <v>AC08068</v>
          </cell>
        </row>
        <row r="924">
          <cell r="D924" t="str">
            <v>Y-11A</v>
          </cell>
        </row>
        <row r="925">
          <cell r="D925" t="str">
            <v>Y-11B</v>
          </cell>
        </row>
        <row r="926">
          <cell r="D926" t="str">
            <v>Y-11C</v>
          </cell>
        </row>
        <row r="927">
          <cell r="D927" t="str">
            <v>Y-11D</v>
          </cell>
        </row>
        <row r="928">
          <cell r="D928" t="str">
            <v>DH32-2009</v>
          </cell>
        </row>
        <row r="929">
          <cell r="D929" t="str">
            <v>20F12V56L8</v>
          </cell>
        </row>
        <row r="930">
          <cell r="D930" t="str">
            <v>20F12V56R8</v>
          </cell>
        </row>
        <row r="931">
          <cell r="D931" t="str">
            <v>016-M1C004-0007</v>
          </cell>
        </row>
        <row r="932">
          <cell r="D932" t="str">
            <v>016-M1C007-0006</v>
          </cell>
        </row>
        <row r="933">
          <cell r="D933" t="str">
            <v>016-MCC006-0003</v>
          </cell>
        </row>
        <row r="934">
          <cell r="D934" t="str">
            <v>016-M1C002-0007</v>
          </cell>
        </row>
        <row r="935">
          <cell r="D935" t="str">
            <v>016-M1C005-0011</v>
          </cell>
        </row>
        <row r="936">
          <cell r="D936" t="str">
            <v>103-86-39546-01</v>
          </cell>
        </row>
        <row r="937">
          <cell r="D937" t="str">
            <v>DISK-1</v>
          </cell>
        </row>
        <row r="938">
          <cell r="D938" t="str">
            <v>DISK-2</v>
          </cell>
        </row>
        <row r="939">
          <cell r="D939" t="str">
            <v>T2</v>
          </cell>
        </row>
        <row r="940">
          <cell r="D940" t="str">
            <v>T3</v>
          </cell>
        </row>
        <row r="941">
          <cell r="D941" t="str">
            <v/>
          </cell>
        </row>
        <row r="942">
          <cell r="D942" t="str">
            <v/>
          </cell>
        </row>
        <row r="943">
          <cell r="D943" t="str">
            <v/>
          </cell>
        </row>
        <row r="944">
          <cell r="D944" t="str">
            <v/>
          </cell>
        </row>
        <row r="945">
          <cell r="D945" t="str">
            <v/>
          </cell>
        </row>
        <row r="946">
          <cell r="D946" t="str">
            <v/>
          </cell>
        </row>
        <row r="947">
          <cell r="D947" t="str">
            <v/>
          </cell>
        </row>
        <row r="948">
          <cell r="D948" t="str">
            <v/>
          </cell>
        </row>
        <row r="949">
          <cell r="D949" t="str">
            <v/>
          </cell>
        </row>
        <row r="950">
          <cell r="D950" t="str">
            <v/>
          </cell>
        </row>
        <row r="951">
          <cell r="D951" t="str">
            <v/>
          </cell>
        </row>
        <row r="952">
          <cell r="D952" t="str">
            <v/>
          </cell>
        </row>
        <row r="953">
          <cell r="D953" t="str">
            <v/>
          </cell>
        </row>
        <row r="954">
          <cell r="D954" t="str">
            <v/>
          </cell>
        </row>
        <row r="955">
          <cell r="D955" t="str">
            <v/>
          </cell>
        </row>
      </sheetData>
      <sheetData sheetId="3" refreshError="1"/>
      <sheetData sheetId="4" refreshError="1"/>
      <sheetData sheetId="5" refreshError="1"/>
    </sheetDataSet>
  </externalBook>
</externalLink>
</file>

<file path=xl/tables/table1.xml><?xml version="1.0" encoding="utf-8"?>
<table xmlns="http://schemas.openxmlformats.org/spreadsheetml/2006/main" id="1" name="表格1" displayName="表格1" ref="B1:B8" totalsRowShown="0" headerRowDxfId="108" dataDxfId="106" headerRowBorderDxfId="107" tableBorderDxfId="105">
  <autoFilter ref="B1:B8"/>
  <tableColumns count="1">
    <tableColumn id="1" name="齒研機" dataDxfId="10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543"/>
  <sheetViews>
    <sheetView tabSelected="1" zoomScale="70" zoomScaleNormal="70" workbookViewId="0">
      <pane ySplit="3" topLeftCell="A31" activePane="bottomLeft" state="frozen"/>
      <selection pane="bottomLeft" activeCell="Q35" sqref="Q35"/>
    </sheetView>
  </sheetViews>
  <sheetFormatPr defaultColWidth="8.88671875" defaultRowHeight="15" customHeight="1"/>
  <cols>
    <col min="1" max="1" width="16.44140625" style="92" customWidth="1"/>
    <col min="2" max="2" width="12.6640625" style="1011" bestFit="1" customWidth="1"/>
    <col min="3" max="3" width="7" style="1011" customWidth="1"/>
    <col min="4" max="4" width="14.6640625" style="1012" customWidth="1"/>
    <col min="5" max="5" width="18.21875" style="92" customWidth="1"/>
    <col min="6" max="6" width="23.6640625" style="1013" customWidth="1"/>
    <col min="7" max="7" width="35.88671875" style="92" customWidth="1"/>
    <col min="8" max="8" width="12.21875" style="925" customWidth="1"/>
    <col min="9" max="9" width="8.88671875" style="92" customWidth="1"/>
    <col min="10" max="10" width="49.33203125" style="1014" customWidth="1"/>
    <col min="11" max="11" width="9.77734375" style="92" customWidth="1"/>
    <col min="12" max="12" width="12.33203125" style="981" hidden="1" customWidth="1"/>
    <col min="13" max="13" width="17.88671875" style="981" hidden="1" customWidth="1"/>
    <col min="14" max="14" width="0" style="981" hidden="1" customWidth="1"/>
    <col min="15" max="15" width="10.21875" style="1015" customWidth="1"/>
    <col min="16" max="16" width="15.21875" style="1016" customWidth="1"/>
    <col min="17" max="17" width="47.88671875" style="1016" customWidth="1"/>
    <col min="18" max="16384" width="8.88671875" style="981"/>
  </cols>
  <sheetData>
    <row r="1" spans="1:17" s="917" customFormat="1" ht="39.75" customHeight="1" thickBot="1">
      <c r="A1" s="1391" t="s">
        <v>373</v>
      </c>
      <c r="B1" s="1392"/>
      <c r="C1" s="1392"/>
      <c r="D1" s="1392"/>
      <c r="E1" s="1392"/>
      <c r="F1" s="1392"/>
      <c r="G1" s="1392"/>
      <c r="H1" s="1392"/>
      <c r="I1" s="1392"/>
      <c r="J1" s="1392"/>
      <c r="K1" s="1393"/>
      <c r="L1" s="915"/>
      <c r="M1" s="916"/>
      <c r="N1" s="916"/>
      <c r="O1" s="1387" t="s">
        <v>374</v>
      </c>
      <c r="P1" s="1387"/>
      <c r="Q1" s="1388"/>
    </row>
    <row r="2" spans="1:17" s="924" customFormat="1" ht="31.95" customHeight="1" thickBot="1">
      <c r="A2" s="918"/>
      <c r="B2" s="919"/>
      <c r="C2" s="919"/>
      <c r="D2" s="120"/>
      <c r="E2" s="118"/>
      <c r="F2" s="120"/>
      <c r="G2" s="921"/>
      <c r="H2" s="1386"/>
      <c r="I2" s="1386"/>
      <c r="J2" s="920"/>
      <c r="K2" s="921"/>
      <c r="L2" s="922"/>
      <c r="M2" s="923"/>
      <c r="N2" s="923"/>
      <c r="O2" s="1389"/>
      <c r="P2" s="1389"/>
      <c r="Q2" s="1390"/>
    </row>
    <row r="3" spans="1:17" s="932" customFormat="1" ht="28.5" customHeight="1">
      <c r="A3" s="1421" t="s">
        <v>376</v>
      </c>
      <c r="B3" s="120" t="str">
        <f>機台清單!B1</f>
        <v>齒研機</v>
      </c>
      <c r="C3" s="120" t="s">
        <v>377</v>
      </c>
      <c r="D3" s="120" t="s">
        <v>378</v>
      </c>
      <c r="E3" s="120" t="s">
        <v>379</v>
      </c>
      <c r="F3" s="120" t="s">
        <v>380</v>
      </c>
      <c r="G3" s="120" t="s">
        <v>381</v>
      </c>
      <c r="H3" s="120" t="s">
        <v>382</v>
      </c>
      <c r="I3" s="120" t="s">
        <v>383</v>
      </c>
      <c r="J3" s="1422" t="s">
        <v>384</v>
      </c>
      <c r="K3" s="1386" t="s">
        <v>809</v>
      </c>
      <c r="L3" s="926" t="s">
        <v>385</v>
      </c>
      <c r="M3" s="927" t="s">
        <v>386</v>
      </c>
      <c r="N3" s="928" t="s">
        <v>387</v>
      </c>
      <c r="O3" s="929" t="s">
        <v>388</v>
      </c>
      <c r="P3" s="930" t="s">
        <v>389</v>
      </c>
      <c r="Q3" s="931" t="s">
        <v>390</v>
      </c>
    </row>
    <row r="4" spans="1:17" s="944" customFormat="1" ht="30" customHeight="1">
      <c r="A4" s="1294"/>
      <c r="B4" s="1295"/>
      <c r="C4" s="1296"/>
      <c r="D4" s="1297"/>
      <c r="E4" s="1296"/>
      <c r="F4" s="1296"/>
      <c r="G4" s="1296"/>
      <c r="H4" s="1296"/>
      <c r="I4" s="1298"/>
      <c r="J4" s="1297"/>
      <c r="K4" s="1341"/>
      <c r="L4" s="1342"/>
      <c r="M4" s="1342"/>
      <c r="N4" s="1342"/>
      <c r="O4" s="1343"/>
      <c r="P4" s="1341"/>
      <c r="Q4" s="1185"/>
    </row>
    <row r="5" spans="1:17" s="944" customFormat="1" ht="30" customHeight="1">
      <c r="A5" s="1299"/>
      <c r="B5" s="1300"/>
      <c r="C5" s="1300"/>
      <c r="D5" s="1301"/>
      <c r="E5" s="1300"/>
      <c r="F5" s="1300"/>
      <c r="G5" s="1300"/>
      <c r="H5" s="1300"/>
      <c r="I5" s="1298"/>
      <c r="J5" s="1297"/>
      <c r="K5" s="1344"/>
      <c r="L5" s="1342"/>
      <c r="M5" s="1342"/>
      <c r="N5" s="1342"/>
      <c r="O5" s="1345"/>
      <c r="P5" s="1344"/>
      <c r="Q5" s="1227"/>
    </row>
    <row r="6" spans="1:17" s="95" customFormat="1" ht="26.25" customHeight="1">
      <c r="A6" s="1302"/>
      <c r="B6" s="1303"/>
      <c r="C6" s="1303"/>
      <c r="D6" s="1304"/>
      <c r="E6" s="1303"/>
      <c r="F6" s="1305"/>
      <c r="G6" s="1303"/>
      <c r="H6" s="1303"/>
      <c r="I6" s="456"/>
      <c r="J6" s="1306"/>
      <c r="K6" s="1346"/>
      <c r="L6" s="1257"/>
      <c r="M6" s="1257"/>
      <c r="N6" s="1257"/>
      <c r="O6" s="1347"/>
      <c r="P6" s="1303"/>
      <c r="Q6" s="1260"/>
    </row>
    <row r="7" spans="1:17" s="95" customFormat="1" ht="26.25" customHeight="1">
      <c r="A7" s="1302"/>
      <c r="B7" s="1303"/>
      <c r="C7" s="1303"/>
      <c r="D7" s="1304"/>
      <c r="E7" s="1303"/>
      <c r="F7" s="1305"/>
      <c r="G7" s="1303"/>
      <c r="H7" s="1303"/>
      <c r="I7" s="456"/>
      <c r="J7" s="1306"/>
      <c r="K7" s="1346"/>
      <c r="L7" s="1257"/>
      <c r="M7" s="1257"/>
      <c r="N7" s="1257"/>
      <c r="O7" s="1347"/>
      <c r="P7" s="1303"/>
      <c r="Q7" s="1260"/>
    </row>
    <row r="8" spans="1:17" s="95" customFormat="1" ht="26.25" customHeight="1">
      <c r="A8" s="1302"/>
      <c r="B8" s="1303"/>
      <c r="C8" s="1303"/>
      <c r="D8" s="1304"/>
      <c r="E8" s="1303"/>
      <c r="F8" s="1305"/>
      <c r="G8" s="1303"/>
      <c r="H8" s="1303"/>
      <c r="I8" s="456"/>
      <c r="J8" s="1306"/>
      <c r="K8" s="1346"/>
      <c r="L8" s="1257"/>
      <c r="M8" s="1257"/>
      <c r="N8" s="1257"/>
      <c r="O8" s="1347"/>
      <c r="P8" s="1303"/>
      <c r="Q8" s="1260"/>
    </row>
    <row r="9" spans="1:17" s="95" customFormat="1" ht="26.25" customHeight="1">
      <c r="A9" s="1307"/>
      <c r="B9" s="1308"/>
      <c r="C9" s="1308"/>
      <c r="D9" s="1309"/>
      <c r="E9" s="1308"/>
      <c r="F9" s="1310"/>
      <c r="G9" s="1308"/>
      <c r="H9" s="1308"/>
      <c r="I9" s="456"/>
      <c r="J9" s="1311"/>
      <c r="K9" s="1348"/>
      <c r="L9" s="1291"/>
      <c r="M9" s="1291"/>
      <c r="N9" s="1291"/>
      <c r="O9" s="1349"/>
      <c r="P9" s="1308"/>
      <c r="Q9" s="1292"/>
    </row>
    <row r="10" spans="1:17" s="1062" customFormat="1" ht="30" customHeight="1">
      <c r="A10" s="1312"/>
      <c r="B10" s="1313"/>
      <c r="C10" s="1313"/>
      <c r="D10" s="1314"/>
      <c r="E10" s="1313"/>
      <c r="F10" s="1312"/>
      <c r="G10" s="1313"/>
      <c r="H10" s="1313"/>
      <c r="I10" s="1250"/>
      <c r="J10" s="1314"/>
      <c r="K10" s="1350"/>
      <c r="L10" s="1240"/>
      <c r="M10" s="1240"/>
      <c r="N10" s="1240"/>
      <c r="O10" s="1351"/>
      <c r="P10" s="1313"/>
      <c r="Q10" s="1061"/>
    </row>
    <row r="11" spans="1:17" s="958" customFormat="1" ht="30" customHeight="1">
      <c r="A11" s="1315"/>
      <c r="B11" s="1316"/>
      <c r="C11" s="1316"/>
      <c r="D11" s="1317"/>
      <c r="E11" s="1316"/>
      <c r="F11" s="1315"/>
      <c r="G11" s="1316"/>
      <c r="H11" s="1316"/>
      <c r="I11" s="1318"/>
      <c r="J11" s="1317"/>
      <c r="K11" s="1352"/>
      <c r="L11" s="1289"/>
      <c r="M11" s="1289"/>
      <c r="N11" s="1289"/>
      <c r="O11" s="1353"/>
      <c r="P11" s="1316"/>
      <c r="Q11" s="1290"/>
    </row>
    <row r="12" spans="1:17" s="958" customFormat="1" ht="30" customHeight="1">
      <c r="A12" s="1315"/>
      <c r="B12" s="1316"/>
      <c r="C12" s="1316"/>
      <c r="D12" s="1317"/>
      <c r="E12" s="1316"/>
      <c r="F12" s="1315"/>
      <c r="G12" s="1316"/>
      <c r="H12" s="1316"/>
      <c r="I12" s="1318"/>
      <c r="J12" s="1317"/>
      <c r="K12" s="1352"/>
      <c r="L12" s="1289"/>
      <c r="M12" s="1289"/>
      <c r="N12" s="1289"/>
      <c r="O12" s="1353"/>
      <c r="P12" s="1316"/>
      <c r="Q12" s="1290"/>
    </row>
    <row r="13" spans="1:17" s="958" customFormat="1" ht="30" customHeight="1">
      <c r="A13" s="1315"/>
      <c r="B13" s="1316"/>
      <c r="C13" s="1316"/>
      <c r="D13" s="1317"/>
      <c r="E13" s="1316"/>
      <c r="F13" s="1315"/>
      <c r="G13" s="1316"/>
      <c r="H13" s="1316"/>
      <c r="I13" s="1318"/>
      <c r="J13" s="1317"/>
      <c r="K13" s="1352"/>
      <c r="L13" s="1289"/>
      <c r="M13" s="1289"/>
      <c r="N13" s="1289"/>
      <c r="O13" s="1353"/>
      <c r="P13" s="1316"/>
      <c r="Q13" s="1290"/>
    </row>
    <row r="14" spans="1:17" s="944" customFormat="1" ht="27.75" customHeight="1">
      <c r="A14" s="1319"/>
      <c r="B14" s="1320"/>
      <c r="C14" s="1319"/>
      <c r="D14" s="1321"/>
      <c r="E14" s="1319"/>
      <c r="F14" s="1319"/>
      <c r="G14" s="1319"/>
      <c r="H14" s="1319"/>
      <c r="I14" s="1322"/>
      <c r="J14" s="1323"/>
      <c r="K14" s="1354"/>
      <c r="L14" s="1355"/>
      <c r="M14" s="1355"/>
      <c r="N14" s="1355"/>
      <c r="O14" s="1356"/>
      <c r="P14" s="1319"/>
      <c r="Q14" s="1288"/>
    </row>
    <row r="15" spans="1:17" s="944" customFormat="1" ht="27.75" customHeight="1">
      <c r="A15" s="1319"/>
      <c r="B15" s="1320"/>
      <c r="C15" s="1319"/>
      <c r="D15" s="1321"/>
      <c r="E15" s="1319"/>
      <c r="F15" s="1319"/>
      <c r="G15" s="1319"/>
      <c r="H15" s="1319"/>
      <c r="I15" s="1322"/>
      <c r="J15" s="1323"/>
      <c r="K15" s="1354"/>
      <c r="L15" s="1355"/>
      <c r="M15" s="1355"/>
      <c r="N15" s="1355"/>
      <c r="O15" s="1356"/>
      <c r="P15" s="1319"/>
      <c r="Q15" s="1288"/>
    </row>
    <row r="16" spans="1:17" s="944" customFormat="1" ht="27.75" customHeight="1">
      <c r="A16" s="1324"/>
      <c r="B16" s="1324"/>
      <c r="C16" s="1324"/>
      <c r="D16" s="1301"/>
      <c r="E16" s="1324"/>
      <c r="F16" s="1324"/>
      <c r="G16" s="1324"/>
      <c r="H16" s="1324"/>
      <c r="I16" s="1322"/>
      <c r="J16" s="1323"/>
      <c r="K16" s="1357"/>
      <c r="L16" s="1355"/>
      <c r="M16" s="1355"/>
      <c r="N16" s="1355"/>
      <c r="O16" s="1358"/>
      <c r="P16" s="1324"/>
      <c r="Q16" s="1276"/>
    </row>
    <row r="17" spans="1:17" s="944" customFormat="1" ht="27.75" customHeight="1">
      <c r="A17" s="1325"/>
      <c r="B17" s="1325"/>
      <c r="C17" s="1325"/>
      <c r="D17" s="1301"/>
      <c r="E17" s="1325"/>
      <c r="F17" s="1325"/>
      <c r="G17" s="1326"/>
      <c r="H17" s="1325"/>
      <c r="I17" s="1322"/>
      <c r="J17" s="1323"/>
      <c r="K17" s="1357"/>
      <c r="L17" s="1355"/>
      <c r="M17" s="1355"/>
      <c r="N17" s="1355"/>
      <c r="O17" s="1358"/>
      <c r="P17" s="1325"/>
      <c r="Q17" s="1277"/>
    </row>
    <row r="18" spans="1:17" s="944" customFormat="1" ht="27.75" customHeight="1">
      <c r="A18" s="1327"/>
      <c r="B18" s="1327"/>
      <c r="C18" s="1327"/>
      <c r="D18" s="1328"/>
      <c r="E18" s="1327"/>
      <c r="F18" s="1327"/>
      <c r="G18" s="1327"/>
      <c r="H18" s="1327"/>
      <c r="I18" s="1322"/>
      <c r="J18" s="1323"/>
      <c r="K18" s="1359"/>
      <c r="L18" s="1355"/>
      <c r="M18" s="1355"/>
      <c r="N18" s="1355"/>
      <c r="O18" s="1360"/>
      <c r="P18" s="1327"/>
      <c r="Q18" s="1269"/>
    </row>
    <row r="19" spans="1:17" ht="27.75" customHeight="1">
      <c r="A19" s="1329"/>
      <c r="B19" s="1329"/>
      <c r="C19" s="1329"/>
      <c r="D19" s="1330"/>
      <c r="E19" s="1329"/>
      <c r="F19" s="1329"/>
      <c r="G19" s="1329"/>
      <c r="H19" s="1329"/>
      <c r="I19" s="1331"/>
      <c r="J19" s="1330"/>
      <c r="K19" s="1361"/>
      <c r="L19" s="924"/>
      <c r="M19" s="924"/>
      <c r="N19" s="924"/>
      <c r="O19" s="1362"/>
      <c r="P19" s="1329"/>
      <c r="Q19" s="1156"/>
    </row>
    <row r="20" spans="1:17" ht="27.75" customHeight="1">
      <c r="A20" s="1332"/>
      <c r="B20" s="1332"/>
      <c r="C20" s="1332"/>
      <c r="D20" s="1333"/>
      <c r="E20" s="1332"/>
      <c r="F20" s="1332"/>
      <c r="G20" s="1332"/>
      <c r="H20" s="1332"/>
      <c r="I20" s="1331"/>
      <c r="J20" s="1333"/>
      <c r="K20" s="1363"/>
      <c r="L20" s="924"/>
      <c r="M20" s="924"/>
      <c r="N20" s="924"/>
      <c r="O20" s="1364"/>
      <c r="P20" s="1332"/>
      <c r="Q20" s="1267"/>
    </row>
    <row r="21" spans="1:17" ht="27.75" customHeight="1">
      <c r="A21" s="1334"/>
      <c r="B21" s="1335"/>
      <c r="C21" s="1335"/>
      <c r="D21" s="1336"/>
      <c r="E21" s="1335"/>
      <c r="F21" s="1335"/>
      <c r="G21" s="1335"/>
      <c r="H21" s="1335"/>
      <c r="I21" s="1331"/>
      <c r="J21" s="1337"/>
      <c r="K21" s="1365"/>
      <c r="L21" s="924"/>
      <c r="M21" s="924"/>
      <c r="N21" s="924"/>
      <c r="O21" s="1291"/>
      <c r="P21" s="1335"/>
      <c r="Q21" s="1293"/>
    </row>
    <row r="22" spans="1:17" s="965" customFormat="1" ht="27.75" customHeight="1">
      <c r="A22" s="1334"/>
      <c r="B22" s="1338"/>
      <c r="C22" s="1338"/>
      <c r="D22" s="1336"/>
      <c r="E22" s="1338"/>
      <c r="F22" s="1338"/>
      <c r="G22" s="1329"/>
      <c r="H22" s="1338"/>
      <c r="I22" s="1339"/>
      <c r="J22" s="1340"/>
      <c r="K22" s="1366"/>
      <c r="L22" s="1367"/>
      <c r="M22" s="1367"/>
      <c r="N22" s="1367"/>
      <c r="O22" s="1368"/>
      <c r="P22" s="1338"/>
      <c r="Q22" s="971"/>
    </row>
    <row r="23" spans="1:17" s="965" customFormat="1" ht="27.75" customHeight="1">
      <c r="A23" s="1334"/>
      <c r="B23" s="1369"/>
      <c r="C23" s="1369"/>
      <c r="D23" s="1336"/>
      <c r="E23" s="1369"/>
      <c r="F23" s="1369"/>
      <c r="G23" s="1329"/>
      <c r="H23" s="1369"/>
      <c r="I23" s="1339"/>
      <c r="J23" s="1370"/>
      <c r="K23" s="1371"/>
      <c r="L23" s="1367"/>
      <c r="M23" s="1367"/>
      <c r="N23" s="1367"/>
      <c r="O23" s="1372"/>
      <c r="P23" s="1369"/>
      <c r="Q23" s="1076"/>
    </row>
    <row r="24" spans="1:17" s="965" customFormat="1" ht="27.75" customHeight="1">
      <c r="A24" s="1334"/>
      <c r="B24" s="1373"/>
      <c r="C24" s="1373"/>
      <c r="D24" s="1336"/>
      <c r="E24" s="1373"/>
      <c r="F24" s="1373"/>
      <c r="G24" s="1329"/>
      <c r="H24" s="1373"/>
      <c r="I24" s="1339"/>
      <c r="J24" s="1374"/>
      <c r="K24" s="1375"/>
      <c r="L24" s="1367"/>
      <c r="M24" s="1367"/>
      <c r="N24" s="1367"/>
      <c r="O24" s="1376"/>
      <c r="P24" s="1373"/>
      <c r="Q24" s="1220"/>
    </row>
    <row r="25" spans="1:17" ht="30" customHeight="1">
      <c r="A25" s="1377"/>
      <c r="B25" s="1378"/>
      <c r="C25" s="1378"/>
      <c r="D25" s="1379"/>
      <c r="E25" s="1378"/>
      <c r="F25" s="1378"/>
      <c r="G25" s="1378"/>
      <c r="H25" s="1378"/>
      <c r="I25" s="1318"/>
      <c r="J25" s="1378"/>
      <c r="K25" s="1380"/>
      <c r="L25" s="1381"/>
      <c r="M25" s="1381"/>
      <c r="N25" s="1381"/>
      <c r="O25" s="1382"/>
      <c r="P25" s="1383"/>
      <c r="Q25" s="980"/>
    </row>
    <row r="26" spans="1:17" ht="30" customHeight="1">
      <c r="A26" s="986"/>
      <c r="B26" s="982"/>
      <c r="C26" s="1196"/>
      <c r="D26" s="1384"/>
      <c r="E26" s="984"/>
      <c r="F26" s="984"/>
      <c r="G26" s="984"/>
      <c r="H26" s="984"/>
      <c r="I26" s="985"/>
      <c r="J26" s="1196"/>
      <c r="K26" s="986"/>
      <c r="L26" s="1385"/>
      <c r="M26" s="1385"/>
      <c r="N26" s="1385"/>
      <c r="O26" s="982"/>
      <c r="P26" s="986"/>
      <c r="Q26" s="987"/>
    </row>
    <row r="27" spans="1:17" ht="30" customHeight="1">
      <c r="A27" s="986"/>
      <c r="B27" s="982"/>
      <c r="C27" s="1196"/>
      <c r="D27" s="1384"/>
      <c r="E27" s="984"/>
      <c r="F27" s="984"/>
      <c r="G27" s="984"/>
      <c r="H27" s="984"/>
      <c r="I27" s="985"/>
      <c r="J27" s="1196"/>
      <c r="K27" s="986"/>
      <c r="L27" s="1385"/>
      <c r="M27" s="1385"/>
      <c r="N27" s="1385"/>
      <c r="O27" s="982"/>
      <c r="P27" s="986"/>
      <c r="Q27" s="987"/>
    </row>
    <row r="28" spans="1:17" ht="30" customHeight="1">
      <c r="A28" s="90"/>
      <c r="B28" s="1008"/>
      <c r="C28" s="1008"/>
      <c r="D28" s="119"/>
      <c r="E28" s="90"/>
      <c r="F28" s="1009"/>
      <c r="G28" s="90"/>
      <c r="H28" s="90"/>
      <c r="I28" s="998"/>
      <c r="J28" s="1008"/>
      <c r="K28" s="90"/>
      <c r="L28" s="91"/>
      <c r="M28" s="91"/>
      <c r="N28" s="91"/>
      <c r="O28" s="1007"/>
      <c r="P28" s="90"/>
      <c r="Q28" s="988"/>
    </row>
    <row r="29" spans="1:17" ht="30" customHeight="1">
      <c r="A29" s="90"/>
      <c r="B29" s="1008"/>
      <c r="C29" s="1008"/>
      <c r="D29" s="119"/>
      <c r="E29" s="90"/>
      <c r="F29" s="1009"/>
      <c r="G29" s="90"/>
      <c r="H29" s="90"/>
      <c r="I29" s="998"/>
      <c r="J29" s="1008"/>
      <c r="K29" s="90"/>
      <c r="L29" s="91"/>
      <c r="M29" s="91"/>
      <c r="N29" s="91"/>
      <c r="O29" s="1007"/>
      <c r="P29" s="90"/>
      <c r="Q29" s="988"/>
    </row>
    <row r="30" spans="1:17" ht="30" customHeight="1">
      <c r="A30" s="90"/>
      <c r="B30" s="1008"/>
      <c r="C30" s="1008"/>
      <c r="D30" s="119"/>
      <c r="E30" s="90"/>
      <c r="F30" s="1009"/>
      <c r="G30" s="90"/>
      <c r="H30" s="90"/>
      <c r="I30" s="998"/>
      <c r="J30" s="1008"/>
      <c r="K30" s="90"/>
      <c r="L30" s="91"/>
      <c r="M30" s="91"/>
      <c r="N30" s="91"/>
      <c r="O30" s="1007"/>
      <c r="P30" s="90"/>
      <c r="Q30" s="988"/>
    </row>
    <row r="31" spans="1:17" ht="30" customHeight="1">
      <c r="A31" s="90"/>
      <c r="B31" s="1008"/>
      <c r="C31" s="1008"/>
      <c r="D31" s="119"/>
      <c r="E31" s="90"/>
      <c r="F31" s="1009"/>
      <c r="G31" s="90"/>
      <c r="H31" s="90"/>
      <c r="I31" s="998"/>
      <c r="J31" s="1008"/>
      <c r="K31" s="90"/>
      <c r="L31" s="91"/>
      <c r="M31" s="91"/>
      <c r="N31" s="91"/>
      <c r="O31" s="1007"/>
      <c r="P31" s="90"/>
      <c r="Q31" s="988"/>
    </row>
    <row r="32" spans="1:17" ht="30" customHeight="1">
      <c r="A32" s="90"/>
      <c r="B32" s="1008"/>
      <c r="C32" s="1008"/>
      <c r="D32" s="119"/>
      <c r="E32" s="90"/>
      <c r="F32" s="1009"/>
      <c r="G32" s="90"/>
      <c r="H32" s="90"/>
      <c r="I32" s="998"/>
      <c r="J32" s="1008"/>
      <c r="K32" s="90"/>
      <c r="L32" s="91"/>
      <c r="M32" s="91"/>
      <c r="N32" s="91"/>
      <c r="O32" s="1007"/>
      <c r="P32" s="90"/>
      <c r="Q32" s="988"/>
    </row>
    <row r="33" spans="1:17" ht="30" customHeight="1">
      <c r="A33" s="90"/>
      <c r="B33" s="1008"/>
      <c r="C33" s="1008"/>
      <c r="D33" s="119"/>
      <c r="E33" s="90"/>
      <c r="F33" s="1009"/>
      <c r="G33" s="90"/>
      <c r="H33" s="90"/>
      <c r="I33" s="998"/>
      <c r="J33" s="1008"/>
      <c r="K33" s="90"/>
      <c r="L33" s="91"/>
      <c r="M33" s="91"/>
      <c r="N33" s="91"/>
      <c r="O33" s="1007"/>
      <c r="P33" s="90"/>
      <c r="Q33" s="988"/>
    </row>
    <row r="34" spans="1:17" ht="30" customHeight="1">
      <c r="A34" s="1413"/>
      <c r="B34" s="1411"/>
      <c r="C34" s="1411"/>
      <c r="D34" s="1412"/>
      <c r="E34" s="1413"/>
      <c r="F34" s="1414"/>
      <c r="G34" s="1413"/>
      <c r="H34" s="1413"/>
      <c r="I34" s="1413"/>
      <c r="J34" s="1411"/>
      <c r="K34" s="1413"/>
      <c r="L34" s="1419"/>
      <c r="M34" s="1419"/>
      <c r="N34" s="1419"/>
      <c r="O34" s="1415"/>
      <c r="P34" s="1413"/>
      <c r="Q34" s="1416"/>
    </row>
    <row r="35" spans="1:17" ht="36.6" customHeight="1">
      <c r="A35" s="981"/>
      <c r="B35" s="981"/>
      <c r="C35" s="1016"/>
      <c r="D35" s="952"/>
      <c r="E35" s="981"/>
      <c r="F35" s="952"/>
      <c r="G35" s="981"/>
      <c r="H35" s="981"/>
      <c r="I35" s="981"/>
      <c r="J35" s="981"/>
      <c r="K35" s="981"/>
      <c r="O35" s="981"/>
      <c r="P35" s="1417"/>
      <c r="Q35" s="1420" t="s">
        <v>2184</v>
      </c>
    </row>
    <row r="36" spans="1:17" ht="15" customHeight="1">
      <c r="A36" s="981"/>
      <c r="B36" s="981"/>
      <c r="C36" s="1016"/>
      <c r="D36" s="952"/>
      <c r="E36" s="981"/>
      <c r="F36" s="952"/>
      <c r="G36" s="981"/>
      <c r="H36" s="981"/>
      <c r="I36" s="981"/>
      <c r="J36" s="981"/>
      <c r="K36" s="981"/>
      <c r="O36" s="981"/>
      <c r="P36" s="1417"/>
      <c r="Q36" s="1418"/>
    </row>
    <row r="37" spans="1:17" ht="15" customHeight="1">
      <c r="A37" s="981"/>
      <c r="B37" s="981"/>
      <c r="C37" s="1016"/>
      <c r="D37" s="952"/>
      <c r="E37" s="981"/>
      <c r="F37" s="952"/>
      <c r="G37" s="981"/>
      <c r="H37" s="981"/>
      <c r="I37" s="981"/>
      <c r="J37" s="981"/>
      <c r="K37" s="981"/>
      <c r="O37" s="981"/>
      <c r="P37" s="1417"/>
      <c r="Q37" s="1418"/>
    </row>
    <row r="38" spans="1:17" ht="15" customHeight="1">
      <c r="A38" s="981"/>
      <c r="B38" s="981"/>
      <c r="C38" s="1016"/>
      <c r="D38" s="952"/>
      <c r="E38" s="981"/>
      <c r="F38" s="952"/>
      <c r="G38" s="981"/>
      <c r="H38" s="981"/>
      <c r="I38" s="981"/>
      <c r="J38" s="981"/>
      <c r="K38" s="981"/>
      <c r="O38" s="981"/>
      <c r="P38" s="1417"/>
      <c r="Q38" s="1418"/>
    </row>
    <row r="39" spans="1:17" ht="15" customHeight="1">
      <c r="A39" s="981"/>
      <c r="B39" s="981"/>
      <c r="C39" s="1016"/>
      <c r="D39" s="952"/>
      <c r="E39" s="981"/>
      <c r="F39" s="952"/>
      <c r="G39" s="981"/>
      <c r="H39" s="981"/>
      <c r="I39" s="981"/>
      <c r="J39" s="981"/>
      <c r="K39" s="981"/>
      <c r="O39" s="981"/>
      <c r="P39" s="1417"/>
      <c r="Q39" s="1418"/>
    </row>
    <row r="40" spans="1:17" ht="15" customHeight="1">
      <c r="A40" s="981"/>
      <c r="B40" s="981"/>
      <c r="C40" s="1016"/>
      <c r="D40" s="952"/>
      <c r="E40" s="981"/>
      <c r="F40" s="952"/>
      <c r="G40" s="981"/>
      <c r="H40" s="981"/>
      <c r="I40" s="981"/>
      <c r="J40" s="981"/>
      <c r="K40" s="981"/>
      <c r="O40" s="981"/>
      <c r="P40" s="1417"/>
      <c r="Q40" s="1418"/>
    </row>
    <row r="41" spans="1:17" ht="15" customHeight="1">
      <c r="A41" s="981"/>
      <c r="B41" s="981"/>
      <c r="C41" s="1016"/>
      <c r="D41" s="952"/>
      <c r="E41" s="981"/>
      <c r="F41" s="952"/>
      <c r="G41" s="981"/>
      <c r="H41" s="981"/>
      <c r="I41" s="981"/>
      <c r="J41" s="981"/>
      <c r="K41" s="981"/>
      <c r="O41" s="981"/>
      <c r="P41" s="1417"/>
      <c r="Q41" s="1418"/>
    </row>
    <row r="42" spans="1:17" ht="15" customHeight="1">
      <c r="A42" s="981"/>
      <c r="B42" s="981"/>
      <c r="C42" s="1016"/>
      <c r="D42" s="952"/>
      <c r="E42" s="981"/>
      <c r="F42" s="952"/>
      <c r="G42" s="981"/>
      <c r="H42" s="981"/>
      <c r="I42" s="981"/>
      <c r="J42" s="981"/>
      <c r="K42" s="981"/>
      <c r="O42" s="981"/>
      <c r="P42" s="1417"/>
      <c r="Q42" s="1418"/>
    </row>
    <row r="43" spans="1:17" ht="15" customHeight="1">
      <c r="A43" s="981"/>
      <c r="B43" s="981"/>
      <c r="C43" s="1016"/>
      <c r="D43" s="952"/>
      <c r="E43" s="981"/>
      <c r="F43" s="952"/>
      <c r="G43" s="981"/>
      <c r="H43" s="981"/>
      <c r="I43" s="981"/>
      <c r="J43" s="981"/>
      <c r="K43" s="981"/>
      <c r="O43" s="981"/>
      <c r="P43" s="1417"/>
      <c r="Q43" s="1418"/>
    </row>
    <row r="44" spans="1:17" ht="15" customHeight="1">
      <c r="A44" s="981"/>
      <c r="B44" s="981"/>
      <c r="C44" s="1016"/>
      <c r="D44" s="952"/>
      <c r="E44" s="981"/>
      <c r="F44" s="952"/>
      <c r="G44" s="981"/>
      <c r="H44" s="981"/>
      <c r="I44" s="981"/>
      <c r="J44" s="981"/>
      <c r="K44" s="981"/>
      <c r="O44" s="981"/>
      <c r="P44" s="1417"/>
      <c r="Q44" s="1418"/>
    </row>
    <row r="45" spans="1:17" ht="15" customHeight="1">
      <c r="A45" s="981"/>
      <c r="B45" s="981"/>
      <c r="C45" s="1016"/>
      <c r="D45" s="952"/>
      <c r="E45" s="981"/>
      <c r="F45" s="952"/>
      <c r="G45" s="981"/>
      <c r="H45" s="981"/>
      <c r="I45" s="981"/>
      <c r="J45" s="981"/>
      <c r="K45" s="981"/>
      <c r="O45" s="981"/>
      <c r="P45" s="1417"/>
      <c r="Q45" s="1418"/>
    </row>
    <row r="46" spans="1:17" ht="15" customHeight="1">
      <c r="A46" s="981"/>
      <c r="B46" s="981"/>
      <c r="C46" s="1016"/>
      <c r="D46" s="952"/>
      <c r="E46" s="981"/>
      <c r="F46" s="952"/>
      <c r="G46" s="981"/>
      <c r="H46" s="981"/>
      <c r="I46" s="981"/>
      <c r="J46" s="981"/>
      <c r="K46" s="981"/>
      <c r="O46" s="981"/>
      <c r="P46" s="1417"/>
      <c r="Q46" s="1418"/>
    </row>
    <row r="47" spans="1:17" ht="15" customHeight="1">
      <c r="A47" s="981"/>
      <c r="B47" s="981"/>
      <c r="C47" s="1016"/>
      <c r="D47" s="952"/>
      <c r="E47" s="981"/>
      <c r="F47" s="952"/>
      <c r="G47" s="981"/>
      <c r="H47" s="981"/>
      <c r="I47" s="981"/>
      <c r="J47" s="981"/>
      <c r="K47" s="981"/>
      <c r="O47" s="981"/>
      <c r="P47" s="1417"/>
      <c r="Q47" s="1418"/>
    </row>
    <row r="48" spans="1:17" ht="15" customHeight="1">
      <c r="A48" s="981"/>
      <c r="B48" s="981"/>
      <c r="C48" s="1016"/>
      <c r="D48" s="952"/>
      <c r="E48" s="981"/>
      <c r="F48" s="952"/>
      <c r="G48" s="981"/>
      <c r="H48" s="981"/>
      <c r="I48" s="981"/>
      <c r="J48" s="981"/>
      <c r="K48" s="981"/>
      <c r="O48" s="981"/>
      <c r="P48" s="1417"/>
      <c r="Q48" s="1418"/>
    </row>
    <row r="49" spans="1:17" ht="15" customHeight="1">
      <c r="A49" s="981"/>
      <c r="B49" s="981"/>
      <c r="C49" s="1016"/>
      <c r="D49" s="952"/>
      <c r="E49" s="981"/>
      <c r="F49" s="952"/>
      <c r="G49" s="981"/>
      <c r="H49" s="981"/>
      <c r="I49" s="981"/>
      <c r="J49" s="981"/>
      <c r="K49" s="981"/>
      <c r="O49" s="981"/>
      <c r="P49" s="1417"/>
      <c r="Q49" s="1418"/>
    </row>
    <row r="50" spans="1:17" ht="15" customHeight="1">
      <c r="A50" s="981"/>
      <c r="B50" s="981"/>
      <c r="C50" s="1016"/>
      <c r="D50" s="952"/>
      <c r="E50" s="981"/>
      <c r="F50" s="952"/>
      <c r="G50" s="981"/>
      <c r="H50" s="981"/>
      <c r="I50" s="981"/>
      <c r="J50" s="981"/>
      <c r="K50" s="981"/>
      <c r="O50" s="981"/>
      <c r="P50" s="1417"/>
      <c r="Q50" s="1418"/>
    </row>
    <row r="51" spans="1:17" ht="15" customHeight="1">
      <c r="A51" s="981"/>
      <c r="B51" s="981"/>
      <c r="C51" s="1016"/>
      <c r="D51" s="952"/>
      <c r="E51" s="981"/>
      <c r="F51" s="952"/>
      <c r="G51" s="981"/>
      <c r="H51" s="981"/>
      <c r="I51" s="981"/>
      <c r="J51" s="981"/>
      <c r="K51" s="981"/>
      <c r="O51" s="981"/>
      <c r="P51" s="1417"/>
      <c r="Q51" s="1418"/>
    </row>
    <row r="52" spans="1:17" ht="15" customHeight="1">
      <c r="A52" s="981"/>
      <c r="B52" s="981"/>
      <c r="C52" s="1016"/>
      <c r="D52" s="952"/>
      <c r="E52" s="981"/>
      <c r="F52" s="952"/>
      <c r="G52" s="981"/>
      <c r="H52" s="981"/>
      <c r="I52" s="981"/>
      <c r="J52" s="981"/>
      <c r="K52" s="981"/>
      <c r="O52" s="981"/>
      <c r="P52" s="1417"/>
      <c r="Q52" s="1418"/>
    </row>
    <row r="53" spans="1:17" ht="15" customHeight="1">
      <c r="A53" s="981"/>
      <c r="B53" s="981"/>
      <c r="C53" s="1016"/>
      <c r="D53" s="952"/>
      <c r="E53" s="981"/>
      <c r="F53" s="952"/>
      <c r="G53" s="981"/>
      <c r="H53" s="981"/>
      <c r="I53" s="981"/>
      <c r="J53" s="981"/>
      <c r="K53" s="981"/>
      <c r="O53" s="981"/>
      <c r="P53" s="1417"/>
      <c r="Q53" s="1418"/>
    </row>
    <row r="54" spans="1:17" ht="15" customHeight="1">
      <c r="A54" s="981"/>
      <c r="B54" s="981"/>
      <c r="C54" s="1016"/>
      <c r="D54" s="952"/>
      <c r="E54" s="981"/>
      <c r="F54" s="952"/>
      <c r="G54" s="981"/>
      <c r="H54" s="981"/>
      <c r="I54" s="981"/>
      <c r="J54" s="981"/>
      <c r="K54" s="981"/>
      <c r="O54" s="981"/>
      <c r="P54" s="1417"/>
      <c r="Q54" s="1418"/>
    </row>
    <row r="55" spans="1:17" ht="15" customHeight="1">
      <c r="A55" s="981"/>
      <c r="B55" s="981"/>
      <c r="C55" s="1016"/>
      <c r="D55" s="952"/>
      <c r="E55" s="981"/>
      <c r="F55" s="952"/>
      <c r="G55" s="981"/>
      <c r="H55" s="981"/>
      <c r="I55" s="981"/>
      <c r="J55" s="981"/>
      <c r="K55" s="981"/>
      <c r="O55" s="981"/>
      <c r="P55" s="1417"/>
      <c r="Q55" s="1418"/>
    </row>
    <row r="56" spans="1:17" ht="15" customHeight="1">
      <c r="A56" s="981"/>
      <c r="B56" s="981"/>
      <c r="C56" s="1016"/>
      <c r="D56" s="952"/>
      <c r="E56" s="981"/>
      <c r="F56" s="952"/>
      <c r="G56" s="981"/>
      <c r="H56" s="981"/>
      <c r="I56" s="981"/>
      <c r="J56" s="981"/>
      <c r="K56" s="981"/>
      <c r="O56" s="981"/>
      <c r="P56" s="1417"/>
      <c r="Q56" s="1418"/>
    </row>
    <row r="57" spans="1:17" ht="15" customHeight="1">
      <c r="A57" s="981"/>
      <c r="B57" s="981"/>
      <c r="C57" s="1016"/>
      <c r="D57" s="952"/>
      <c r="E57" s="981"/>
      <c r="F57" s="952"/>
      <c r="G57" s="981"/>
      <c r="H57" s="981"/>
      <c r="I57" s="981"/>
      <c r="J57" s="981"/>
      <c r="K57" s="981"/>
      <c r="O57" s="981"/>
      <c r="P57" s="1417"/>
      <c r="Q57" s="1418"/>
    </row>
    <row r="58" spans="1:17" ht="15" customHeight="1">
      <c r="A58" s="981"/>
      <c r="B58" s="981"/>
      <c r="C58" s="1016"/>
      <c r="D58" s="952"/>
      <c r="E58" s="981"/>
      <c r="F58" s="952"/>
      <c r="G58" s="981"/>
      <c r="H58" s="981"/>
      <c r="I58" s="981"/>
      <c r="J58" s="981"/>
      <c r="K58" s="981"/>
      <c r="O58" s="981"/>
      <c r="P58" s="1417"/>
      <c r="Q58" s="1418"/>
    </row>
    <row r="59" spans="1:17" ht="15" customHeight="1">
      <c r="A59" s="981"/>
      <c r="B59" s="981"/>
      <c r="C59" s="1016"/>
      <c r="D59" s="952"/>
      <c r="E59" s="981"/>
      <c r="F59" s="952"/>
      <c r="G59" s="981"/>
      <c r="H59" s="981"/>
      <c r="I59" s="981"/>
      <c r="J59" s="981"/>
      <c r="K59" s="981"/>
      <c r="O59" s="981"/>
      <c r="P59" s="1417"/>
      <c r="Q59" s="1418"/>
    </row>
    <row r="60" spans="1:17" ht="15" customHeight="1">
      <c r="A60" s="981"/>
      <c r="B60" s="981"/>
      <c r="C60" s="1016"/>
      <c r="D60" s="952"/>
      <c r="E60" s="981"/>
      <c r="F60" s="952"/>
      <c r="G60" s="981"/>
      <c r="H60" s="981"/>
      <c r="I60" s="981"/>
      <c r="J60" s="981"/>
      <c r="K60" s="981"/>
      <c r="O60" s="981"/>
      <c r="P60" s="1417"/>
      <c r="Q60" s="1418"/>
    </row>
    <row r="61" spans="1:17" ht="15" customHeight="1">
      <c r="A61" s="981"/>
      <c r="B61" s="981"/>
      <c r="C61" s="1016"/>
      <c r="D61" s="952"/>
      <c r="E61" s="981"/>
      <c r="F61" s="952"/>
      <c r="G61" s="981"/>
      <c r="H61" s="981"/>
      <c r="I61" s="981"/>
      <c r="J61" s="981"/>
      <c r="K61" s="981"/>
      <c r="O61" s="981"/>
      <c r="P61" s="1417"/>
      <c r="Q61" s="1418"/>
    </row>
    <row r="62" spans="1:17" ht="15" customHeight="1">
      <c r="A62" s="981"/>
      <c r="B62" s="981"/>
      <c r="C62" s="1016"/>
      <c r="D62" s="952"/>
      <c r="E62" s="981"/>
      <c r="F62" s="952"/>
      <c r="G62" s="981"/>
      <c r="H62" s="981"/>
      <c r="I62" s="981"/>
      <c r="J62" s="981"/>
      <c r="K62" s="981"/>
      <c r="O62" s="981"/>
      <c r="P62" s="1417"/>
      <c r="Q62" s="1418"/>
    </row>
    <row r="63" spans="1:17" ht="15" customHeight="1">
      <c r="A63" s="981"/>
      <c r="B63" s="981"/>
      <c r="C63" s="1016"/>
      <c r="D63" s="952"/>
      <c r="E63" s="981"/>
      <c r="F63" s="952"/>
      <c r="G63" s="981"/>
      <c r="H63" s="981"/>
      <c r="I63" s="981"/>
      <c r="J63" s="981"/>
      <c r="K63" s="981"/>
      <c r="O63" s="981"/>
      <c r="P63" s="1417"/>
      <c r="Q63" s="1418"/>
    </row>
    <row r="64" spans="1:17" ht="15" customHeight="1">
      <c r="A64" s="981"/>
      <c r="B64" s="981"/>
      <c r="C64" s="1016"/>
      <c r="D64" s="952"/>
      <c r="E64" s="981"/>
      <c r="F64" s="952"/>
      <c r="G64" s="981"/>
      <c r="H64" s="981"/>
      <c r="I64" s="981"/>
      <c r="J64" s="981"/>
      <c r="K64" s="981"/>
      <c r="O64" s="981"/>
      <c r="P64" s="1417"/>
      <c r="Q64" s="1418"/>
    </row>
    <row r="65" spans="1:17" ht="15" customHeight="1">
      <c r="A65" s="981"/>
      <c r="B65" s="981"/>
      <c r="C65" s="1016"/>
      <c r="D65" s="952"/>
      <c r="E65" s="981"/>
      <c r="F65" s="952"/>
      <c r="G65" s="981"/>
      <c r="H65" s="981"/>
      <c r="I65" s="981"/>
      <c r="J65" s="981"/>
      <c r="K65" s="981"/>
      <c r="O65" s="981"/>
      <c r="P65" s="1417"/>
      <c r="Q65" s="1418"/>
    </row>
    <row r="66" spans="1:17" ht="15" customHeight="1">
      <c r="A66" s="981"/>
      <c r="B66" s="981"/>
      <c r="C66" s="1016"/>
      <c r="D66" s="952"/>
      <c r="E66" s="981"/>
      <c r="F66" s="952"/>
      <c r="G66" s="981"/>
      <c r="H66" s="981"/>
      <c r="I66" s="981"/>
      <c r="J66" s="981"/>
      <c r="K66" s="981"/>
      <c r="O66" s="981"/>
      <c r="P66" s="1417"/>
      <c r="Q66" s="1418"/>
    </row>
    <row r="67" spans="1:17" ht="15" customHeight="1">
      <c r="A67" s="981"/>
      <c r="B67" s="981"/>
      <c r="C67" s="1016"/>
      <c r="D67" s="952"/>
      <c r="E67" s="981"/>
      <c r="F67" s="952"/>
      <c r="G67" s="981"/>
      <c r="H67" s="981"/>
      <c r="I67" s="981"/>
      <c r="J67" s="981"/>
      <c r="K67" s="981"/>
      <c r="O67" s="981"/>
      <c r="P67" s="1417"/>
      <c r="Q67" s="1418"/>
    </row>
    <row r="68" spans="1:17" ht="15" customHeight="1">
      <c r="A68" s="981"/>
      <c r="B68" s="981"/>
      <c r="C68" s="1016"/>
      <c r="D68" s="952"/>
      <c r="E68" s="981"/>
      <c r="F68" s="952"/>
      <c r="G68" s="981"/>
      <c r="H68" s="981"/>
      <c r="I68" s="981"/>
      <c r="J68" s="981"/>
      <c r="K68" s="981"/>
      <c r="O68" s="981"/>
      <c r="P68" s="1417"/>
      <c r="Q68" s="1418"/>
    </row>
    <row r="69" spans="1:17" ht="15" customHeight="1">
      <c r="A69" s="981"/>
      <c r="B69" s="981"/>
      <c r="C69" s="1016"/>
      <c r="D69" s="952"/>
      <c r="E69" s="981"/>
      <c r="F69" s="952"/>
      <c r="G69" s="981"/>
      <c r="H69" s="981"/>
      <c r="I69" s="981"/>
      <c r="J69" s="981"/>
      <c r="K69" s="981"/>
      <c r="O69" s="981"/>
      <c r="P69" s="1417"/>
      <c r="Q69" s="1418"/>
    </row>
    <row r="70" spans="1:17" ht="15" customHeight="1">
      <c r="A70" s="981"/>
      <c r="B70" s="981"/>
      <c r="C70" s="1016"/>
      <c r="D70" s="952"/>
      <c r="E70" s="981"/>
      <c r="F70" s="952"/>
      <c r="G70" s="981"/>
      <c r="H70" s="981"/>
      <c r="I70" s="981"/>
      <c r="J70" s="981"/>
      <c r="K70" s="981"/>
      <c r="O70" s="981"/>
      <c r="P70" s="1417"/>
      <c r="Q70" s="1418"/>
    </row>
    <row r="71" spans="1:17" ht="15" customHeight="1">
      <c r="A71" s="981"/>
      <c r="B71" s="981"/>
      <c r="C71" s="1016"/>
      <c r="D71" s="952"/>
      <c r="E71" s="981"/>
      <c r="F71" s="952"/>
      <c r="G71" s="981"/>
      <c r="H71" s="981"/>
      <c r="I71" s="981"/>
      <c r="J71" s="981"/>
      <c r="K71" s="981"/>
      <c r="O71" s="981"/>
      <c r="P71" s="1417"/>
      <c r="Q71" s="1418"/>
    </row>
    <row r="72" spans="1:17" ht="15" customHeight="1">
      <c r="A72" s="981"/>
      <c r="B72" s="981"/>
      <c r="C72" s="1016"/>
      <c r="D72" s="952"/>
      <c r="E72" s="981"/>
      <c r="F72" s="952"/>
      <c r="G72" s="981"/>
      <c r="H72" s="981"/>
      <c r="I72" s="981"/>
      <c r="J72" s="981"/>
      <c r="K72" s="981"/>
      <c r="O72" s="981"/>
      <c r="P72" s="1417"/>
      <c r="Q72" s="1418"/>
    </row>
    <row r="73" spans="1:17" ht="15" customHeight="1">
      <c r="A73" s="981"/>
      <c r="B73" s="981"/>
      <c r="C73" s="1016"/>
      <c r="D73" s="952"/>
      <c r="E73" s="981"/>
      <c r="F73" s="952"/>
      <c r="G73" s="981"/>
      <c r="H73" s="981"/>
      <c r="I73" s="981"/>
      <c r="J73" s="981"/>
      <c r="K73" s="981"/>
      <c r="O73" s="981"/>
      <c r="P73" s="1417"/>
      <c r="Q73" s="1418"/>
    </row>
    <row r="74" spans="1:17" ht="15" customHeight="1">
      <c r="A74" s="981"/>
      <c r="B74" s="981"/>
      <c r="C74" s="1016"/>
      <c r="D74" s="952"/>
      <c r="E74" s="981"/>
      <c r="F74" s="952"/>
      <c r="G74" s="981"/>
      <c r="H74" s="981"/>
      <c r="I74" s="981"/>
      <c r="J74" s="981"/>
      <c r="K74" s="981"/>
      <c r="O74" s="981"/>
      <c r="P74" s="1417"/>
      <c r="Q74" s="1418"/>
    </row>
    <row r="75" spans="1:17" ht="15" customHeight="1">
      <c r="A75" s="981"/>
      <c r="B75" s="981"/>
      <c r="C75" s="1016"/>
      <c r="D75" s="952"/>
      <c r="E75" s="981"/>
      <c r="F75" s="952"/>
      <c r="G75" s="981"/>
      <c r="H75" s="981"/>
      <c r="I75" s="981"/>
      <c r="J75" s="981"/>
      <c r="K75" s="981"/>
      <c r="O75" s="981"/>
      <c r="P75" s="1417"/>
      <c r="Q75" s="1418"/>
    </row>
    <row r="76" spans="1:17" ht="15" customHeight="1">
      <c r="A76" s="981"/>
      <c r="B76" s="981"/>
      <c r="C76" s="1016"/>
      <c r="D76" s="952"/>
      <c r="E76" s="981"/>
      <c r="F76" s="952"/>
      <c r="G76" s="981"/>
      <c r="H76" s="981"/>
      <c r="I76" s="981"/>
      <c r="J76" s="981"/>
      <c r="K76" s="981"/>
      <c r="O76" s="981"/>
      <c r="P76" s="1417"/>
      <c r="Q76" s="1418"/>
    </row>
    <row r="77" spans="1:17" ht="15" customHeight="1">
      <c r="A77" s="981"/>
      <c r="B77" s="981"/>
      <c r="C77" s="1016"/>
      <c r="D77" s="952"/>
      <c r="E77" s="981"/>
      <c r="F77" s="952"/>
      <c r="G77" s="981"/>
      <c r="H77" s="981"/>
      <c r="I77" s="981"/>
      <c r="J77" s="981"/>
      <c r="K77" s="981"/>
      <c r="O77" s="981"/>
      <c r="P77" s="1417"/>
      <c r="Q77" s="1418"/>
    </row>
    <row r="78" spans="1:17" ht="15" customHeight="1">
      <c r="A78" s="981"/>
      <c r="B78" s="981"/>
      <c r="C78" s="1016"/>
      <c r="D78" s="952"/>
      <c r="E78" s="981"/>
      <c r="F78" s="952"/>
      <c r="G78" s="981"/>
      <c r="H78" s="981"/>
      <c r="I78" s="981"/>
      <c r="J78" s="981"/>
      <c r="K78" s="981"/>
      <c r="O78" s="981"/>
      <c r="P78" s="1417"/>
      <c r="Q78" s="1418"/>
    </row>
    <row r="79" spans="1:17" ht="15" customHeight="1">
      <c r="A79" s="981"/>
      <c r="B79" s="981"/>
      <c r="C79" s="1016"/>
      <c r="D79" s="952"/>
      <c r="E79" s="981"/>
      <c r="F79" s="952"/>
      <c r="G79" s="981"/>
      <c r="H79" s="981"/>
      <c r="I79" s="981"/>
      <c r="J79" s="981"/>
      <c r="K79" s="981"/>
      <c r="O79" s="981"/>
      <c r="P79" s="1417"/>
      <c r="Q79" s="1418"/>
    </row>
    <row r="80" spans="1:17" ht="15" customHeight="1">
      <c r="A80" s="981"/>
      <c r="B80" s="981"/>
      <c r="C80" s="1016"/>
      <c r="D80" s="952"/>
      <c r="E80" s="981"/>
      <c r="F80" s="952"/>
      <c r="G80" s="981"/>
      <c r="H80" s="981"/>
      <c r="I80" s="981"/>
      <c r="J80" s="981"/>
      <c r="K80" s="981"/>
      <c r="O80" s="981"/>
      <c r="P80" s="1417"/>
      <c r="Q80" s="1418"/>
    </row>
    <row r="81" spans="1:17" ht="15" customHeight="1">
      <c r="A81" s="981"/>
      <c r="B81" s="981"/>
      <c r="C81" s="1016"/>
      <c r="D81" s="952"/>
      <c r="E81" s="981"/>
      <c r="F81" s="952"/>
      <c r="G81" s="981"/>
      <c r="H81" s="981"/>
      <c r="I81" s="981"/>
      <c r="J81" s="981"/>
      <c r="K81" s="981"/>
      <c r="O81" s="981"/>
      <c r="P81" s="1417"/>
      <c r="Q81" s="1418"/>
    </row>
    <row r="82" spans="1:17" ht="15" customHeight="1">
      <c r="A82" s="981"/>
      <c r="B82" s="981"/>
      <c r="C82" s="1016"/>
      <c r="D82" s="952"/>
      <c r="E82" s="981"/>
      <c r="F82" s="952"/>
      <c r="G82" s="981"/>
      <c r="H82" s="981"/>
      <c r="I82" s="981"/>
      <c r="J82" s="981"/>
      <c r="K82" s="981"/>
      <c r="O82" s="981"/>
      <c r="P82" s="1417"/>
      <c r="Q82" s="1418"/>
    </row>
    <row r="83" spans="1:17" ht="15" customHeight="1">
      <c r="A83" s="981"/>
      <c r="B83" s="981"/>
      <c r="C83" s="1016"/>
      <c r="D83" s="952"/>
      <c r="E83" s="981"/>
      <c r="F83" s="952"/>
      <c r="G83" s="981"/>
      <c r="H83" s="981"/>
      <c r="I83" s="981"/>
      <c r="J83" s="981"/>
      <c r="K83" s="981"/>
      <c r="O83" s="981"/>
      <c r="P83" s="1417"/>
      <c r="Q83" s="1418"/>
    </row>
    <row r="84" spans="1:17" ht="15" customHeight="1">
      <c r="A84" s="981"/>
      <c r="B84" s="981"/>
      <c r="C84" s="1016"/>
      <c r="D84" s="952"/>
      <c r="E84" s="981"/>
      <c r="F84" s="952"/>
      <c r="G84" s="981"/>
      <c r="H84" s="981"/>
      <c r="I84" s="981"/>
      <c r="J84" s="981"/>
      <c r="K84" s="981"/>
      <c r="O84" s="981"/>
      <c r="P84" s="1417"/>
      <c r="Q84" s="1418"/>
    </row>
    <row r="85" spans="1:17" ht="15" customHeight="1">
      <c r="A85" s="981"/>
      <c r="B85" s="981"/>
      <c r="C85" s="1016"/>
      <c r="D85" s="952"/>
      <c r="E85" s="981"/>
      <c r="F85" s="952"/>
      <c r="G85" s="981"/>
      <c r="H85" s="981"/>
      <c r="I85" s="981"/>
      <c r="J85" s="981"/>
      <c r="K85" s="981"/>
      <c r="O85" s="981"/>
      <c r="P85" s="1417"/>
      <c r="Q85" s="1418"/>
    </row>
    <row r="86" spans="1:17" ht="15" customHeight="1">
      <c r="A86" s="981"/>
      <c r="B86" s="981"/>
      <c r="C86" s="1016"/>
      <c r="D86" s="952"/>
      <c r="E86" s="981"/>
      <c r="F86" s="952"/>
      <c r="G86" s="981"/>
      <c r="H86" s="981"/>
      <c r="I86" s="981"/>
      <c r="J86" s="981"/>
      <c r="K86" s="981"/>
      <c r="O86" s="981"/>
      <c r="P86" s="1417"/>
      <c r="Q86" s="1418"/>
    </row>
    <row r="87" spans="1:17" ht="15" customHeight="1">
      <c r="A87" s="981"/>
      <c r="B87" s="981"/>
      <c r="C87" s="1016"/>
      <c r="D87" s="952"/>
      <c r="E87" s="981"/>
      <c r="F87" s="952"/>
      <c r="G87" s="981"/>
      <c r="H87" s="981"/>
      <c r="I87" s="981"/>
      <c r="J87" s="981"/>
      <c r="K87" s="981"/>
      <c r="O87" s="981"/>
      <c r="P87" s="1417"/>
      <c r="Q87" s="1418"/>
    </row>
    <row r="88" spans="1:17" ht="15" customHeight="1">
      <c r="A88" s="981"/>
      <c r="B88" s="981"/>
      <c r="C88" s="1016"/>
      <c r="D88" s="952"/>
      <c r="E88" s="981"/>
      <c r="F88" s="952"/>
      <c r="G88" s="981"/>
      <c r="H88" s="981"/>
      <c r="I88" s="981"/>
      <c r="J88" s="981"/>
      <c r="K88" s="981"/>
      <c r="O88" s="981"/>
      <c r="P88" s="1417"/>
      <c r="Q88" s="1418"/>
    </row>
    <row r="89" spans="1:17" ht="15" customHeight="1">
      <c r="A89" s="981"/>
      <c r="B89" s="981"/>
      <c r="C89" s="1016"/>
      <c r="D89" s="952"/>
      <c r="E89" s="981"/>
      <c r="F89" s="952"/>
      <c r="G89" s="981"/>
      <c r="H89" s="981"/>
      <c r="I89" s="981"/>
      <c r="J89" s="981"/>
      <c r="K89" s="981"/>
      <c r="O89" s="981"/>
      <c r="P89" s="1417"/>
      <c r="Q89" s="1418"/>
    </row>
    <row r="90" spans="1:17" ht="15" customHeight="1">
      <c r="A90" s="981"/>
      <c r="B90" s="981"/>
      <c r="C90" s="1016"/>
      <c r="D90" s="952"/>
      <c r="E90" s="981"/>
      <c r="F90" s="952"/>
      <c r="G90" s="981"/>
      <c r="H90" s="981"/>
      <c r="I90" s="981"/>
      <c r="J90" s="981"/>
      <c r="K90" s="981"/>
      <c r="O90" s="981"/>
      <c r="P90" s="1417"/>
      <c r="Q90" s="1418"/>
    </row>
    <row r="91" spans="1:17" ht="15" customHeight="1">
      <c r="A91" s="981"/>
      <c r="B91" s="981"/>
      <c r="C91" s="1016"/>
      <c r="D91" s="952"/>
      <c r="E91" s="981"/>
      <c r="F91" s="952"/>
      <c r="G91" s="981"/>
      <c r="H91" s="981"/>
      <c r="I91" s="981"/>
      <c r="J91" s="981"/>
      <c r="K91" s="981"/>
      <c r="O91" s="981"/>
      <c r="P91" s="1417"/>
      <c r="Q91" s="1418"/>
    </row>
    <row r="92" spans="1:17" ht="15" customHeight="1">
      <c r="A92" s="981"/>
      <c r="B92" s="981"/>
      <c r="C92" s="1016"/>
      <c r="D92" s="952"/>
      <c r="E92" s="981"/>
      <c r="F92" s="952"/>
      <c r="G92" s="981"/>
      <c r="H92" s="981"/>
      <c r="I92" s="981"/>
      <c r="J92" s="981"/>
      <c r="K92" s="981"/>
      <c r="O92" s="981"/>
      <c r="P92" s="1417"/>
      <c r="Q92" s="1418"/>
    </row>
    <row r="93" spans="1:17" ht="15" customHeight="1">
      <c r="A93" s="981"/>
      <c r="B93" s="981"/>
      <c r="C93" s="1016"/>
      <c r="D93" s="952"/>
      <c r="E93" s="981"/>
      <c r="F93" s="952"/>
      <c r="G93" s="981"/>
      <c r="H93" s="981"/>
      <c r="I93" s="981"/>
      <c r="J93" s="981"/>
      <c r="K93" s="981"/>
      <c r="O93" s="981"/>
      <c r="P93" s="1417"/>
      <c r="Q93" s="1418"/>
    </row>
    <row r="94" spans="1:17" ht="15" customHeight="1">
      <c r="A94" s="981"/>
      <c r="B94" s="981"/>
      <c r="C94" s="1016"/>
      <c r="D94" s="952"/>
      <c r="E94" s="981"/>
      <c r="F94" s="952"/>
      <c r="G94" s="981"/>
      <c r="H94" s="981"/>
      <c r="I94" s="981"/>
      <c r="J94" s="981"/>
      <c r="K94" s="981"/>
      <c r="O94" s="981"/>
      <c r="P94" s="1417"/>
      <c r="Q94" s="1418"/>
    </row>
    <row r="95" spans="1:17" ht="15" customHeight="1">
      <c r="A95" s="981"/>
      <c r="B95" s="981"/>
      <c r="C95" s="1016"/>
      <c r="D95" s="952"/>
      <c r="E95" s="981"/>
      <c r="F95" s="952"/>
      <c r="G95" s="981"/>
      <c r="H95" s="981"/>
      <c r="I95" s="981"/>
      <c r="J95" s="981"/>
      <c r="K95" s="981"/>
      <c r="O95" s="981"/>
      <c r="P95" s="1417"/>
      <c r="Q95" s="1418"/>
    </row>
    <row r="96" spans="1:17" ht="15" customHeight="1">
      <c r="A96" s="981"/>
      <c r="B96" s="981"/>
      <c r="C96" s="1016"/>
      <c r="D96" s="952"/>
      <c r="E96" s="981"/>
      <c r="F96" s="952"/>
      <c r="G96" s="981"/>
      <c r="H96" s="981"/>
      <c r="I96" s="981"/>
      <c r="J96" s="981"/>
      <c r="K96" s="981"/>
      <c r="O96" s="981"/>
      <c r="P96" s="1417"/>
      <c r="Q96" s="1418"/>
    </row>
    <row r="97" spans="1:17" ht="15" customHeight="1">
      <c r="A97" s="981"/>
      <c r="B97" s="981"/>
      <c r="C97" s="1016"/>
      <c r="D97" s="952"/>
      <c r="E97" s="981"/>
      <c r="F97" s="952"/>
      <c r="G97" s="981"/>
      <c r="H97" s="981"/>
      <c r="I97" s="981"/>
      <c r="J97" s="981"/>
      <c r="K97" s="981"/>
      <c r="O97" s="981"/>
      <c r="P97" s="1417"/>
      <c r="Q97" s="1418"/>
    </row>
    <row r="98" spans="1:17" ht="15" customHeight="1">
      <c r="A98" s="981"/>
      <c r="B98" s="981"/>
      <c r="C98" s="1016"/>
      <c r="D98" s="952"/>
      <c r="E98" s="981"/>
      <c r="F98" s="952"/>
      <c r="G98" s="981"/>
      <c r="H98" s="981"/>
      <c r="I98" s="981"/>
      <c r="J98" s="981"/>
      <c r="K98" s="981"/>
      <c r="O98" s="981"/>
      <c r="P98" s="1417"/>
      <c r="Q98" s="1418"/>
    </row>
    <row r="99" spans="1:17" ht="15" customHeight="1">
      <c r="A99" s="981"/>
      <c r="B99" s="981"/>
      <c r="C99" s="1016"/>
      <c r="D99" s="952"/>
      <c r="E99" s="981"/>
      <c r="F99" s="952"/>
      <c r="G99" s="981"/>
      <c r="H99" s="981"/>
      <c r="I99" s="981"/>
      <c r="J99" s="981"/>
      <c r="K99" s="981"/>
      <c r="O99" s="981"/>
      <c r="P99" s="1417"/>
      <c r="Q99" s="1418"/>
    </row>
    <row r="100" spans="1:17" ht="15" customHeight="1">
      <c r="A100" s="981"/>
      <c r="B100" s="981"/>
      <c r="C100" s="1016"/>
      <c r="D100" s="952"/>
      <c r="E100" s="981"/>
      <c r="F100" s="952"/>
      <c r="G100" s="981"/>
      <c r="H100" s="981"/>
      <c r="I100" s="981"/>
      <c r="J100" s="981"/>
      <c r="K100" s="981"/>
      <c r="O100" s="981"/>
      <c r="P100" s="1417"/>
      <c r="Q100" s="1418"/>
    </row>
    <row r="101" spans="1:17" ht="15" customHeight="1">
      <c r="A101" s="981"/>
      <c r="B101" s="981"/>
      <c r="C101" s="1016"/>
      <c r="D101" s="952"/>
      <c r="E101" s="981"/>
      <c r="F101" s="952"/>
      <c r="G101" s="981"/>
      <c r="H101" s="981"/>
      <c r="I101" s="981"/>
      <c r="J101" s="981"/>
      <c r="K101" s="981"/>
      <c r="O101" s="981"/>
      <c r="P101" s="1417"/>
      <c r="Q101" s="1418"/>
    </row>
    <row r="102" spans="1:17" ht="15" customHeight="1">
      <c r="A102" s="981"/>
      <c r="B102" s="981"/>
      <c r="C102" s="1016"/>
      <c r="D102" s="952"/>
      <c r="E102" s="981"/>
      <c r="F102" s="952"/>
      <c r="G102" s="981"/>
      <c r="H102" s="981"/>
      <c r="I102" s="981"/>
      <c r="J102" s="981"/>
      <c r="K102" s="981"/>
      <c r="O102" s="981"/>
      <c r="P102" s="1417"/>
      <c r="Q102" s="1418"/>
    </row>
    <row r="103" spans="1:17" ht="15" customHeight="1">
      <c r="A103" s="981"/>
      <c r="B103" s="981"/>
      <c r="C103" s="1016"/>
      <c r="D103" s="952"/>
      <c r="E103" s="981"/>
      <c r="F103" s="952"/>
      <c r="G103" s="981"/>
      <c r="H103" s="981"/>
      <c r="I103" s="981"/>
      <c r="J103" s="981"/>
      <c r="K103" s="981"/>
      <c r="O103" s="981"/>
      <c r="P103" s="1417"/>
      <c r="Q103" s="1418"/>
    </row>
    <row r="104" spans="1:17" ht="15" customHeight="1">
      <c r="A104" s="981"/>
      <c r="B104" s="981"/>
      <c r="C104" s="1016"/>
      <c r="D104" s="952"/>
      <c r="E104" s="981"/>
      <c r="F104" s="952"/>
      <c r="G104" s="981"/>
      <c r="H104" s="981"/>
      <c r="I104" s="981"/>
      <c r="J104" s="981"/>
      <c r="K104" s="981"/>
      <c r="O104" s="981"/>
      <c r="P104" s="1417"/>
      <c r="Q104" s="1418"/>
    </row>
    <row r="105" spans="1:17" ht="15" customHeight="1">
      <c r="A105" s="981"/>
      <c r="B105" s="981"/>
      <c r="C105" s="1016"/>
      <c r="D105" s="952"/>
      <c r="E105" s="981"/>
      <c r="F105" s="952"/>
      <c r="G105" s="981"/>
      <c r="H105" s="981"/>
      <c r="I105" s="981"/>
      <c r="J105" s="981"/>
      <c r="K105" s="981"/>
      <c r="O105" s="981"/>
      <c r="P105" s="1417"/>
      <c r="Q105" s="1418"/>
    </row>
    <row r="106" spans="1:17" ht="15" customHeight="1">
      <c r="A106" s="981"/>
      <c r="B106" s="981"/>
      <c r="C106" s="1016"/>
      <c r="D106" s="952"/>
      <c r="E106" s="981"/>
      <c r="F106" s="952"/>
      <c r="G106" s="981"/>
      <c r="H106" s="981"/>
      <c r="I106" s="981"/>
      <c r="J106" s="981"/>
      <c r="K106" s="981"/>
      <c r="O106" s="981"/>
      <c r="P106" s="1417"/>
      <c r="Q106" s="1418"/>
    </row>
    <row r="107" spans="1:17" ht="15" customHeight="1">
      <c r="A107" s="981"/>
      <c r="B107" s="981"/>
      <c r="C107" s="1016"/>
      <c r="D107" s="952"/>
      <c r="E107" s="981"/>
      <c r="F107" s="952"/>
      <c r="G107" s="981"/>
      <c r="H107" s="981"/>
      <c r="I107" s="981"/>
      <c r="J107" s="981"/>
      <c r="K107" s="981"/>
      <c r="O107" s="981"/>
      <c r="P107" s="1417"/>
      <c r="Q107" s="1418"/>
    </row>
    <row r="108" spans="1:17" ht="15" customHeight="1">
      <c r="A108" s="981"/>
      <c r="B108" s="981"/>
      <c r="C108" s="1016"/>
      <c r="D108" s="952"/>
      <c r="E108" s="981"/>
      <c r="F108" s="952"/>
      <c r="G108" s="981"/>
      <c r="H108" s="981"/>
      <c r="I108" s="981"/>
      <c r="J108" s="981"/>
      <c r="K108" s="981"/>
      <c r="O108" s="981"/>
      <c r="P108" s="1417"/>
      <c r="Q108" s="1418"/>
    </row>
    <row r="109" spans="1:17" ht="15" customHeight="1">
      <c r="A109" s="981"/>
      <c r="B109" s="981"/>
      <c r="C109" s="1016"/>
      <c r="D109" s="952"/>
      <c r="E109" s="981"/>
      <c r="F109" s="952"/>
      <c r="G109" s="981"/>
      <c r="H109" s="981"/>
      <c r="I109" s="981"/>
      <c r="J109" s="981"/>
      <c r="K109" s="981"/>
      <c r="O109" s="981"/>
      <c r="P109" s="1417"/>
      <c r="Q109" s="1418"/>
    </row>
    <row r="110" spans="1:17" ht="15" customHeight="1">
      <c r="A110" s="981"/>
      <c r="B110" s="981"/>
      <c r="C110" s="1016"/>
      <c r="D110" s="952"/>
      <c r="E110" s="981"/>
      <c r="F110" s="952"/>
      <c r="G110" s="981"/>
      <c r="H110" s="981"/>
      <c r="I110" s="981"/>
      <c r="J110" s="981"/>
      <c r="K110" s="981"/>
      <c r="O110" s="981"/>
      <c r="P110" s="1417"/>
      <c r="Q110" s="1418"/>
    </row>
    <row r="111" spans="1:17" ht="15" customHeight="1">
      <c r="A111" s="981"/>
      <c r="B111" s="981"/>
      <c r="C111" s="1016"/>
      <c r="D111" s="952"/>
      <c r="E111" s="981"/>
      <c r="F111" s="952"/>
      <c r="G111" s="981"/>
      <c r="H111" s="981"/>
      <c r="I111" s="981"/>
      <c r="J111" s="981"/>
      <c r="K111" s="981"/>
      <c r="O111" s="981"/>
      <c r="P111" s="1417"/>
      <c r="Q111" s="1418"/>
    </row>
    <row r="112" spans="1:17" ht="15" customHeight="1">
      <c r="A112" s="981"/>
      <c r="B112" s="981"/>
      <c r="C112" s="1016"/>
      <c r="D112" s="952"/>
      <c r="E112" s="981"/>
      <c r="F112" s="952"/>
      <c r="G112" s="981"/>
      <c r="H112" s="981"/>
      <c r="I112" s="981"/>
      <c r="J112" s="981"/>
      <c r="K112" s="981"/>
      <c r="O112" s="981"/>
      <c r="P112" s="1417"/>
      <c r="Q112" s="1418"/>
    </row>
    <row r="113" spans="1:17" ht="15" customHeight="1">
      <c r="A113" s="981"/>
      <c r="B113" s="981"/>
      <c r="C113" s="1016"/>
      <c r="D113" s="952"/>
      <c r="E113" s="981"/>
      <c r="F113" s="952"/>
      <c r="G113" s="981"/>
      <c r="H113" s="981"/>
      <c r="I113" s="981"/>
      <c r="J113" s="981"/>
      <c r="K113" s="981"/>
      <c r="O113" s="981"/>
      <c r="P113" s="1417"/>
      <c r="Q113" s="1418"/>
    </row>
    <row r="114" spans="1:17" ht="15" customHeight="1">
      <c r="A114" s="981"/>
      <c r="B114" s="981"/>
      <c r="C114" s="1016"/>
      <c r="D114" s="952"/>
      <c r="E114" s="981"/>
      <c r="F114" s="952"/>
      <c r="G114" s="981"/>
      <c r="H114" s="981"/>
      <c r="I114" s="981"/>
      <c r="J114" s="981"/>
      <c r="K114" s="981"/>
      <c r="O114" s="981"/>
      <c r="P114" s="1417"/>
      <c r="Q114" s="1418"/>
    </row>
    <row r="115" spans="1:17" ht="15" customHeight="1">
      <c r="A115" s="981"/>
      <c r="B115" s="981"/>
      <c r="C115" s="1016"/>
      <c r="D115" s="952"/>
      <c r="E115" s="981"/>
      <c r="F115" s="952"/>
      <c r="G115" s="981"/>
      <c r="H115" s="981"/>
      <c r="I115" s="981"/>
      <c r="J115" s="981"/>
      <c r="K115" s="981"/>
      <c r="O115" s="981"/>
      <c r="P115" s="1417"/>
      <c r="Q115" s="1418"/>
    </row>
    <row r="116" spans="1:17" ht="15" customHeight="1">
      <c r="A116" s="981"/>
      <c r="B116" s="981"/>
      <c r="C116" s="1016"/>
      <c r="D116" s="952"/>
      <c r="E116" s="981"/>
      <c r="F116" s="952"/>
      <c r="G116" s="981"/>
      <c r="H116" s="981"/>
      <c r="I116" s="981"/>
      <c r="J116" s="981"/>
      <c r="K116" s="981"/>
      <c r="O116" s="981"/>
      <c r="P116" s="1417"/>
      <c r="Q116" s="1418"/>
    </row>
    <row r="117" spans="1:17" ht="15" customHeight="1">
      <c r="A117" s="981"/>
      <c r="B117" s="981"/>
      <c r="C117" s="1016"/>
      <c r="D117" s="952"/>
      <c r="E117" s="981"/>
      <c r="F117" s="952"/>
      <c r="G117" s="981"/>
      <c r="H117" s="981"/>
      <c r="I117" s="981"/>
      <c r="J117" s="981"/>
      <c r="K117" s="981"/>
      <c r="O117" s="981"/>
      <c r="P117" s="1417"/>
      <c r="Q117" s="1418"/>
    </row>
    <row r="118" spans="1:17" ht="15" customHeight="1">
      <c r="A118" s="981"/>
      <c r="B118" s="981"/>
      <c r="C118" s="1016"/>
      <c r="D118" s="952"/>
      <c r="E118" s="981"/>
      <c r="F118" s="952"/>
      <c r="G118" s="981"/>
      <c r="H118" s="981"/>
      <c r="I118" s="981"/>
      <c r="J118" s="981"/>
      <c r="K118" s="981"/>
      <c r="O118" s="981"/>
      <c r="P118" s="1417"/>
      <c r="Q118" s="1418"/>
    </row>
    <row r="119" spans="1:17" ht="15" customHeight="1">
      <c r="A119" s="981"/>
      <c r="B119" s="981"/>
      <c r="C119" s="1016"/>
      <c r="D119" s="952"/>
      <c r="E119" s="981"/>
      <c r="F119" s="952"/>
      <c r="G119" s="981"/>
      <c r="H119" s="981"/>
      <c r="I119" s="981"/>
      <c r="J119" s="981"/>
      <c r="K119" s="981"/>
      <c r="O119" s="981"/>
      <c r="P119" s="1417"/>
      <c r="Q119" s="1418"/>
    </row>
    <row r="120" spans="1:17" ht="15" customHeight="1">
      <c r="A120" s="981"/>
      <c r="B120" s="981"/>
      <c r="C120" s="1016"/>
      <c r="D120" s="952"/>
      <c r="E120" s="981"/>
      <c r="F120" s="952"/>
      <c r="G120" s="981"/>
      <c r="H120" s="981"/>
      <c r="I120" s="981"/>
      <c r="J120" s="981"/>
      <c r="K120" s="981"/>
      <c r="O120" s="981"/>
      <c r="P120" s="1417"/>
      <c r="Q120" s="1418"/>
    </row>
    <row r="121" spans="1:17" ht="15" customHeight="1">
      <c r="A121" s="981"/>
      <c r="B121" s="981"/>
      <c r="C121" s="1016"/>
      <c r="D121" s="952"/>
      <c r="E121" s="981"/>
      <c r="F121" s="952"/>
      <c r="G121" s="981"/>
      <c r="H121" s="981"/>
      <c r="I121" s="981"/>
      <c r="J121" s="981"/>
      <c r="K121" s="981"/>
      <c r="O121" s="981"/>
      <c r="P121" s="1417"/>
      <c r="Q121" s="1418"/>
    </row>
    <row r="122" spans="1:17" ht="15" customHeight="1">
      <c r="A122" s="981"/>
      <c r="B122" s="981"/>
      <c r="C122" s="1016"/>
      <c r="D122" s="952"/>
      <c r="E122" s="981"/>
      <c r="F122" s="952"/>
      <c r="G122" s="981"/>
      <c r="H122" s="981"/>
      <c r="I122" s="981"/>
      <c r="J122" s="981"/>
      <c r="K122" s="981"/>
      <c r="O122" s="981"/>
      <c r="P122" s="1417"/>
      <c r="Q122" s="1418"/>
    </row>
    <row r="123" spans="1:17" ht="15" customHeight="1">
      <c r="A123" s="981"/>
      <c r="B123" s="981"/>
      <c r="C123" s="1016"/>
      <c r="D123" s="952"/>
      <c r="E123" s="981"/>
      <c r="F123" s="952"/>
      <c r="G123" s="981"/>
      <c r="H123" s="981"/>
      <c r="I123" s="981"/>
      <c r="J123" s="981"/>
      <c r="K123" s="981"/>
      <c r="O123" s="981"/>
      <c r="P123" s="1417"/>
      <c r="Q123" s="1418"/>
    </row>
    <row r="124" spans="1:17" ht="15" customHeight="1">
      <c r="A124" s="981"/>
      <c r="B124" s="981"/>
      <c r="C124" s="1016"/>
      <c r="D124" s="952"/>
      <c r="E124" s="981"/>
      <c r="F124" s="952"/>
      <c r="G124" s="981"/>
      <c r="H124" s="981"/>
      <c r="I124" s="981"/>
      <c r="J124" s="981"/>
      <c r="K124" s="981"/>
      <c r="O124" s="981"/>
      <c r="P124" s="1417"/>
      <c r="Q124" s="1418"/>
    </row>
    <row r="125" spans="1:17" ht="15" customHeight="1">
      <c r="A125" s="981"/>
      <c r="B125" s="981"/>
      <c r="C125" s="1016"/>
      <c r="D125" s="952"/>
      <c r="E125" s="981"/>
      <c r="F125" s="952"/>
      <c r="G125" s="981"/>
      <c r="H125" s="981"/>
      <c r="I125" s="981"/>
      <c r="J125" s="981"/>
      <c r="K125" s="981"/>
      <c r="O125" s="981"/>
      <c r="P125" s="1417"/>
      <c r="Q125" s="1418"/>
    </row>
    <row r="126" spans="1:17" ht="15" customHeight="1">
      <c r="A126" s="981"/>
      <c r="B126" s="981"/>
      <c r="C126" s="1016"/>
      <c r="D126" s="952"/>
      <c r="E126" s="981"/>
      <c r="F126" s="952"/>
      <c r="G126" s="981"/>
      <c r="H126" s="981"/>
      <c r="I126" s="981"/>
      <c r="J126" s="981"/>
      <c r="K126" s="981"/>
      <c r="O126" s="981"/>
      <c r="P126" s="1417"/>
      <c r="Q126" s="1418"/>
    </row>
    <row r="127" spans="1:17" ht="15" customHeight="1">
      <c r="A127" s="981"/>
      <c r="B127" s="981"/>
      <c r="C127" s="1016"/>
      <c r="D127" s="952"/>
      <c r="E127" s="981"/>
      <c r="F127" s="952"/>
      <c r="G127" s="981"/>
      <c r="H127" s="981"/>
      <c r="I127" s="981"/>
      <c r="J127" s="981"/>
      <c r="K127" s="981"/>
      <c r="O127" s="981"/>
      <c r="P127" s="1417"/>
      <c r="Q127" s="1418"/>
    </row>
    <row r="128" spans="1:17" ht="15" customHeight="1">
      <c r="A128" s="981"/>
      <c r="B128" s="981"/>
      <c r="C128" s="1016"/>
      <c r="D128" s="952"/>
      <c r="E128" s="981"/>
      <c r="F128" s="952"/>
      <c r="G128" s="981"/>
      <c r="H128" s="981"/>
      <c r="I128" s="981"/>
      <c r="J128" s="981"/>
      <c r="K128" s="981"/>
      <c r="O128" s="981"/>
      <c r="P128" s="1417"/>
      <c r="Q128" s="1418"/>
    </row>
    <row r="129" spans="1:17" ht="15" customHeight="1">
      <c r="A129" s="981"/>
      <c r="B129" s="981"/>
      <c r="C129" s="1016"/>
      <c r="D129" s="952"/>
      <c r="E129" s="981"/>
      <c r="F129" s="952"/>
      <c r="G129" s="981"/>
      <c r="H129" s="981"/>
      <c r="I129" s="981"/>
      <c r="J129" s="981"/>
      <c r="K129" s="981"/>
      <c r="O129" s="981"/>
      <c r="P129" s="1417"/>
      <c r="Q129" s="1418"/>
    </row>
    <row r="130" spans="1:17" ht="15" customHeight="1">
      <c r="A130" s="981"/>
      <c r="B130" s="981"/>
      <c r="C130" s="1016"/>
      <c r="D130" s="952"/>
      <c r="E130" s="981"/>
      <c r="F130" s="952"/>
      <c r="G130" s="981"/>
      <c r="H130" s="981"/>
      <c r="I130" s="981"/>
      <c r="J130" s="981"/>
      <c r="K130" s="981"/>
      <c r="O130" s="981"/>
      <c r="P130" s="1417"/>
      <c r="Q130" s="1418"/>
    </row>
    <row r="131" spans="1:17" ht="15" customHeight="1">
      <c r="A131" s="981"/>
      <c r="B131" s="981"/>
      <c r="C131" s="1016"/>
      <c r="D131" s="952"/>
      <c r="E131" s="981"/>
      <c r="F131" s="952"/>
      <c r="G131" s="981"/>
      <c r="H131" s="981"/>
      <c r="I131" s="981"/>
      <c r="J131" s="981"/>
      <c r="K131" s="981"/>
      <c r="O131" s="981"/>
      <c r="P131" s="1417"/>
      <c r="Q131" s="1418"/>
    </row>
    <row r="132" spans="1:17" ht="15" customHeight="1">
      <c r="A132" s="981"/>
      <c r="B132" s="981"/>
      <c r="C132" s="1016"/>
      <c r="D132" s="952"/>
      <c r="E132" s="981"/>
      <c r="F132" s="952"/>
      <c r="G132" s="981"/>
      <c r="H132" s="981"/>
      <c r="I132" s="981"/>
      <c r="J132" s="981"/>
      <c r="K132" s="981"/>
      <c r="O132" s="981"/>
      <c r="P132" s="1417"/>
      <c r="Q132" s="1418"/>
    </row>
    <row r="133" spans="1:17" ht="15" customHeight="1">
      <c r="A133" s="981"/>
      <c r="B133" s="981"/>
      <c r="C133" s="1016"/>
      <c r="D133" s="952"/>
      <c r="E133" s="981"/>
      <c r="F133" s="952"/>
      <c r="G133" s="981"/>
      <c r="H133" s="981"/>
      <c r="I133" s="981"/>
      <c r="J133" s="981"/>
      <c r="K133" s="981"/>
      <c r="O133" s="981"/>
      <c r="P133" s="1417"/>
      <c r="Q133" s="1418"/>
    </row>
    <row r="134" spans="1:17" ht="15" customHeight="1">
      <c r="A134" s="981"/>
      <c r="B134" s="981"/>
      <c r="C134" s="1016"/>
      <c r="D134" s="952"/>
      <c r="E134" s="981"/>
      <c r="F134" s="952"/>
      <c r="G134" s="981"/>
      <c r="H134" s="981"/>
      <c r="I134" s="981"/>
      <c r="J134" s="981"/>
      <c r="K134" s="981"/>
      <c r="O134" s="981"/>
      <c r="P134" s="1417"/>
      <c r="Q134" s="1418"/>
    </row>
    <row r="135" spans="1:17" ht="15" customHeight="1">
      <c r="A135" s="981"/>
      <c r="B135" s="981"/>
      <c r="C135" s="1016"/>
      <c r="D135" s="952"/>
      <c r="E135" s="981"/>
      <c r="F135" s="952"/>
      <c r="G135" s="981"/>
      <c r="H135" s="981"/>
      <c r="I135" s="981"/>
      <c r="J135" s="981"/>
      <c r="K135" s="981"/>
      <c r="O135" s="981"/>
      <c r="P135" s="1417"/>
      <c r="Q135" s="1418"/>
    </row>
    <row r="136" spans="1:17" ht="15" customHeight="1">
      <c r="A136" s="981"/>
      <c r="B136" s="981"/>
      <c r="C136" s="1016"/>
      <c r="D136" s="952"/>
      <c r="E136" s="981"/>
      <c r="F136" s="952"/>
      <c r="G136" s="981"/>
      <c r="H136" s="981"/>
      <c r="I136" s="981"/>
      <c r="J136" s="981"/>
      <c r="K136" s="981"/>
      <c r="O136" s="981"/>
      <c r="P136" s="1417"/>
      <c r="Q136" s="1418"/>
    </row>
    <row r="137" spans="1:17" ht="15" customHeight="1">
      <c r="A137" s="981"/>
      <c r="B137" s="981"/>
      <c r="C137" s="1016"/>
      <c r="D137" s="952"/>
      <c r="E137" s="981"/>
      <c r="F137" s="952"/>
      <c r="G137" s="981"/>
      <c r="H137" s="981"/>
      <c r="I137" s="981"/>
      <c r="J137" s="981"/>
      <c r="K137" s="981"/>
      <c r="O137" s="981"/>
      <c r="P137" s="1417"/>
      <c r="Q137" s="1418"/>
    </row>
    <row r="138" spans="1:17" ht="15" customHeight="1">
      <c r="A138" s="981"/>
      <c r="B138" s="981"/>
      <c r="C138" s="1016"/>
      <c r="D138" s="952"/>
      <c r="E138" s="981"/>
      <c r="F138" s="952"/>
      <c r="G138" s="981"/>
      <c r="H138" s="981"/>
      <c r="I138" s="981"/>
      <c r="J138" s="981"/>
      <c r="K138" s="981"/>
      <c r="O138" s="981"/>
      <c r="P138" s="1417"/>
      <c r="Q138" s="1418"/>
    </row>
    <row r="139" spans="1:17" ht="15" customHeight="1">
      <c r="A139" s="981"/>
      <c r="B139" s="981"/>
      <c r="C139" s="1016"/>
      <c r="D139" s="952"/>
      <c r="E139" s="981"/>
      <c r="F139" s="952"/>
      <c r="G139" s="981"/>
      <c r="H139" s="981"/>
      <c r="I139" s="981"/>
      <c r="J139" s="981"/>
      <c r="K139" s="981"/>
      <c r="O139" s="981"/>
      <c r="P139" s="1417"/>
      <c r="Q139" s="1418"/>
    </row>
    <row r="140" spans="1:17" ht="15" customHeight="1">
      <c r="A140" s="981"/>
      <c r="B140" s="981"/>
      <c r="C140" s="1016"/>
      <c r="D140" s="952"/>
      <c r="E140" s="981"/>
      <c r="F140" s="952"/>
      <c r="G140" s="981"/>
      <c r="H140" s="981"/>
      <c r="I140" s="981"/>
      <c r="J140" s="981"/>
      <c r="K140" s="981"/>
      <c r="O140" s="981"/>
      <c r="P140" s="1417"/>
      <c r="Q140" s="1418"/>
    </row>
    <row r="141" spans="1:17" ht="15" customHeight="1">
      <c r="A141" s="981"/>
      <c r="B141" s="981"/>
      <c r="C141" s="1016"/>
      <c r="D141" s="952"/>
      <c r="E141" s="981"/>
      <c r="F141" s="952"/>
      <c r="G141" s="981"/>
      <c r="H141" s="981"/>
      <c r="I141" s="981"/>
      <c r="J141" s="981"/>
      <c r="K141" s="981"/>
      <c r="O141" s="981"/>
      <c r="P141" s="1417"/>
      <c r="Q141" s="1418"/>
    </row>
    <row r="142" spans="1:17" ht="15" customHeight="1">
      <c r="A142" s="981"/>
      <c r="B142" s="981"/>
      <c r="C142" s="1016"/>
      <c r="D142" s="952"/>
      <c r="E142" s="981"/>
      <c r="F142" s="952"/>
      <c r="G142" s="981"/>
      <c r="H142" s="981"/>
      <c r="I142" s="981"/>
      <c r="J142" s="981"/>
      <c r="K142" s="981"/>
      <c r="O142" s="981"/>
      <c r="P142" s="1417"/>
      <c r="Q142" s="1418"/>
    </row>
    <row r="143" spans="1:17" ht="15" customHeight="1">
      <c r="A143" s="981"/>
      <c r="B143" s="981"/>
      <c r="C143" s="1016"/>
      <c r="D143" s="952"/>
      <c r="E143" s="981"/>
      <c r="F143" s="952"/>
      <c r="G143" s="981"/>
      <c r="H143" s="981"/>
      <c r="I143" s="981"/>
      <c r="J143" s="981"/>
      <c r="K143" s="981"/>
      <c r="O143" s="981"/>
      <c r="P143" s="1417"/>
      <c r="Q143" s="1418"/>
    </row>
    <row r="144" spans="1:17" ht="15" customHeight="1">
      <c r="A144" s="981"/>
      <c r="B144" s="981"/>
      <c r="C144" s="1016"/>
      <c r="D144" s="952"/>
      <c r="E144" s="981"/>
      <c r="F144" s="952"/>
      <c r="G144" s="981"/>
      <c r="H144" s="981"/>
      <c r="I144" s="981"/>
      <c r="J144" s="981"/>
      <c r="K144" s="981"/>
      <c r="O144" s="981"/>
      <c r="P144" s="1417"/>
      <c r="Q144" s="1418"/>
    </row>
    <row r="145" spans="1:17" ht="15" customHeight="1">
      <c r="A145" s="981"/>
      <c r="B145" s="981"/>
      <c r="C145" s="1016"/>
      <c r="D145" s="952"/>
      <c r="E145" s="981"/>
      <c r="F145" s="952"/>
      <c r="G145" s="981"/>
      <c r="H145" s="981"/>
      <c r="I145" s="981"/>
      <c r="J145" s="981"/>
      <c r="K145" s="981"/>
      <c r="O145" s="981"/>
      <c r="P145" s="1417"/>
      <c r="Q145" s="1418"/>
    </row>
    <row r="146" spans="1:17" ht="15" customHeight="1">
      <c r="A146" s="981"/>
      <c r="B146" s="981"/>
      <c r="C146" s="1016"/>
      <c r="D146" s="952"/>
      <c r="E146" s="981"/>
      <c r="F146" s="952"/>
      <c r="G146" s="981"/>
      <c r="H146" s="981"/>
      <c r="I146" s="981"/>
      <c r="J146" s="981"/>
      <c r="K146" s="981"/>
      <c r="O146" s="981"/>
      <c r="P146" s="1417"/>
      <c r="Q146" s="1418"/>
    </row>
    <row r="147" spans="1:17" ht="15" customHeight="1">
      <c r="A147" s="981"/>
      <c r="B147" s="981"/>
      <c r="C147" s="1016"/>
      <c r="D147" s="952"/>
      <c r="E147" s="981"/>
      <c r="F147" s="952"/>
      <c r="G147" s="981"/>
      <c r="H147" s="981"/>
      <c r="I147" s="981"/>
      <c r="J147" s="981"/>
      <c r="K147" s="981"/>
      <c r="O147" s="981"/>
      <c r="P147" s="1417"/>
      <c r="Q147" s="1418"/>
    </row>
    <row r="148" spans="1:17" ht="15" customHeight="1">
      <c r="A148" s="981"/>
      <c r="B148" s="981"/>
      <c r="C148" s="1016"/>
      <c r="D148" s="952"/>
      <c r="E148" s="981"/>
      <c r="F148" s="952"/>
      <c r="G148" s="981"/>
      <c r="H148" s="981"/>
      <c r="I148" s="981"/>
      <c r="J148" s="981"/>
      <c r="K148" s="981"/>
      <c r="O148" s="981"/>
      <c r="P148" s="1417"/>
      <c r="Q148" s="1418"/>
    </row>
    <row r="149" spans="1:17" ht="15" customHeight="1">
      <c r="A149" s="981"/>
      <c r="B149" s="981"/>
      <c r="C149" s="1016"/>
      <c r="D149" s="952"/>
      <c r="E149" s="981"/>
      <c r="F149" s="952"/>
      <c r="G149" s="981"/>
      <c r="H149" s="981"/>
      <c r="I149" s="981"/>
      <c r="J149" s="981"/>
      <c r="K149" s="981"/>
      <c r="O149" s="981"/>
      <c r="P149" s="1417"/>
      <c r="Q149" s="1418"/>
    </row>
    <row r="150" spans="1:17" ht="15" customHeight="1">
      <c r="A150" s="981"/>
      <c r="B150" s="981"/>
      <c r="C150" s="1016"/>
      <c r="D150" s="952"/>
      <c r="E150" s="981"/>
      <c r="F150" s="952"/>
      <c r="G150" s="981"/>
      <c r="H150" s="981"/>
      <c r="I150" s="981"/>
      <c r="J150" s="981"/>
      <c r="K150" s="981"/>
      <c r="O150" s="981"/>
      <c r="P150" s="1417"/>
      <c r="Q150" s="1418"/>
    </row>
    <row r="151" spans="1:17" ht="15" customHeight="1">
      <c r="A151" s="981"/>
      <c r="B151" s="981"/>
      <c r="C151" s="1016"/>
      <c r="D151" s="952"/>
      <c r="E151" s="981"/>
      <c r="F151" s="952"/>
      <c r="G151" s="981"/>
      <c r="H151" s="981"/>
      <c r="I151" s="981"/>
      <c r="J151" s="981"/>
      <c r="K151" s="981"/>
      <c r="O151" s="981"/>
      <c r="P151" s="1417"/>
      <c r="Q151" s="1418"/>
    </row>
    <row r="152" spans="1:17" ht="15" customHeight="1">
      <c r="A152" s="981"/>
      <c r="B152" s="981"/>
      <c r="C152" s="1016"/>
      <c r="D152" s="952"/>
      <c r="E152" s="981"/>
      <c r="F152" s="952"/>
      <c r="G152" s="981"/>
      <c r="H152" s="981"/>
      <c r="I152" s="981"/>
      <c r="J152" s="981"/>
      <c r="K152" s="981"/>
      <c r="O152" s="981"/>
      <c r="P152" s="1417"/>
      <c r="Q152" s="1418"/>
    </row>
    <row r="153" spans="1:17" ht="15" customHeight="1">
      <c r="A153" s="981"/>
      <c r="B153" s="981"/>
      <c r="C153" s="1016"/>
      <c r="D153" s="952"/>
      <c r="E153" s="981"/>
      <c r="F153" s="952"/>
      <c r="G153" s="981"/>
      <c r="H153" s="981"/>
      <c r="I153" s="981"/>
      <c r="J153" s="981"/>
      <c r="K153" s="981"/>
      <c r="O153" s="981"/>
      <c r="P153" s="1417"/>
      <c r="Q153" s="1418"/>
    </row>
    <row r="154" spans="1:17" ht="15" customHeight="1">
      <c r="A154" s="981"/>
      <c r="B154" s="981"/>
      <c r="C154" s="1016"/>
      <c r="D154" s="952"/>
      <c r="E154" s="981"/>
      <c r="F154" s="952"/>
      <c r="G154" s="981"/>
      <c r="H154" s="981"/>
      <c r="I154" s="981"/>
      <c r="J154" s="981"/>
      <c r="K154" s="981"/>
      <c r="O154" s="981"/>
      <c r="P154" s="1417"/>
      <c r="Q154" s="1418"/>
    </row>
    <row r="155" spans="1:17" ht="15" customHeight="1">
      <c r="A155" s="981"/>
      <c r="B155" s="981"/>
      <c r="C155" s="1016"/>
      <c r="D155" s="952"/>
      <c r="E155" s="981"/>
      <c r="F155" s="952"/>
      <c r="G155" s="981"/>
      <c r="H155" s="981"/>
      <c r="I155" s="981"/>
      <c r="J155" s="981"/>
      <c r="K155" s="981"/>
      <c r="O155" s="981"/>
      <c r="P155" s="1417"/>
      <c r="Q155" s="1418"/>
    </row>
    <row r="156" spans="1:17" ht="15" customHeight="1">
      <c r="A156" s="981"/>
      <c r="B156" s="981"/>
      <c r="C156" s="1016"/>
      <c r="D156" s="952"/>
      <c r="E156" s="981"/>
      <c r="F156" s="952"/>
      <c r="G156" s="981"/>
      <c r="H156" s="981"/>
      <c r="I156" s="981"/>
      <c r="J156" s="981"/>
      <c r="K156" s="981"/>
      <c r="O156" s="981"/>
      <c r="P156" s="1417"/>
      <c r="Q156" s="1418"/>
    </row>
    <row r="157" spans="1:17" ht="15" customHeight="1">
      <c r="A157" s="981"/>
      <c r="B157" s="981"/>
      <c r="C157" s="1016"/>
      <c r="D157" s="952"/>
      <c r="E157" s="981"/>
      <c r="F157" s="952"/>
      <c r="G157" s="981"/>
      <c r="H157" s="981"/>
      <c r="I157" s="981"/>
      <c r="J157" s="981"/>
      <c r="K157" s="981"/>
      <c r="O157" s="981"/>
      <c r="P157" s="1417"/>
      <c r="Q157" s="1418"/>
    </row>
    <row r="158" spans="1:17" ht="15" customHeight="1">
      <c r="A158" s="981"/>
      <c r="B158" s="981"/>
      <c r="C158" s="1016"/>
      <c r="D158" s="952"/>
      <c r="E158" s="981"/>
      <c r="F158" s="952"/>
      <c r="G158" s="981"/>
      <c r="H158" s="981"/>
      <c r="I158" s="981"/>
      <c r="J158" s="981"/>
      <c r="K158" s="981"/>
      <c r="O158" s="981"/>
      <c r="P158" s="1417"/>
      <c r="Q158" s="1418"/>
    </row>
    <row r="159" spans="1:17" ht="15" customHeight="1">
      <c r="A159" s="981"/>
      <c r="B159" s="981"/>
      <c r="C159" s="1016"/>
      <c r="D159" s="952"/>
      <c r="E159" s="981"/>
      <c r="F159" s="952"/>
      <c r="G159" s="981"/>
      <c r="H159" s="981"/>
      <c r="I159" s="981"/>
      <c r="J159" s="981"/>
      <c r="K159" s="981"/>
      <c r="O159" s="981"/>
      <c r="P159" s="1417"/>
      <c r="Q159" s="1418"/>
    </row>
    <row r="160" spans="1:17" ht="15" customHeight="1">
      <c r="A160" s="981"/>
      <c r="B160" s="981"/>
      <c r="C160" s="1016"/>
      <c r="D160" s="952"/>
      <c r="E160" s="981"/>
      <c r="F160" s="952"/>
      <c r="G160" s="981"/>
      <c r="H160" s="981"/>
      <c r="I160" s="981"/>
      <c r="J160" s="981"/>
      <c r="K160" s="981"/>
      <c r="O160" s="981"/>
      <c r="P160" s="1417"/>
      <c r="Q160" s="1418"/>
    </row>
    <row r="161" spans="1:17" ht="15" customHeight="1">
      <c r="A161" s="981"/>
      <c r="B161" s="981"/>
      <c r="C161" s="1016"/>
      <c r="D161" s="952"/>
      <c r="E161" s="981"/>
      <c r="F161" s="952"/>
      <c r="G161" s="981"/>
      <c r="H161" s="981"/>
      <c r="I161" s="981"/>
      <c r="J161" s="981"/>
      <c r="K161" s="981"/>
      <c r="O161" s="981"/>
      <c r="P161" s="1417"/>
      <c r="Q161" s="1418"/>
    </row>
    <row r="162" spans="1:17" ht="15" customHeight="1">
      <c r="A162" s="981"/>
      <c r="B162" s="981"/>
      <c r="C162" s="1016"/>
      <c r="D162" s="952"/>
      <c r="E162" s="981"/>
      <c r="F162" s="952"/>
      <c r="G162" s="981"/>
      <c r="H162" s="981"/>
      <c r="I162" s="981"/>
      <c r="J162" s="981"/>
      <c r="K162" s="981"/>
      <c r="O162" s="981"/>
      <c r="P162" s="1417"/>
      <c r="Q162" s="1418"/>
    </row>
    <row r="163" spans="1:17" ht="15" customHeight="1">
      <c r="A163" s="981"/>
      <c r="B163" s="981"/>
      <c r="C163" s="1016"/>
      <c r="D163" s="952"/>
      <c r="E163" s="981"/>
      <c r="F163" s="952"/>
      <c r="G163" s="981"/>
      <c r="H163" s="981"/>
      <c r="I163" s="981"/>
      <c r="J163" s="981"/>
      <c r="K163" s="981"/>
      <c r="O163" s="981"/>
      <c r="P163" s="1417"/>
      <c r="Q163" s="1418"/>
    </row>
    <row r="164" spans="1:17" ht="15" customHeight="1">
      <c r="A164" s="981"/>
      <c r="B164" s="981"/>
      <c r="C164" s="1016"/>
      <c r="D164" s="952"/>
      <c r="E164" s="981"/>
      <c r="F164" s="952"/>
      <c r="G164" s="981"/>
      <c r="H164" s="981"/>
      <c r="I164" s="981"/>
      <c r="J164" s="981"/>
      <c r="K164" s="981"/>
      <c r="O164" s="981"/>
      <c r="P164" s="1417"/>
      <c r="Q164" s="1418"/>
    </row>
    <row r="165" spans="1:17" ht="15" customHeight="1">
      <c r="A165" s="981"/>
      <c r="B165" s="981"/>
      <c r="C165" s="1016"/>
      <c r="D165" s="952"/>
      <c r="E165" s="981"/>
      <c r="F165" s="952"/>
      <c r="G165" s="981"/>
      <c r="H165" s="981"/>
      <c r="I165" s="981"/>
      <c r="J165" s="981"/>
      <c r="K165" s="981"/>
      <c r="O165" s="981"/>
      <c r="P165" s="1417"/>
      <c r="Q165" s="1418"/>
    </row>
    <row r="166" spans="1:17" ht="15" customHeight="1">
      <c r="A166" s="981"/>
      <c r="B166" s="981"/>
      <c r="C166" s="1016"/>
      <c r="D166" s="952"/>
      <c r="E166" s="981"/>
      <c r="F166" s="952"/>
      <c r="G166" s="981"/>
      <c r="H166" s="981"/>
      <c r="I166" s="981"/>
      <c r="J166" s="981"/>
      <c r="K166" s="981"/>
      <c r="O166" s="981"/>
      <c r="P166" s="1417"/>
      <c r="Q166" s="1418"/>
    </row>
    <row r="167" spans="1:17" ht="15" customHeight="1">
      <c r="A167" s="981"/>
      <c r="B167" s="981"/>
      <c r="C167" s="1016"/>
      <c r="D167" s="952"/>
      <c r="E167" s="981"/>
      <c r="F167" s="952"/>
      <c r="G167" s="981"/>
      <c r="H167" s="981"/>
      <c r="I167" s="981"/>
      <c r="J167" s="981"/>
      <c r="K167" s="981"/>
      <c r="O167" s="981"/>
      <c r="P167" s="1417"/>
      <c r="Q167" s="1418"/>
    </row>
    <row r="168" spans="1:17" ht="15" customHeight="1">
      <c r="A168" s="981"/>
      <c r="B168" s="981"/>
      <c r="C168" s="1016"/>
      <c r="D168" s="952"/>
      <c r="E168" s="981"/>
      <c r="F168" s="952"/>
      <c r="G168" s="981"/>
      <c r="H168" s="981"/>
      <c r="I168" s="981"/>
      <c r="J168" s="981"/>
      <c r="K168" s="981"/>
      <c r="O168" s="981"/>
      <c r="P168" s="1417"/>
      <c r="Q168" s="1418"/>
    </row>
    <row r="169" spans="1:17" ht="15" customHeight="1">
      <c r="A169" s="981"/>
      <c r="B169" s="981"/>
      <c r="C169" s="1016"/>
      <c r="D169" s="952"/>
      <c r="E169" s="981"/>
      <c r="F169" s="952"/>
      <c r="G169" s="981"/>
      <c r="H169" s="981"/>
      <c r="I169" s="981"/>
      <c r="J169" s="981"/>
      <c r="K169" s="981"/>
      <c r="O169" s="981"/>
      <c r="P169" s="1417"/>
      <c r="Q169" s="1418"/>
    </row>
    <row r="170" spans="1:17" ht="15" customHeight="1">
      <c r="A170" s="981"/>
      <c r="B170" s="981"/>
      <c r="C170" s="1016"/>
      <c r="D170" s="952"/>
      <c r="E170" s="981"/>
      <c r="F170" s="952"/>
      <c r="G170" s="981"/>
      <c r="H170" s="981"/>
      <c r="I170" s="981"/>
      <c r="J170" s="981"/>
      <c r="K170" s="981"/>
      <c r="O170" s="981"/>
      <c r="P170" s="1417"/>
      <c r="Q170" s="1418"/>
    </row>
    <row r="171" spans="1:17" ht="15" customHeight="1">
      <c r="A171" s="981"/>
      <c r="B171" s="981"/>
      <c r="C171" s="1016"/>
      <c r="D171" s="952"/>
      <c r="E171" s="981"/>
      <c r="F171" s="952"/>
      <c r="G171" s="981"/>
      <c r="H171" s="981"/>
      <c r="I171" s="981"/>
      <c r="J171" s="981"/>
      <c r="K171" s="981"/>
      <c r="O171" s="981"/>
      <c r="P171" s="1417"/>
      <c r="Q171" s="1418"/>
    </row>
    <row r="172" spans="1:17" ht="15" customHeight="1">
      <c r="A172" s="981"/>
      <c r="B172" s="981"/>
      <c r="C172" s="1016"/>
      <c r="D172" s="952"/>
      <c r="E172" s="981"/>
      <c r="F172" s="952"/>
      <c r="G172" s="981"/>
      <c r="H172" s="981"/>
      <c r="I172" s="981"/>
      <c r="J172" s="981"/>
      <c r="K172" s="981"/>
      <c r="O172" s="981"/>
      <c r="P172" s="1417"/>
      <c r="Q172" s="1418"/>
    </row>
    <row r="173" spans="1:17" ht="15" customHeight="1">
      <c r="A173" s="981"/>
      <c r="B173" s="981"/>
      <c r="C173" s="1016"/>
      <c r="D173" s="952"/>
      <c r="E173" s="981"/>
      <c r="F173" s="952"/>
      <c r="G173" s="981"/>
      <c r="H173" s="981"/>
      <c r="I173" s="981"/>
      <c r="J173" s="981"/>
      <c r="K173" s="981"/>
      <c r="O173" s="981"/>
      <c r="P173" s="1417"/>
      <c r="Q173" s="1418"/>
    </row>
    <row r="174" spans="1:17" ht="15" customHeight="1">
      <c r="A174" s="981"/>
      <c r="B174" s="981"/>
      <c r="C174" s="1016"/>
      <c r="D174" s="952"/>
      <c r="E174" s="981"/>
      <c r="F174" s="952"/>
      <c r="G174" s="981"/>
      <c r="H174" s="981"/>
      <c r="I174" s="981"/>
      <c r="J174" s="981"/>
      <c r="K174" s="981"/>
      <c r="O174" s="981"/>
      <c r="P174" s="1417"/>
      <c r="Q174" s="1418"/>
    </row>
    <row r="175" spans="1:17" ht="15" customHeight="1">
      <c r="A175" s="981"/>
      <c r="B175" s="981"/>
      <c r="C175" s="1016"/>
      <c r="D175" s="952"/>
      <c r="E175" s="981"/>
      <c r="F175" s="952"/>
      <c r="G175" s="981"/>
      <c r="H175" s="981"/>
      <c r="I175" s="981"/>
      <c r="J175" s="981"/>
      <c r="K175" s="981"/>
      <c r="O175" s="981"/>
      <c r="P175" s="1417"/>
      <c r="Q175" s="1418"/>
    </row>
    <row r="176" spans="1:17" ht="15" customHeight="1">
      <c r="A176" s="981"/>
      <c r="B176" s="981"/>
      <c r="C176" s="1016"/>
      <c r="D176" s="952"/>
      <c r="E176" s="981"/>
      <c r="F176" s="952"/>
      <c r="G176" s="981"/>
      <c r="H176" s="981"/>
      <c r="I176" s="981"/>
      <c r="J176" s="981"/>
      <c r="K176" s="981"/>
      <c r="O176" s="981"/>
      <c r="P176" s="1417"/>
      <c r="Q176" s="1418"/>
    </row>
    <row r="177" spans="1:17" ht="15" customHeight="1">
      <c r="A177" s="981"/>
      <c r="B177" s="981"/>
      <c r="C177" s="1016"/>
      <c r="D177" s="952"/>
      <c r="E177" s="981"/>
      <c r="F177" s="952"/>
      <c r="G177" s="981"/>
      <c r="H177" s="981"/>
      <c r="I177" s="981"/>
      <c r="J177" s="981"/>
      <c r="K177" s="981"/>
      <c r="O177" s="981"/>
      <c r="P177" s="1417"/>
      <c r="Q177" s="1418"/>
    </row>
    <row r="178" spans="1:17" ht="15" customHeight="1">
      <c r="A178" s="981"/>
      <c r="B178" s="981"/>
      <c r="C178" s="1016"/>
      <c r="D178" s="952"/>
      <c r="E178" s="981"/>
      <c r="F178" s="952"/>
      <c r="G178" s="981"/>
      <c r="H178" s="981"/>
      <c r="I178" s="981"/>
      <c r="J178" s="981"/>
      <c r="K178" s="981"/>
      <c r="O178" s="981"/>
      <c r="P178" s="1417"/>
      <c r="Q178" s="1418"/>
    </row>
    <row r="179" spans="1:17" ht="15" customHeight="1">
      <c r="A179" s="981"/>
      <c r="B179" s="981"/>
      <c r="C179" s="1016"/>
      <c r="D179" s="952"/>
      <c r="E179" s="981"/>
      <c r="F179" s="952"/>
      <c r="G179" s="981"/>
      <c r="H179" s="981"/>
      <c r="I179" s="981"/>
      <c r="J179" s="981"/>
      <c r="K179" s="981"/>
      <c r="O179" s="981"/>
      <c r="P179" s="1417"/>
      <c r="Q179" s="1418"/>
    </row>
    <row r="180" spans="1:17" ht="15" customHeight="1">
      <c r="A180" s="981"/>
      <c r="B180" s="981"/>
      <c r="C180" s="1016"/>
      <c r="D180" s="952"/>
      <c r="E180" s="981"/>
      <c r="F180" s="952"/>
      <c r="G180" s="981"/>
      <c r="H180" s="981"/>
      <c r="I180" s="981"/>
      <c r="J180" s="981"/>
      <c r="K180" s="981"/>
      <c r="O180" s="981"/>
      <c r="P180" s="1417"/>
      <c r="Q180" s="1418"/>
    </row>
    <row r="181" spans="1:17" ht="15" customHeight="1">
      <c r="A181" s="981"/>
      <c r="B181" s="981"/>
      <c r="C181" s="1016"/>
      <c r="D181" s="952"/>
      <c r="E181" s="981"/>
      <c r="F181" s="952"/>
      <c r="G181" s="981"/>
      <c r="H181" s="981"/>
      <c r="I181" s="981"/>
      <c r="J181" s="981"/>
      <c r="K181" s="981"/>
      <c r="O181" s="981"/>
      <c r="P181" s="1417"/>
      <c r="Q181" s="1418"/>
    </row>
    <row r="182" spans="1:17" ht="15" customHeight="1">
      <c r="A182" s="981"/>
      <c r="B182" s="981"/>
      <c r="C182" s="1016"/>
      <c r="D182" s="952"/>
      <c r="E182" s="981"/>
      <c r="F182" s="952"/>
      <c r="G182" s="981"/>
      <c r="H182" s="981"/>
      <c r="I182" s="981"/>
      <c r="J182" s="981"/>
      <c r="K182" s="981"/>
      <c r="O182" s="981"/>
      <c r="P182" s="1417"/>
      <c r="Q182" s="1418"/>
    </row>
    <row r="183" spans="1:17" ht="15" customHeight="1">
      <c r="A183" s="981"/>
      <c r="B183" s="981"/>
      <c r="C183" s="1016"/>
      <c r="D183" s="952"/>
      <c r="E183" s="981"/>
      <c r="F183" s="952"/>
      <c r="G183" s="981"/>
      <c r="H183" s="981"/>
      <c r="I183" s="981"/>
      <c r="J183" s="981"/>
      <c r="K183" s="981"/>
      <c r="O183" s="981"/>
      <c r="P183" s="1417"/>
      <c r="Q183" s="1418"/>
    </row>
    <row r="184" spans="1:17" ht="15" customHeight="1">
      <c r="A184" s="981"/>
      <c r="B184" s="981"/>
      <c r="C184" s="1016"/>
      <c r="D184" s="952"/>
      <c r="E184" s="981"/>
      <c r="F184" s="952"/>
      <c r="G184" s="981"/>
      <c r="H184" s="981"/>
      <c r="I184" s="981"/>
      <c r="J184" s="981"/>
      <c r="K184" s="981"/>
      <c r="O184" s="981"/>
      <c r="P184" s="1417"/>
      <c r="Q184" s="1418"/>
    </row>
    <row r="185" spans="1:17" ht="15" customHeight="1">
      <c r="A185" s="981"/>
      <c r="B185" s="981"/>
      <c r="C185" s="1016"/>
      <c r="D185" s="952"/>
      <c r="E185" s="981"/>
      <c r="F185" s="952"/>
      <c r="G185" s="981"/>
      <c r="H185" s="981"/>
      <c r="I185" s="981"/>
      <c r="J185" s="981"/>
      <c r="K185" s="981"/>
      <c r="O185" s="981"/>
      <c r="P185" s="1417"/>
      <c r="Q185" s="1418"/>
    </row>
    <row r="186" spans="1:17" ht="15" customHeight="1">
      <c r="A186" s="981"/>
      <c r="B186" s="981"/>
      <c r="C186" s="1016"/>
      <c r="D186" s="952"/>
      <c r="E186" s="981"/>
      <c r="F186" s="952"/>
      <c r="G186" s="981"/>
      <c r="H186" s="981"/>
      <c r="I186" s="981"/>
      <c r="J186" s="981"/>
      <c r="K186" s="981"/>
      <c r="O186" s="981"/>
      <c r="P186" s="1417"/>
      <c r="Q186" s="1418"/>
    </row>
    <row r="187" spans="1:17" ht="15" customHeight="1">
      <c r="A187" s="981"/>
      <c r="B187" s="981"/>
      <c r="C187" s="1016"/>
      <c r="D187" s="952"/>
      <c r="E187" s="981"/>
      <c r="F187" s="952"/>
      <c r="G187" s="981"/>
      <c r="H187" s="981"/>
      <c r="I187" s="981"/>
      <c r="J187" s="981"/>
      <c r="K187" s="981"/>
      <c r="O187" s="981"/>
      <c r="P187" s="1417"/>
      <c r="Q187" s="1418"/>
    </row>
    <row r="188" spans="1:17" ht="15" customHeight="1">
      <c r="A188" s="981"/>
      <c r="B188" s="981"/>
      <c r="C188" s="1016"/>
      <c r="D188" s="952"/>
      <c r="E188" s="981"/>
      <c r="F188" s="952"/>
      <c r="G188" s="981"/>
      <c r="H188" s="981"/>
      <c r="I188" s="981"/>
      <c r="J188" s="981"/>
      <c r="K188" s="981"/>
      <c r="O188" s="981"/>
      <c r="P188" s="1417"/>
      <c r="Q188" s="1418"/>
    </row>
    <row r="189" spans="1:17" ht="15" customHeight="1">
      <c r="A189" s="981"/>
      <c r="B189" s="981"/>
      <c r="C189" s="1016"/>
      <c r="D189" s="952"/>
      <c r="E189" s="981"/>
      <c r="F189" s="952"/>
      <c r="G189" s="981"/>
      <c r="H189" s="981"/>
      <c r="I189" s="981"/>
      <c r="J189" s="981"/>
      <c r="K189" s="981"/>
      <c r="O189" s="981"/>
      <c r="P189" s="1417"/>
      <c r="Q189" s="1418"/>
    </row>
    <row r="190" spans="1:17" ht="15" customHeight="1">
      <c r="A190" s="981"/>
      <c r="B190" s="981"/>
      <c r="C190" s="1016"/>
      <c r="D190" s="952"/>
      <c r="E190" s="981"/>
      <c r="F190" s="952"/>
      <c r="G190" s="981"/>
      <c r="H190" s="981"/>
      <c r="I190" s="981"/>
      <c r="J190" s="981"/>
      <c r="K190" s="981"/>
      <c r="O190" s="981"/>
      <c r="P190" s="1417"/>
      <c r="Q190" s="1418"/>
    </row>
    <row r="191" spans="1:17" ht="15" customHeight="1">
      <c r="A191" s="981"/>
      <c r="B191" s="981"/>
      <c r="C191" s="1016"/>
      <c r="D191" s="952"/>
      <c r="E191" s="981"/>
      <c r="F191" s="952"/>
      <c r="G191" s="981"/>
      <c r="H191" s="981"/>
      <c r="I191" s="981"/>
      <c r="J191" s="981"/>
      <c r="K191" s="981"/>
      <c r="O191" s="981"/>
      <c r="P191" s="1417"/>
      <c r="Q191" s="1418"/>
    </row>
    <row r="192" spans="1:17" ht="15" customHeight="1">
      <c r="A192" s="981"/>
      <c r="B192" s="981"/>
      <c r="C192" s="1016"/>
      <c r="D192" s="952"/>
      <c r="E192" s="981"/>
      <c r="F192" s="952"/>
      <c r="G192" s="981"/>
      <c r="H192" s="981"/>
      <c r="I192" s="981"/>
      <c r="J192" s="981"/>
      <c r="K192" s="981"/>
      <c r="O192" s="981"/>
      <c r="P192" s="1417"/>
      <c r="Q192" s="1418"/>
    </row>
    <row r="193" spans="1:17" ht="15" customHeight="1">
      <c r="A193" s="981"/>
      <c r="B193" s="981"/>
      <c r="C193" s="1016"/>
      <c r="D193" s="952"/>
      <c r="E193" s="981"/>
      <c r="F193" s="952"/>
      <c r="G193" s="981"/>
      <c r="H193" s="981"/>
      <c r="I193" s="981"/>
      <c r="J193" s="981"/>
      <c r="K193" s="981"/>
      <c r="O193" s="981"/>
      <c r="P193" s="1417"/>
      <c r="Q193" s="1418"/>
    </row>
    <row r="194" spans="1:17" ht="15" customHeight="1">
      <c r="A194" s="981"/>
      <c r="B194" s="981"/>
      <c r="C194" s="1016"/>
      <c r="D194" s="952"/>
      <c r="E194" s="981"/>
      <c r="F194" s="952"/>
      <c r="G194" s="981"/>
      <c r="H194" s="981"/>
      <c r="I194" s="981"/>
      <c r="J194" s="981"/>
      <c r="K194" s="981"/>
      <c r="O194" s="981"/>
      <c r="P194" s="1417"/>
      <c r="Q194" s="1418"/>
    </row>
    <row r="195" spans="1:17" ht="15" customHeight="1">
      <c r="A195" s="981"/>
      <c r="B195" s="981"/>
      <c r="C195" s="1016"/>
      <c r="D195" s="952"/>
      <c r="E195" s="981"/>
      <c r="F195" s="952"/>
      <c r="G195" s="981"/>
      <c r="H195" s="981"/>
      <c r="I195" s="981"/>
      <c r="J195" s="981"/>
      <c r="K195" s="981"/>
      <c r="O195" s="981"/>
      <c r="P195" s="1417"/>
      <c r="Q195" s="1418"/>
    </row>
    <row r="196" spans="1:17" ht="15" customHeight="1">
      <c r="A196" s="981"/>
      <c r="B196" s="981"/>
      <c r="C196" s="1016"/>
      <c r="D196" s="952"/>
      <c r="E196" s="981"/>
      <c r="F196" s="952"/>
      <c r="G196" s="981"/>
      <c r="H196" s="981"/>
      <c r="I196" s="981"/>
      <c r="J196" s="981"/>
      <c r="K196" s="981"/>
      <c r="O196" s="981"/>
      <c r="P196" s="1417"/>
      <c r="Q196" s="1418"/>
    </row>
    <row r="197" spans="1:17" ht="15" customHeight="1">
      <c r="A197" s="981"/>
      <c r="B197" s="981"/>
      <c r="C197" s="1016"/>
      <c r="D197" s="952"/>
      <c r="E197" s="981"/>
      <c r="F197" s="952"/>
      <c r="G197" s="981"/>
      <c r="H197" s="981"/>
      <c r="I197" s="981"/>
      <c r="J197" s="981"/>
      <c r="K197" s="981"/>
      <c r="O197" s="981"/>
      <c r="P197" s="1417"/>
      <c r="Q197" s="1418"/>
    </row>
    <row r="198" spans="1:17" ht="15" customHeight="1">
      <c r="A198" s="981"/>
      <c r="B198" s="981"/>
      <c r="C198" s="1016"/>
      <c r="D198" s="952"/>
      <c r="E198" s="981"/>
      <c r="F198" s="952"/>
      <c r="G198" s="981"/>
      <c r="H198" s="981"/>
      <c r="I198" s="981"/>
      <c r="J198" s="981"/>
      <c r="K198" s="981"/>
      <c r="O198" s="981"/>
      <c r="P198" s="1417"/>
      <c r="Q198" s="1418"/>
    </row>
    <row r="199" spans="1:17" ht="15" customHeight="1">
      <c r="A199" s="981"/>
      <c r="B199" s="981"/>
      <c r="C199" s="1016"/>
      <c r="D199" s="952"/>
      <c r="E199" s="981"/>
      <c r="F199" s="952"/>
      <c r="G199" s="981"/>
      <c r="H199" s="981"/>
      <c r="I199" s="981"/>
      <c r="J199" s="981"/>
      <c r="K199" s="981"/>
      <c r="O199" s="981"/>
      <c r="P199" s="1417"/>
      <c r="Q199" s="1418"/>
    </row>
    <row r="200" spans="1:17" ht="15" customHeight="1">
      <c r="A200" s="981"/>
      <c r="B200" s="981"/>
      <c r="C200" s="1016"/>
      <c r="D200" s="952"/>
      <c r="E200" s="981"/>
      <c r="F200" s="952"/>
      <c r="G200" s="981"/>
      <c r="H200" s="981"/>
      <c r="I200" s="981"/>
      <c r="J200" s="981"/>
      <c r="K200" s="981"/>
      <c r="O200" s="981"/>
      <c r="P200" s="1417"/>
      <c r="Q200" s="1418"/>
    </row>
    <row r="201" spans="1:17" ht="15" customHeight="1">
      <c r="A201" s="981"/>
      <c r="B201" s="981"/>
      <c r="C201" s="1016"/>
      <c r="D201" s="952"/>
      <c r="E201" s="981"/>
      <c r="F201" s="952"/>
      <c r="G201" s="981"/>
      <c r="H201" s="981"/>
      <c r="I201" s="981"/>
      <c r="J201" s="981"/>
      <c r="K201" s="981"/>
      <c r="O201" s="981"/>
      <c r="P201" s="1417"/>
      <c r="Q201" s="1418"/>
    </row>
    <row r="202" spans="1:17" ht="15" customHeight="1">
      <c r="A202" s="981"/>
      <c r="B202" s="981"/>
      <c r="C202" s="1016"/>
      <c r="D202" s="952"/>
      <c r="E202" s="981"/>
      <c r="F202" s="952"/>
      <c r="G202" s="981"/>
      <c r="H202" s="981"/>
      <c r="I202" s="981"/>
      <c r="J202" s="981"/>
      <c r="K202" s="981"/>
      <c r="O202" s="981"/>
      <c r="P202" s="1417"/>
      <c r="Q202" s="1418"/>
    </row>
    <row r="203" spans="1:17" ht="15" customHeight="1">
      <c r="A203" s="981"/>
      <c r="B203" s="981"/>
      <c r="C203" s="1016"/>
      <c r="D203" s="952"/>
      <c r="E203" s="981"/>
      <c r="F203" s="952"/>
      <c r="G203" s="981"/>
      <c r="H203" s="981"/>
      <c r="I203" s="981"/>
      <c r="J203" s="981"/>
      <c r="K203" s="981"/>
      <c r="O203" s="981"/>
      <c r="P203" s="1417"/>
      <c r="Q203" s="1418"/>
    </row>
    <row r="204" spans="1:17" ht="15" customHeight="1">
      <c r="A204" s="981"/>
      <c r="B204" s="981"/>
      <c r="C204" s="1016"/>
      <c r="D204" s="952"/>
      <c r="E204" s="981"/>
      <c r="F204" s="952"/>
      <c r="G204" s="981"/>
      <c r="H204" s="981"/>
      <c r="I204" s="981"/>
      <c r="J204" s="981"/>
      <c r="K204" s="981"/>
      <c r="O204" s="981"/>
      <c r="P204" s="1417"/>
      <c r="Q204" s="1418"/>
    </row>
    <row r="205" spans="1:17" ht="15" customHeight="1">
      <c r="A205" s="981"/>
      <c r="B205" s="981"/>
      <c r="C205" s="1016"/>
      <c r="D205" s="952"/>
      <c r="E205" s="981"/>
      <c r="F205" s="952"/>
      <c r="G205" s="981"/>
      <c r="H205" s="981"/>
      <c r="I205" s="981"/>
      <c r="J205" s="981"/>
      <c r="K205" s="981"/>
      <c r="O205" s="981"/>
      <c r="P205" s="1417"/>
      <c r="Q205" s="1418"/>
    </row>
    <row r="206" spans="1:17" ht="15" customHeight="1">
      <c r="A206" s="981"/>
      <c r="B206" s="981"/>
      <c r="C206" s="1016"/>
      <c r="D206" s="952"/>
      <c r="E206" s="981"/>
      <c r="F206" s="952"/>
      <c r="G206" s="981"/>
      <c r="H206" s="981"/>
      <c r="I206" s="981"/>
      <c r="J206" s="981"/>
      <c r="K206" s="981"/>
      <c r="O206" s="981"/>
      <c r="P206" s="1417"/>
      <c r="Q206" s="1418"/>
    </row>
    <row r="207" spans="1:17" ht="15" customHeight="1">
      <c r="A207" s="981"/>
      <c r="B207" s="981"/>
      <c r="C207" s="1016"/>
      <c r="D207" s="952"/>
      <c r="E207" s="981"/>
      <c r="F207" s="952"/>
      <c r="G207" s="981"/>
      <c r="H207" s="981"/>
      <c r="I207" s="981"/>
      <c r="J207" s="981"/>
      <c r="K207" s="981"/>
      <c r="O207" s="981"/>
      <c r="P207" s="1417"/>
      <c r="Q207" s="1418"/>
    </row>
    <row r="208" spans="1:17" ht="15" customHeight="1">
      <c r="A208" s="981"/>
      <c r="B208" s="981"/>
      <c r="C208" s="1016"/>
      <c r="D208" s="952"/>
      <c r="E208" s="981"/>
      <c r="F208" s="952"/>
      <c r="G208" s="981"/>
      <c r="H208" s="981"/>
      <c r="I208" s="981"/>
      <c r="J208" s="981"/>
      <c r="K208" s="981"/>
      <c r="O208" s="981"/>
      <c r="P208" s="1417"/>
      <c r="Q208" s="1418"/>
    </row>
    <row r="209" spans="1:17" ht="15" customHeight="1">
      <c r="A209" s="981"/>
      <c r="B209" s="981"/>
      <c r="C209" s="1016"/>
      <c r="D209" s="952"/>
      <c r="E209" s="981"/>
      <c r="F209" s="952"/>
      <c r="G209" s="981"/>
      <c r="H209" s="981"/>
      <c r="I209" s="981"/>
      <c r="J209" s="981"/>
      <c r="K209" s="981"/>
      <c r="O209" s="981"/>
      <c r="P209" s="1417"/>
      <c r="Q209" s="1418"/>
    </row>
    <row r="210" spans="1:17" ht="15" customHeight="1">
      <c r="A210" s="981"/>
      <c r="B210" s="981"/>
      <c r="C210" s="1016"/>
      <c r="D210" s="952"/>
      <c r="E210" s="981"/>
      <c r="F210" s="952"/>
      <c r="G210" s="981"/>
      <c r="H210" s="981"/>
      <c r="I210" s="981"/>
      <c r="J210" s="981"/>
      <c r="K210" s="981"/>
      <c r="O210" s="981"/>
      <c r="P210" s="1417"/>
      <c r="Q210" s="1418"/>
    </row>
    <row r="211" spans="1:17" ht="15" customHeight="1">
      <c r="A211" s="981"/>
      <c r="B211" s="981"/>
      <c r="C211" s="1016"/>
      <c r="D211" s="952"/>
      <c r="E211" s="981"/>
      <c r="F211" s="952"/>
      <c r="G211" s="981"/>
      <c r="H211" s="981"/>
      <c r="I211" s="981"/>
      <c r="J211" s="981"/>
      <c r="K211" s="981"/>
      <c r="O211" s="981"/>
      <c r="P211" s="1417"/>
      <c r="Q211" s="1418"/>
    </row>
    <row r="212" spans="1:17" ht="15" customHeight="1">
      <c r="A212" s="981"/>
      <c r="B212" s="981"/>
      <c r="C212" s="1016"/>
      <c r="D212" s="952"/>
      <c r="E212" s="981"/>
      <c r="F212" s="952"/>
      <c r="G212" s="981"/>
      <c r="H212" s="981"/>
      <c r="I212" s="981"/>
      <c r="J212" s="981"/>
      <c r="K212" s="981"/>
      <c r="O212" s="981"/>
      <c r="P212" s="1417"/>
      <c r="Q212" s="1418"/>
    </row>
    <row r="213" spans="1:17" ht="15" customHeight="1">
      <c r="A213" s="981"/>
      <c r="B213" s="981"/>
      <c r="C213" s="1016"/>
      <c r="D213" s="952"/>
      <c r="E213" s="981"/>
      <c r="F213" s="952"/>
      <c r="G213" s="981"/>
      <c r="H213" s="981"/>
      <c r="I213" s="981"/>
      <c r="J213" s="981"/>
      <c r="K213" s="981"/>
      <c r="O213" s="981"/>
      <c r="P213" s="1417"/>
      <c r="Q213" s="1418"/>
    </row>
    <row r="214" spans="1:17" ht="15" customHeight="1">
      <c r="A214" s="981"/>
      <c r="B214" s="981"/>
      <c r="C214" s="1016"/>
      <c r="D214" s="952"/>
      <c r="E214" s="981"/>
      <c r="F214" s="952"/>
      <c r="G214" s="981"/>
      <c r="H214" s="981"/>
      <c r="I214" s="981"/>
      <c r="J214" s="981"/>
      <c r="K214" s="981"/>
      <c r="O214" s="981"/>
      <c r="P214" s="1417"/>
      <c r="Q214" s="1418"/>
    </row>
    <row r="215" spans="1:17" ht="15" customHeight="1">
      <c r="A215" s="981"/>
      <c r="B215" s="981"/>
      <c r="C215" s="1016"/>
      <c r="D215" s="952"/>
      <c r="E215" s="981"/>
      <c r="F215" s="952"/>
      <c r="G215" s="981"/>
      <c r="H215" s="981"/>
      <c r="I215" s="981"/>
      <c r="J215" s="981"/>
      <c r="K215" s="981"/>
      <c r="O215" s="981"/>
      <c r="P215" s="1417"/>
      <c r="Q215" s="1418"/>
    </row>
    <row r="216" spans="1:17" ht="15" customHeight="1">
      <c r="A216" s="981"/>
      <c r="B216" s="981"/>
      <c r="C216" s="1016"/>
      <c r="D216" s="952"/>
      <c r="E216" s="981"/>
      <c r="F216" s="952"/>
      <c r="G216" s="981"/>
      <c r="H216" s="981"/>
      <c r="I216" s="981"/>
      <c r="J216" s="981"/>
      <c r="K216" s="981"/>
      <c r="O216" s="981"/>
      <c r="P216" s="1417"/>
      <c r="Q216" s="1418"/>
    </row>
    <row r="217" spans="1:17" ht="15" customHeight="1">
      <c r="A217" s="981"/>
      <c r="B217" s="981"/>
      <c r="C217" s="1016"/>
      <c r="D217" s="952"/>
      <c r="E217" s="981"/>
      <c r="F217" s="952"/>
      <c r="G217" s="981"/>
      <c r="H217" s="981"/>
      <c r="I217" s="981"/>
      <c r="J217" s="981"/>
      <c r="K217" s="981"/>
      <c r="O217" s="981"/>
      <c r="P217" s="1417"/>
      <c r="Q217" s="1418"/>
    </row>
    <row r="218" spans="1:17" ht="15" customHeight="1">
      <c r="A218" s="981"/>
      <c r="B218" s="981"/>
      <c r="C218" s="1016"/>
      <c r="D218" s="952"/>
      <c r="E218" s="981"/>
      <c r="F218" s="952"/>
      <c r="G218" s="981"/>
      <c r="H218" s="981"/>
      <c r="I218" s="981"/>
      <c r="J218" s="981"/>
      <c r="K218" s="981"/>
      <c r="O218" s="981"/>
      <c r="P218" s="1417"/>
      <c r="Q218" s="1418"/>
    </row>
    <row r="219" spans="1:17" ht="15" customHeight="1">
      <c r="A219" s="981"/>
      <c r="B219" s="981"/>
      <c r="C219" s="1016"/>
      <c r="D219" s="952"/>
      <c r="E219" s="981"/>
      <c r="F219" s="952"/>
      <c r="G219" s="981"/>
      <c r="H219" s="981"/>
      <c r="I219" s="981"/>
      <c r="J219" s="981"/>
      <c r="K219" s="981"/>
      <c r="O219" s="981"/>
      <c r="P219" s="1417"/>
      <c r="Q219" s="1418"/>
    </row>
    <row r="220" spans="1:17" ht="15" customHeight="1">
      <c r="A220" s="981"/>
      <c r="B220" s="981"/>
      <c r="C220" s="1016"/>
      <c r="D220" s="952"/>
      <c r="E220" s="981"/>
      <c r="F220" s="952"/>
      <c r="G220" s="981"/>
      <c r="H220" s="981"/>
      <c r="I220" s="981"/>
      <c r="J220" s="981"/>
      <c r="K220" s="981"/>
      <c r="O220" s="981"/>
      <c r="P220" s="1417"/>
      <c r="Q220" s="1418"/>
    </row>
    <row r="221" spans="1:17" ht="15" customHeight="1">
      <c r="A221" s="981"/>
      <c r="B221" s="981"/>
      <c r="C221" s="1016"/>
      <c r="D221" s="952"/>
      <c r="E221" s="981"/>
      <c r="F221" s="952"/>
      <c r="G221" s="981"/>
      <c r="H221" s="981"/>
      <c r="I221" s="981"/>
      <c r="J221" s="981"/>
      <c r="K221" s="981"/>
      <c r="O221" s="981"/>
      <c r="P221" s="1417"/>
      <c r="Q221" s="1418"/>
    </row>
    <row r="222" spans="1:17" ht="15" customHeight="1">
      <c r="A222" s="981"/>
      <c r="B222" s="981"/>
      <c r="C222" s="1016"/>
      <c r="D222" s="952"/>
      <c r="E222" s="981"/>
      <c r="F222" s="952"/>
      <c r="G222" s="981"/>
      <c r="H222" s="981"/>
      <c r="I222" s="981"/>
      <c r="J222" s="981"/>
      <c r="K222" s="981"/>
      <c r="O222" s="981"/>
      <c r="P222" s="1417"/>
      <c r="Q222" s="1418"/>
    </row>
    <row r="223" spans="1:17" ht="15" customHeight="1">
      <c r="A223" s="981"/>
      <c r="B223" s="981"/>
      <c r="C223" s="1016"/>
      <c r="D223" s="952"/>
      <c r="E223" s="981"/>
      <c r="F223" s="952"/>
      <c r="G223" s="981"/>
      <c r="H223" s="981"/>
      <c r="I223" s="981"/>
      <c r="J223" s="981"/>
      <c r="K223" s="981"/>
      <c r="O223" s="981"/>
      <c r="P223" s="1417"/>
      <c r="Q223" s="1418"/>
    </row>
    <row r="224" spans="1:17" ht="15" customHeight="1">
      <c r="A224" s="981"/>
      <c r="B224" s="981"/>
      <c r="C224" s="1016"/>
      <c r="D224" s="952"/>
      <c r="E224" s="981"/>
      <c r="F224" s="952"/>
      <c r="G224" s="981"/>
      <c r="H224" s="981"/>
      <c r="I224" s="981"/>
      <c r="J224" s="981"/>
      <c r="K224" s="981"/>
      <c r="O224" s="981"/>
      <c r="P224" s="1417"/>
      <c r="Q224" s="1418"/>
    </row>
    <row r="225" spans="1:17" ht="15" customHeight="1">
      <c r="A225" s="981"/>
      <c r="B225" s="981"/>
      <c r="C225" s="1016"/>
      <c r="D225" s="952"/>
      <c r="E225" s="981"/>
      <c r="F225" s="952"/>
      <c r="G225" s="981"/>
      <c r="H225" s="981"/>
      <c r="I225" s="981"/>
      <c r="J225" s="981"/>
      <c r="K225" s="981"/>
      <c r="O225" s="981"/>
      <c r="P225" s="1417"/>
      <c r="Q225" s="1418"/>
    </row>
    <row r="226" spans="1:17" ht="15" customHeight="1">
      <c r="A226" s="981"/>
      <c r="B226" s="981"/>
      <c r="C226" s="1016"/>
      <c r="D226" s="952"/>
      <c r="E226" s="981"/>
      <c r="F226" s="952"/>
      <c r="G226" s="981"/>
      <c r="H226" s="981"/>
      <c r="I226" s="981"/>
      <c r="J226" s="981"/>
      <c r="K226" s="981"/>
      <c r="O226" s="981"/>
      <c r="P226" s="1417"/>
      <c r="Q226" s="1418"/>
    </row>
    <row r="227" spans="1:17" ht="15" customHeight="1">
      <c r="A227" s="981"/>
      <c r="B227" s="981"/>
      <c r="C227" s="1016"/>
      <c r="D227" s="952"/>
      <c r="E227" s="981"/>
      <c r="F227" s="952"/>
      <c r="G227" s="981"/>
      <c r="H227" s="981"/>
      <c r="I227" s="981"/>
      <c r="J227" s="981"/>
      <c r="K227" s="981"/>
      <c r="O227" s="981"/>
      <c r="P227" s="1417"/>
      <c r="Q227" s="1418"/>
    </row>
    <row r="228" spans="1:17" ht="15" customHeight="1">
      <c r="A228" s="981"/>
      <c r="B228" s="981"/>
      <c r="C228" s="1016"/>
      <c r="D228" s="952"/>
      <c r="E228" s="981"/>
      <c r="F228" s="952"/>
      <c r="G228" s="981"/>
      <c r="H228" s="981"/>
      <c r="I228" s="981"/>
      <c r="J228" s="981"/>
      <c r="K228" s="981"/>
      <c r="O228" s="981"/>
      <c r="P228" s="1417"/>
      <c r="Q228" s="1418"/>
    </row>
    <row r="229" spans="1:17" ht="15" customHeight="1">
      <c r="A229" s="981"/>
      <c r="B229" s="981"/>
      <c r="C229" s="1016"/>
      <c r="D229" s="952"/>
      <c r="E229" s="981"/>
      <c r="F229" s="952"/>
      <c r="G229" s="981"/>
      <c r="H229" s="981"/>
      <c r="I229" s="981"/>
      <c r="J229" s="981"/>
      <c r="K229" s="981"/>
      <c r="O229" s="981"/>
      <c r="P229" s="1417"/>
      <c r="Q229" s="1418"/>
    </row>
    <row r="230" spans="1:17" ht="15" customHeight="1">
      <c r="A230" s="981"/>
      <c r="B230" s="981"/>
      <c r="C230" s="1016"/>
      <c r="D230" s="952"/>
      <c r="E230" s="981"/>
      <c r="F230" s="952"/>
      <c r="G230" s="981"/>
      <c r="H230" s="981"/>
      <c r="I230" s="981"/>
      <c r="J230" s="981"/>
      <c r="K230" s="981"/>
      <c r="O230" s="981"/>
      <c r="P230" s="1417"/>
      <c r="Q230" s="1418"/>
    </row>
    <row r="231" spans="1:17" ht="15" customHeight="1">
      <c r="A231" s="981"/>
      <c r="B231" s="981"/>
      <c r="C231" s="1016"/>
      <c r="D231" s="952"/>
      <c r="E231" s="981"/>
      <c r="F231" s="952"/>
      <c r="G231" s="981"/>
      <c r="H231" s="981"/>
      <c r="I231" s="981"/>
      <c r="J231" s="981"/>
      <c r="K231" s="981"/>
      <c r="O231" s="981"/>
      <c r="P231" s="1417"/>
      <c r="Q231" s="1418"/>
    </row>
    <row r="232" spans="1:17" ht="15" customHeight="1">
      <c r="A232" s="981"/>
      <c r="B232" s="981"/>
      <c r="C232" s="1016"/>
      <c r="D232" s="952"/>
      <c r="E232" s="981"/>
      <c r="F232" s="952"/>
      <c r="G232" s="981"/>
      <c r="H232" s="981"/>
      <c r="I232" s="981"/>
      <c r="J232" s="981"/>
      <c r="K232" s="981"/>
      <c r="O232" s="981"/>
      <c r="P232" s="1417"/>
      <c r="Q232" s="1418"/>
    </row>
    <row r="233" spans="1:17" ht="15" customHeight="1">
      <c r="A233" s="981"/>
      <c r="B233" s="981"/>
      <c r="C233" s="1016"/>
      <c r="D233" s="952"/>
      <c r="E233" s="981"/>
      <c r="F233" s="952"/>
      <c r="G233" s="981"/>
      <c r="H233" s="981"/>
      <c r="I233" s="981"/>
      <c r="J233" s="981"/>
      <c r="K233" s="981"/>
      <c r="O233" s="981"/>
      <c r="P233" s="1417"/>
      <c r="Q233" s="1418"/>
    </row>
    <row r="234" spans="1:17" ht="15" customHeight="1">
      <c r="A234" s="981"/>
      <c r="B234" s="981"/>
      <c r="C234" s="1016"/>
      <c r="D234" s="952"/>
      <c r="E234" s="981"/>
      <c r="F234" s="952"/>
      <c r="G234" s="981"/>
      <c r="H234" s="981"/>
      <c r="I234" s="981"/>
      <c r="J234" s="981"/>
      <c r="K234" s="981"/>
      <c r="O234" s="981"/>
      <c r="P234" s="1417"/>
      <c r="Q234" s="1418"/>
    </row>
    <row r="235" spans="1:17" ht="15" customHeight="1">
      <c r="A235" s="981"/>
      <c r="B235" s="981"/>
      <c r="C235" s="1016"/>
      <c r="D235" s="952"/>
      <c r="E235" s="981"/>
      <c r="F235" s="952"/>
      <c r="G235" s="981"/>
      <c r="H235" s="981"/>
      <c r="I235" s="981"/>
      <c r="J235" s="981"/>
      <c r="K235" s="981"/>
      <c r="O235" s="981"/>
      <c r="P235" s="1417"/>
      <c r="Q235" s="1418"/>
    </row>
    <row r="236" spans="1:17" ht="15" customHeight="1">
      <c r="A236" s="981"/>
      <c r="B236" s="981"/>
      <c r="C236" s="1016"/>
      <c r="D236" s="952"/>
      <c r="E236" s="981"/>
      <c r="F236" s="952"/>
      <c r="G236" s="981"/>
      <c r="H236" s="981"/>
      <c r="I236" s="981"/>
      <c r="J236" s="981"/>
      <c r="K236" s="981"/>
      <c r="O236" s="981"/>
      <c r="P236" s="1417"/>
      <c r="Q236" s="1418"/>
    </row>
    <row r="237" spans="1:17" ht="15" customHeight="1">
      <c r="A237" s="981"/>
      <c r="B237" s="981"/>
      <c r="C237" s="1016"/>
      <c r="D237" s="952"/>
      <c r="E237" s="981"/>
      <c r="F237" s="952"/>
      <c r="G237" s="981"/>
      <c r="H237" s="981"/>
      <c r="I237" s="981"/>
      <c r="J237" s="981"/>
      <c r="K237" s="981"/>
      <c r="O237" s="981"/>
      <c r="P237" s="1417"/>
      <c r="Q237" s="1418"/>
    </row>
    <row r="238" spans="1:17" ht="15" customHeight="1">
      <c r="A238" s="981"/>
      <c r="B238" s="981"/>
      <c r="C238" s="1016"/>
      <c r="D238" s="952"/>
      <c r="E238" s="981"/>
      <c r="F238" s="952"/>
      <c r="G238" s="981"/>
      <c r="H238" s="981"/>
      <c r="I238" s="981"/>
      <c r="J238" s="981"/>
      <c r="K238" s="981"/>
      <c r="O238" s="981"/>
      <c r="P238" s="1417"/>
      <c r="Q238" s="1418"/>
    </row>
    <row r="239" spans="1:17" ht="15" customHeight="1">
      <c r="A239" s="981"/>
      <c r="B239" s="981"/>
      <c r="C239" s="1016"/>
      <c r="D239" s="952"/>
      <c r="E239" s="981"/>
      <c r="F239" s="952"/>
      <c r="G239" s="981"/>
      <c r="H239" s="981"/>
      <c r="I239" s="981"/>
      <c r="J239" s="981"/>
      <c r="K239" s="981"/>
      <c r="O239" s="981"/>
      <c r="P239" s="1417"/>
      <c r="Q239" s="1418"/>
    </row>
    <row r="240" spans="1:17" ht="15" customHeight="1">
      <c r="A240" s="981"/>
      <c r="B240" s="981"/>
      <c r="C240" s="1016"/>
      <c r="D240" s="952"/>
      <c r="E240" s="981"/>
      <c r="F240" s="952"/>
      <c r="G240" s="981"/>
      <c r="H240" s="981"/>
      <c r="I240" s="981"/>
      <c r="J240" s="981"/>
      <c r="K240" s="981"/>
      <c r="O240" s="981"/>
      <c r="P240" s="1417"/>
      <c r="Q240" s="1418"/>
    </row>
    <row r="241" spans="1:17" ht="15" customHeight="1">
      <c r="A241" s="981"/>
      <c r="B241" s="981"/>
      <c r="C241" s="1016"/>
      <c r="D241" s="952"/>
      <c r="E241" s="981"/>
      <c r="F241" s="952"/>
      <c r="G241" s="981"/>
      <c r="H241" s="981"/>
      <c r="I241" s="981"/>
      <c r="J241" s="981"/>
      <c r="K241" s="981"/>
      <c r="O241" s="981"/>
      <c r="P241" s="1417"/>
      <c r="Q241" s="1418"/>
    </row>
    <row r="242" spans="1:17" ht="15" customHeight="1">
      <c r="A242" s="981"/>
      <c r="B242" s="981"/>
      <c r="C242" s="1016"/>
      <c r="D242" s="952"/>
      <c r="E242" s="981"/>
      <c r="F242" s="952"/>
      <c r="G242" s="981"/>
      <c r="H242" s="981"/>
      <c r="I242" s="981"/>
      <c r="J242" s="981"/>
      <c r="K242" s="981"/>
      <c r="O242" s="981"/>
      <c r="P242" s="1417"/>
      <c r="Q242" s="1418"/>
    </row>
    <row r="243" spans="1:17" ht="15" customHeight="1">
      <c r="A243" s="981"/>
      <c r="B243" s="981"/>
      <c r="C243" s="1016"/>
      <c r="D243" s="952"/>
      <c r="E243" s="981"/>
      <c r="F243" s="952"/>
      <c r="G243" s="981"/>
      <c r="H243" s="981"/>
      <c r="I243" s="981"/>
      <c r="J243" s="981"/>
      <c r="K243" s="981"/>
      <c r="O243" s="981"/>
      <c r="P243" s="1417"/>
      <c r="Q243" s="1418"/>
    </row>
    <row r="244" spans="1:17" ht="15" customHeight="1">
      <c r="A244" s="981"/>
      <c r="B244" s="981"/>
      <c r="C244" s="1016"/>
      <c r="D244" s="952"/>
      <c r="E244" s="981"/>
      <c r="F244" s="952"/>
      <c r="G244" s="981"/>
      <c r="H244" s="981"/>
      <c r="I244" s="981"/>
      <c r="J244" s="981"/>
      <c r="K244" s="981"/>
      <c r="O244" s="981"/>
      <c r="P244" s="1417"/>
      <c r="Q244" s="1418"/>
    </row>
    <row r="245" spans="1:17" ht="15" customHeight="1">
      <c r="A245" s="981"/>
      <c r="B245" s="981"/>
      <c r="C245" s="1016"/>
      <c r="D245" s="952"/>
      <c r="E245" s="981"/>
      <c r="F245" s="952"/>
      <c r="G245" s="981"/>
      <c r="H245" s="981"/>
      <c r="I245" s="981"/>
      <c r="J245" s="981"/>
      <c r="K245" s="981"/>
      <c r="O245" s="981"/>
      <c r="P245" s="1417"/>
      <c r="Q245" s="1418"/>
    </row>
    <row r="246" spans="1:17" ht="15" customHeight="1">
      <c r="A246" s="981"/>
      <c r="B246" s="981"/>
      <c r="C246" s="1016"/>
      <c r="D246" s="952"/>
      <c r="E246" s="981"/>
      <c r="F246" s="952"/>
      <c r="G246" s="981"/>
      <c r="H246" s="981"/>
      <c r="I246" s="981"/>
      <c r="J246" s="981"/>
      <c r="K246" s="981"/>
      <c r="O246" s="981"/>
      <c r="P246" s="1417"/>
      <c r="Q246" s="1418"/>
    </row>
    <row r="247" spans="1:17" ht="15" customHeight="1">
      <c r="A247" s="981"/>
      <c r="B247" s="981"/>
      <c r="C247" s="1016"/>
      <c r="D247" s="952"/>
      <c r="E247" s="981"/>
      <c r="F247" s="952"/>
      <c r="G247" s="981"/>
      <c r="H247" s="981"/>
      <c r="I247" s="981"/>
      <c r="J247" s="981"/>
      <c r="K247" s="981"/>
      <c r="O247" s="981"/>
      <c r="P247" s="1417"/>
      <c r="Q247" s="1418"/>
    </row>
    <row r="248" spans="1:17" ht="15" customHeight="1">
      <c r="A248" s="981"/>
      <c r="B248" s="981"/>
      <c r="C248" s="1016"/>
      <c r="D248" s="952"/>
      <c r="E248" s="981"/>
      <c r="F248" s="952"/>
      <c r="G248" s="981"/>
      <c r="H248" s="981"/>
      <c r="I248" s="981"/>
      <c r="J248" s="981"/>
      <c r="K248" s="981"/>
      <c r="O248" s="981"/>
      <c r="P248" s="1417"/>
      <c r="Q248" s="1418"/>
    </row>
    <row r="249" spans="1:17" ht="15" customHeight="1">
      <c r="A249" s="981"/>
      <c r="B249" s="981"/>
      <c r="C249" s="1016"/>
      <c r="D249" s="952"/>
      <c r="E249" s="981"/>
      <c r="F249" s="952"/>
      <c r="G249" s="981"/>
      <c r="H249" s="981"/>
      <c r="I249" s="981"/>
      <c r="J249" s="981"/>
      <c r="K249" s="981"/>
      <c r="O249" s="981"/>
      <c r="P249" s="1417"/>
      <c r="Q249" s="1418"/>
    </row>
    <row r="250" spans="1:17" ht="15" customHeight="1">
      <c r="A250" s="981"/>
      <c r="B250" s="981"/>
      <c r="C250" s="1016"/>
      <c r="D250" s="952"/>
      <c r="E250" s="981"/>
      <c r="F250" s="952"/>
      <c r="G250" s="981"/>
      <c r="H250" s="981"/>
      <c r="I250" s="981"/>
      <c r="J250" s="981"/>
      <c r="K250" s="981"/>
      <c r="O250" s="981"/>
      <c r="P250" s="1417"/>
      <c r="Q250" s="1418"/>
    </row>
    <row r="251" spans="1:17" ht="15" customHeight="1">
      <c r="A251" s="981"/>
      <c r="B251" s="981"/>
      <c r="C251" s="1016"/>
      <c r="D251" s="952"/>
      <c r="E251" s="981"/>
      <c r="F251" s="952"/>
      <c r="G251" s="981"/>
      <c r="H251" s="981"/>
      <c r="I251" s="981"/>
      <c r="J251" s="981"/>
      <c r="K251" s="981"/>
      <c r="O251" s="981"/>
      <c r="P251" s="1417"/>
      <c r="Q251" s="1418"/>
    </row>
    <row r="252" spans="1:17" ht="15" customHeight="1">
      <c r="A252" s="981"/>
      <c r="B252" s="981"/>
      <c r="C252" s="1016"/>
      <c r="D252" s="952"/>
      <c r="E252" s="981"/>
      <c r="F252" s="952"/>
      <c r="G252" s="981"/>
      <c r="H252" s="981"/>
      <c r="I252" s="981"/>
      <c r="J252" s="981"/>
      <c r="K252" s="981"/>
      <c r="O252" s="981"/>
      <c r="P252" s="1417"/>
      <c r="Q252" s="1418"/>
    </row>
    <row r="253" spans="1:17" ht="15" customHeight="1">
      <c r="A253" s="981"/>
      <c r="B253" s="981"/>
      <c r="C253" s="1016"/>
      <c r="D253" s="952"/>
      <c r="E253" s="981"/>
      <c r="F253" s="952"/>
      <c r="G253" s="981"/>
      <c r="H253" s="981"/>
      <c r="I253" s="981"/>
      <c r="J253" s="981"/>
      <c r="K253" s="981"/>
      <c r="O253" s="981"/>
      <c r="P253" s="1417"/>
      <c r="Q253" s="1418"/>
    </row>
    <row r="254" spans="1:17" ht="15" customHeight="1">
      <c r="A254" s="981"/>
      <c r="B254" s="981"/>
      <c r="C254" s="1016"/>
      <c r="D254" s="952"/>
      <c r="E254" s="981"/>
      <c r="F254" s="952"/>
      <c r="G254" s="981"/>
      <c r="H254" s="981"/>
      <c r="I254" s="981"/>
      <c r="J254" s="981"/>
      <c r="K254" s="981"/>
      <c r="O254" s="981"/>
      <c r="P254" s="1417"/>
      <c r="Q254" s="1418"/>
    </row>
    <row r="255" spans="1:17" ht="15" customHeight="1">
      <c r="A255" s="981"/>
      <c r="B255" s="981"/>
      <c r="C255" s="1016"/>
      <c r="D255" s="952"/>
      <c r="E255" s="981"/>
      <c r="F255" s="952"/>
      <c r="G255" s="981"/>
      <c r="H255" s="981"/>
      <c r="I255" s="981"/>
      <c r="J255" s="981"/>
      <c r="K255" s="981"/>
      <c r="O255" s="981"/>
      <c r="P255" s="1417"/>
      <c r="Q255" s="1418"/>
    </row>
    <row r="256" spans="1:17" ht="15" customHeight="1">
      <c r="A256" s="981"/>
      <c r="B256" s="981"/>
      <c r="C256" s="1016"/>
      <c r="D256" s="952"/>
      <c r="E256" s="981"/>
      <c r="F256" s="952"/>
      <c r="G256" s="981"/>
      <c r="H256" s="981"/>
      <c r="I256" s="981"/>
      <c r="J256" s="981"/>
      <c r="K256" s="981"/>
      <c r="O256" s="981"/>
      <c r="P256" s="1417"/>
      <c r="Q256" s="1418"/>
    </row>
    <row r="257" spans="1:17" ht="15" customHeight="1">
      <c r="A257" s="981"/>
      <c r="B257" s="981"/>
      <c r="C257" s="1016"/>
      <c r="D257" s="952"/>
      <c r="E257" s="981"/>
      <c r="F257" s="952"/>
      <c r="G257" s="981"/>
      <c r="H257" s="981"/>
      <c r="I257" s="981"/>
      <c r="J257" s="981"/>
      <c r="K257" s="981"/>
      <c r="O257" s="981"/>
      <c r="P257" s="1417"/>
      <c r="Q257" s="1418"/>
    </row>
    <row r="258" spans="1:17" ht="15" customHeight="1">
      <c r="A258" s="981"/>
      <c r="B258" s="981"/>
      <c r="C258" s="1016"/>
      <c r="D258" s="952"/>
      <c r="E258" s="981"/>
      <c r="F258" s="952"/>
      <c r="G258" s="981"/>
      <c r="H258" s="981"/>
      <c r="I258" s="981"/>
      <c r="J258" s="981"/>
      <c r="K258" s="981"/>
      <c r="O258" s="981"/>
      <c r="P258" s="1417"/>
      <c r="Q258" s="1418"/>
    </row>
    <row r="259" spans="1:17" ht="15" customHeight="1">
      <c r="A259" s="981"/>
      <c r="B259" s="981"/>
      <c r="C259" s="1016"/>
      <c r="D259" s="952"/>
      <c r="E259" s="981"/>
      <c r="F259" s="952"/>
      <c r="G259" s="981"/>
      <c r="H259" s="981"/>
      <c r="I259" s="981"/>
      <c r="J259" s="981"/>
      <c r="K259" s="981"/>
      <c r="O259" s="981"/>
      <c r="P259" s="1417"/>
      <c r="Q259" s="1418"/>
    </row>
    <row r="260" spans="1:17" ht="15" customHeight="1">
      <c r="A260" s="981"/>
      <c r="B260" s="981"/>
      <c r="C260" s="1016"/>
      <c r="D260" s="952"/>
      <c r="E260" s="981"/>
      <c r="F260" s="952"/>
      <c r="G260" s="981"/>
      <c r="H260" s="981"/>
      <c r="I260" s="981"/>
      <c r="J260" s="981"/>
      <c r="K260" s="981"/>
      <c r="O260" s="981"/>
      <c r="P260" s="1417"/>
      <c r="Q260" s="1418"/>
    </row>
    <row r="261" spans="1:17" ht="15" customHeight="1">
      <c r="A261" s="981"/>
      <c r="B261" s="981"/>
      <c r="C261" s="1016"/>
      <c r="D261" s="952"/>
      <c r="E261" s="981"/>
      <c r="F261" s="952"/>
      <c r="G261" s="981"/>
      <c r="H261" s="981"/>
      <c r="I261" s="981"/>
      <c r="J261" s="981"/>
      <c r="K261" s="981"/>
      <c r="O261" s="981"/>
      <c r="P261" s="1417"/>
      <c r="Q261" s="1418"/>
    </row>
    <row r="262" spans="1:17" ht="15" customHeight="1">
      <c r="A262" s="981"/>
      <c r="B262" s="981"/>
      <c r="C262" s="1016"/>
      <c r="D262" s="952"/>
      <c r="E262" s="981"/>
      <c r="F262" s="952"/>
      <c r="G262" s="981"/>
      <c r="H262" s="981"/>
      <c r="I262" s="981"/>
      <c r="J262" s="981"/>
      <c r="K262" s="981"/>
      <c r="O262" s="981"/>
      <c r="P262" s="1417"/>
      <c r="Q262" s="1418"/>
    </row>
    <row r="263" spans="1:17" ht="15" customHeight="1">
      <c r="A263" s="981"/>
      <c r="B263" s="981"/>
      <c r="C263" s="1016"/>
      <c r="D263" s="952"/>
      <c r="E263" s="981"/>
      <c r="F263" s="952"/>
      <c r="G263" s="981"/>
      <c r="H263" s="981"/>
      <c r="I263" s="981"/>
      <c r="J263" s="981"/>
      <c r="K263" s="981"/>
      <c r="O263" s="981"/>
      <c r="P263" s="1417"/>
      <c r="Q263" s="1418"/>
    </row>
    <row r="264" spans="1:17" ht="15" customHeight="1">
      <c r="A264" s="981"/>
      <c r="B264" s="981"/>
      <c r="C264" s="1016"/>
      <c r="D264" s="952"/>
      <c r="E264" s="981"/>
      <c r="F264" s="952"/>
      <c r="G264" s="981"/>
      <c r="H264" s="981"/>
      <c r="I264" s="981"/>
      <c r="J264" s="981"/>
      <c r="K264" s="981"/>
      <c r="O264" s="981"/>
      <c r="P264" s="1417"/>
      <c r="Q264" s="1418"/>
    </row>
    <row r="265" spans="1:17" ht="15" customHeight="1">
      <c r="A265" s="981"/>
      <c r="B265" s="981"/>
      <c r="C265" s="1016"/>
      <c r="D265" s="952"/>
      <c r="E265" s="981"/>
      <c r="F265" s="952"/>
      <c r="G265" s="981"/>
      <c r="H265" s="981"/>
      <c r="I265" s="981"/>
      <c r="J265" s="981"/>
      <c r="K265" s="981"/>
      <c r="O265" s="981"/>
      <c r="P265" s="1417"/>
      <c r="Q265" s="1418"/>
    </row>
    <row r="266" spans="1:17" ht="15" customHeight="1">
      <c r="A266" s="981"/>
      <c r="B266" s="981"/>
      <c r="C266" s="1016"/>
      <c r="D266" s="952"/>
      <c r="E266" s="981"/>
      <c r="F266" s="952"/>
      <c r="G266" s="981"/>
      <c r="H266" s="981"/>
      <c r="I266" s="981"/>
      <c r="J266" s="981"/>
      <c r="K266" s="981"/>
      <c r="O266" s="981"/>
      <c r="P266" s="1417"/>
      <c r="Q266" s="1418"/>
    </row>
    <row r="267" spans="1:17" ht="15" customHeight="1">
      <c r="A267" s="981"/>
      <c r="B267" s="981"/>
      <c r="C267" s="1016"/>
      <c r="D267" s="952"/>
      <c r="E267" s="981"/>
      <c r="F267" s="952"/>
      <c r="G267" s="981"/>
      <c r="H267" s="981"/>
      <c r="I267" s="981"/>
      <c r="J267" s="981"/>
      <c r="K267" s="981"/>
      <c r="O267" s="981"/>
      <c r="P267" s="1417"/>
      <c r="Q267" s="1418"/>
    </row>
    <row r="268" spans="1:17" ht="15" customHeight="1">
      <c r="A268" s="981"/>
      <c r="B268" s="981"/>
      <c r="C268" s="1016"/>
      <c r="D268" s="952"/>
      <c r="E268" s="981"/>
      <c r="F268" s="952"/>
      <c r="G268" s="981"/>
      <c r="H268" s="981"/>
      <c r="I268" s="981"/>
      <c r="J268" s="981"/>
      <c r="K268" s="981"/>
      <c r="O268" s="981"/>
      <c r="P268" s="1417"/>
      <c r="Q268" s="1418"/>
    </row>
    <row r="269" spans="1:17" ht="15" customHeight="1">
      <c r="A269" s="981"/>
      <c r="B269" s="981"/>
      <c r="C269" s="1016"/>
      <c r="D269" s="952"/>
      <c r="E269" s="981"/>
      <c r="F269" s="952"/>
      <c r="G269" s="981"/>
      <c r="H269" s="981"/>
      <c r="I269" s="981"/>
      <c r="J269" s="981"/>
      <c r="K269" s="981"/>
      <c r="O269" s="981"/>
      <c r="P269" s="1417"/>
      <c r="Q269" s="1418"/>
    </row>
    <row r="270" spans="1:17" ht="15" customHeight="1">
      <c r="A270" s="981"/>
      <c r="B270" s="981"/>
      <c r="C270" s="1016"/>
      <c r="D270" s="952"/>
      <c r="E270" s="981"/>
      <c r="F270" s="952"/>
      <c r="G270" s="981"/>
      <c r="H270" s="981"/>
      <c r="I270" s="981"/>
      <c r="J270" s="981"/>
      <c r="K270" s="981"/>
      <c r="O270" s="981"/>
      <c r="P270" s="1417"/>
      <c r="Q270" s="1418"/>
    </row>
    <row r="271" spans="1:17" ht="15" customHeight="1">
      <c r="A271" s="981"/>
      <c r="B271" s="981"/>
      <c r="C271" s="1016"/>
      <c r="D271" s="952"/>
      <c r="E271" s="981"/>
      <c r="F271" s="952"/>
      <c r="G271" s="981"/>
      <c r="H271" s="981"/>
      <c r="I271" s="981"/>
      <c r="J271" s="981"/>
      <c r="K271" s="981"/>
      <c r="O271" s="981"/>
      <c r="P271" s="1417"/>
      <c r="Q271" s="1418"/>
    </row>
    <row r="272" spans="1:17" ht="15" customHeight="1">
      <c r="A272" s="981"/>
      <c r="B272" s="981"/>
      <c r="C272" s="1016"/>
      <c r="D272" s="952"/>
      <c r="E272" s="981"/>
      <c r="F272" s="952"/>
      <c r="G272" s="981"/>
      <c r="H272" s="981"/>
      <c r="I272" s="981"/>
      <c r="J272" s="981"/>
      <c r="K272" s="981"/>
      <c r="O272" s="981"/>
      <c r="P272" s="1417"/>
      <c r="Q272" s="1418"/>
    </row>
    <row r="273" spans="1:17" ht="15" customHeight="1">
      <c r="A273" s="981"/>
      <c r="B273" s="981"/>
      <c r="C273" s="1016"/>
      <c r="D273" s="952"/>
      <c r="E273" s="981"/>
      <c r="F273" s="952"/>
      <c r="G273" s="981"/>
      <c r="H273" s="981"/>
      <c r="I273" s="981"/>
      <c r="J273" s="981"/>
      <c r="K273" s="981"/>
      <c r="O273" s="981"/>
      <c r="P273" s="1417"/>
      <c r="Q273" s="1418"/>
    </row>
    <row r="274" spans="1:17" ht="15" customHeight="1">
      <c r="A274" s="981"/>
      <c r="B274" s="981"/>
      <c r="C274" s="1016"/>
      <c r="D274" s="952"/>
      <c r="E274" s="981"/>
      <c r="F274" s="952"/>
      <c r="G274" s="981"/>
      <c r="H274" s="981"/>
      <c r="I274" s="981"/>
      <c r="J274" s="981"/>
      <c r="K274" s="981"/>
      <c r="O274" s="981"/>
      <c r="P274" s="1417"/>
      <c r="Q274" s="1418"/>
    </row>
    <row r="275" spans="1:17" ht="15" customHeight="1">
      <c r="A275" s="981"/>
      <c r="B275" s="981"/>
      <c r="C275" s="1016"/>
      <c r="D275" s="952"/>
      <c r="E275" s="981"/>
      <c r="F275" s="952"/>
      <c r="G275" s="981"/>
      <c r="H275" s="981"/>
      <c r="I275" s="981"/>
      <c r="J275" s="981"/>
      <c r="K275" s="981"/>
      <c r="O275" s="981"/>
      <c r="P275" s="1417"/>
      <c r="Q275" s="1418"/>
    </row>
    <row r="276" spans="1:17" ht="15" customHeight="1">
      <c r="A276" s="981"/>
      <c r="B276" s="981"/>
      <c r="C276" s="1016"/>
      <c r="D276" s="952"/>
      <c r="E276" s="981"/>
      <c r="F276" s="952"/>
      <c r="G276" s="981"/>
      <c r="H276" s="981"/>
      <c r="I276" s="981"/>
      <c r="J276" s="981"/>
      <c r="K276" s="981"/>
      <c r="O276" s="981"/>
      <c r="P276" s="1417"/>
      <c r="Q276" s="1418"/>
    </row>
    <row r="277" spans="1:17" ht="15" customHeight="1">
      <c r="A277" s="981"/>
      <c r="B277" s="981"/>
      <c r="C277" s="1016"/>
      <c r="D277" s="952"/>
      <c r="E277" s="981"/>
      <c r="F277" s="952"/>
      <c r="G277" s="981"/>
      <c r="H277" s="981"/>
      <c r="I277" s="981"/>
      <c r="J277" s="981"/>
      <c r="K277" s="981"/>
      <c r="O277" s="981"/>
      <c r="P277" s="1417"/>
      <c r="Q277" s="1418"/>
    </row>
    <row r="278" spans="1:17" ht="15" customHeight="1">
      <c r="A278" s="981"/>
      <c r="B278" s="981"/>
      <c r="C278" s="1016"/>
      <c r="D278" s="952"/>
      <c r="E278" s="981"/>
      <c r="F278" s="952"/>
      <c r="G278" s="981"/>
      <c r="H278" s="981"/>
      <c r="I278" s="981"/>
      <c r="J278" s="981"/>
      <c r="K278" s="981"/>
      <c r="O278" s="981"/>
      <c r="P278" s="1417"/>
      <c r="Q278" s="1418"/>
    </row>
    <row r="279" spans="1:17" ht="15" customHeight="1">
      <c r="A279" s="981"/>
      <c r="B279" s="981"/>
      <c r="C279" s="1016"/>
      <c r="D279" s="952"/>
      <c r="E279" s="981"/>
      <c r="F279" s="952"/>
      <c r="G279" s="981"/>
      <c r="H279" s="981"/>
      <c r="I279" s="981"/>
      <c r="J279" s="981"/>
      <c r="K279" s="981"/>
      <c r="O279" s="981"/>
      <c r="P279" s="1417"/>
      <c r="Q279" s="1418"/>
    </row>
    <row r="280" spans="1:17" ht="15" customHeight="1">
      <c r="A280" s="981"/>
      <c r="B280" s="981"/>
      <c r="C280" s="1016"/>
      <c r="D280" s="952"/>
      <c r="E280" s="981"/>
      <c r="F280" s="952"/>
      <c r="G280" s="981"/>
      <c r="H280" s="981"/>
      <c r="I280" s="981"/>
      <c r="J280" s="981"/>
      <c r="K280" s="981"/>
      <c r="O280" s="981"/>
      <c r="P280" s="1417"/>
      <c r="Q280" s="1418"/>
    </row>
    <row r="281" spans="1:17" ht="15" customHeight="1">
      <c r="A281" s="981"/>
      <c r="B281" s="981"/>
      <c r="C281" s="1016"/>
      <c r="D281" s="952"/>
      <c r="E281" s="981"/>
      <c r="F281" s="952"/>
      <c r="G281" s="981"/>
      <c r="H281" s="981"/>
      <c r="I281" s="981"/>
      <c r="J281" s="981"/>
      <c r="K281" s="981"/>
      <c r="O281" s="981"/>
      <c r="P281" s="1417"/>
      <c r="Q281" s="1418"/>
    </row>
    <row r="282" spans="1:17" ht="15" customHeight="1">
      <c r="A282" s="981"/>
      <c r="B282" s="981"/>
      <c r="C282" s="1016"/>
      <c r="D282" s="952"/>
      <c r="E282" s="981"/>
      <c r="F282" s="952"/>
      <c r="G282" s="981"/>
      <c r="H282" s="981"/>
      <c r="I282" s="981"/>
      <c r="J282" s="981"/>
      <c r="K282" s="981"/>
      <c r="O282" s="981"/>
      <c r="P282" s="1417"/>
      <c r="Q282" s="1418"/>
    </row>
    <row r="283" spans="1:17" ht="15" customHeight="1">
      <c r="A283" s="981"/>
      <c r="B283" s="981"/>
      <c r="C283" s="1016"/>
      <c r="D283" s="952"/>
      <c r="E283" s="981"/>
      <c r="F283" s="952"/>
      <c r="G283" s="981"/>
      <c r="H283" s="981"/>
      <c r="I283" s="981"/>
      <c r="J283" s="981"/>
      <c r="K283" s="981"/>
      <c r="O283" s="981"/>
      <c r="P283" s="1417"/>
      <c r="Q283" s="1418"/>
    </row>
    <row r="284" spans="1:17" ht="15" customHeight="1">
      <c r="A284" s="981"/>
      <c r="B284" s="981"/>
      <c r="C284" s="1016"/>
      <c r="D284" s="952"/>
      <c r="E284" s="981"/>
      <c r="F284" s="952"/>
      <c r="G284" s="981"/>
      <c r="H284" s="981"/>
      <c r="I284" s="981"/>
      <c r="J284" s="981"/>
      <c r="K284" s="981"/>
      <c r="O284" s="981"/>
      <c r="P284" s="1417"/>
      <c r="Q284" s="1418"/>
    </row>
    <row r="285" spans="1:17" ht="15" customHeight="1">
      <c r="A285" s="981"/>
      <c r="B285" s="981"/>
      <c r="C285" s="1016"/>
      <c r="D285" s="952"/>
      <c r="E285" s="981"/>
      <c r="F285" s="952"/>
      <c r="G285" s="981"/>
      <c r="H285" s="981"/>
      <c r="I285" s="981"/>
      <c r="J285" s="981"/>
      <c r="K285" s="981"/>
      <c r="O285" s="981"/>
      <c r="P285" s="1417"/>
      <c r="Q285" s="1418"/>
    </row>
    <row r="286" spans="1:17" ht="15" customHeight="1">
      <c r="A286" s="981"/>
      <c r="B286" s="981"/>
      <c r="C286" s="1016"/>
      <c r="D286" s="952"/>
      <c r="E286" s="981"/>
      <c r="F286" s="952"/>
      <c r="G286" s="981"/>
      <c r="H286" s="981"/>
      <c r="I286" s="981"/>
      <c r="J286" s="981"/>
      <c r="K286" s="981"/>
      <c r="O286" s="981"/>
      <c r="P286" s="1417"/>
      <c r="Q286" s="1418"/>
    </row>
    <row r="287" spans="1:17" ht="15" customHeight="1">
      <c r="A287" s="981"/>
      <c r="B287" s="981"/>
      <c r="C287" s="1016"/>
      <c r="D287" s="952"/>
      <c r="E287" s="981"/>
      <c r="F287" s="952"/>
      <c r="G287" s="981"/>
      <c r="H287" s="981"/>
      <c r="I287" s="981"/>
      <c r="J287" s="981"/>
      <c r="K287" s="981"/>
      <c r="O287" s="981"/>
      <c r="P287" s="1417"/>
      <c r="Q287" s="1418"/>
    </row>
    <row r="288" spans="1:17" ht="15" customHeight="1">
      <c r="A288" s="981"/>
      <c r="B288" s="981"/>
      <c r="C288" s="1016"/>
      <c r="D288" s="952"/>
      <c r="E288" s="981"/>
      <c r="F288" s="952"/>
      <c r="G288" s="981"/>
      <c r="H288" s="981"/>
      <c r="I288" s="981"/>
      <c r="J288" s="981"/>
      <c r="K288" s="981"/>
      <c r="O288" s="981"/>
      <c r="P288" s="1417"/>
      <c r="Q288" s="1418"/>
    </row>
    <row r="289" spans="1:17" ht="15" customHeight="1">
      <c r="A289" s="981"/>
      <c r="B289" s="981"/>
      <c r="C289" s="1016"/>
      <c r="D289" s="952"/>
      <c r="E289" s="981"/>
      <c r="F289" s="952"/>
      <c r="G289" s="981"/>
      <c r="H289" s="981"/>
      <c r="I289" s="981"/>
      <c r="J289" s="981"/>
      <c r="K289" s="981"/>
      <c r="O289" s="981"/>
      <c r="P289" s="1417"/>
      <c r="Q289" s="1418"/>
    </row>
    <row r="290" spans="1:17" ht="15" customHeight="1">
      <c r="A290" s="981"/>
      <c r="B290" s="981"/>
      <c r="C290" s="1016"/>
      <c r="D290" s="952"/>
      <c r="E290" s="981"/>
      <c r="F290" s="952"/>
      <c r="G290" s="981"/>
      <c r="H290" s="981"/>
      <c r="I290" s="981"/>
      <c r="J290" s="981"/>
      <c r="K290" s="981"/>
      <c r="O290" s="981"/>
      <c r="P290" s="1417"/>
      <c r="Q290" s="1418"/>
    </row>
    <row r="291" spans="1:17" ht="15" customHeight="1">
      <c r="A291" s="981"/>
      <c r="B291" s="981"/>
      <c r="C291" s="1016"/>
      <c r="D291" s="952"/>
      <c r="E291" s="981"/>
      <c r="F291" s="952"/>
      <c r="G291" s="981"/>
      <c r="H291" s="981"/>
      <c r="I291" s="981"/>
      <c r="J291" s="981"/>
      <c r="K291" s="981"/>
      <c r="O291" s="981"/>
      <c r="P291" s="1417"/>
      <c r="Q291" s="1418"/>
    </row>
    <row r="292" spans="1:17" ht="15" customHeight="1">
      <c r="A292" s="981"/>
      <c r="B292" s="981"/>
      <c r="C292" s="1016"/>
      <c r="D292" s="952"/>
      <c r="E292" s="981"/>
      <c r="F292" s="952"/>
      <c r="G292" s="981"/>
      <c r="H292" s="981"/>
      <c r="I292" s="981"/>
      <c r="J292" s="981"/>
      <c r="K292" s="981"/>
      <c r="O292" s="981"/>
      <c r="P292" s="1417"/>
      <c r="Q292" s="1418"/>
    </row>
    <row r="293" spans="1:17" ht="15" customHeight="1">
      <c r="A293" s="981"/>
      <c r="B293" s="981"/>
      <c r="C293" s="1016"/>
      <c r="D293" s="952"/>
      <c r="E293" s="981"/>
      <c r="F293" s="952"/>
      <c r="G293" s="981"/>
      <c r="H293" s="981"/>
      <c r="I293" s="981"/>
      <c r="J293" s="981"/>
      <c r="K293" s="981"/>
      <c r="O293" s="981"/>
      <c r="P293" s="1417"/>
      <c r="Q293" s="1418"/>
    </row>
    <row r="294" spans="1:17" ht="15" customHeight="1">
      <c r="A294" s="981"/>
      <c r="B294" s="981"/>
      <c r="C294" s="1016"/>
      <c r="D294" s="952"/>
      <c r="E294" s="981"/>
      <c r="F294" s="952"/>
      <c r="G294" s="981"/>
      <c r="H294" s="981"/>
      <c r="I294" s="981"/>
      <c r="J294" s="981"/>
      <c r="K294" s="981"/>
      <c r="O294" s="981"/>
      <c r="P294" s="1417"/>
      <c r="Q294" s="1418"/>
    </row>
    <row r="295" spans="1:17" ht="15" customHeight="1">
      <c r="A295" s="981"/>
      <c r="B295" s="981"/>
      <c r="C295" s="1016"/>
      <c r="D295" s="952"/>
      <c r="E295" s="981"/>
      <c r="F295" s="952"/>
      <c r="G295" s="981"/>
      <c r="H295" s="981"/>
      <c r="I295" s="981"/>
      <c r="J295" s="981"/>
      <c r="K295" s="981"/>
      <c r="O295" s="981"/>
      <c r="P295" s="1417"/>
      <c r="Q295" s="1418"/>
    </row>
    <row r="296" spans="1:17" ht="15" customHeight="1">
      <c r="A296" s="981"/>
      <c r="B296" s="981"/>
      <c r="C296" s="1016"/>
      <c r="D296" s="952"/>
      <c r="E296" s="981"/>
      <c r="F296" s="952"/>
      <c r="G296" s="981"/>
      <c r="H296" s="981"/>
      <c r="I296" s="981"/>
      <c r="J296" s="981"/>
      <c r="K296" s="981"/>
      <c r="O296" s="981"/>
      <c r="P296" s="1417"/>
      <c r="Q296" s="1418"/>
    </row>
    <row r="297" spans="1:17" ht="15" customHeight="1">
      <c r="A297" s="981"/>
      <c r="B297" s="981"/>
      <c r="C297" s="1016"/>
      <c r="D297" s="952"/>
      <c r="E297" s="981"/>
      <c r="F297" s="952"/>
      <c r="G297" s="981"/>
      <c r="H297" s="981"/>
      <c r="I297" s="981"/>
      <c r="J297" s="981"/>
      <c r="K297" s="981"/>
      <c r="O297" s="981"/>
      <c r="P297" s="1417"/>
      <c r="Q297" s="1418"/>
    </row>
    <row r="298" spans="1:17" ht="15" customHeight="1">
      <c r="A298" s="981"/>
      <c r="B298" s="981"/>
      <c r="C298" s="1016"/>
      <c r="D298" s="952"/>
      <c r="E298" s="981"/>
      <c r="F298" s="952"/>
      <c r="G298" s="981"/>
      <c r="H298" s="981"/>
      <c r="I298" s="981"/>
      <c r="J298" s="981"/>
      <c r="K298" s="981"/>
      <c r="O298" s="981"/>
      <c r="P298" s="1417"/>
      <c r="Q298" s="1418"/>
    </row>
    <row r="299" spans="1:17" ht="15" customHeight="1">
      <c r="A299" s="981"/>
      <c r="B299" s="981"/>
      <c r="C299" s="1016"/>
      <c r="D299" s="952"/>
      <c r="E299" s="981"/>
      <c r="F299" s="952"/>
      <c r="G299" s="981"/>
      <c r="H299" s="981"/>
      <c r="I299" s="981"/>
      <c r="J299" s="981"/>
      <c r="K299" s="981"/>
      <c r="O299" s="981"/>
      <c r="P299" s="1417"/>
      <c r="Q299" s="1418"/>
    </row>
    <row r="300" spans="1:17" ht="15" customHeight="1">
      <c r="A300" s="981"/>
      <c r="B300" s="981"/>
      <c r="C300" s="1016"/>
      <c r="D300" s="952"/>
      <c r="E300" s="981"/>
      <c r="F300" s="952"/>
      <c r="G300" s="981"/>
      <c r="H300" s="981"/>
      <c r="I300" s="981"/>
      <c r="J300" s="981"/>
      <c r="K300" s="981"/>
      <c r="O300" s="981"/>
      <c r="P300" s="1417"/>
      <c r="Q300" s="1418"/>
    </row>
    <row r="301" spans="1:17" ht="15" customHeight="1">
      <c r="A301" s="981"/>
      <c r="B301" s="981"/>
      <c r="C301" s="1016"/>
      <c r="D301" s="952"/>
      <c r="E301" s="981"/>
      <c r="F301" s="952"/>
      <c r="G301" s="981"/>
      <c r="H301" s="981"/>
      <c r="I301" s="981"/>
      <c r="J301" s="981"/>
      <c r="K301" s="981"/>
      <c r="O301" s="981"/>
      <c r="P301" s="1417"/>
      <c r="Q301" s="1418"/>
    </row>
    <row r="302" spans="1:17" ht="15" customHeight="1">
      <c r="A302" s="981"/>
      <c r="B302" s="981"/>
      <c r="C302" s="1016"/>
      <c r="D302" s="952"/>
      <c r="E302" s="981"/>
      <c r="F302" s="952"/>
      <c r="G302" s="981"/>
      <c r="H302" s="981"/>
      <c r="I302" s="981"/>
      <c r="J302" s="981"/>
      <c r="K302" s="981"/>
      <c r="O302" s="981"/>
      <c r="P302" s="1417"/>
      <c r="Q302" s="1418"/>
    </row>
    <row r="303" spans="1:17" ht="15" customHeight="1">
      <c r="A303" s="981"/>
      <c r="B303" s="981"/>
      <c r="C303" s="1016"/>
      <c r="D303" s="952"/>
      <c r="E303" s="981"/>
      <c r="F303" s="952"/>
      <c r="G303" s="981"/>
      <c r="H303" s="981"/>
      <c r="I303" s="981"/>
      <c r="J303" s="981"/>
      <c r="K303" s="981"/>
      <c r="O303" s="981"/>
      <c r="P303" s="1417"/>
      <c r="Q303" s="1418"/>
    </row>
    <row r="304" spans="1:17" ht="15" customHeight="1">
      <c r="A304" s="981"/>
      <c r="B304" s="981"/>
      <c r="C304" s="1016"/>
      <c r="D304" s="952"/>
      <c r="E304" s="981"/>
      <c r="F304" s="952"/>
      <c r="G304" s="981"/>
      <c r="H304" s="981"/>
      <c r="I304" s="981"/>
      <c r="J304" s="981"/>
      <c r="K304" s="981"/>
      <c r="O304" s="981"/>
      <c r="P304" s="1417"/>
      <c r="Q304" s="1418"/>
    </row>
    <row r="305" spans="1:17" ht="15" customHeight="1">
      <c r="A305" s="981"/>
      <c r="B305" s="981"/>
      <c r="C305" s="1016"/>
      <c r="D305" s="952"/>
      <c r="E305" s="981"/>
      <c r="F305" s="952"/>
      <c r="G305" s="981"/>
      <c r="H305" s="981"/>
      <c r="I305" s="981"/>
      <c r="J305" s="981"/>
      <c r="K305" s="981"/>
      <c r="O305" s="981"/>
      <c r="P305" s="1417"/>
      <c r="Q305" s="1418"/>
    </row>
    <row r="306" spans="1:17" ht="15" customHeight="1">
      <c r="A306" s="981"/>
      <c r="B306" s="981"/>
      <c r="C306" s="1016"/>
      <c r="D306" s="952"/>
      <c r="E306" s="981"/>
      <c r="F306" s="952"/>
      <c r="G306" s="981"/>
      <c r="H306" s="981"/>
      <c r="I306" s="981"/>
      <c r="J306" s="981"/>
      <c r="K306" s="981"/>
      <c r="O306" s="981"/>
      <c r="P306" s="1417"/>
      <c r="Q306" s="1418"/>
    </row>
    <row r="307" spans="1:17" ht="15" customHeight="1">
      <c r="A307" s="981"/>
      <c r="B307" s="981"/>
      <c r="C307" s="1016"/>
      <c r="D307" s="952"/>
      <c r="E307" s="981"/>
      <c r="F307" s="952"/>
      <c r="G307" s="981"/>
      <c r="H307" s="981"/>
      <c r="I307" s="981"/>
      <c r="J307" s="981"/>
      <c r="K307" s="981"/>
      <c r="O307" s="981"/>
      <c r="P307" s="1417"/>
      <c r="Q307" s="1418"/>
    </row>
    <row r="308" spans="1:17" ht="15" customHeight="1">
      <c r="A308" s="981"/>
      <c r="B308" s="981"/>
      <c r="C308" s="1016"/>
      <c r="D308" s="952"/>
      <c r="E308" s="981"/>
      <c r="F308" s="952"/>
      <c r="G308" s="981"/>
      <c r="H308" s="981"/>
      <c r="I308" s="981"/>
      <c r="J308" s="981"/>
      <c r="K308" s="981"/>
      <c r="O308" s="981"/>
      <c r="P308" s="1417"/>
      <c r="Q308" s="1418"/>
    </row>
    <row r="309" spans="1:17" ht="15" customHeight="1">
      <c r="A309" s="981"/>
      <c r="B309" s="981"/>
      <c r="C309" s="1016"/>
      <c r="D309" s="952"/>
      <c r="E309" s="981"/>
      <c r="F309" s="952"/>
      <c r="G309" s="981"/>
      <c r="H309" s="981"/>
      <c r="I309" s="981"/>
      <c r="J309" s="981"/>
      <c r="K309" s="981"/>
      <c r="O309" s="981"/>
      <c r="P309" s="1417"/>
      <c r="Q309" s="1418"/>
    </row>
    <row r="310" spans="1:17" ht="15" customHeight="1">
      <c r="A310" s="981"/>
      <c r="B310" s="981"/>
      <c r="C310" s="1016"/>
      <c r="D310" s="952"/>
      <c r="E310" s="981"/>
      <c r="F310" s="952"/>
      <c r="G310" s="981"/>
      <c r="H310" s="981"/>
      <c r="I310" s="981"/>
      <c r="J310" s="981"/>
      <c r="K310" s="981"/>
      <c r="O310" s="981"/>
      <c r="P310" s="1417"/>
      <c r="Q310" s="1418"/>
    </row>
    <row r="311" spans="1:17" ht="15" customHeight="1">
      <c r="A311" s="981"/>
      <c r="B311" s="981"/>
      <c r="C311" s="1016"/>
      <c r="D311" s="952"/>
      <c r="E311" s="981"/>
      <c r="F311" s="952"/>
      <c r="G311" s="981"/>
      <c r="H311" s="981"/>
      <c r="I311" s="981"/>
      <c r="J311" s="981"/>
      <c r="K311" s="981"/>
      <c r="O311" s="981"/>
      <c r="P311" s="1417"/>
      <c r="Q311" s="1418"/>
    </row>
    <row r="312" spans="1:17" ht="15" customHeight="1">
      <c r="A312" s="981"/>
      <c r="B312" s="981"/>
      <c r="C312" s="1016"/>
      <c r="D312" s="952"/>
      <c r="E312" s="981"/>
      <c r="F312" s="952"/>
      <c r="G312" s="981"/>
      <c r="H312" s="981"/>
      <c r="I312" s="981"/>
      <c r="J312" s="981"/>
      <c r="K312" s="981"/>
      <c r="O312" s="981"/>
      <c r="P312" s="1417"/>
      <c r="Q312" s="1418"/>
    </row>
    <row r="313" spans="1:17" ht="15" customHeight="1">
      <c r="A313" s="981"/>
      <c r="B313" s="981"/>
      <c r="C313" s="1016"/>
      <c r="D313" s="952"/>
      <c r="E313" s="981"/>
      <c r="F313" s="952"/>
      <c r="G313" s="981"/>
      <c r="H313" s="981"/>
      <c r="I313" s="981"/>
      <c r="J313" s="981"/>
      <c r="K313" s="981"/>
      <c r="O313" s="981"/>
      <c r="P313" s="1417"/>
      <c r="Q313" s="1418"/>
    </row>
    <row r="314" spans="1:17" ht="15" customHeight="1">
      <c r="A314" s="981"/>
      <c r="B314" s="981"/>
      <c r="C314" s="1016"/>
      <c r="D314" s="952"/>
      <c r="E314" s="981"/>
      <c r="F314" s="952"/>
      <c r="G314" s="981"/>
      <c r="H314" s="981"/>
      <c r="I314" s="981"/>
      <c r="J314" s="981"/>
      <c r="K314" s="981"/>
      <c r="O314" s="981"/>
      <c r="P314" s="1417"/>
      <c r="Q314" s="1418"/>
    </row>
    <row r="315" spans="1:17" ht="15" customHeight="1">
      <c r="A315" s="981"/>
      <c r="B315" s="981"/>
      <c r="C315" s="1016"/>
      <c r="D315" s="952"/>
      <c r="E315" s="981"/>
      <c r="F315" s="952"/>
      <c r="G315" s="981"/>
      <c r="H315" s="981"/>
      <c r="I315" s="981"/>
      <c r="J315" s="981"/>
      <c r="K315" s="981"/>
      <c r="O315" s="981"/>
      <c r="P315" s="1417"/>
      <c r="Q315" s="1418"/>
    </row>
    <row r="316" spans="1:17" ht="15" customHeight="1">
      <c r="A316" s="981"/>
      <c r="B316" s="981"/>
      <c r="C316" s="1016"/>
      <c r="D316" s="952"/>
      <c r="E316" s="981"/>
      <c r="F316" s="952"/>
      <c r="G316" s="981"/>
      <c r="H316" s="981"/>
      <c r="I316" s="981"/>
      <c r="J316" s="981"/>
      <c r="K316" s="981"/>
      <c r="O316" s="981"/>
      <c r="P316" s="1417"/>
      <c r="Q316" s="1418"/>
    </row>
    <row r="317" spans="1:17" ht="15" customHeight="1">
      <c r="A317" s="981"/>
      <c r="B317" s="981"/>
      <c r="C317" s="1016"/>
      <c r="D317" s="952"/>
      <c r="E317" s="981"/>
      <c r="F317" s="952"/>
      <c r="G317" s="981"/>
      <c r="H317" s="981"/>
      <c r="I317" s="981"/>
      <c r="J317" s="981"/>
      <c r="K317" s="981"/>
      <c r="O317" s="981"/>
      <c r="P317" s="1417"/>
      <c r="Q317" s="1418"/>
    </row>
    <row r="318" spans="1:17" ht="15" customHeight="1">
      <c r="A318" s="981"/>
      <c r="B318" s="981"/>
      <c r="C318" s="1016"/>
      <c r="D318" s="952"/>
      <c r="E318" s="981"/>
      <c r="F318" s="952"/>
      <c r="G318" s="981"/>
      <c r="H318" s="981"/>
      <c r="I318" s="981"/>
      <c r="J318" s="981"/>
      <c r="K318" s="981"/>
      <c r="O318" s="981"/>
      <c r="P318" s="1417"/>
      <c r="Q318" s="1418"/>
    </row>
    <row r="319" spans="1:17" ht="15" customHeight="1">
      <c r="A319" s="981"/>
      <c r="B319" s="981"/>
      <c r="C319" s="1016"/>
      <c r="D319" s="952"/>
      <c r="E319" s="981"/>
      <c r="F319" s="952"/>
      <c r="G319" s="981"/>
      <c r="H319" s="981"/>
      <c r="I319" s="981"/>
      <c r="J319" s="981"/>
      <c r="K319" s="981"/>
      <c r="O319" s="981"/>
      <c r="P319" s="1417"/>
      <c r="Q319" s="1418"/>
    </row>
    <row r="320" spans="1:17" ht="15" customHeight="1">
      <c r="A320" s="981"/>
      <c r="B320" s="981"/>
      <c r="C320" s="1016"/>
      <c r="D320" s="952"/>
      <c r="E320" s="981"/>
      <c r="F320" s="952"/>
      <c r="G320" s="981"/>
      <c r="H320" s="981"/>
      <c r="I320" s="981"/>
      <c r="J320" s="981"/>
      <c r="K320" s="981"/>
      <c r="O320" s="981"/>
      <c r="P320" s="1417"/>
      <c r="Q320" s="1418"/>
    </row>
    <row r="321" spans="1:17" ht="15" customHeight="1">
      <c r="A321" s="981"/>
      <c r="B321" s="981"/>
      <c r="C321" s="1016"/>
      <c r="D321" s="952"/>
      <c r="E321" s="981"/>
      <c r="F321" s="952"/>
      <c r="G321" s="981"/>
      <c r="H321" s="981"/>
      <c r="I321" s="981"/>
      <c r="J321" s="981"/>
      <c r="K321" s="981"/>
      <c r="O321" s="981"/>
      <c r="P321" s="1417"/>
      <c r="Q321" s="1418"/>
    </row>
    <row r="322" spans="1:17" ht="15" customHeight="1">
      <c r="A322" s="981"/>
      <c r="B322" s="981"/>
      <c r="C322" s="1016"/>
      <c r="D322" s="952"/>
      <c r="E322" s="981"/>
      <c r="F322" s="952"/>
      <c r="G322" s="981"/>
      <c r="H322" s="981"/>
      <c r="I322" s="981"/>
      <c r="J322" s="981"/>
      <c r="K322" s="981"/>
      <c r="O322" s="981"/>
      <c r="P322" s="1417"/>
      <c r="Q322" s="1418"/>
    </row>
    <row r="323" spans="1:17" ht="15" customHeight="1">
      <c r="A323" s="981"/>
      <c r="B323" s="981"/>
      <c r="C323" s="1016"/>
      <c r="D323" s="952"/>
      <c r="E323" s="981"/>
      <c r="F323" s="952"/>
      <c r="G323" s="981"/>
      <c r="H323" s="981"/>
      <c r="I323" s="981"/>
      <c r="J323" s="981"/>
      <c r="K323" s="981"/>
      <c r="O323" s="981"/>
      <c r="P323" s="1417"/>
      <c r="Q323" s="1418"/>
    </row>
    <row r="324" spans="1:17" ht="15" customHeight="1">
      <c r="A324" s="981"/>
      <c r="B324" s="981"/>
      <c r="C324" s="1016"/>
      <c r="D324" s="952"/>
      <c r="E324" s="981"/>
      <c r="F324" s="952"/>
      <c r="G324" s="981"/>
      <c r="H324" s="981"/>
      <c r="I324" s="981"/>
      <c r="J324" s="981"/>
      <c r="K324" s="981"/>
      <c r="O324" s="981"/>
      <c r="P324" s="1417"/>
      <c r="Q324" s="1418"/>
    </row>
    <row r="325" spans="1:17" ht="15" customHeight="1">
      <c r="A325" s="981"/>
      <c r="B325" s="981"/>
      <c r="C325" s="1016"/>
      <c r="D325" s="952"/>
      <c r="E325" s="981"/>
      <c r="F325" s="952"/>
      <c r="G325" s="981"/>
      <c r="H325" s="981"/>
      <c r="I325" s="981"/>
      <c r="J325" s="981"/>
      <c r="K325" s="981"/>
      <c r="O325" s="981"/>
      <c r="P325" s="1417"/>
      <c r="Q325" s="1418"/>
    </row>
    <row r="326" spans="1:17" ht="15" customHeight="1">
      <c r="A326" s="981"/>
      <c r="B326" s="981"/>
      <c r="C326" s="1016"/>
      <c r="D326" s="952"/>
      <c r="E326" s="981"/>
      <c r="F326" s="952"/>
      <c r="G326" s="981"/>
      <c r="H326" s="981"/>
      <c r="I326" s="981"/>
      <c r="J326" s="981"/>
      <c r="K326" s="981"/>
      <c r="O326" s="981"/>
      <c r="P326" s="1417"/>
      <c r="Q326" s="1418"/>
    </row>
    <row r="327" spans="1:17" ht="15" customHeight="1">
      <c r="A327" s="981"/>
      <c r="B327" s="981"/>
      <c r="C327" s="1016"/>
      <c r="D327" s="952"/>
      <c r="E327" s="981"/>
      <c r="F327" s="952"/>
      <c r="G327" s="981"/>
      <c r="H327" s="981"/>
      <c r="I327" s="981"/>
      <c r="J327" s="981"/>
      <c r="K327" s="981"/>
      <c r="O327" s="981"/>
      <c r="P327" s="1417"/>
      <c r="Q327" s="1418"/>
    </row>
    <row r="328" spans="1:17" ht="15" customHeight="1">
      <c r="A328" s="981"/>
      <c r="B328" s="981"/>
      <c r="C328" s="1016"/>
      <c r="D328" s="952"/>
      <c r="E328" s="981"/>
      <c r="F328" s="952"/>
      <c r="G328" s="981"/>
      <c r="H328" s="981"/>
      <c r="I328" s="981"/>
      <c r="J328" s="981"/>
      <c r="K328" s="981"/>
      <c r="O328" s="981"/>
      <c r="P328" s="1417"/>
      <c r="Q328" s="1418"/>
    </row>
    <row r="329" spans="1:17" ht="15" customHeight="1">
      <c r="A329" s="981"/>
      <c r="B329" s="981"/>
      <c r="C329" s="1016"/>
      <c r="D329" s="952"/>
      <c r="E329" s="981"/>
      <c r="F329" s="952"/>
      <c r="G329" s="981"/>
      <c r="H329" s="981"/>
      <c r="I329" s="981"/>
      <c r="J329" s="981"/>
      <c r="K329" s="981"/>
      <c r="O329" s="981"/>
      <c r="P329" s="1417"/>
      <c r="Q329" s="1418"/>
    </row>
    <row r="330" spans="1:17" ht="15" customHeight="1">
      <c r="A330" s="981"/>
      <c r="B330" s="981"/>
      <c r="C330" s="1016"/>
      <c r="D330" s="952"/>
      <c r="E330" s="981"/>
      <c r="F330" s="952"/>
      <c r="G330" s="981"/>
      <c r="H330" s="981"/>
      <c r="I330" s="981"/>
      <c r="J330" s="981"/>
      <c r="K330" s="981"/>
      <c r="O330" s="981"/>
      <c r="P330" s="1417"/>
      <c r="Q330" s="1418"/>
    </row>
    <row r="331" spans="1:17" ht="15" customHeight="1">
      <c r="A331" s="981"/>
      <c r="B331" s="981"/>
      <c r="C331" s="1016"/>
      <c r="D331" s="952"/>
      <c r="E331" s="981"/>
      <c r="F331" s="952"/>
      <c r="G331" s="981"/>
      <c r="H331" s="981"/>
      <c r="I331" s="981"/>
      <c r="J331" s="981"/>
      <c r="K331" s="981"/>
      <c r="O331" s="981"/>
      <c r="P331" s="1417"/>
      <c r="Q331" s="1418"/>
    </row>
    <row r="332" spans="1:17" ht="15" customHeight="1">
      <c r="A332" s="981"/>
      <c r="B332" s="981"/>
      <c r="C332" s="1016"/>
      <c r="D332" s="952"/>
      <c r="E332" s="981"/>
      <c r="F332" s="952"/>
      <c r="G332" s="981"/>
      <c r="H332" s="981"/>
      <c r="I332" s="981"/>
      <c r="J332" s="981"/>
      <c r="K332" s="981"/>
      <c r="O332" s="981"/>
      <c r="P332" s="1417"/>
      <c r="Q332" s="1418"/>
    </row>
    <row r="333" spans="1:17" ht="15" customHeight="1">
      <c r="A333" s="981"/>
      <c r="B333" s="981"/>
      <c r="C333" s="1016"/>
      <c r="D333" s="952"/>
      <c r="E333" s="981"/>
      <c r="F333" s="952"/>
      <c r="G333" s="981"/>
      <c r="H333" s="981"/>
      <c r="I333" s="981"/>
      <c r="J333" s="981"/>
      <c r="K333" s="981"/>
      <c r="O333" s="981"/>
      <c r="P333" s="1417"/>
      <c r="Q333" s="1418"/>
    </row>
    <row r="334" spans="1:17" ht="15" customHeight="1">
      <c r="A334" s="981"/>
      <c r="B334" s="981"/>
      <c r="C334" s="1016"/>
      <c r="D334" s="952"/>
      <c r="E334" s="981"/>
      <c r="F334" s="952"/>
      <c r="G334" s="981"/>
      <c r="H334" s="981"/>
      <c r="I334" s="981"/>
      <c r="J334" s="981"/>
      <c r="K334" s="981"/>
      <c r="O334" s="981"/>
      <c r="P334" s="1417"/>
      <c r="Q334" s="1418"/>
    </row>
    <row r="335" spans="1:17" ht="15" customHeight="1">
      <c r="A335" s="981"/>
      <c r="B335" s="981"/>
      <c r="C335" s="1016"/>
      <c r="D335" s="952"/>
      <c r="E335" s="981"/>
      <c r="F335" s="952"/>
      <c r="G335" s="981"/>
      <c r="H335" s="981"/>
      <c r="I335" s="981"/>
      <c r="J335" s="981"/>
      <c r="K335" s="981"/>
      <c r="O335" s="981"/>
      <c r="P335" s="1417"/>
      <c r="Q335" s="1418"/>
    </row>
    <row r="336" spans="1:17" ht="15" customHeight="1">
      <c r="A336" s="981"/>
      <c r="B336" s="981"/>
      <c r="C336" s="1016"/>
      <c r="D336" s="952"/>
      <c r="E336" s="981"/>
      <c r="F336" s="952"/>
      <c r="G336" s="981"/>
      <c r="H336" s="981"/>
      <c r="I336" s="981"/>
      <c r="J336" s="981"/>
      <c r="K336" s="981"/>
      <c r="O336" s="981"/>
      <c r="P336" s="1417"/>
      <c r="Q336" s="1418"/>
    </row>
    <row r="337" spans="1:17" ht="15" customHeight="1">
      <c r="A337" s="981"/>
      <c r="B337" s="981"/>
      <c r="C337" s="1016"/>
      <c r="D337" s="952"/>
      <c r="E337" s="981"/>
      <c r="F337" s="952"/>
      <c r="G337" s="981"/>
      <c r="H337" s="981"/>
      <c r="I337" s="981"/>
      <c r="J337" s="981"/>
      <c r="K337" s="981"/>
      <c r="O337" s="981"/>
      <c r="P337" s="1417"/>
      <c r="Q337" s="1418"/>
    </row>
    <row r="338" spans="1:17" ht="15" customHeight="1">
      <c r="A338" s="981"/>
      <c r="B338" s="981"/>
      <c r="C338" s="1016"/>
      <c r="D338" s="952"/>
      <c r="E338" s="981"/>
      <c r="F338" s="952"/>
      <c r="G338" s="981"/>
      <c r="H338" s="981"/>
      <c r="I338" s="981"/>
      <c r="J338" s="981"/>
      <c r="K338" s="981"/>
      <c r="O338" s="981"/>
      <c r="P338" s="1417"/>
      <c r="Q338" s="1418"/>
    </row>
    <row r="339" spans="1:17" ht="15" customHeight="1">
      <c r="A339" s="981"/>
      <c r="B339" s="981"/>
      <c r="C339" s="1016"/>
      <c r="D339" s="952"/>
      <c r="E339" s="981"/>
      <c r="F339" s="952"/>
      <c r="G339" s="981"/>
      <c r="H339" s="981"/>
      <c r="I339" s="981"/>
      <c r="J339" s="981"/>
      <c r="K339" s="981"/>
      <c r="O339" s="981"/>
      <c r="P339" s="1417"/>
      <c r="Q339" s="1418"/>
    </row>
    <row r="340" spans="1:17" ht="15" customHeight="1">
      <c r="A340" s="981"/>
      <c r="B340" s="981"/>
      <c r="C340" s="1016"/>
      <c r="D340" s="952"/>
      <c r="E340" s="981"/>
      <c r="F340" s="952"/>
      <c r="G340" s="981"/>
      <c r="H340" s="981"/>
      <c r="I340" s="981"/>
      <c r="J340" s="981"/>
      <c r="K340" s="981"/>
      <c r="O340" s="981"/>
      <c r="P340" s="1417"/>
      <c r="Q340" s="1418"/>
    </row>
    <row r="341" spans="1:17" ht="15" customHeight="1">
      <c r="A341" s="981"/>
      <c r="B341" s="981"/>
      <c r="C341" s="1016"/>
      <c r="D341" s="952"/>
      <c r="E341" s="981"/>
      <c r="F341" s="952"/>
      <c r="G341" s="981"/>
      <c r="H341" s="981"/>
      <c r="I341" s="981"/>
      <c r="J341" s="981"/>
      <c r="K341" s="981"/>
      <c r="O341" s="981"/>
      <c r="P341" s="1417"/>
      <c r="Q341" s="1418"/>
    </row>
    <row r="342" spans="1:17" ht="15" customHeight="1">
      <c r="A342" s="981"/>
      <c r="B342" s="981"/>
      <c r="C342" s="1016"/>
      <c r="D342" s="952"/>
      <c r="E342" s="981"/>
      <c r="F342" s="952"/>
      <c r="G342" s="981"/>
      <c r="H342" s="981"/>
      <c r="I342" s="981"/>
      <c r="J342" s="981"/>
      <c r="K342" s="981"/>
      <c r="O342" s="981"/>
      <c r="P342" s="1417"/>
      <c r="Q342" s="1418"/>
    </row>
    <row r="343" spans="1:17" ht="15" customHeight="1">
      <c r="A343" s="981"/>
      <c r="B343" s="981"/>
      <c r="C343" s="1016"/>
      <c r="D343" s="952"/>
      <c r="E343" s="981"/>
      <c r="F343" s="952"/>
      <c r="G343" s="981"/>
      <c r="H343" s="981"/>
      <c r="I343" s="981"/>
      <c r="J343" s="981"/>
      <c r="K343" s="981"/>
      <c r="O343" s="981"/>
      <c r="P343" s="1417"/>
      <c r="Q343" s="1418"/>
    </row>
    <row r="344" spans="1:17" ht="15" customHeight="1">
      <c r="A344" s="981"/>
      <c r="B344" s="981"/>
      <c r="C344" s="1016"/>
      <c r="D344" s="952"/>
      <c r="E344" s="981"/>
      <c r="F344" s="952"/>
      <c r="G344" s="981"/>
      <c r="H344" s="981"/>
      <c r="I344" s="981"/>
      <c r="J344" s="981"/>
      <c r="K344" s="981"/>
      <c r="O344" s="981"/>
      <c r="P344" s="1417"/>
      <c r="Q344" s="1418"/>
    </row>
    <row r="345" spans="1:17" ht="15" customHeight="1">
      <c r="A345" s="981"/>
      <c r="B345" s="981"/>
      <c r="C345" s="1016"/>
      <c r="D345" s="952"/>
      <c r="E345" s="981"/>
      <c r="F345" s="952"/>
      <c r="G345" s="981"/>
      <c r="H345" s="981"/>
      <c r="I345" s="981"/>
      <c r="J345" s="981"/>
      <c r="K345" s="981"/>
      <c r="O345" s="981"/>
      <c r="P345" s="1417"/>
      <c r="Q345" s="1418"/>
    </row>
    <row r="346" spans="1:17" ht="15" customHeight="1">
      <c r="A346" s="981"/>
      <c r="B346" s="981"/>
      <c r="C346" s="1016"/>
      <c r="D346" s="952"/>
      <c r="E346" s="981"/>
      <c r="F346" s="952"/>
      <c r="G346" s="981"/>
      <c r="H346" s="981"/>
      <c r="I346" s="981"/>
      <c r="J346" s="981"/>
      <c r="K346" s="981"/>
      <c r="O346" s="981"/>
      <c r="P346" s="1417"/>
      <c r="Q346" s="1418"/>
    </row>
    <row r="347" spans="1:17" ht="15" customHeight="1">
      <c r="A347" s="981"/>
      <c r="B347" s="981"/>
      <c r="C347" s="1016"/>
      <c r="D347" s="952"/>
      <c r="E347" s="981"/>
      <c r="F347" s="952"/>
      <c r="G347" s="981"/>
      <c r="H347" s="981"/>
      <c r="I347" s="981"/>
      <c r="J347" s="981"/>
      <c r="K347" s="981"/>
      <c r="O347" s="981"/>
      <c r="P347" s="1417"/>
      <c r="Q347" s="1418"/>
    </row>
    <row r="348" spans="1:17" ht="15" customHeight="1">
      <c r="A348" s="981"/>
      <c r="B348" s="981"/>
      <c r="C348" s="1016"/>
      <c r="D348" s="952"/>
      <c r="E348" s="981"/>
      <c r="F348" s="952"/>
      <c r="G348" s="981"/>
      <c r="H348" s="981"/>
      <c r="I348" s="981"/>
      <c r="J348" s="981"/>
      <c r="K348" s="981"/>
      <c r="O348" s="981"/>
      <c r="P348" s="1417"/>
      <c r="Q348" s="1418"/>
    </row>
    <row r="349" spans="1:17" ht="15" customHeight="1">
      <c r="A349" s="981"/>
      <c r="B349" s="981"/>
      <c r="C349" s="1016"/>
      <c r="D349" s="952"/>
      <c r="E349" s="981"/>
      <c r="F349" s="952"/>
      <c r="G349" s="981"/>
      <c r="H349" s="981"/>
      <c r="I349" s="981"/>
      <c r="J349" s="981"/>
      <c r="K349" s="981"/>
      <c r="O349" s="981"/>
      <c r="P349" s="1417"/>
      <c r="Q349" s="1418"/>
    </row>
    <row r="350" spans="1:17" ht="15" customHeight="1">
      <c r="A350" s="981"/>
      <c r="B350" s="981"/>
      <c r="C350" s="1016"/>
      <c r="D350" s="952"/>
      <c r="E350" s="981"/>
      <c r="F350" s="952"/>
      <c r="G350" s="981"/>
      <c r="H350" s="981"/>
      <c r="I350" s="981"/>
      <c r="J350" s="981"/>
      <c r="K350" s="981"/>
      <c r="O350" s="981"/>
      <c r="P350" s="1417"/>
      <c r="Q350" s="1418"/>
    </row>
    <row r="351" spans="1:17" ht="15" customHeight="1">
      <c r="A351" s="981"/>
      <c r="B351" s="981"/>
      <c r="C351" s="1016"/>
      <c r="D351" s="952"/>
      <c r="E351" s="981"/>
      <c r="F351" s="952"/>
      <c r="G351" s="981"/>
      <c r="H351" s="981"/>
      <c r="I351" s="981"/>
      <c r="J351" s="981"/>
      <c r="K351" s="981"/>
      <c r="O351" s="981"/>
      <c r="P351" s="1417"/>
      <c r="Q351" s="1418"/>
    </row>
    <row r="352" spans="1:17" ht="15" customHeight="1">
      <c r="A352" s="981"/>
      <c r="B352" s="981"/>
      <c r="C352" s="1016"/>
      <c r="D352" s="952"/>
      <c r="E352" s="981"/>
      <c r="F352" s="952"/>
      <c r="G352" s="981"/>
      <c r="H352" s="981"/>
      <c r="I352" s="981"/>
      <c r="J352" s="981"/>
      <c r="K352" s="981"/>
      <c r="O352" s="981"/>
      <c r="P352" s="1417"/>
      <c r="Q352" s="1418"/>
    </row>
    <row r="353" spans="1:17" ht="15" customHeight="1">
      <c r="A353" s="981"/>
      <c r="B353" s="981"/>
      <c r="C353" s="1016"/>
      <c r="D353" s="952"/>
      <c r="E353" s="981"/>
      <c r="F353" s="952"/>
      <c r="G353" s="981"/>
      <c r="H353" s="981"/>
      <c r="I353" s="981"/>
      <c r="J353" s="981"/>
      <c r="K353" s="981"/>
      <c r="O353" s="981"/>
      <c r="P353" s="1417"/>
      <c r="Q353" s="1418"/>
    </row>
    <row r="354" spans="1:17" ht="15" customHeight="1">
      <c r="A354" s="981"/>
      <c r="B354" s="981"/>
      <c r="C354" s="1016"/>
      <c r="D354" s="952"/>
      <c r="E354" s="981"/>
      <c r="F354" s="952"/>
      <c r="G354" s="981"/>
      <c r="H354" s="981"/>
      <c r="I354" s="981"/>
      <c r="J354" s="981"/>
      <c r="K354" s="981"/>
      <c r="O354" s="981"/>
      <c r="P354" s="1417"/>
      <c r="Q354" s="1418"/>
    </row>
    <row r="355" spans="1:17" ht="15" customHeight="1">
      <c r="A355" s="981"/>
      <c r="B355" s="981"/>
      <c r="C355" s="1016"/>
      <c r="D355" s="952"/>
      <c r="E355" s="981"/>
      <c r="F355" s="952"/>
      <c r="G355" s="981"/>
      <c r="H355" s="981"/>
      <c r="I355" s="981"/>
      <c r="J355" s="981"/>
      <c r="K355" s="981"/>
      <c r="O355" s="981"/>
      <c r="P355" s="1417"/>
      <c r="Q355" s="1418"/>
    </row>
    <row r="356" spans="1:17" ht="15" customHeight="1">
      <c r="A356" s="981"/>
      <c r="B356" s="981"/>
      <c r="C356" s="1016"/>
      <c r="D356" s="952"/>
      <c r="E356" s="981"/>
      <c r="F356" s="952"/>
      <c r="G356" s="981"/>
      <c r="H356" s="981"/>
      <c r="I356" s="981"/>
      <c r="J356" s="981"/>
      <c r="K356" s="981"/>
      <c r="O356" s="981"/>
      <c r="P356" s="1417"/>
      <c r="Q356" s="1418"/>
    </row>
    <row r="357" spans="1:17" ht="15" customHeight="1">
      <c r="A357" s="981"/>
      <c r="B357" s="981"/>
      <c r="C357" s="1016"/>
      <c r="D357" s="952"/>
      <c r="E357" s="981"/>
      <c r="F357" s="952"/>
      <c r="G357" s="981"/>
      <c r="H357" s="981"/>
      <c r="I357" s="981"/>
      <c r="J357" s="981"/>
      <c r="K357" s="981"/>
      <c r="O357" s="981"/>
      <c r="P357" s="1417"/>
      <c r="Q357" s="1418"/>
    </row>
    <row r="358" spans="1:17" ht="15" customHeight="1">
      <c r="A358" s="981"/>
      <c r="B358" s="981"/>
      <c r="C358" s="1016"/>
      <c r="D358" s="952"/>
      <c r="E358" s="981"/>
      <c r="F358" s="952"/>
      <c r="G358" s="981"/>
      <c r="H358" s="981"/>
      <c r="I358" s="981"/>
      <c r="J358" s="981"/>
      <c r="K358" s="981"/>
      <c r="O358" s="981"/>
      <c r="P358" s="1417"/>
      <c r="Q358" s="1418"/>
    </row>
    <row r="359" spans="1:17" ht="15" customHeight="1">
      <c r="A359" s="981"/>
      <c r="B359" s="981"/>
      <c r="C359" s="1016"/>
      <c r="D359" s="952"/>
      <c r="E359" s="981"/>
      <c r="F359" s="952"/>
      <c r="G359" s="981"/>
      <c r="H359" s="981"/>
      <c r="I359" s="981"/>
      <c r="J359" s="981"/>
      <c r="K359" s="981"/>
      <c r="O359" s="981"/>
      <c r="P359" s="1417"/>
      <c r="Q359" s="1418"/>
    </row>
    <row r="360" spans="1:17" ht="15" customHeight="1">
      <c r="A360" s="981"/>
      <c r="B360" s="981"/>
      <c r="C360" s="1016"/>
      <c r="D360" s="952"/>
      <c r="E360" s="981"/>
      <c r="F360" s="952"/>
      <c r="G360" s="981"/>
      <c r="H360" s="981"/>
      <c r="I360" s="981"/>
      <c r="J360" s="981"/>
      <c r="K360" s="981"/>
      <c r="O360" s="981"/>
      <c r="P360" s="1417"/>
      <c r="Q360" s="1418"/>
    </row>
    <row r="361" spans="1:17" ht="15" customHeight="1">
      <c r="A361" s="981"/>
      <c r="B361" s="981"/>
      <c r="C361" s="1016"/>
      <c r="D361" s="952"/>
      <c r="E361" s="981"/>
      <c r="F361" s="952"/>
      <c r="G361" s="981"/>
      <c r="H361" s="981"/>
      <c r="I361" s="981"/>
      <c r="J361" s="981"/>
      <c r="K361" s="981"/>
      <c r="O361" s="981"/>
      <c r="P361" s="1417"/>
      <c r="Q361" s="1418"/>
    </row>
    <row r="362" spans="1:17" ht="15" customHeight="1">
      <c r="A362" s="981"/>
      <c r="B362" s="981"/>
      <c r="C362" s="1016"/>
      <c r="D362" s="952"/>
      <c r="E362" s="981"/>
      <c r="F362" s="952"/>
      <c r="G362" s="981"/>
      <c r="H362" s="981"/>
      <c r="I362" s="981"/>
      <c r="J362" s="981"/>
      <c r="K362" s="981"/>
      <c r="O362" s="981"/>
      <c r="P362" s="1417"/>
      <c r="Q362" s="1418"/>
    </row>
    <row r="363" spans="1:17" ht="15" customHeight="1">
      <c r="A363" s="981"/>
      <c r="B363" s="981"/>
      <c r="C363" s="1016"/>
      <c r="D363" s="952"/>
      <c r="E363" s="981"/>
      <c r="F363" s="952"/>
      <c r="G363" s="981"/>
      <c r="H363" s="981"/>
      <c r="I363" s="981"/>
      <c r="J363" s="981"/>
      <c r="K363" s="981"/>
      <c r="O363" s="981"/>
      <c r="P363" s="1417"/>
      <c r="Q363" s="1418"/>
    </row>
    <row r="364" spans="1:17" ht="15" customHeight="1">
      <c r="A364" s="981"/>
      <c r="B364" s="981"/>
      <c r="C364" s="1016"/>
      <c r="D364" s="952"/>
      <c r="E364" s="981"/>
      <c r="F364" s="952"/>
      <c r="G364" s="981"/>
      <c r="H364" s="981"/>
      <c r="I364" s="981"/>
      <c r="J364" s="981"/>
      <c r="K364" s="981"/>
      <c r="O364" s="981"/>
      <c r="P364" s="1417"/>
      <c r="Q364" s="1418"/>
    </row>
    <row r="365" spans="1:17" ht="15" customHeight="1">
      <c r="A365" s="981"/>
      <c r="B365" s="981"/>
      <c r="C365" s="1016"/>
      <c r="D365" s="952"/>
      <c r="E365" s="981"/>
      <c r="F365" s="952"/>
      <c r="G365" s="981"/>
      <c r="H365" s="981"/>
      <c r="I365" s="981"/>
      <c r="J365" s="981"/>
      <c r="K365" s="981"/>
      <c r="O365" s="981"/>
      <c r="P365" s="1417"/>
      <c r="Q365" s="1418"/>
    </row>
    <row r="366" spans="1:17" ht="15" customHeight="1">
      <c r="A366" s="981"/>
      <c r="B366" s="981"/>
      <c r="C366" s="1016"/>
      <c r="D366" s="952"/>
      <c r="E366" s="981"/>
      <c r="F366" s="952"/>
      <c r="G366" s="981"/>
      <c r="H366" s="981"/>
      <c r="I366" s="981"/>
      <c r="J366" s="981"/>
      <c r="K366" s="981"/>
      <c r="O366" s="981"/>
      <c r="P366" s="1417"/>
      <c r="Q366" s="1418"/>
    </row>
    <row r="367" spans="1:17" ht="15" customHeight="1">
      <c r="A367" s="981"/>
      <c r="B367" s="981"/>
      <c r="C367" s="1016"/>
      <c r="D367" s="952"/>
      <c r="E367" s="981"/>
      <c r="F367" s="952"/>
      <c r="G367" s="981"/>
      <c r="H367" s="981"/>
      <c r="I367" s="981"/>
      <c r="J367" s="981"/>
      <c r="K367" s="981"/>
      <c r="O367" s="981"/>
      <c r="P367" s="1417"/>
      <c r="Q367" s="1418"/>
    </row>
    <row r="368" spans="1:17" ht="15" customHeight="1">
      <c r="A368" s="981"/>
      <c r="B368" s="981"/>
      <c r="C368" s="1016"/>
      <c r="D368" s="952"/>
      <c r="E368" s="981"/>
      <c r="F368" s="952"/>
      <c r="G368" s="981"/>
      <c r="H368" s="981"/>
      <c r="I368" s="981"/>
      <c r="J368" s="981"/>
      <c r="K368" s="981"/>
      <c r="O368" s="981"/>
      <c r="P368" s="1417"/>
      <c r="Q368" s="1418"/>
    </row>
    <row r="369" spans="1:17" ht="15" customHeight="1">
      <c r="A369" s="981"/>
      <c r="B369" s="981"/>
      <c r="C369" s="1016"/>
      <c r="D369" s="952"/>
      <c r="E369" s="981"/>
      <c r="F369" s="952"/>
      <c r="G369" s="981"/>
      <c r="H369" s="981"/>
      <c r="I369" s="981"/>
      <c r="J369" s="981"/>
      <c r="K369" s="981"/>
      <c r="O369" s="981"/>
      <c r="P369" s="1417"/>
      <c r="Q369" s="1418"/>
    </row>
    <row r="370" spans="1:17" ht="15" customHeight="1">
      <c r="A370" s="981"/>
      <c r="B370" s="981"/>
      <c r="C370" s="1016"/>
      <c r="D370" s="952"/>
      <c r="E370" s="981"/>
      <c r="F370" s="952"/>
      <c r="G370" s="981"/>
      <c r="H370" s="981"/>
      <c r="I370" s="981"/>
      <c r="J370" s="981"/>
      <c r="K370" s="981"/>
      <c r="O370" s="981"/>
      <c r="P370" s="1417"/>
      <c r="Q370" s="1418"/>
    </row>
    <row r="371" spans="1:17" ht="15" customHeight="1">
      <c r="A371" s="981"/>
      <c r="B371" s="981"/>
      <c r="C371" s="1016"/>
      <c r="D371" s="952"/>
      <c r="E371" s="981"/>
      <c r="F371" s="952"/>
      <c r="G371" s="981"/>
      <c r="H371" s="981"/>
      <c r="I371" s="981"/>
      <c r="J371" s="981"/>
      <c r="K371" s="981"/>
      <c r="O371" s="981"/>
      <c r="P371" s="1417"/>
      <c r="Q371" s="1418"/>
    </row>
    <row r="372" spans="1:17" ht="15" customHeight="1">
      <c r="A372" s="981"/>
      <c r="B372" s="981"/>
      <c r="C372" s="1016"/>
      <c r="D372" s="952"/>
      <c r="E372" s="981"/>
      <c r="F372" s="952"/>
      <c r="G372" s="981"/>
      <c r="H372" s="981"/>
      <c r="I372" s="981"/>
      <c r="J372" s="981"/>
      <c r="K372" s="981"/>
      <c r="O372" s="981"/>
      <c r="P372" s="1417"/>
      <c r="Q372" s="1418"/>
    </row>
    <row r="373" spans="1:17" ht="15" customHeight="1">
      <c r="A373" s="981"/>
      <c r="B373" s="981"/>
      <c r="C373" s="1016"/>
      <c r="D373" s="952"/>
      <c r="E373" s="981"/>
      <c r="F373" s="952"/>
      <c r="G373" s="981"/>
      <c r="H373" s="981"/>
      <c r="I373" s="981"/>
      <c r="J373" s="981"/>
      <c r="K373" s="981"/>
      <c r="O373" s="981"/>
      <c r="P373" s="1417"/>
      <c r="Q373" s="1418"/>
    </row>
    <row r="374" spans="1:17" ht="15" customHeight="1">
      <c r="A374" s="981"/>
      <c r="B374" s="981"/>
      <c r="C374" s="1016"/>
      <c r="D374" s="952"/>
      <c r="E374" s="981"/>
      <c r="F374" s="952"/>
      <c r="G374" s="981"/>
      <c r="H374" s="981"/>
      <c r="I374" s="981"/>
      <c r="J374" s="981"/>
      <c r="K374" s="981"/>
      <c r="O374" s="981"/>
      <c r="P374" s="1417"/>
      <c r="Q374" s="1418"/>
    </row>
    <row r="375" spans="1:17" ht="15" customHeight="1">
      <c r="A375" s="981"/>
      <c r="B375" s="981"/>
      <c r="C375" s="1016"/>
      <c r="D375" s="952"/>
      <c r="E375" s="981"/>
      <c r="F375" s="952"/>
      <c r="G375" s="981"/>
      <c r="H375" s="981"/>
      <c r="I375" s="981"/>
      <c r="J375" s="981"/>
      <c r="K375" s="981"/>
      <c r="O375" s="981"/>
      <c r="P375" s="1417"/>
      <c r="Q375" s="1418"/>
    </row>
    <row r="376" spans="1:17" ht="15" customHeight="1">
      <c r="A376" s="981"/>
      <c r="B376" s="981"/>
      <c r="C376" s="1016"/>
      <c r="D376" s="952"/>
      <c r="E376" s="981"/>
      <c r="F376" s="952"/>
      <c r="G376" s="981"/>
      <c r="H376" s="981"/>
      <c r="I376" s="981"/>
      <c r="J376" s="981"/>
      <c r="K376" s="981"/>
      <c r="O376" s="981"/>
      <c r="P376" s="1417"/>
      <c r="Q376" s="1418"/>
    </row>
    <row r="377" spans="1:17" ht="15" customHeight="1">
      <c r="A377" s="981"/>
      <c r="B377" s="981"/>
      <c r="C377" s="1016"/>
      <c r="D377" s="952"/>
      <c r="E377" s="981"/>
      <c r="F377" s="952"/>
      <c r="G377" s="981"/>
      <c r="H377" s="981"/>
      <c r="I377" s="981"/>
      <c r="J377" s="981"/>
      <c r="K377" s="981"/>
      <c r="O377" s="981"/>
      <c r="P377" s="1417"/>
      <c r="Q377" s="1418"/>
    </row>
    <row r="378" spans="1:17" ht="15" customHeight="1">
      <c r="A378" s="981"/>
      <c r="B378" s="981"/>
      <c r="C378" s="1016"/>
      <c r="D378" s="952"/>
      <c r="E378" s="981"/>
      <c r="F378" s="952"/>
      <c r="G378" s="981"/>
      <c r="H378" s="981"/>
      <c r="I378" s="981"/>
      <c r="J378" s="981"/>
      <c r="K378" s="981"/>
      <c r="O378" s="981"/>
      <c r="P378" s="1417"/>
      <c r="Q378" s="1418"/>
    </row>
    <row r="379" spans="1:17" ht="15" customHeight="1">
      <c r="A379" s="981"/>
      <c r="B379" s="981"/>
      <c r="C379" s="1016"/>
      <c r="D379" s="952"/>
      <c r="E379" s="981"/>
      <c r="F379" s="952"/>
      <c r="G379" s="981"/>
      <c r="H379" s="981"/>
      <c r="I379" s="981"/>
      <c r="J379" s="981"/>
      <c r="K379" s="981"/>
      <c r="O379" s="981"/>
      <c r="P379" s="1417"/>
      <c r="Q379" s="1418"/>
    </row>
    <row r="380" spans="1:17" ht="15" customHeight="1">
      <c r="A380" s="981"/>
      <c r="B380" s="981"/>
      <c r="C380" s="1016"/>
      <c r="D380" s="952"/>
      <c r="E380" s="981"/>
      <c r="F380" s="952"/>
      <c r="G380" s="981"/>
      <c r="H380" s="981"/>
      <c r="I380" s="981"/>
      <c r="J380" s="981"/>
      <c r="K380" s="981"/>
      <c r="O380" s="981"/>
      <c r="P380" s="1417"/>
      <c r="Q380" s="1418"/>
    </row>
    <row r="381" spans="1:17" ht="15" customHeight="1">
      <c r="A381" s="981"/>
      <c r="B381" s="981"/>
      <c r="C381" s="1016"/>
      <c r="D381" s="952"/>
      <c r="E381" s="981"/>
      <c r="F381" s="952"/>
      <c r="G381" s="981"/>
      <c r="H381" s="981"/>
      <c r="I381" s="981"/>
      <c r="J381" s="981"/>
      <c r="K381" s="981"/>
      <c r="O381" s="981"/>
      <c r="P381" s="1417"/>
      <c r="Q381" s="1418"/>
    </row>
    <row r="382" spans="1:17" ht="15" customHeight="1">
      <c r="A382" s="981"/>
      <c r="B382" s="981"/>
      <c r="C382" s="1016"/>
      <c r="D382" s="952"/>
      <c r="E382" s="981"/>
      <c r="F382" s="952"/>
      <c r="G382" s="981"/>
      <c r="H382" s="981"/>
      <c r="I382" s="981"/>
      <c r="J382" s="981"/>
      <c r="K382" s="981"/>
      <c r="O382" s="981"/>
      <c r="P382" s="1417"/>
      <c r="Q382" s="1418"/>
    </row>
    <row r="383" spans="1:17" ht="15" customHeight="1">
      <c r="A383" s="981"/>
      <c r="B383" s="981"/>
      <c r="C383" s="1016"/>
      <c r="D383" s="952"/>
      <c r="E383" s="981"/>
      <c r="F383" s="952"/>
      <c r="G383" s="981"/>
      <c r="H383" s="981"/>
      <c r="I383" s="981"/>
      <c r="J383" s="981"/>
      <c r="K383" s="981"/>
      <c r="O383" s="981"/>
      <c r="P383" s="1417"/>
      <c r="Q383" s="1418"/>
    </row>
    <row r="384" spans="1:17" ht="15" customHeight="1">
      <c r="A384" s="981"/>
      <c r="B384" s="981"/>
      <c r="C384" s="1016"/>
      <c r="D384" s="952"/>
      <c r="E384" s="981"/>
      <c r="F384" s="952"/>
      <c r="G384" s="981"/>
      <c r="H384" s="981"/>
      <c r="I384" s="981"/>
      <c r="J384" s="981"/>
      <c r="K384" s="981"/>
      <c r="O384" s="981"/>
      <c r="P384" s="1417"/>
      <c r="Q384" s="1418"/>
    </row>
    <row r="385" spans="1:17" ht="15" customHeight="1">
      <c r="A385" s="981"/>
      <c r="B385" s="981"/>
      <c r="C385" s="1016"/>
      <c r="D385" s="952"/>
      <c r="E385" s="981"/>
      <c r="F385" s="952"/>
      <c r="G385" s="981"/>
      <c r="H385" s="981"/>
      <c r="I385" s="981"/>
      <c r="J385" s="981"/>
      <c r="K385" s="981"/>
      <c r="O385" s="981"/>
      <c r="P385" s="1417"/>
      <c r="Q385" s="1418"/>
    </row>
    <row r="386" spans="1:17" ht="15" customHeight="1">
      <c r="A386" s="981"/>
      <c r="B386" s="981"/>
      <c r="C386" s="1016"/>
      <c r="D386" s="952"/>
      <c r="E386" s="981"/>
      <c r="F386" s="952"/>
      <c r="G386" s="981"/>
      <c r="H386" s="981"/>
      <c r="I386" s="981"/>
      <c r="J386" s="981"/>
      <c r="K386" s="981"/>
      <c r="O386" s="981"/>
      <c r="P386" s="1417"/>
      <c r="Q386" s="1418"/>
    </row>
    <row r="387" spans="1:17" ht="15" customHeight="1">
      <c r="A387" s="981"/>
      <c r="B387" s="981"/>
      <c r="C387" s="1016"/>
      <c r="D387" s="952"/>
      <c r="E387" s="981"/>
      <c r="F387" s="952"/>
      <c r="G387" s="981"/>
      <c r="H387" s="981"/>
      <c r="I387" s="981"/>
      <c r="J387" s="981"/>
      <c r="K387" s="981"/>
      <c r="O387" s="981"/>
      <c r="P387" s="1417"/>
      <c r="Q387" s="1418"/>
    </row>
    <row r="388" spans="1:17" ht="15" customHeight="1">
      <c r="A388" s="981"/>
      <c r="B388" s="981"/>
      <c r="C388" s="1016"/>
      <c r="D388" s="952"/>
      <c r="E388" s="981"/>
      <c r="F388" s="952"/>
      <c r="G388" s="981"/>
      <c r="H388" s="981"/>
      <c r="I388" s="981"/>
      <c r="J388" s="981"/>
      <c r="K388" s="981"/>
      <c r="O388" s="981"/>
      <c r="P388" s="1417"/>
      <c r="Q388" s="1418"/>
    </row>
    <row r="389" spans="1:17" ht="15" customHeight="1">
      <c r="A389" s="981"/>
      <c r="B389" s="981"/>
      <c r="C389" s="1016"/>
      <c r="D389" s="952"/>
      <c r="E389" s="981"/>
      <c r="F389" s="952"/>
      <c r="G389" s="981"/>
      <c r="H389" s="981"/>
      <c r="I389" s="981"/>
      <c r="J389" s="981"/>
      <c r="K389" s="981"/>
      <c r="O389" s="981"/>
      <c r="P389" s="1417"/>
      <c r="Q389" s="1418"/>
    </row>
    <row r="390" spans="1:17" ht="15" customHeight="1">
      <c r="A390" s="981"/>
      <c r="B390" s="981"/>
      <c r="C390" s="1016"/>
      <c r="D390" s="952"/>
      <c r="E390" s="981"/>
      <c r="F390" s="952"/>
      <c r="G390" s="981"/>
      <c r="H390" s="981"/>
      <c r="I390" s="981"/>
      <c r="J390" s="981"/>
      <c r="K390" s="981"/>
      <c r="O390" s="981"/>
      <c r="P390" s="1417"/>
      <c r="Q390" s="1418"/>
    </row>
    <row r="391" spans="1:17" ht="15" customHeight="1">
      <c r="A391" s="981"/>
      <c r="B391" s="981"/>
      <c r="C391" s="1016"/>
      <c r="D391" s="952"/>
      <c r="E391" s="981"/>
      <c r="F391" s="952"/>
      <c r="G391" s="981"/>
      <c r="H391" s="981"/>
      <c r="I391" s="981"/>
      <c r="J391" s="981"/>
      <c r="K391" s="981"/>
      <c r="O391" s="981"/>
      <c r="P391" s="1417"/>
      <c r="Q391" s="1418"/>
    </row>
    <row r="392" spans="1:17" ht="15" customHeight="1">
      <c r="A392" s="981"/>
      <c r="B392" s="981"/>
      <c r="C392" s="1016"/>
      <c r="D392" s="952"/>
      <c r="E392" s="981"/>
      <c r="F392" s="952"/>
      <c r="G392" s="981"/>
      <c r="H392" s="981"/>
      <c r="I392" s="981"/>
      <c r="J392" s="981"/>
      <c r="K392" s="981"/>
      <c r="O392" s="981"/>
      <c r="P392" s="1417"/>
      <c r="Q392" s="1418"/>
    </row>
    <row r="393" spans="1:17" ht="15" customHeight="1">
      <c r="A393" s="981"/>
      <c r="B393" s="981"/>
      <c r="C393" s="1016"/>
      <c r="D393" s="952"/>
      <c r="E393" s="981"/>
      <c r="F393" s="952"/>
      <c r="G393" s="981"/>
      <c r="H393" s="981"/>
      <c r="I393" s="981"/>
      <c r="J393" s="981"/>
      <c r="K393" s="981"/>
      <c r="O393" s="981"/>
      <c r="P393" s="1417"/>
      <c r="Q393" s="1418"/>
    </row>
    <row r="394" spans="1:17" ht="15" customHeight="1">
      <c r="A394" s="981"/>
      <c r="B394" s="981"/>
      <c r="C394" s="1016"/>
      <c r="D394" s="952"/>
      <c r="E394" s="981"/>
      <c r="F394" s="952"/>
      <c r="G394" s="981"/>
      <c r="H394" s="981"/>
      <c r="I394" s="981"/>
      <c r="J394" s="981"/>
      <c r="K394" s="981"/>
      <c r="O394" s="981"/>
      <c r="P394" s="1417"/>
      <c r="Q394" s="1418"/>
    </row>
    <row r="395" spans="1:17" ht="15" customHeight="1">
      <c r="A395" s="981"/>
      <c r="B395" s="981"/>
      <c r="C395" s="1016"/>
      <c r="D395" s="952"/>
      <c r="E395" s="981"/>
      <c r="F395" s="952"/>
      <c r="G395" s="981"/>
      <c r="H395" s="981"/>
      <c r="I395" s="981"/>
      <c r="J395" s="981"/>
      <c r="K395" s="981"/>
      <c r="O395" s="981"/>
      <c r="P395" s="1417"/>
      <c r="Q395" s="1418"/>
    </row>
    <row r="396" spans="1:17" ht="15" customHeight="1">
      <c r="A396" s="981"/>
      <c r="B396" s="981"/>
      <c r="C396" s="1016"/>
      <c r="D396" s="952"/>
      <c r="E396" s="981"/>
      <c r="F396" s="952"/>
      <c r="G396" s="981"/>
      <c r="H396" s="981"/>
      <c r="I396" s="981"/>
      <c r="J396" s="981"/>
      <c r="K396" s="981"/>
      <c r="O396" s="981"/>
      <c r="P396" s="1417"/>
      <c r="Q396" s="1418"/>
    </row>
    <row r="397" spans="1:17" ht="15" customHeight="1">
      <c r="A397" s="981"/>
      <c r="B397" s="981"/>
      <c r="C397" s="1016"/>
      <c r="D397" s="952"/>
      <c r="E397" s="981"/>
      <c r="F397" s="952"/>
      <c r="G397" s="981"/>
      <c r="H397" s="981"/>
      <c r="I397" s="981"/>
      <c r="J397" s="981"/>
      <c r="K397" s="981"/>
      <c r="O397" s="981"/>
      <c r="P397" s="1417"/>
      <c r="Q397" s="1418"/>
    </row>
    <row r="398" spans="1:17" ht="15" customHeight="1">
      <c r="A398" s="981"/>
      <c r="B398" s="981"/>
      <c r="C398" s="1016"/>
      <c r="D398" s="952"/>
      <c r="E398" s="981"/>
      <c r="F398" s="952"/>
      <c r="G398" s="981"/>
      <c r="H398" s="981"/>
      <c r="I398" s="981"/>
      <c r="J398" s="981"/>
      <c r="K398" s="981"/>
      <c r="O398" s="981"/>
      <c r="P398" s="1417"/>
      <c r="Q398" s="1418"/>
    </row>
    <row r="399" spans="1:17" ht="15" customHeight="1">
      <c r="A399" s="981"/>
      <c r="B399" s="981"/>
      <c r="C399" s="1016"/>
      <c r="D399" s="952"/>
      <c r="E399" s="981"/>
      <c r="F399" s="952"/>
      <c r="G399" s="981"/>
      <c r="H399" s="981"/>
      <c r="I399" s="981"/>
      <c r="J399" s="981"/>
      <c r="K399" s="981"/>
      <c r="O399" s="981"/>
      <c r="P399" s="1417"/>
      <c r="Q399" s="1418"/>
    </row>
    <row r="400" spans="1:17" ht="15" customHeight="1">
      <c r="A400" s="981"/>
      <c r="B400" s="981"/>
      <c r="C400" s="1016"/>
      <c r="D400" s="952"/>
      <c r="E400" s="981"/>
      <c r="F400" s="952"/>
      <c r="G400" s="981"/>
      <c r="H400" s="981"/>
      <c r="I400" s="981"/>
      <c r="J400" s="981"/>
      <c r="K400" s="981"/>
      <c r="O400" s="981"/>
      <c r="P400" s="1417"/>
      <c r="Q400" s="1418"/>
    </row>
    <row r="401" spans="1:17" ht="15" customHeight="1">
      <c r="A401" s="981"/>
      <c r="B401" s="981"/>
      <c r="C401" s="1016"/>
      <c r="D401" s="952"/>
      <c r="E401" s="981"/>
      <c r="F401" s="952"/>
      <c r="G401" s="981"/>
      <c r="H401" s="981"/>
      <c r="I401" s="981"/>
      <c r="J401" s="981"/>
      <c r="K401" s="981"/>
      <c r="O401" s="981"/>
      <c r="P401" s="1417"/>
      <c r="Q401" s="1418"/>
    </row>
    <row r="402" spans="1:17" ht="15" customHeight="1">
      <c r="A402" s="981"/>
      <c r="B402" s="981"/>
      <c r="C402" s="1016"/>
      <c r="D402" s="952"/>
      <c r="E402" s="981"/>
      <c r="F402" s="952"/>
      <c r="G402" s="981"/>
      <c r="H402" s="981"/>
      <c r="I402" s="981"/>
      <c r="J402" s="981"/>
      <c r="K402" s="981"/>
      <c r="O402" s="981"/>
      <c r="P402" s="1417"/>
      <c r="Q402" s="1418"/>
    </row>
    <row r="403" spans="1:17" ht="15" customHeight="1">
      <c r="A403" s="981"/>
      <c r="B403" s="981"/>
      <c r="C403" s="1016"/>
      <c r="D403" s="952"/>
      <c r="E403" s="981"/>
      <c r="F403" s="952"/>
      <c r="G403" s="981"/>
      <c r="H403" s="981"/>
      <c r="I403" s="981"/>
      <c r="J403" s="981"/>
      <c r="K403" s="981"/>
      <c r="O403" s="981"/>
      <c r="P403" s="1417"/>
      <c r="Q403" s="1418"/>
    </row>
    <row r="404" spans="1:17" ht="15" customHeight="1">
      <c r="A404" s="981"/>
      <c r="B404" s="981"/>
      <c r="C404" s="1016"/>
      <c r="D404" s="952"/>
      <c r="E404" s="981"/>
      <c r="F404" s="952"/>
      <c r="G404" s="981"/>
      <c r="H404" s="981"/>
      <c r="I404" s="981"/>
      <c r="J404" s="981"/>
      <c r="K404" s="981"/>
      <c r="O404" s="981"/>
      <c r="P404" s="1417"/>
      <c r="Q404" s="1418"/>
    </row>
    <row r="405" spans="1:17" ht="15" customHeight="1">
      <c r="A405" s="981"/>
      <c r="B405" s="981"/>
      <c r="C405" s="1016"/>
      <c r="D405" s="952"/>
      <c r="E405" s="981"/>
      <c r="F405" s="952"/>
      <c r="G405" s="981"/>
      <c r="H405" s="981"/>
      <c r="I405" s="981"/>
      <c r="J405" s="981"/>
      <c r="K405" s="981"/>
      <c r="O405" s="981"/>
      <c r="P405" s="1417"/>
      <c r="Q405" s="1418"/>
    </row>
    <row r="406" spans="1:17" ht="15" customHeight="1">
      <c r="A406" s="981"/>
      <c r="B406" s="981"/>
      <c r="C406" s="1016"/>
      <c r="D406" s="952"/>
      <c r="E406" s="981"/>
      <c r="F406" s="952"/>
      <c r="G406" s="981"/>
      <c r="H406" s="981"/>
      <c r="I406" s="981"/>
      <c r="J406" s="981"/>
      <c r="K406" s="981"/>
      <c r="O406" s="981"/>
      <c r="P406" s="1417"/>
      <c r="Q406" s="1418"/>
    </row>
    <row r="407" spans="1:17" ht="15" customHeight="1">
      <c r="A407" s="981"/>
      <c r="B407" s="981"/>
      <c r="C407" s="1016"/>
      <c r="D407" s="952"/>
      <c r="E407" s="981"/>
      <c r="F407" s="952"/>
      <c r="G407" s="981"/>
      <c r="H407" s="981"/>
      <c r="I407" s="981"/>
      <c r="J407" s="981"/>
      <c r="K407" s="981"/>
      <c r="O407" s="981"/>
      <c r="P407" s="1417"/>
      <c r="Q407" s="1418"/>
    </row>
    <row r="408" spans="1:17" ht="15" customHeight="1">
      <c r="A408" s="981"/>
      <c r="B408" s="981"/>
      <c r="C408" s="1016"/>
      <c r="D408" s="952"/>
      <c r="E408" s="981"/>
      <c r="F408" s="952"/>
      <c r="G408" s="981"/>
      <c r="H408" s="981"/>
      <c r="I408" s="981"/>
      <c r="J408" s="981"/>
      <c r="K408" s="981"/>
      <c r="O408" s="981"/>
      <c r="P408" s="1417"/>
      <c r="Q408" s="1418"/>
    </row>
    <row r="409" spans="1:17" ht="15" customHeight="1">
      <c r="A409" s="981"/>
      <c r="B409" s="981"/>
      <c r="C409" s="1016"/>
      <c r="D409" s="952"/>
      <c r="E409" s="981"/>
      <c r="F409" s="952"/>
      <c r="G409" s="981"/>
      <c r="H409" s="981"/>
      <c r="I409" s="981"/>
      <c r="J409" s="981"/>
      <c r="K409" s="981"/>
      <c r="O409" s="981"/>
      <c r="P409" s="1417"/>
      <c r="Q409" s="1418"/>
    </row>
    <row r="410" spans="1:17" ht="15" customHeight="1">
      <c r="A410" s="981"/>
      <c r="B410" s="981"/>
      <c r="C410" s="1016"/>
      <c r="D410" s="952"/>
      <c r="E410" s="981"/>
      <c r="F410" s="952"/>
      <c r="G410" s="981"/>
      <c r="H410" s="981"/>
      <c r="I410" s="981"/>
      <c r="J410" s="981"/>
      <c r="K410" s="981"/>
      <c r="O410" s="981"/>
      <c r="P410" s="1417"/>
      <c r="Q410" s="1418"/>
    </row>
    <row r="411" spans="1:17" ht="15" customHeight="1">
      <c r="A411" s="981"/>
      <c r="B411" s="981"/>
      <c r="C411" s="1016"/>
      <c r="D411" s="952"/>
      <c r="E411" s="981"/>
      <c r="F411" s="952"/>
      <c r="G411" s="981"/>
      <c r="H411" s="981"/>
      <c r="I411" s="981"/>
      <c r="J411" s="981"/>
      <c r="K411" s="981"/>
      <c r="O411" s="981"/>
      <c r="P411" s="1417"/>
      <c r="Q411" s="1418"/>
    </row>
    <row r="412" spans="1:17" ht="15" customHeight="1">
      <c r="A412" s="981"/>
      <c r="B412" s="981"/>
      <c r="C412" s="1016"/>
      <c r="D412" s="952"/>
      <c r="E412" s="981"/>
      <c r="F412" s="952"/>
      <c r="G412" s="981"/>
      <c r="H412" s="981"/>
      <c r="I412" s="981"/>
      <c r="J412" s="981"/>
      <c r="K412" s="981"/>
      <c r="O412" s="981"/>
      <c r="P412" s="1417"/>
      <c r="Q412" s="1418"/>
    </row>
    <row r="413" spans="1:17" ht="15" customHeight="1">
      <c r="A413" s="981"/>
      <c r="B413" s="981"/>
      <c r="C413" s="1016"/>
      <c r="D413" s="952"/>
      <c r="E413" s="981"/>
      <c r="F413" s="952"/>
      <c r="G413" s="981"/>
      <c r="H413" s="981"/>
      <c r="I413" s="981"/>
      <c r="J413" s="981"/>
      <c r="K413" s="981"/>
      <c r="O413" s="981"/>
      <c r="P413" s="1417"/>
      <c r="Q413" s="1418"/>
    </row>
    <row r="414" spans="1:17" ht="15" customHeight="1">
      <c r="A414" s="981"/>
      <c r="B414" s="981"/>
      <c r="C414" s="1016"/>
      <c r="D414" s="952"/>
      <c r="E414" s="981"/>
      <c r="F414" s="952"/>
      <c r="G414" s="981"/>
      <c r="H414" s="981"/>
      <c r="I414" s="981"/>
      <c r="J414" s="981"/>
      <c r="K414" s="981"/>
      <c r="O414" s="981"/>
      <c r="P414" s="1417"/>
      <c r="Q414" s="1418"/>
    </row>
    <row r="415" spans="1:17" ht="15" customHeight="1">
      <c r="A415" s="981"/>
      <c r="B415" s="981"/>
      <c r="C415" s="1016"/>
      <c r="D415" s="952"/>
      <c r="E415" s="981"/>
      <c r="F415" s="952"/>
      <c r="G415" s="981"/>
      <c r="H415" s="981"/>
      <c r="I415" s="981"/>
      <c r="J415" s="981"/>
      <c r="K415" s="981"/>
      <c r="O415" s="981"/>
      <c r="P415" s="1417"/>
      <c r="Q415" s="1418"/>
    </row>
    <row r="416" spans="1:17" ht="15" customHeight="1">
      <c r="A416" s="981"/>
      <c r="B416" s="981"/>
      <c r="C416" s="1016"/>
      <c r="D416" s="952"/>
      <c r="E416" s="981"/>
      <c r="F416" s="952"/>
      <c r="G416" s="981"/>
      <c r="H416" s="981"/>
      <c r="I416" s="981"/>
      <c r="J416" s="981"/>
      <c r="K416" s="981"/>
      <c r="O416" s="981"/>
      <c r="P416" s="1417"/>
      <c r="Q416" s="1418"/>
    </row>
    <row r="417" spans="1:17" ht="15" customHeight="1">
      <c r="A417" s="981"/>
      <c r="B417" s="981"/>
      <c r="C417" s="1016"/>
      <c r="D417" s="952"/>
      <c r="E417" s="981"/>
      <c r="F417" s="952"/>
      <c r="G417" s="981"/>
      <c r="H417" s="981"/>
      <c r="I417" s="981"/>
      <c r="J417" s="981"/>
      <c r="K417" s="981"/>
      <c r="O417" s="981"/>
      <c r="P417" s="1417"/>
      <c r="Q417" s="1418"/>
    </row>
    <row r="418" spans="1:17" ht="15" customHeight="1">
      <c r="A418" s="981"/>
      <c r="B418" s="981"/>
      <c r="C418" s="1016"/>
      <c r="D418" s="952"/>
      <c r="E418" s="981"/>
      <c r="F418" s="952"/>
      <c r="G418" s="981"/>
      <c r="H418" s="981"/>
      <c r="I418" s="981"/>
      <c r="J418" s="981"/>
      <c r="K418" s="981"/>
      <c r="O418" s="981"/>
      <c r="P418" s="1417"/>
      <c r="Q418" s="1418"/>
    </row>
    <row r="419" spans="1:17" ht="15" customHeight="1">
      <c r="A419" s="981"/>
      <c r="B419" s="981"/>
      <c r="C419" s="1016"/>
      <c r="D419" s="952"/>
      <c r="E419" s="981"/>
      <c r="F419" s="952"/>
      <c r="G419" s="981"/>
      <c r="H419" s="981"/>
      <c r="I419" s="981"/>
      <c r="J419" s="981"/>
      <c r="K419" s="981"/>
      <c r="O419" s="981"/>
      <c r="P419" s="1417"/>
      <c r="Q419" s="1418"/>
    </row>
    <row r="420" spans="1:17" ht="15" customHeight="1">
      <c r="A420" s="981"/>
      <c r="B420" s="981"/>
      <c r="C420" s="1016"/>
      <c r="D420" s="952"/>
      <c r="E420" s="981"/>
      <c r="F420" s="952"/>
      <c r="G420" s="981"/>
      <c r="H420" s="981"/>
      <c r="I420" s="981"/>
      <c r="J420" s="981"/>
      <c r="K420" s="981"/>
      <c r="O420" s="981"/>
      <c r="P420" s="1417"/>
      <c r="Q420" s="1418"/>
    </row>
    <row r="421" spans="1:17" ht="15" customHeight="1">
      <c r="A421" s="981"/>
      <c r="B421" s="981"/>
      <c r="C421" s="1016"/>
      <c r="D421" s="952"/>
      <c r="E421" s="981"/>
      <c r="F421" s="952"/>
      <c r="G421" s="981"/>
      <c r="H421" s="981"/>
      <c r="I421" s="981"/>
      <c r="J421" s="981"/>
      <c r="K421" s="981"/>
      <c r="O421" s="981"/>
      <c r="P421" s="1417"/>
      <c r="Q421" s="1418"/>
    </row>
    <row r="422" spans="1:17" ht="15" customHeight="1">
      <c r="A422" s="981"/>
      <c r="B422" s="981"/>
      <c r="C422" s="1016"/>
      <c r="D422" s="952"/>
      <c r="E422" s="981"/>
      <c r="F422" s="952"/>
      <c r="G422" s="981"/>
      <c r="H422" s="981"/>
      <c r="I422" s="981"/>
      <c r="J422" s="981"/>
      <c r="K422" s="981"/>
      <c r="O422" s="981"/>
      <c r="P422" s="1417"/>
      <c r="Q422" s="1418"/>
    </row>
    <row r="423" spans="1:17" ht="15" customHeight="1">
      <c r="A423" s="981"/>
      <c r="B423" s="981"/>
      <c r="C423" s="1016"/>
      <c r="D423" s="952"/>
      <c r="E423" s="981"/>
      <c r="F423" s="952"/>
      <c r="G423" s="981"/>
      <c r="H423" s="981"/>
      <c r="I423" s="981"/>
      <c r="J423" s="981"/>
      <c r="K423" s="981"/>
      <c r="O423" s="981"/>
      <c r="P423" s="1417"/>
      <c r="Q423" s="1418"/>
    </row>
    <row r="424" spans="1:17" ht="15" customHeight="1">
      <c r="A424" s="981"/>
      <c r="B424" s="981"/>
      <c r="C424" s="1016"/>
      <c r="D424" s="952"/>
      <c r="E424" s="981"/>
      <c r="F424" s="952"/>
      <c r="G424" s="981"/>
      <c r="H424" s="981"/>
      <c r="I424" s="981"/>
      <c r="J424" s="981"/>
      <c r="K424" s="981"/>
      <c r="O424" s="981"/>
      <c r="P424" s="1417"/>
      <c r="Q424" s="1418"/>
    </row>
    <row r="425" spans="1:17" ht="15" customHeight="1">
      <c r="A425" s="981"/>
      <c r="B425" s="981"/>
      <c r="C425" s="1016"/>
      <c r="D425" s="952"/>
      <c r="E425" s="981"/>
      <c r="F425" s="952"/>
      <c r="G425" s="981"/>
      <c r="H425" s="981"/>
      <c r="I425" s="981"/>
      <c r="J425" s="981"/>
      <c r="K425" s="981"/>
      <c r="O425" s="981"/>
      <c r="P425" s="1417"/>
      <c r="Q425" s="1418"/>
    </row>
    <row r="426" spans="1:17" ht="15" customHeight="1">
      <c r="A426" s="981"/>
      <c r="B426" s="981"/>
      <c r="C426" s="1016"/>
      <c r="D426" s="952"/>
      <c r="E426" s="981"/>
      <c r="F426" s="952"/>
      <c r="G426" s="981"/>
      <c r="H426" s="981"/>
      <c r="I426" s="981"/>
      <c r="J426" s="981"/>
      <c r="K426" s="981"/>
      <c r="O426" s="981"/>
      <c r="P426" s="1417"/>
      <c r="Q426" s="1418"/>
    </row>
    <row r="427" spans="1:17" ht="15" customHeight="1">
      <c r="A427" s="981"/>
      <c r="B427" s="981"/>
      <c r="C427" s="1016"/>
      <c r="D427" s="952"/>
      <c r="E427" s="981"/>
      <c r="F427" s="952"/>
      <c r="G427" s="981"/>
      <c r="H427" s="981"/>
      <c r="I427" s="981"/>
      <c r="J427" s="981"/>
      <c r="K427" s="981"/>
      <c r="O427" s="981"/>
      <c r="P427" s="1417"/>
      <c r="Q427" s="1418"/>
    </row>
    <row r="428" spans="1:17" ht="15" customHeight="1">
      <c r="A428" s="981"/>
      <c r="B428" s="981"/>
      <c r="C428" s="1016"/>
      <c r="D428" s="952"/>
      <c r="E428" s="981"/>
      <c r="F428" s="952"/>
      <c r="G428" s="981"/>
      <c r="H428" s="981"/>
      <c r="I428" s="981"/>
      <c r="J428" s="981"/>
      <c r="K428" s="981"/>
      <c r="O428" s="981"/>
      <c r="P428" s="1417"/>
      <c r="Q428" s="1418"/>
    </row>
    <row r="429" spans="1:17" ht="15" customHeight="1">
      <c r="A429" s="981"/>
      <c r="B429" s="981"/>
      <c r="C429" s="1016"/>
      <c r="D429" s="952"/>
      <c r="E429" s="981"/>
      <c r="F429" s="952"/>
      <c r="G429" s="981"/>
      <c r="H429" s="981"/>
      <c r="I429" s="981"/>
      <c r="J429" s="981"/>
      <c r="K429" s="981"/>
      <c r="O429" s="981"/>
      <c r="P429" s="1417"/>
      <c r="Q429" s="1418"/>
    </row>
    <row r="430" spans="1:17" ht="15" customHeight="1">
      <c r="A430" s="981"/>
      <c r="B430" s="981"/>
      <c r="C430" s="1016"/>
      <c r="D430" s="952"/>
      <c r="E430" s="981"/>
      <c r="F430" s="952"/>
      <c r="G430" s="981"/>
      <c r="H430" s="981"/>
      <c r="I430" s="981"/>
      <c r="J430" s="981"/>
      <c r="K430" s="981"/>
      <c r="O430" s="981"/>
      <c r="P430" s="1417"/>
      <c r="Q430" s="1418"/>
    </row>
    <row r="431" spans="1:17" ht="15" customHeight="1">
      <c r="A431" s="981"/>
      <c r="B431" s="981"/>
      <c r="C431" s="1016"/>
      <c r="D431" s="952"/>
      <c r="E431" s="981"/>
      <c r="F431" s="952"/>
      <c r="G431" s="981"/>
      <c r="H431" s="981"/>
      <c r="I431" s="981"/>
      <c r="J431" s="981"/>
      <c r="K431" s="981"/>
      <c r="O431" s="981"/>
      <c r="P431" s="1417"/>
      <c r="Q431" s="1418"/>
    </row>
    <row r="432" spans="1:17" ht="15" customHeight="1">
      <c r="A432" s="981"/>
      <c r="B432" s="981"/>
      <c r="C432" s="1016"/>
      <c r="D432" s="952"/>
      <c r="E432" s="981"/>
      <c r="F432" s="952"/>
      <c r="G432" s="981"/>
      <c r="H432" s="981"/>
      <c r="I432" s="981"/>
      <c r="J432" s="981"/>
      <c r="K432" s="981"/>
      <c r="O432" s="981"/>
      <c r="P432" s="1417"/>
      <c r="Q432" s="1418"/>
    </row>
    <row r="433" spans="1:17" ht="15" customHeight="1">
      <c r="A433" s="981"/>
      <c r="B433" s="981"/>
      <c r="C433" s="1016"/>
      <c r="D433" s="952"/>
      <c r="E433" s="981"/>
      <c r="F433" s="952"/>
      <c r="G433" s="981"/>
      <c r="H433" s="981"/>
      <c r="I433" s="981"/>
      <c r="J433" s="981"/>
      <c r="K433" s="981"/>
      <c r="O433" s="981"/>
      <c r="P433" s="1417"/>
      <c r="Q433" s="1418"/>
    </row>
    <row r="434" spans="1:17" ht="15" customHeight="1">
      <c r="A434" s="981"/>
      <c r="B434" s="981"/>
      <c r="C434" s="1016"/>
      <c r="D434" s="952"/>
      <c r="E434" s="981"/>
      <c r="F434" s="952"/>
      <c r="G434" s="981"/>
      <c r="H434" s="981"/>
      <c r="I434" s="981"/>
      <c r="J434" s="981"/>
      <c r="K434" s="981"/>
      <c r="O434" s="981"/>
      <c r="P434" s="1417"/>
      <c r="Q434" s="1418"/>
    </row>
    <row r="435" spans="1:17" ht="15" customHeight="1">
      <c r="A435" s="981"/>
      <c r="B435" s="981"/>
      <c r="C435" s="1016"/>
      <c r="D435" s="952"/>
      <c r="E435" s="981"/>
      <c r="F435" s="952"/>
      <c r="G435" s="981"/>
      <c r="H435" s="981"/>
      <c r="I435" s="981"/>
      <c r="J435" s="981"/>
      <c r="K435" s="981"/>
      <c r="O435" s="981"/>
      <c r="P435" s="1417"/>
      <c r="Q435" s="1418"/>
    </row>
    <row r="436" spans="1:17" ht="15" customHeight="1">
      <c r="A436" s="981"/>
      <c r="B436" s="981"/>
      <c r="C436" s="1016"/>
      <c r="D436" s="952"/>
      <c r="E436" s="981"/>
      <c r="F436" s="952"/>
      <c r="G436" s="981"/>
      <c r="H436" s="981"/>
      <c r="I436" s="981"/>
      <c r="J436" s="981"/>
      <c r="K436" s="981"/>
      <c r="O436" s="981"/>
      <c r="P436" s="1417"/>
      <c r="Q436" s="1418"/>
    </row>
    <row r="437" spans="1:17" ht="15" customHeight="1">
      <c r="A437" s="981"/>
      <c r="B437" s="981"/>
      <c r="C437" s="1016"/>
      <c r="D437" s="952"/>
      <c r="E437" s="981"/>
      <c r="F437" s="952"/>
      <c r="G437" s="981"/>
      <c r="H437" s="981"/>
      <c r="I437" s="981"/>
      <c r="J437" s="981"/>
      <c r="K437" s="981"/>
      <c r="O437" s="981"/>
      <c r="P437" s="1417"/>
      <c r="Q437" s="1418"/>
    </row>
    <row r="438" spans="1:17" ht="15" customHeight="1">
      <c r="A438" s="981"/>
      <c r="B438" s="981"/>
      <c r="C438" s="1016"/>
      <c r="D438" s="952"/>
      <c r="E438" s="981"/>
      <c r="F438" s="952"/>
      <c r="G438" s="981"/>
      <c r="H438" s="981"/>
      <c r="I438" s="981"/>
      <c r="J438" s="981"/>
      <c r="K438" s="981"/>
      <c r="O438" s="981"/>
      <c r="P438" s="1417"/>
      <c r="Q438" s="1418"/>
    </row>
    <row r="439" spans="1:17" ht="15" customHeight="1">
      <c r="A439" s="981"/>
      <c r="B439" s="981"/>
      <c r="C439" s="1016"/>
      <c r="D439" s="952"/>
      <c r="E439" s="981"/>
      <c r="F439" s="952"/>
      <c r="G439" s="981"/>
      <c r="H439" s="981"/>
      <c r="I439" s="981"/>
      <c r="J439" s="981"/>
      <c r="K439" s="981"/>
      <c r="O439" s="981"/>
      <c r="P439" s="1417"/>
      <c r="Q439" s="1418"/>
    </row>
    <row r="440" spans="1:17" ht="15" customHeight="1">
      <c r="A440" s="981"/>
      <c r="B440" s="981"/>
      <c r="C440" s="1016"/>
      <c r="D440" s="952"/>
      <c r="E440" s="981"/>
      <c r="F440" s="952"/>
      <c r="G440" s="981"/>
      <c r="H440" s="981"/>
      <c r="I440" s="981"/>
      <c r="J440" s="981"/>
      <c r="K440" s="981"/>
      <c r="O440" s="981"/>
      <c r="P440" s="1417"/>
      <c r="Q440" s="1418"/>
    </row>
    <row r="441" spans="1:17" ht="15" customHeight="1">
      <c r="A441" s="981"/>
      <c r="B441" s="981"/>
      <c r="C441" s="1016"/>
      <c r="D441" s="952"/>
      <c r="E441" s="981"/>
      <c r="F441" s="952"/>
      <c r="G441" s="981"/>
      <c r="H441" s="981"/>
      <c r="I441" s="981"/>
      <c r="J441" s="981"/>
      <c r="K441" s="981"/>
      <c r="O441" s="981"/>
      <c r="P441" s="1417"/>
      <c r="Q441" s="1418"/>
    </row>
    <row r="442" spans="1:17" ht="15" customHeight="1">
      <c r="A442" s="981"/>
      <c r="B442" s="981"/>
      <c r="C442" s="1016"/>
      <c r="D442" s="952"/>
      <c r="E442" s="981"/>
      <c r="F442" s="952"/>
      <c r="G442" s="981"/>
      <c r="H442" s="981"/>
      <c r="I442" s="981"/>
      <c r="J442" s="981"/>
      <c r="K442" s="981"/>
      <c r="O442" s="981"/>
      <c r="P442" s="1417"/>
      <c r="Q442" s="1418"/>
    </row>
    <row r="443" spans="1:17" ht="15" customHeight="1">
      <c r="A443" s="981"/>
      <c r="B443" s="981"/>
      <c r="C443" s="1016"/>
      <c r="D443" s="952"/>
      <c r="E443" s="981"/>
      <c r="F443" s="952"/>
      <c r="G443" s="981"/>
      <c r="H443" s="981"/>
      <c r="I443" s="981"/>
      <c r="J443" s="981"/>
      <c r="K443" s="981"/>
      <c r="O443" s="981"/>
      <c r="P443" s="1417"/>
      <c r="Q443" s="1418"/>
    </row>
    <row r="444" spans="1:17" ht="15" customHeight="1">
      <c r="A444" s="981"/>
      <c r="B444" s="981"/>
      <c r="C444" s="1016"/>
      <c r="D444" s="952"/>
      <c r="E444" s="981"/>
      <c r="F444" s="952"/>
      <c r="G444" s="981"/>
      <c r="H444" s="981"/>
      <c r="I444" s="981"/>
      <c r="J444" s="981"/>
      <c r="K444" s="981"/>
      <c r="O444" s="981"/>
      <c r="P444" s="1417"/>
      <c r="Q444" s="1418"/>
    </row>
    <row r="445" spans="1:17" ht="15" customHeight="1">
      <c r="A445" s="981"/>
      <c r="B445" s="981"/>
      <c r="C445" s="1016"/>
      <c r="D445" s="952"/>
      <c r="E445" s="981"/>
      <c r="F445" s="952"/>
      <c r="G445" s="981"/>
      <c r="H445" s="981"/>
      <c r="I445" s="981"/>
      <c r="J445" s="981"/>
      <c r="K445" s="981"/>
      <c r="O445" s="981"/>
      <c r="P445" s="1417"/>
      <c r="Q445" s="1418"/>
    </row>
    <row r="446" spans="1:17" ht="15" customHeight="1">
      <c r="A446" s="981"/>
      <c r="B446" s="981"/>
      <c r="C446" s="1016"/>
      <c r="D446" s="952"/>
      <c r="E446" s="981"/>
      <c r="F446" s="952"/>
      <c r="G446" s="981"/>
      <c r="H446" s="981"/>
      <c r="I446" s="981"/>
      <c r="J446" s="981"/>
      <c r="K446" s="981"/>
      <c r="O446" s="981"/>
      <c r="P446" s="1417"/>
      <c r="Q446" s="1418"/>
    </row>
    <row r="447" spans="1:17" ht="15" customHeight="1">
      <c r="A447" s="981"/>
      <c r="B447" s="981"/>
      <c r="C447" s="1016"/>
      <c r="D447" s="952"/>
      <c r="E447" s="981"/>
      <c r="F447" s="952"/>
      <c r="G447" s="981"/>
      <c r="H447" s="981"/>
      <c r="I447" s="981"/>
      <c r="J447" s="981"/>
      <c r="K447" s="981"/>
      <c r="O447" s="981"/>
      <c r="P447" s="1417"/>
      <c r="Q447" s="1418"/>
    </row>
    <row r="448" spans="1:17" ht="15" customHeight="1">
      <c r="A448" s="981"/>
      <c r="B448" s="981"/>
      <c r="C448" s="1016"/>
      <c r="D448" s="952"/>
      <c r="E448" s="981"/>
      <c r="F448" s="952"/>
      <c r="G448" s="981"/>
      <c r="H448" s="981"/>
      <c r="I448" s="981"/>
      <c r="J448" s="981"/>
      <c r="K448" s="981"/>
      <c r="O448" s="981"/>
      <c r="P448" s="1417"/>
      <c r="Q448" s="1418"/>
    </row>
    <row r="449" spans="1:17" ht="15" customHeight="1">
      <c r="A449" s="981"/>
      <c r="B449" s="981"/>
      <c r="C449" s="1016"/>
      <c r="D449" s="952"/>
      <c r="E449" s="981"/>
      <c r="F449" s="952"/>
      <c r="G449" s="981"/>
      <c r="H449" s="981"/>
      <c r="I449" s="981"/>
      <c r="J449" s="981"/>
      <c r="K449" s="981"/>
      <c r="O449" s="981"/>
      <c r="P449" s="1417"/>
      <c r="Q449" s="1418"/>
    </row>
    <row r="450" spans="1:17" ht="15" customHeight="1">
      <c r="A450" s="981"/>
      <c r="B450" s="981"/>
      <c r="C450" s="1016"/>
      <c r="D450" s="952"/>
      <c r="E450" s="981"/>
      <c r="F450" s="952"/>
      <c r="G450" s="981"/>
      <c r="H450" s="981"/>
      <c r="I450" s="981"/>
      <c r="J450" s="981"/>
      <c r="K450" s="981"/>
      <c r="O450" s="981"/>
      <c r="P450" s="1417"/>
      <c r="Q450" s="1418"/>
    </row>
    <row r="451" spans="1:17" ht="15" customHeight="1">
      <c r="A451" s="981"/>
      <c r="B451" s="981"/>
      <c r="C451" s="1016"/>
      <c r="D451" s="952"/>
      <c r="E451" s="981"/>
      <c r="F451" s="952"/>
      <c r="G451" s="981"/>
      <c r="H451" s="981"/>
      <c r="I451" s="981"/>
      <c r="J451" s="981"/>
      <c r="K451" s="981"/>
      <c r="O451" s="981"/>
      <c r="P451" s="1417"/>
      <c r="Q451" s="1418"/>
    </row>
    <row r="452" spans="1:17" ht="15" customHeight="1">
      <c r="A452" s="981"/>
      <c r="B452" s="981"/>
      <c r="C452" s="1016"/>
      <c r="D452" s="952"/>
      <c r="E452" s="981"/>
      <c r="F452" s="952"/>
      <c r="G452" s="981"/>
      <c r="H452" s="981"/>
      <c r="I452" s="981"/>
      <c r="J452" s="981"/>
      <c r="K452" s="981"/>
      <c r="O452" s="981"/>
      <c r="P452" s="1417"/>
      <c r="Q452" s="1418"/>
    </row>
    <row r="453" spans="1:17" ht="15" customHeight="1">
      <c r="A453" s="981"/>
      <c r="B453" s="981"/>
      <c r="C453" s="1016"/>
      <c r="D453" s="952"/>
      <c r="E453" s="981"/>
      <c r="F453" s="952"/>
      <c r="G453" s="981"/>
      <c r="H453" s="981"/>
      <c r="I453" s="981"/>
      <c r="J453" s="981"/>
      <c r="K453" s="981"/>
      <c r="O453" s="981"/>
      <c r="P453" s="1417"/>
      <c r="Q453" s="1418"/>
    </row>
    <row r="454" spans="1:17" ht="15" customHeight="1">
      <c r="A454" s="981"/>
      <c r="B454" s="981"/>
      <c r="C454" s="1016"/>
      <c r="D454" s="952"/>
      <c r="E454" s="981"/>
      <c r="F454" s="952"/>
      <c r="G454" s="981"/>
      <c r="H454" s="981"/>
      <c r="I454" s="981"/>
      <c r="J454" s="981"/>
      <c r="K454" s="981"/>
      <c r="O454" s="981"/>
      <c r="P454" s="1417"/>
      <c r="Q454" s="1418"/>
    </row>
    <row r="455" spans="1:17" ht="15" customHeight="1">
      <c r="A455" s="981"/>
      <c r="B455" s="981"/>
      <c r="C455" s="1016"/>
      <c r="D455" s="952"/>
      <c r="E455" s="981"/>
      <c r="F455" s="952"/>
      <c r="G455" s="981"/>
      <c r="H455" s="981"/>
      <c r="I455" s="981"/>
      <c r="J455" s="981"/>
      <c r="K455" s="981"/>
      <c r="O455" s="981"/>
      <c r="P455" s="1417"/>
      <c r="Q455" s="1418"/>
    </row>
    <row r="456" spans="1:17" ht="15" customHeight="1">
      <c r="A456" s="981"/>
      <c r="B456" s="981"/>
      <c r="C456" s="1016"/>
      <c r="D456" s="952"/>
      <c r="E456" s="981"/>
      <c r="F456" s="952"/>
      <c r="G456" s="981"/>
      <c r="H456" s="981"/>
      <c r="I456" s="981"/>
      <c r="J456" s="981"/>
      <c r="K456" s="981"/>
      <c r="O456" s="981"/>
      <c r="P456" s="1417"/>
      <c r="Q456" s="1418"/>
    </row>
    <row r="457" spans="1:17" ht="15" customHeight="1">
      <c r="A457" s="981"/>
      <c r="B457" s="981"/>
      <c r="C457" s="1016"/>
      <c r="D457" s="952"/>
      <c r="E457" s="981"/>
      <c r="F457" s="952"/>
      <c r="G457" s="981"/>
      <c r="H457" s="981"/>
      <c r="I457" s="981"/>
      <c r="J457" s="981"/>
      <c r="K457" s="981"/>
      <c r="O457" s="981"/>
      <c r="P457" s="1417"/>
      <c r="Q457" s="1418"/>
    </row>
    <row r="458" spans="1:17" ht="15" customHeight="1">
      <c r="A458" s="981"/>
      <c r="B458" s="981"/>
      <c r="C458" s="1016"/>
      <c r="D458" s="952"/>
      <c r="E458" s="981"/>
      <c r="F458" s="952"/>
      <c r="G458" s="981"/>
      <c r="H458" s="981"/>
      <c r="I458" s="981"/>
      <c r="J458" s="981"/>
      <c r="K458" s="981"/>
      <c r="O458" s="981"/>
      <c r="P458" s="1417"/>
      <c r="Q458" s="1418"/>
    </row>
    <row r="459" spans="1:17" ht="15" customHeight="1">
      <c r="A459" s="981"/>
      <c r="B459" s="981"/>
      <c r="C459" s="1016"/>
      <c r="D459" s="952"/>
      <c r="E459" s="981"/>
      <c r="F459" s="952"/>
      <c r="G459" s="981"/>
      <c r="H459" s="981"/>
      <c r="I459" s="981"/>
      <c r="J459" s="981"/>
      <c r="K459" s="981"/>
      <c r="O459" s="981"/>
      <c r="P459" s="1417"/>
      <c r="Q459" s="1418"/>
    </row>
    <row r="460" spans="1:17" ht="15" customHeight="1">
      <c r="A460" s="981"/>
      <c r="B460" s="981"/>
      <c r="C460" s="1016"/>
      <c r="D460" s="952"/>
      <c r="E460" s="981"/>
      <c r="F460" s="952"/>
      <c r="G460" s="981"/>
      <c r="H460" s="981"/>
      <c r="I460" s="981"/>
      <c r="J460" s="981"/>
      <c r="K460" s="981"/>
      <c r="O460" s="981"/>
      <c r="P460" s="1417"/>
      <c r="Q460" s="1418"/>
    </row>
    <row r="461" spans="1:17" ht="15" customHeight="1">
      <c r="A461" s="981"/>
      <c r="B461" s="981"/>
      <c r="C461" s="1016"/>
      <c r="D461" s="952"/>
      <c r="E461" s="981"/>
      <c r="F461" s="952"/>
      <c r="G461" s="981"/>
      <c r="H461" s="981"/>
      <c r="I461" s="981"/>
      <c r="J461" s="981"/>
      <c r="K461" s="981"/>
      <c r="O461" s="981"/>
      <c r="P461" s="1417"/>
      <c r="Q461" s="1418"/>
    </row>
    <row r="462" spans="1:17" ht="15" customHeight="1">
      <c r="A462" s="981"/>
      <c r="B462" s="981"/>
      <c r="C462" s="1016"/>
      <c r="D462" s="952"/>
      <c r="E462" s="981"/>
      <c r="F462" s="952"/>
      <c r="G462" s="981"/>
      <c r="H462" s="981"/>
      <c r="I462" s="981"/>
      <c r="J462" s="981"/>
      <c r="K462" s="981"/>
      <c r="O462" s="981"/>
      <c r="P462" s="1417"/>
      <c r="Q462" s="1418"/>
    </row>
    <row r="463" spans="1:17" ht="15" customHeight="1">
      <c r="A463" s="981"/>
      <c r="B463" s="981"/>
      <c r="C463" s="1016"/>
      <c r="D463" s="952"/>
      <c r="E463" s="981"/>
      <c r="F463" s="952"/>
      <c r="G463" s="981"/>
      <c r="H463" s="981"/>
      <c r="I463" s="981"/>
      <c r="J463" s="981"/>
      <c r="K463" s="981"/>
      <c r="O463" s="981"/>
      <c r="P463" s="1417"/>
      <c r="Q463" s="1418"/>
    </row>
    <row r="464" spans="1:17" ht="15" customHeight="1">
      <c r="A464" s="981"/>
      <c r="B464" s="981"/>
      <c r="C464" s="1016"/>
      <c r="D464" s="952"/>
      <c r="E464" s="981"/>
      <c r="F464" s="952"/>
      <c r="G464" s="981"/>
      <c r="H464" s="981"/>
      <c r="I464" s="981"/>
      <c r="J464" s="981"/>
      <c r="K464" s="981"/>
      <c r="O464" s="981"/>
      <c r="P464" s="1417"/>
      <c r="Q464" s="1418"/>
    </row>
    <row r="465" spans="1:17" ht="15" customHeight="1">
      <c r="A465" s="981"/>
      <c r="B465" s="981"/>
      <c r="C465" s="1016"/>
      <c r="D465" s="952"/>
      <c r="E465" s="981"/>
      <c r="F465" s="952"/>
      <c r="G465" s="981"/>
      <c r="H465" s="981"/>
      <c r="I465" s="981"/>
      <c r="J465" s="981"/>
      <c r="K465" s="981"/>
      <c r="O465" s="981"/>
      <c r="P465" s="1417"/>
      <c r="Q465" s="1418"/>
    </row>
    <row r="466" spans="1:17" ht="15" customHeight="1">
      <c r="A466" s="981"/>
      <c r="B466" s="981"/>
      <c r="C466" s="1016"/>
      <c r="D466" s="952"/>
      <c r="E466" s="981"/>
      <c r="F466" s="952"/>
      <c r="G466" s="981"/>
      <c r="H466" s="981"/>
      <c r="I466" s="981"/>
      <c r="J466" s="981"/>
      <c r="K466" s="981"/>
      <c r="O466" s="981"/>
      <c r="P466" s="1417"/>
      <c r="Q466" s="1418"/>
    </row>
    <row r="467" spans="1:17" ht="15" customHeight="1">
      <c r="A467" s="981"/>
      <c r="B467" s="981"/>
      <c r="C467" s="1016"/>
      <c r="D467" s="952"/>
      <c r="E467" s="981"/>
      <c r="F467" s="952"/>
      <c r="G467" s="981"/>
      <c r="H467" s="981"/>
      <c r="I467" s="981"/>
      <c r="J467" s="981"/>
      <c r="K467" s="981"/>
      <c r="O467" s="981"/>
      <c r="P467" s="1417"/>
      <c r="Q467" s="1418"/>
    </row>
    <row r="468" spans="1:17" ht="15" customHeight="1">
      <c r="A468" s="981"/>
      <c r="B468" s="981"/>
      <c r="C468" s="1016"/>
      <c r="D468" s="952"/>
      <c r="E468" s="981"/>
      <c r="F468" s="952"/>
      <c r="G468" s="981"/>
      <c r="H468" s="981"/>
      <c r="I468" s="981"/>
      <c r="J468" s="981"/>
      <c r="K468" s="981"/>
      <c r="O468" s="981"/>
      <c r="P468" s="1417"/>
      <c r="Q468" s="1418"/>
    </row>
    <row r="469" spans="1:17" ht="15" customHeight="1">
      <c r="A469" s="981"/>
      <c r="B469" s="981"/>
      <c r="C469" s="1016"/>
      <c r="D469" s="952"/>
      <c r="E469" s="981"/>
      <c r="F469" s="952"/>
      <c r="G469" s="981"/>
      <c r="H469" s="981"/>
      <c r="I469" s="981"/>
      <c r="J469" s="981"/>
      <c r="K469" s="981"/>
      <c r="O469" s="981"/>
      <c r="P469" s="1417"/>
      <c r="Q469" s="1418"/>
    </row>
    <row r="470" spans="1:17" ht="15" customHeight="1">
      <c r="A470" s="981"/>
      <c r="B470" s="981"/>
      <c r="C470" s="1016"/>
      <c r="D470" s="952"/>
      <c r="E470" s="981"/>
      <c r="F470" s="952"/>
      <c r="G470" s="981"/>
      <c r="H470" s="981"/>
      <c r="I470" s="981"/>
      <c r="J470" s="981"/>
      <c r="K470" s="981"/>
      <c r="O470" s="981"/>
      <c r="P470" s="1417"/>
      <c r="Q470" s="1418"/>
    </row>
    <row r="471" spans="1:17" ht="15" customHeight="1">
      <c r="A471" s="981"/>
      <c r="B471" s="981"/>
      <c r="C471" s="1016"/>
      <c r="D471" s="952"/>
      <c r="E471" s="981"/>
      <c r="F471" s="952"/>
      <c r="G471" s="981"/>
      <c r="H471" s="981"/>
      <c r="I471" s="981"/>
      <c r="J471" s="981"/>
      <c r="K471" s="981"/>
      <c r="O471" s="981"/>
      <c r="P471" s="1417"/>
      <c r="Q471" s="1418"/>
    </row>
    <row r="472" spans="1:17" ht="15" customHeight="1">
      <c r="A472" s="981"/>
      <c r="B472" s="981"/>
      <c r="C472" s="1016"/>
      <c r="D472" s="952"/>
      <c r="E472" s="981"/>
      <c r="F472" s="952"/>
      <c r="G472" s="981"/>
      <c r="H472" s="981"/>
      <c r="I472" s="981"/>
      <c r="J472" s="981"/>
      <c r="K472" s="981"/>
      <c r="O472" s="981"/>
      <c r="P472" s="1417"/>
      <c r="Q472" s="1418"/>
    </row>
    <row r="473" spans="1:17" ht="15" customHeight="1">
      <c r="A473" s="981"/>
      <c r="B473" s="981"/>
      <c r="C473" s="1016"/>
      <c r="D473" s="952"/>
      <c r="E473" s="981"/>
      <c r="F473" s="952"/>
      <c r="G473" s="981"/>
      <c r="H473" s="981"/>
      <c r="I473" s="981"/>
      <c r="J473" s="981"/>
      <c r="K473" s="981"/>
      <c r="O473" s="981"/>
      <c r="P473" s="1417"/>
      <c r="Q473" s="1418"/>
    </row>
    <row r="474" spans="1:17" ht="15" customHeight="1">
      <c r="A474" s="981"/>
      <c r="B474" s="981"/>
      <c r="C474" s="1016"/>
      <c r="D474" s="952"/>
      <c r="E474" s="981"/>
      <c r="F474" s="952"/>
      <c r="G474" s="981"/>
      <c r="H474" s="981"/>
      <c r="I474" s="981"/>
      <c r="J474" s="981"/>
      <c r="K474" s="981"/>
      <c r="O474" s="981"/>
      <c r="P474" s="1417"/>
      <c r="Q474" s="1418"/>
    </row>
    <row r="475" spans="1:17" ht="15" customHeight="1">
      <c r="A475" s="981"/>
      <c r="B475" s="981"/>
      <c r="C475" s="1016"/>
      <c r="D475" s="952"/>
      <c r="E475" s="981"/>
      <c r="F475" s="952"/>
      <c r="G475" s="981"/>
      <c r="H475" s="981"/>
      <c r="I475" s="981"/>
      <c r="J475" s="981"/>
      <c r="K475" s="981"/>
      <c r="O475" s="981"/>
      <c r="P475" s="1417"/>
      <c r="Q475" s="1418"/>
    </row>
    <row r="476" spans="1:17" ht="15" customHeight="1">
      <c r="A476" s="981"/>
      <c r="B476" s="981"/>
      <c r="C476" s="1016"/>
      <c r="D476" s="952"/>
      <c r="E476" s="981"/>
      <c r="F476" s="952"/>
      <c r="G476" s="981"/>
      <c r="H476" s="981"/>
      <c r="I476" s="981"/>
      <c r="J476" s="981"/>
      <c r="K476" s="981"/>
      <c r="O476" s="981"/>
      <c r="P476" s="1417"/>
      <c r="Q476" s="1418"/>
    </row>
    <row r="477" spans="1:17" ht="15" customHeight="1">
      <c r="A477" s="981"/>
      <c r="B477" s="981"/>
      <c r="C477" s="1016"/>
      <c r="D477" s="952"/>
      <c r="E477" s="981"/>
      <c r="F477" s="952"/>
      <c r="G477" s="981"/>
      <c r="H477" s="981"/>
      <c r="I477" s="981"/>
      <c r="J477" s="981"/>
      <c r="K477" s="981"/>
      <c r="O477" s="981"/>
      <c r="P477" s="1417"/>
      <c r="Q477" s="1418"/>
    </row>
    <row r="478" spans="1:17" ht="15" customHeight="1">
      <c r="A478" s="981"/>
      <c r="B478" s="981"/>
      <c r="C478" s="1016"/>
      <c r="D478" s="952"/>
      <c r="E478" s="981"/>
      <c r="F478" s="952"/>
      <c r="G478" s="981"/>
      <c r="H478" s="981"/>
      <c r="I478" s="981"/>
      <c r="J478" s="981"/>
      <c r="K478" s="981"/>
      <c r="O478" s="981"/>
      <c r="P478" s="1417"/>
      <c r="Q478" s="1418"/>
    </row>
    <row r="479" spans="1:17" ht="15" customHeight="1">
      <c r="A479" s="981"/>
      <c r="B479" s="981"/>
      <c r="C479" s="1016"/>
      <c r="D479" s="952"/>
      <c r="E479" s="981"/>
      <c r="F479" s="952"/>
      <c r="G479" s="981"/>
      <c r="H479" s="981"/>
      <c r="I479" s="981"/>
      <c r="J479" s="981"/>
      <c r="K479" s="981"/>
      <c r="O479" s="981"/>
      <c r="P479" s="1417"/>
      <c r="Q479" s="1418"/>
    </row>
    <row r="480" spans="1:17" ht="15" customHeight="1">
      <c r="A480" s="981"/>
      <c r="B480" s="981"/>
      <c r="C480" s="1016"/>
      <c r="D480" s="952"/>
      <c r="E480" s="981"/>
      <c r="F480" s="952"/>
      <c r="G480" s="981"/>
      <c r="H480" s="981"/>
      <c r="I480" s="981"/>
      <c r="J480" s="981"/>
      <c r="K480" s="981"/>
      <c r="O480" s="981"/>
      <c r="P480" s="1417"/>
      <c r="Q480" s="1418"/>
    </row>
    <row r="481" spans="1:17" ht="15" customHeight="1">
      <c r="A481" s="981"/>
      <c r="B481" s="981"/>
      <c r="C481" s="1016"/>
      <c r="D481" s="952"/>
      <c r="E481" s="981"/>
      <c r="F481" s="952"/>
      <c r="G481" s="981"/>
      <c r="H481" s="981"/>
      <c r="I481" s="981"/>
      <c r="J481" s="981"/>
      <c r="K481" s="981"/>
      <c r="O481" s="981"/>
      <c r="P481" s="1417"/>
      <c r="Q481" s="1418"/>
    </row>
    <row r="482" spans="1:17" ht="15" customHeight="1">
      <c r="A482" s="981"/>
      <c r="B482" s="981"/>
      <c r="C482" s="1016"/>
      <c r="D482" s="952"/>
      <c r="E482" s="981"/>
      <c r="F482" s="952"/>
      <c r="G482" s="981"/>
      <c r="H482" s="981"/>
      <c r="I482" s="981"/>
      <c r="J482" s="981"/>
      <c r="K482" s="981"/>
      <c r="O482" s="981"/>
      <c r="P482" s="1417"/>
      <c r="Q482" s="1418"/>
    </row>
    <row r="483" spans="1:17" ht="15" customHeight="1">
      <c r="A483" s="981"/>
      <c r="B483" s="981"/>
      <c r="C483" s="1016"/>
      <c r="D483" s="952"/>
      <c r="E483" s="981"/>
      <c r="F483" s="952"/>
      <c r="G483" s="981"/>
      <c r="H483" s="981"/>
      <c r="I483" s="981"/>
      <c r="J483" s="981"/>
      <c r="K483" s="981"/>
      <c r="O483" s="981"/>
      <c r="P483" s="1417"/>
      <c r="Q483" s="1418"/>
    </row>
    <row r="484" spans="1:17" ht="15" customHeight="1">
      <c r="A484" s="981"/>
      <c r="B484" s="981"/>
      <c r="C484" s="1016"/>
      <c r="D484" s="952"/>
      <c r="E484" s="981"/>
      <c r="F484" s="952"/>
      <c r="G484" s="981"/>
      <c r="H484" s="981"/>
      <c r="I484" s="981"/>
      <c r="J484" s="981"/>
      <c r="K484" s="981"/>
      <c r="O484" s="981"/>
      <c r="P484" s="1417"/>
      <c r="Q484" s="1418"/>
    </row>
    <row r="485" spans="1:17" ht="15" customHeight="1">
      <c r="A485" s="981"/>
      <c r="B485" s="981"/>
      <c r="C485" s="1016"/>
      <c r="D485" s="952"/>
      <c r="E485" s="981"/>
      <c r="F485" s="952"/>
      <c r="G485" s="981"/>
      <c r="H485" s="981"/>
      <c r="I485" s="981"/>
      <c r="J485" s="981"/>
      <c r="K485" s="981"/>
      <c r="O485" s="981"/>
      <c r="P485" s="1417"/>
      <c r="Q485" s="1418"/>
    </row>
    <row r="486" spans="1:17" ht="15" customHeight="1">
      <c r="A486" s="981"/>
      <c r="B486" s="981"/>
      <c r="C486" s="1016"/>
      <c r="D486" s="952"/>
      <c r="E486" s="981"/>
      <c r="F486" s="952"/>
      <c r="G486" s="981"/>
      <c r="H486" s="981"/>
      <c r="I486" s="981"/>
      <c r="J486" s="981"/>
      <c r="K486" s="981"/>
      <c r="O486" s="981"/>
      <c r="P486" s="1417"/>
      <c r="Q486" s="1418"/>
    </row>
    <row r="487" spans="1:17" ht="15" customHeight="1">
      <c r="A487" s="981"/>
      <c r="B487" s="981"/>
      <c r="C487" s="1016"/>
      <c r="D487" s="952"/>
      <c r="E487" s="981"/>
      <c r="F487" s="952"/>
      <c r="G487" s="981"/>
      <c r="H487" s="981"/>
      <c r="I487" s="981"/>
      <c r="J487" s="981"/>
      <c r="K487" s="981"/>
      <c r="O487" s="981"/>
      <c r="P487" s="1417"/>
      <c r="Q487" s="1418"/>
    </row>
    <row r="488" spans="1:17" ht="15" customHeight="1">
      <c r="A488" s="981"/>
      <c r="B488" s="981"/>
      <c r="C488" s="1016"/>
      <c r="D488" s="952"/>
      <c r="E488" s="981"/>
      <c r="F488" s="952"/>
      <c r="G488" s="981"/>
      <c r="H488" s="981"/>
      <c r="I488" s="981"/>
      <c r="J488" s="981"/>
      <c r="K488" s="981"/>
      <c r="O488" s="981"/>
      <c r="P488" s="1417"/>
      <c r="Q488" s="1418"/>
    </row>
    <row r="489" spans="1:17" ht="15" customHeight="1">
      <c r="A489" s="981"/>
      <c r="B489" s="981"/>
      <c r="C489" s="1016"/>
      <c r="D489" s="952"/>
      <c r="E489" s="981"/>
      <c r="F489" s="952"/>
      <c r="G489" s="981"/>
      <c r="H489" s="981"/>
      <c r="I489" s="981"/>
      <c r="J489" s="981"/>
      <c r="K489" s="981"/>
      <c r="O489" s="981"/>
      <c r="P489" s="1417"/>
      <c r="Q489" s="1418"/>
    </row>
    <row r="490" spans="1:17" ht="15" customHeight="1">
      <c r="A490" s="981"/>
      <c r="B490" s="981"/>
      <c r="C490" s="1016"/>
      <c r="D490" s="952"/>
      <c r="E490" s="981"/>
      <c r="F490" s="952"/>
      <c r="G490" s="981"/>
      <c r="H490" s="981"/>
      <c r="I490" s="981"/>
      <c r="J490" s="981"/>
      <c r="K490" s="981"/>
      <c r="O490" s="981"/>
      <c r="P490" s="1417"/>
      <c r="Q490" s="1418"/>
    </row>
    <row r="491" spans="1:17" ht="15" customHeight="1">
      <c r="A491" s="981"/>
      <c r="B491" s="981"/>
      <c r="C491" s="1016"/>
      <c r="D491" s="952"/>
      <c r="E491" s="981"/>
      <c r="F491" s="952"/>
      <c r="G491" s="981"/>
      <c r="H491" s="981"/>
      <c r="I491" s="981"/>
      <c r="J491" s="981"/>
      <c r="K491" s="981"/>
      <c r="O491" s="981"/>
      <c r="P491" s="1417"/>
      <c r="Q491" s="1418"/>
    </row>
    <row r="492" spans="1:17" ht="15" customHeight="1">
      <c r="A492" s="981"/>
      <c r="B492" s="981"/>
      <c r="C492" s="1016"/>
      <c r="D492" s="952"/>
      <c r="E492" s="981"/>
      <c r="F492" s="952"/>
      <c r="G492" s="981"/>
      <c r="H492" s="981"/>
      <c r="I492" s="981"/>
      <c r="J492" s="981"/>
      <c r="K492" s="981"/>
      <c r="O492" s="981"/>
      <c r="P492" s="1417"/>
      <c r="Q492" s="1418"/>
    </row>
    <row r="493" spans="1:17" ht="15" customHeight="1">
      <c r="A493" s="981"/>
      <c r="B493" s="981"/>
      <c r="C493" s="1016"/>
      <c r="D493" s="952"/>
      <c r="E493" s="981"/>
      <c r="F493" s="952"/>
      <c r="G493" s="981"/>
      <c r="H493" s="981"/>
      <c r="I493" s="981"/>
      <c r="J493" s="981"/>
      <c r="K493" s="981"/>
      <c r="O493" s="981"/>
      <c r="P493" s="1417"/>
      <c r="Q493" s="1418"/>
    </row>
    <row r="494" spans="1:17" ht="15" customHeight="1">
      <c r="A494" s="981"/>
      <c r="B494" s="981"/>
      <c r="C494" s="1016"/>
      <c r="D494" s="952"/>
      <c r="E494" s="981"/>
      <c r="F494" s="952"/>
      <c r="G494" s="981"/>
      <c r="H494" s="981"/>
      <c r="I494" s="981"/>
      <c r="J494" s="981"/>
      <c r="K494" s="981"/>
      <c r="O494" s="981"/>
      <c r="P494" s="1417"/>
      <c r="Q494" s="1418"/>
    </row>
    <row r="495" spans="1:17" ht="15" customHeight="1">
      <c r="A495" s="981"/>
      <c r="B495" s="981"/>
      <c r="C495" s="1016"/>
      <c r="D495" s="952"/>
      <c r="E495" s="981"/>
      <c r="F495" s="952"/>
      <c r="G495" s="981"/>
      <c r="H495" s="981"/>
      <c r="I495" s="981"/>
      <c r="J495" s="981"/>
      <c r="K495" s="981"/>
      <c r="O495" s="981"/>
      <c r="P495" s="1417"/>
      <c r="Q495" s="1418"/>
    </row>
    <row r="496" spans="1:17" ht="15" customHeight="1">
      <c r="A496" s="981"/>
      <c r="B496" s="981"/>
      <c r="C496" s="1016"/>
      <c r="D496" s="952"/>
      <c r="E496" s="981"/>
      <c r="F496" s="952"/>
      <c r="G496" s="981"/>
      <c r="H496" s="981"/>
      <c r="I496" s="981"/>
      <c r="J496" s="981"/>
      <c r="K496" s="981"/>
      <c r="O496" s="981"/>
      <c r="P496" s="1417"/>
      <c r="Q496" s="1418"/>
    </row>
    <row r="497" spans="1:17" ht="15" customHeight="1">
      <c r="A497" s="981"/>
      <c r="B497" s="981"/>
      <c r="C497" s="1016"/>
      <c r="D497" s="952"/>
      <c r="E497" s="981"/>
      <c r="F497" s="952"/>
      <c r="G497" s="981"/>
      <c r="H497" s="981"/>
      <c r="I497" s="981"/>
      <c r="J497" s="981"/>
      <c r="K497" s="981"/>
      <c r="O497" s="981"/>
      <c r="P497" s="1417"/>
      <c r="Q497" s="1418"/>
    </row>
    <row r="498" spans="1:17" ht="15" customHeight="1">
      <c r="A498" s="981"/>
      <c r="B498" s="981"/>
      <c r="C498" s="1016"/>
      <c r="D498" s="952"/>
      <c r="E498" s="981"/>
      <c r="F498" s="952"/>
      <c r="G498" s="981"/>
      <c r="H498" s="981"/>
      <c r="I498" s="981"/>
      <c r="J498" s="981"/>
      <c r="K498" s="981"/>
      <c r="O498" s="981"/>
      <c r="P498" s="1417"/>
      <c r="Q498" s="1418"/>
    </row>
    <row r="499" spans="1:17" ht="15" customHeight="1">
      <c r="A499" s="981"/>
      <c r="B499" s="981"/>
      <c r="C499" s="1016"/>
      <c r="D499" s="952"/>
      <c r="E499" s="981"/>
      <c r="F499" s="952"/>
      <c r="G499" s="981"/>
      <c r="H499" s="981"/>
      <c r="I499" s="981"/>
      <c r="J499" s="981"/>
      <c r="K499" s="981"/>
      <c r="O499" s="981"/>
      <c r="P499" s="1417"/>
      <c r="Q499" s="1418"/>
    </row>
    <row r="500" spans="1:17" ht="15" customHeight="1">
      <c r="A500" s="981"/>
      <c r="B500" s="981"/>
      <c r="C500" s="1016"/>
      <c r="D500" s="952"/>
      <c r="E500" s="981"/>
      <c r="F500" s="952"/>
      <c r="G500" s="981"/>
      <c r="H500" s="981"/>
      <c r="I500" s="981"/>
      <c r="J500" s="981"/>
      <c r="K500" s="981"/>
      <c r="O500" s="981"/>
      <c r="P500" s="1417"/>
      <c r="Q500" s="1418"/>
    </row>
    <row r="501" spans="1:17" ht="15" customHeight="1">
      <c r="A501" s="981"/>
      <c r="B501" s="981"/>
      <c r="C501" s="1016"/>
      <c r="D501" s="952"/>
      <c r="E501" s="981"/>
      <c r="F501" s="952"/>
      <c r="G501" s="981"/>
      <c r="H501" s="981"/>
      <c r="I501" s="981"/>
      <c r="J501" s="981"/>
      <c r="K501" s="981"/>
      <c r="O501" s="981"/>
      <c r="P501" s="1417"/>
      <c r="Q501" s="1418"/>
    </row>
    <row r="502" spans="1:17" ht="15" customHeight="1">
      <c r="A502" s="981"/>
      <c r="B502" s="981"/>
      <c r="C502" s="1016"/>
      <c r="D502" s="952"/>
      <c r="E502" s="981"/>
      <c r="F502" s="952"/>
      <c r="G502" s="981"/>
      <c r="H502" s="981"/>
      <c r="I502" s="981"/>
      <c r="J502" s="981"/>
      <c r="K502" s="981"/>
      <c r="O502" s="981"/>
      <c r="P502" s="1417"/>
      <c r="Q502" s="1418"/>
    </row>
    <row r="503" spans="1:17" ht="15" customHeight="1">
      <c r="A503" s="981"/>
      <c r="B503" s="981"/>
      <c r="C503" s="1016"/>
      <c r="D503" s="952"/>
      <c r="E503" s="981"/>
      <c r="F503" s="952"/>
      <c r="G503" s="981"/>
      <c r="H503" s="981"/>
      <c r="I503" s="981"/>
      <c r="J503" s="981"/>
      <c r="K503" s="981"/>
      <c r="O503" s="981"/>
      <c r="P503" s="1417"/>
      <c r="Q503" s="1418"/>
    </row>
    <row r="504" spans="1:17" ht="15" customHeight="1">
      <c r="A504" s="981"/>
      <c r="B504" s="981"/>
      <c r="C504" s="1016"/>
      <c r="D504" s="952"/>
      <c r="E504" s="981"/>
      <c r="F504" s="952"/>
      <c r="G504" s="981"/>
      <c r="H504" s="981"/>
      <c r="I504" s="981"/>
      <c r="J504" s="981"/>
      <c r="K504" s="981"/>
      <c r="O504" s="981"/>
      <c r="P504" s="1417"/>
      <c r="Q504" s="1418"/>
    </row>
    <row r="505" spans="1:17" ht="15" customHeight="1">
      <c r="A505" s="981"/>
      <c r="B505" s="981"/>
      <c r="C505" s="1016"/>
      <c r="D505" s="952"/>
      <c r="E505" s="981"/>
      <c r="F505" s="952"/>
      <c r="G505" s="981"/>
      <c r="H505" s="981"/>
      <c r="I505" s="981"/>
      <c r="J505" s="981"/>
      <c r="K505" s="981"/>
      <c r="O505" s="981"/>
      <c r="P505" s="1417"/>
      <c r="Q505" s="1418"/>
    </row>
    <row r="506" spans="1:17" ht="15" customHeight="1">
      <c r="A506" s="981"/>
      <c r="B506" s="981"/>
      <c r="C506" s="1016"/>
      <c r="D506" s="952"/>
      <c r="E506" s="981"/>
      <c r="F506" s="952"/>
      <c r="G506" s="981"/>
      <c r="H506" s="981"/>
      <c r="I506" s="981"/>
      <c r="J506" s="981"/>
      <c r="K506" s="981"/>
      <c r="O506" s="981"/>
      <c r="P506" s="1417"/>
      <c r="Q506" s="1418"/>
    </row>
    <row r="507" spans="1:17" ht="15" customHeight="1">
      <c r="A507" s="981"/>
      <c r="B507" s="981"/>
      <c r="C507" s="1016"/>
      <c r="D507" s="952"/>
      <c r="E507" s="981"/>
      <c r="F507" s="952"/>
      <c r="G507" s="981"/>
      <c r="H507" s="981"/>
      <c r="I507" s="981"/>
      <c r="J507" s="981"/>
      <c r="K507" s="981"/>
      <c r="O507" s="981"/>
      <c r="P507" s="1417"/>
      <c r="Q507" s="1418"/>
    </row>
    <row r="508" spans="1:17" ht="15" customHeight="1">
      <c r="A508" s="981"/>
      <c r="B508" s="981"/>
      <c r="C508" s="1016"/>
      <c r="D508" s="952"/>
      <c r="E508" s="981"/>
      <c r="F508" s="952"/>
      <c r="G508" s="981"/>
      <c r="H508" s="981"/>
      <c r="I508" s="981"/>
      <c r="J508" s="981"/>
      <c r="K508" s="981"/>
      <c r="O508" s="981"/>
      <c r="P508" s="1417"/>
      <c r="Q508" s="1418"/>
    </row>
    <row r="509" spans="1:17" ht="15" customHeight="1">
      <c r="A509" s="981"/>
      <c r="B509" s="981"/>
      <c r="C509" s="1016"/>
      <c r="D509" s="952"/>
      <c r="E509" s="981"/>
      <c r="F509" s="952"/>
      <c r="G509" s="981"/>
      <c r="H509" s="981"/>
      <c r="I509" s="981"/>
      <c r="J509" s="981"/>
      <c r="K509" s="981"/>
      <c r="O509" s="981"/>
      <c r="P509" s="1417"/>
      <c r="Q509" s="1418"/>
    </row>
    <row r="510" spans="1:17" ht="15" customHeight="1">
      <c r="A510" s="981"/>
      <c r="B510" s="981"/>
      <c r="C510" s="1016"/>
      <c r="D510" s="952"/>
      <c r="E510" s="981"/>
      <c r="F510" s="952"/>
      <c r="G510" s="981"/>
      <c r="H510" s="981"/>
      <c r="I510" s="981"/>
      <c r="J510" s="981"/>
      <c r="K510" s="981"/>
      <c r="O510" s="981"/>
      <c r="P510" s="1417"/>
      <c r="Q510" s="1418"/>
    </row>
    <row r="511" spans="1:17" ht="15" customHeight="1">
      <c r="A511" s="981"/>
      <c r="B511" s="981"/>
      <c r="C511" s="1016"/>
      <c r="D511" s="952"/>
      <c r="E511" s="981"/>
      <c r="F511" s="952"/>
      <c r="G511" s="981"/>
      <c r="H511" s="981"/>
      <c r="I511" s="981"/>
      <c r="J511" s="981"/>
      <c r="K511" s="981"/>
      <c r="O511" s="981"/>
      <c r="P511" s="1417"/>
      <c r="Q511" s="1418"/>
    </row>
    <row r="512" spans="1:17" ht="15" customHeight="1">
      <c r="A512" s="981"/>
      <c r="B512" s="981"/>
      <c r="C512" s="1016"/>
      <c r="D512" s="952"/>
      <c r="E512" s="981"/>
      <c r="F512" s="952"/>
      <c r="G512" s="981"/>
      <c r="H512" s="981"/>
      <c r="I512" s="981"/>
      <c r="J512" s="981"/>
      <c r="K512" s="981"/>
      <c r="O512" s="981"/>
      <c r="P512" s="1417"/>
      <c r="Q512" s="1418"/>
    </row>
    <row r="513" spans="1:17" ht="15" customHeight="1">
      <c r="A513" s="981"/>
      <c r="B513" s="981"/>
      <c r="C513" s="1016"/>
      <c r="D513" s="952"/>
      <c r="E513" s="981"/>
      <c r="F513" s="952"/>
      <c r="G513" s="981"/>
      <c r="H513" s="981"/>
      <c r="I513" s="981"/>
      <c r="J513" s="981"/>
      <c r="K513" s="981"/>
      <c r="O513" s="981"/>
      <c r="P513" s="1417"/>
      <c r="Q513" s="1418"/>
    </row>
    <row r="514" spans="1:17" ht="15" customHeight="1">
      <c r="A514" s="981"/>
      <c r="B514" s="981"/>
      <c r="C514" s="1016"/>
      <c r="D514" s="952"/>
      <c r="E514" s="981"/>
      <c r="F514" s="952"/>
      <c r="G514" s="981"/>
      <c r="H514" s="981"/>
      <c r="I514" s="981"/>
      <c r="J514" s="981"/>
      <c r="K514" s="981"/>
      <c r="O514" s="981"/>
      <c r="P514" s="1417"/>
      <c r="Q514" s="1418"/>
    </row>
    <row r="515" spans="1:17" ht="15" customHeight="1">
      <c r="A515" s="981"/>
      <c r="B515" s="981"/>
      <c r="C515" s="1016"/>
      <c r="D515" s="952"/>
      <c r="E515" s="981"/>
      <c r="F515" s="952"/>
      <c r="G515" s="981"/>
      <c r="H515" s="981"/>
      <c r="I515" s="981"/>
      <c r="J515" s="981"/>
      <c r="K515" s="981"/>
      <c r="O515" s="981"/>
      <c r="P515" s="1417"/>
      <c r="Q515" s="1418"/>
    </row>
    <row r="516" spans="1:17" ht="15" customHeight="1">
      <c r="A516" s="981"/>
      <c r="B516" s="981"/>
      <c r="C516" s="1016"/>
      <c r="D516" s="952"/>
      <c r="E516" s="981"/>
      <c r="F516" s="952"/>
      <c r="G516" s="981"/>
      <c r="H516" s="981"/>
      <c r="I516" s="981"/>
      <c r="J516" s="981"/>
      <c r="K516" s="981"/>
      <c r="O516" s="981"/>
      <c r="P516" s="1417"/>
      <c r="Q516" s="1418"/>
    </row>
    <row r="517" spans="1:17" ht="15" customHeight="1">
      <c r="A517" s="981"/>
      <c r="B517" s="981"/>
      <c r="C517" s="1016"/>
      <c r="D517" s="952"/>
      <c r="E517" s="981"/>
      <c r="F517" s="952"/>
      <c r="G517" s="981"/>
      <c r="H517" s="981"/>
      <c r="I517" s="981"/>
      <c r="J517" s="981"/>
      <c r="K517" s="981"/>
      <c r="O517" s="981"/>
      <c r="P517" s="1417"/>
      <c r="Q517" s="1418"/>
    </row>
    <row r="518" spans="1:17" ht="15" customHeight="1">
      <c r="A518" s="981"/>
      <c r="B518" s="981"/>
      <c r="C518" s="1016"/>
      <c r="D518" s="952"/>
      <c r="E518" s="981"/>
      <c r="F518" s="952"/>
      <c r="G518" s="981"/>
      <c r="H518" s="981"/>
      <c r="I518" s="981"/>
      <c r="J518" s="981"/>
      <c r="K518" s="981"/>
      <c r="O518" s="981"/>
      <c r="P518" s="1417"/>
      <c r="Q518" s="1418"/>
    </row>
    <row r="519" spans="1:17" ht="15" customHeight="1">
      <c r="A519" s="981"/>
      <c r="B519" s="981"/>
      <c r="C519" s="1016"/>
      <c r="D519" s="952"/>
      <c r="E519" s="981"/>
      <c r="F519" s="952"/>
      <c r="G519" s="981"/>
      <c r="H519" s="981"/>
      <c r="I519" s="981"/>
      <c r="J519" s="981"/>
      <c r="K519" s="981"/>
      <c r="O519" s="981"/>
      <c r="P519" s="1417"/>
      <c r="Q519" s="1418"/>
    </row>
    <row r="520" spans="1:17" ht="15" customHeight="1">
      <c r="A520" s="981"/>
      <c r="B520" s="981"/>
      <c r="C520" s="1016"/>
      <c r="D520" s="952"/>
      <c r="E520" s="981"/>
      <c r="F520" s="952"/>
      <c r="G520" s="981"/>
      <c r="H520" s="981"/>
      <c r="I520" s="981"/>
      <c r="J520" s="981"/>
      <c r="K520" s="981"/>
      <c r="O520" s="981"/>
      <c r="P520" s="1417"/>
      <c r="Q520" s="1418"/>
    </row>
    <row r="521" spans="1:17" ht="15" customHeight="1">
      <c r="A521" s="981"/>
      <c r="B521" s="981"/>
      <c r="C521" s="1016"/>
      <c r="D521" s="952"/>
      <c r="E521" s="981"/>
      <c r="F521" s="952"/>
      <c r="G521" s="981"/>
      <c r="H521" s="981"/>
      <c r="I521" s="981"/>
      <c r="J521" s="981"/>
      <c r="K521" s="981"/>
      <c r="O521" s="981"/>
      <c r="P521" s="1417"/>
      <c r="Q521" s="1418"/>
    </row>
    <row r="522" spans="1:17" ht="15" customHeight="1">
      <c r="A522" s="981"/>
      <c r="B522" s="981"/>
      <c r="C522" s="1016"/>
      <c r="D522" s="952"/>
      <c r="E522" s="981"/>
      <c r="F522" s="952"/>
      <c r="G522" s="981"/>
      <c r="H522" s="981"/>
      <c r="I522" s="981"/>
      <c r="J522" s="981"/>
      <c r="K522" s="981"/>
      <c r="O522" s="981"/>
      <c r="P522" s="1417"/>
      <c r="Q522" s="1418"/>
    </row>
    <row r="523" spans="1:17" ht="15" customHeight="1">
      <c r="A523" s="981"/>
      <c r="B523" s="981"/>
      <c r="C523" s="1016"/>
      <c r="D523" s="952"/>
      <c r="E523" s="981"/>
      <c r="F523" s="952"/>
      <c r="G523" s="981"/>
      <c r="H523" s="981"/>
      <c r="I523" s="981"/>
      <c r="J523" s="981"/>
      <c r="K523" s="981"/>
      <c r="O523" s="981"/>
      <c r="P523" s="1417"/>
      <c r="Q523" s="1418"/>
    </row>
    <row r="524" spans="1:17" ht="15" customHeight="1">
      <c r="A524" s="981"/>
      <c r="B524" s="981"/>
      <c r="C524" s="1016"/>
      <c r="D524" s="952"/>
      <c r="E524" s="981"/>
      <c r="F524" s="952"/>
      <c r="G524" s="981"/>
      <c r="H524" s="981"/>
      <c r="I524" s="981"/>
      <c r="J524" s="981"/>
      <c r="K524" s="981"/>
      <c r="O524" s="981"/>
      <c r="P524" s="1417"/>
      <c r="Q524" s="1418"/>
    </row>
    <row r="525" spans="1:17" ht="15" customHeight="1">
      <c r="A525" s="981"/>
      <c r="B525" s="981"/>
      <c r="C525" s="1016"/>
      <c r="D525" s="952"/>
      <c r="E525" s="981"/>
      <c r="F525" s="952"/>
      <c r="G525" s="981"/>
      <c r="H525" s="981"/>
      <c r="I525" s="981"/>
      <c r="J525" s="981"/>
      <c r="K525" s="981"/>
      <c r="O525" s="981"/>
      <c r="P525" s="1417"/>
      <c r="Q525" s="1418"/>
    </row>
    <row r="526" spans="1:17" ht="15" customHeight="1">
      <c r="A526" s="981"/>
      <c r="B526" s="981"/>
      <c r="C526" s="1016"/>
      <c r="D526" s="952"/>
      <c r="E526" s="981"/>
      <c r="F526" s="952"/>
      <c r="G526" s="981"/>
      <c r="H526" s="981"/>
      <c r="I526" s="981"/>
      <c r="J526" s="981"/>
      <c r="K526" s="981"/>
      <c r="O526" s="981"/>
      <c r="P526" s="1417"/>
      <c r="Q526" s="1418"/>
    </row>
    <row r="527" spans="1:17" ht="15" customHeight="1">
      <c r="A527" s="981"/>
      <c r="B527" s="981"/>
      <c r="C527" s="1016"/>
      <c r="D527" s="952"/>
      <c r="E527" s="981"/>
      <c r="F527" s="952"/>
      <c r="G527" s="981"/>
      <c r="H527" s="981"/>
      <c r="I527" s="981"/>
      <c r="J527" s="981"/>
      <c r="K527" s="981"/>
      <c r="O527" s="981"/>
      <c r="P527" s="1417"/>
      <c r="Q527" s="1418"/>
    </row>
    <row r="528" spans="1:17" ht="15" customHeight="1">
      <c r="A528" s="981"/>
      <c r="B528" s="981"/>
      <c r="C528" s="1016"/>
      <c r="D528" s="952"/>
      <c r="E528" s="981"/>
      <c r="F528" s="952"/>
      <c r="G528" s="981"/>
      <c r="H528" s="981"/>
      <c r="I528" s="981"/>
      <c r="J528" s="981"/>
      <c r="K528" s="981"/>
      <c r="O528" s="981"/>
      <c r="P528" s="1417"/>
      <c r="Q528" s="1418"/>
    </row>
    <row r="529" spans="1:17" ht="15" customHeight="1">
      <c r="A529" s="981"/>
      <c r="B529" s="981"/>
      <c r="C529" s="1016"/>
      <c r="D529" s="952"/>
      <c r="E529" s="981"/>
      <c r="F529" s="952"/>
      <c r="G529" s="981"/>
      <c r="H529" s="981"/>
      <c r="I529" s="981"/>
      <c r="J529" s="981"/>
      <c r="K529" s="981"/>
      <c r="O529" s="981"/>
      <c r="P529" s="1417"/>
      <c r="Q529" s="1418"/>
    </row>
    <row r="530" spans="1:17" ht="15" customHeight="1">
      <c r="A530" s="981"/>
      <c r="B530" s="981"/>
      <c r="C530" s="1016"/>
      <c r="D530" s="952"/>
      <c r="E530" s="981"/>
      <c r="F530" s="952"/>
      <c r="G530" s="981"/>
      <c r="H530" s="981"/>
      <c r="I530" s="981"/>
      <c r="J530" s="981"/>
      <c r="K530" s="981"/>
      <c r="O530" s="981"/>
      <c r="P530" s="1417"/>
      <c r="Q530" s="1418"/>
    </row>
    <row r="531" spans="1:17" ht="15" customHeight="1">
      <c r="A531" s="981"/>
      <c r="B531" s="981"/>
      <c r="C531" s="1016"/>
      <c r="D531" s="952"/>
      <c r="E531" s="981"/>
      <c r="F531" s="952"/>
      <c r="G531" s="981"/>
      <c r="H531" s="981"/>
      <c r="I531" s="981"/>
      <c r="J531" s="981"/>
      <c r="K531" s="981"/>
      <c r="O531" s="981"/>
      <c r="P531" s="1417"/>
      <c r="Q531" s="1418"/>
    </row>
    <row r="532" spans="1:17" ht="15" customHeight="1">
      <c r="A532" s="981"/>
      <c r="B532" s="981"/>
      <c r="C532" s="1016"/>
      <c r="D532" s="952"/>
      <c r="E532" s="981"/>
      <c r="F532" s="952"/>
      <c r="G532" s="981"/>
      <c r="H532" s="981"/>
      <c r="I532" s="981"/>
      <c r="J532" s="981"/>
      <c r="K532" s="981"/>
      <c r="O532" s="981"/>
      <c r="P532" s="1417"/>
      <c r="Q532" s="1418"/>
    </row>
    <row r="533" spans="1:17" ht="15" customHeight="1">
      <c r="A533" s="981"/>
      <c r="B533" s="981"/>
      <c r="C533" s="1016"/>
      <c r="D533" s="952"/>
      <c r="E533" s="981"/>
      <c r="F533" s="952"/>
      <c r="G533" s="981"/>
      <c r="H533" s="981"/>
      <c r="I533" s="981"/>
      <c r="J533" s="981"/>
      <c r="K533" s="981"/>
      <c r="O533" s="981"/>
      <c r="P533" s="1417"/>
      <c r="Q533" s="1418"/>
    </row>
    <row r="534" spans="1:17" ht="15" customHeight="1">
      <c r="A534" s="981"/>
      <c r="B534" s="981"/>
      <c r="C534" s="1016"/>
      <c r="D534" s="952"/>
      <c r="E534" s="981"/>
      <c r="F534" s="952"/>
      <c r="G534" s="981"/>
      <c r="H534" s="981"/>
      <c r="I534" s="981"/>
      <c r="J534" s="981"/>
      <c r="K534" s="981"/>
      <c r="O534" s="981"/>
      <c r="P534" s="1417"/>
      <c r="Q534" s="1418"/>
    </row>
    <row r="535" spans="1:17" ht="15" customHeight="1">
      <c r="A535" s="981"/>
      <c r="B535" s="981"/>
      <c r="C535" s="1016"/>
      <c r="D535" s="952"/>
      <c r="E535" s="981"/>
      <c r="F535" s="952"/>
      <c r="G535" s="981"/>
      <c r="H535" s="981"/>
      <c r="I535" s="981"/>
      <c r="J535" s="981"/>
      <c r="K535" s="981"/>
      <c r="O535" s="981"/>
      <c r="P535" s="1417"/>
      <c r="Q535" s="1418"/>
    </row>
    <row r="536" spans="1:17" ht="15" customHeight="1">
      <c r="A536" s="981"/>
      <c r="B536" s="981"/>
      <c r="C536" s="1016"/>
      <c r="D536" s="952"/>
      <c r="E536" s="981"/>
      <c r="F536" s="952"/>
      <c r="G536" s="981"/>
      <c r="H536" s="981"/>
      <c r="I536" s="981"/>
      <c r="J536" s="981"/>
      <c r="K536" s="981"/>
      <c r="O536" s="981"/>
      <c r="P536" s="1417"/>
      <c r="Q536" s="1418"/>
    </row>
    <row r="537" spans="1:17" ht="15" customHeight="1">
      <c r="A537" s="981"/>
      <c r="B537" s="981"/>
      <c r="C537" s="1016"/>
      <c r="D537" s="952"/>
      <c r="E537" s="981"/>
      <c r="F537" s="952"/>
      <c r="G537" s="981"/>
      <c r="H537" s="981"/>
      <c r="I537" s="981"/>
      <c r="J537" s="981"/>
      <c r="K537" s="981"/>
      <c r="O537" s="981"/>
      <c r="P537" s="981"/>
      <c r="Q537" s="1410"/>
    </row>
    <row r="538" spans="1:17" ht="15" customHeight="1">
      <c r="A538" s="981"/>
      <c r="B538" s="981"/>
      <c r="C538" s="1016"/>
      <c r="D538" s="952"/>
      <c r="E538" s="981"/>
      <c r="F538" s="952"/>
      <c r="G538" s="981"/>
      <c r="H538" s="981"/>
      <c r="I538" s="981"/>
      <c r="J538" s="981"/>
      <c r="K538" s="981"/>
      <c r="O538" s="981"/>
      <c r="P538" s="981"/>
      <c r="Q538" s="92"/>
    </row>
    <row r="539" spans="1:17" ht="15" customHeight="1">
      <c r="A539" s="981"/>
      <c r="B539" s="981"/>
      <c r="C539" s="1016"/>
      <c r="D539" s="952"/>
      <c r="E539" s="981"/>
      <c r="F539" s="952"/>
      <c r="G539" s="981"/>
      <c r="H539" s="981"/>
      <c r="I539" s="981"/>
      <c r="J539" s="981"/>
      <c r="K539" s="981"/>
      <c r="O539" s="981"/>
      <c r="P539" s="981"/>
      <c r="Q539" s="92"/>
    </row>
    <row r="540" spans="1:17" ht="15" customHeight="1">
      <c r="A540" s="981"/>
      <c r="B540" s="981"/>
      <c r="C540" s="1016"/>
      <c r="D540" s="952"/>
      <c r="E540" s="981"/>
      <c r="F540" s="952"/>
      <c r="G540" s="981"/>
      <c r="H540" s="981"/>
      <c r="I540" s="981"/>
      <c r="J540" s="981"/>
      <c r="K540" s="981"/>
      <c r="O540" s="981"/>
      <c r="P540" s="981"/>
      <c r="Q540" s="92"/>
    </row>
    <row r="541" spans="1:17" ht="15" customHeight="1">
      <c r="A541" s="981"/>
      <c r="B541" s="981"/>
      <c r="C541" s="1016"/>
      <c r="D541" s="952"/>
      <c r="E541" s="981"/>
      <c r="F541" s="952"/>
      <c r="G541" s="981"/>
      <c r="H541" s="981"/>
      <c r="I541" s="981"/>
      <c r="J541" s="981"/>
      <c r="K541" s="981"/>
      <c r="O541" s="981"/>
      <c r="P541" s="981"/>
      <c r="Q541" s="92"/>
    </row>
    <row r="542" spans="1:17" ht="15" customHeight="1">
      <c r="A542" s="981"/>
      <c r="B542" s="981"/>
      <c r="C542" s="1016"/>
      <c r="D542" s="952"/>
      <c r="E542" s="981"/>
      <c r="F542" s="952"/>
      <c r="G542" s="981"/>
      <c r="H542" s="981"/>
      <c r="I542" s="981"/>
      <c r="J542" s="981"/>
      <c r="K542" s="981"/>
      <c r="O542" s="981"/>
      <c r="P542" s="981"/>
      <c r="Q542" s="92"/>
    </row>
    <row r="543" spans="1:17" ht="15" customHeight="1">
      <c r="A543" s="981"/>
      <c r="B543" s="981"/>
      <c r="C543" s="1016"/>
      <c r="D543" s="952"/>
      <c r="E543" s="981"/>
      <c r="F543" s="952"/>
      <c r="G543" s="981"/>
      <c r="H543" s="981"/>
      <c r="I543" s="981"/>
      <c r="J543" s="981"/>
      <c r="K543" s="981"/>
      <c r="O543" s="981"/>
      <c r="P543" s="981"/>
      <c r="Q543" s="92"/>
    </row>
    <row r="544" spans="1:17" ht="15" customHeight="1">
      <c r="A544" s="981"/>
      <c r="B544" s="981"/>
      <c r="C544" s="1016"/>
      <c r="D544" s="952"/>
      <c r="E544" s="981"/>
      <c r="F544" s="952"/>
      <c r="G544" s="981"/>
      <c r="H544" s="981"/>
      <c r="I544" s="981"/>
      <c r="J544" s="981"/>
      <c r="K544" s="981"/>
      <c r="O544" s="981"/>
      <c r="P544" s="981"/>
      <c r="Q544" s="92"/>
    </row>
    <row r="545" spans="1:17" ht="15" customHeight="1">
      <c r="A545" s="981"/>
      <c r="B545" s="981"/>
      <c r="C545" s="1016"/>
      <c r="D545" s="952"/>
      <c r="E545" s="981"/>
      <c r="F545" s="952"/>
      <c r="G545" s="981"/>
      <c r="H545" s="981"/>
      <c r="I545" s="981"/>
      <c r="J545" s="981"/>
      <c r="K545" s="981"/>
      <c r="O545" s="981"/>
      <c r="P545" s="981"/>
      <c r="Q545" s="92"/>
    </row>
    <row r="546" spans="1:17" ht="15" customHeight="1">
      <c r="A546" s="981"/>
      <c r="B546" s="981"/>
      <c r="C546" s="1016"/>
      <c r="D546" s="952"/>
      <c r="E546" s="981"/>
      <c r="F546" s="952"/>
      <c r="G546" s="981"/>
      <c r="H546" s="981"/>
      <c r="I546" s="981"/>
      <c r="J546" s="981"/>
      <c r="K546" s="981"/>
      <c r="O546" s="981"/>
      <c r="P546" s="981"/>
      <c r="Q546" s="92"/>
    </row>
    <row r="547" spans="1:17" ht="15" customHeight="1">
      <c r="A547" s="981"/>
      <c r="B547" s="981"/>
      <c r="C547" s="1016"/>
      <c r="D547" s="952"/>
      <c r="E547" s="981"/>
      <c r="F547" s="952"/>
      <c r="G547" s="981"/>
      <c r="H547" s="981"/>
      <c r="I547" s="981"/>
      <c r="J547" s="981"/>
      <c r="K547" s="981"/>
      <c r="O547" s="981"/>
      <c r="P547" s="981"/>
      <c r="Q547" s="92"/>
    </row>
    <row r="548" spans="1:17" ht="15" customHeight="1">
      <c r="A548" s="981"/>
      <c r="B548" s="981"/>
      <c r="C548" s="1016"/>
      <c r="D548" s="952"/>
      <c r="E548" s="981"/>
      <c r="F548" s="952"/>
      <c r="G548" s="981"/>
      <c r="H548" s="981"/>
      <c r="I548" s="981"/>
      <c r="J548" s="981"/>
      <c r="K548" s="981"/>
      <c r="O548" s="981"/>
      <c r="P548" s="981"/>
      <c r="Q548" s="92"/>
    </row>
    <row r="549" spans="1:17" ht="15" customHeight="1">
      <c r="A549" s="981"/>
      <c r="B549" s="981"/>
      <c r="C549" s="1016"/>
      <c r="D549" s="952"/>
      <c r="E549" s="981"/>
      <c r="F549" s="952"/>
      <c r="G549" s="981"/>
      <c r="H549" s="981"/>
      <c r="I549" s="981"/>
      <c r="J549" s="981"/>
      <c r="K549" s="981"/>
      <c r="O549" s="981"/>
      <c r="P549" s="981"/>
      <c r="Q549" s="92"/>
    </row>
    <row r="550" spans="1:17" ht="15" customHeight="1">
      <c r="A550" s="981"/>
      <c r="B550" s="981"/>
      <c r="C550" s="1016"/>
      <c r="D550" s="952"/>
      <c r="E550" s="981"/>
      <c r="F550" s="952"/>
      <c r="G550" s="981"/>
      <c r="H550" s="981"/>
      <c r="I550" s="981"/>
      <c r="J550" s="981"/>
      <c r="K550" s="981"/>
      <c r="O550" s="981"/>
      <c r="P550" s="981"/>
      <c r="Q550" s="92"/>
    </row>
    <row r="551" spans="1:17" ht="15" customHeight="1">
      <c r="A551" s="981"/>
      <c r="B551" s="981"/>
      <c r="C551" s="1016"/>
      <c r="D551" s="952"/>
      <c r="E551" s="981"/>
      <c r="F551" s="952"/>
      <c r="G551" s="981"/>
      <c r="H551" s="981"/>
      <c r="I551" s="981"/>
      <c r="J551" s="981"/>
      <c r="K551" s="981"/>
      <c r="O551" s="981"/>
      <c r="P551" s="981"/>
      <c r="Q551" s="92"/>
    </row>
    <row r="552" spans="1:17" ht="15" customHeight="1">
      <c r="A552" s="981"/>
      <c r="B552" s="981"/>
      <c r="C552" s="1016"/>
      <c r="D552" s="952"/>
      <c r="E552" s="981"/>
      <c r="F552" s="952"/>
      <c r="G552" s="981"/>
      <c r="H552" s="981"/>
      <c r="I552" s="981"/>
      <c r="J552" s="981"/>
      <c r="K552" s="981"/>
      <c r="O552" s="981"/>
      <c r="P552" s="981"/>
      <c r="Q552" s="92"/>
    </row>
    <row r="553" spans="1:17" ht="15" customHeight="1">
      <c r="A553" s="981"/>
      <c r="B553" s="981"/>
      <c r="C553" s="1016"/>
      <c r="D553" s="952"/>
      <c r="E553" s="981"/>
      <c r="F553" s="952"/>
      <c r="G553" s="981"/>
      <c r="H553" s="981"/>
      <c r="I553" s="981"/>
      <c r="J553" s="981"/>
      <c r="K553" s="981"/>
      <c r="O553" s="981"/>
      <c r="P553" s="981"/>
      <c r="Q553" s="92"/>
    </row>
    <row r="554" spans="1:17" ht="15" customHeight="1">
      <c r="A554" s="981"/>
      <c r="B554" s="981"/>
      <c r="C554" s="1016"/>
      <c r="D554" s="952"/>
      <c r="E554" s="981"/>
      <c r="F554" s="952"/>
      <c r="G554" s="981"/>
      <c r="H554" s="981"/>
      <c r="I554" s="981"/>
      <c r="J554" s="981"/>
      <c r="K554" s="981"/>
      <c r="O554" s="981"/>
      <c r="P554" s="981"/>
      <c r="Q554" s="92"/>
    </row>
    <row r="555" spans="1:17" ht="15" customHeight="1">
      <c r="A555" s="981"/>
      <c r="B555" s="981"/>
      <c r="C555" s="1016"/>
      <c r="D555" s="952"/>
      <c r="E555" s="981"/>
      <c r="F555" s="952"/>
      <c r="G555" s="981"/>
      <c r="H555" s="981"/>
      <c r="I555" s="981"/>
      <c r="J555" s="981"/>
      <c r="K555" s="981"/>
      <c r="O555" s="981"/>
      <c r="P555" s="981"/>
      <c r="Q555" s="92"/>
    </row>
    <row r="556" spans="1:17" ht="15" customHeight="1">
      <c r="A556" s="981"/>
      <c r="B556" s="981"/>
      <c r="C556" s="1016"/>
      <c r="D556" s="952"/>
      <c r="E556" s="981"/>
      <c r="F556" s="952"/>
      <c r="G556" s="981"/>
      <c r="H556" s="981"/>
      <c r="I556" s="981"/>
      <c r="J556" s="981"/>
      <c r="K556" s="981"/>
      <c r="O556" s="981"/>
      <c r="P556" s="981"/>
      <c r="Q556" s="92"/>
    </row>
    <row r="557" spans="1:17" ht="15" customHeight="1">
      <c r="A557" s="981"/>
      <c r="B557" s="981"/>
      <c r="C557" s="1016"/>
      <c r="D557" s="952"/>
      <c r="E557" s="981"/>
      <c r="F557" s="952"/>
      <c r="G557" s="981"/>
      <c r="H557" s="981"/>
      <c r="I557" s="981"/>
      <c r="J557" s="981"/>
      <c r="K557" s="981"/>
      <c r="O557" s="981"/>
      <c r="P557" s="981"/>
      <c r="Q557" s="92"/>
    </row>
    <row r="558" spans="1:17" ht="15" customHeight="1">
      <c r="A558" s="981"/>
      <c r="B558" s="981"/>
      <c r="C558" s="1016"/>
      <c r="D558" s="952"/>
      <c r="E558" s="981"/>
      <c r="F558" s="952"/>
      <c r="G558" s="981"/>
      <c r="H558" s="981"/>
      <c r="I558" s="981"/>
      <c r="J558" s="981"/>
      <c r="K558" s="981"/>
      <c r="O558" s="981"/>
      <c r="P558" s="981"/>
      <c r="Q558" s="92"/>
    </row>
    <row r="559" spans="1:17" ht="15" customHeight="1">
      <c r="A559" s="981"/>
      <c r="B559" s="981"/>
      <c r="C559" s="1016"/>
      <c r="D559" s="952"/>
      <c r="E559" s="981"/>
      <c r="F559" s="952"/>
      <c r="G559" s="981"/>
      <c r="H559" s="981"/>
      <c r="I559" s="981"/>
      <c r="J559" s="981"/>
      <c r="K559" s="981"/>
      <c r="O559" s="981"/>
      <c r="P559" s="981"/>
      <c r="Q559" s="92"/>
    </row>
    <row r="560" spans="1:17" ht="15" customHeight="1">
      <c r="A560" s="981"/>
      <c r="B560" s="981"/>
      <c r="C560" s="1016"/>
      <c r="D560" s="952"/>
      <c r="E560" s="981"/>
      <c r="F560" s="952"/>
      <c r="G560" s="981"/>
      <c r="H560" s="981"/>
      <c r="I560" s="981"/>
      <c r="J560" s="981"/>
      <c r="K560" s="981"/>
      <c r="O560" s="981"/>
      <c r="P560" s="981"/>
      <c r="Q560" s="92"/>
    </row>
    <row r="561" spans="1:17" ht="15" customHeight="1">
      <c r="A561" s="981"/>
      <c r="B561" s="981"/>
      <c r="C561" s="1016"/>
      <c r="D561" s="952"/>
      <c r="E561" s="981"/>
      <c r="F561" s="952"/>
      <c r="G561" s="981"/>
      <c r="H561" s="981"/>
      <c r="I561" s="981"/>
      <c r="J561" s="981"/>
      <c r="K561" s="981"/>
      <c r="O561" s="981"/>
      <c r="P561" s="981"/>
      <c r="Q561" s="92"/>
    </row>
    <row r="562" spans="1:17" ht="15" customHeight="1">
      <c r="A562" s="981"/>
      <c r="B562" s="981"/>
      <c r="C562" s="1016"/>
      <c r="D562" s="952"/>
      <c r="E562" s="981"/>
      <c r="F562" s="952"/>
      <c r="G562" s="981"/>
      <c r="H562" s="981"/>
      <c r="I562" s="981"/>
      <c r="J562" s="981"/>
      <c r="K562" s="981"/>
      <c r="O562" s="981"/>
      <c r="P562" s="981"/>
      <c r="Q562" s="92"/>
    </row>
    <row r="563" spans="1:17" ht="15" customHeight="1">
      <c r="A563" s="981"/>
      <c r="B563" s="981"/>
      <c r="C563" s="1016"/>
      <c r="D563" s="952"/>
      <c r="E563" s="981"/>
      <c r="F563" s="952"/>
      <c r="G563" s="981"/>
      <c r="H563" s="981"/>
      <c r="I563" s="981"/>
      <c r="J563" s="981"/>
      <c r="K563" s="981"/>
      <c r="O563" s="981"/>
      <c r="P563" s="981"/>
      <c r="Q563" s="92"/>
    </row>
    <row r="564" spans="1:17" ht="15" customHeight="1">
      <c r="A564" s="981"/>
      <c r="B564" s="981"/>
      <c r="C564" s="1016"/>
      <c r="D564" s="952"/>
      <c r="E564" s="981"/>
      <c r="F564" s="952"/>
      <c r="G564" s="981"/>
      <c r="H564" s="981"/>
      <c r="I564" s="981"/>
      <c r="J564" s="981"/>
      <c r="K564" s="981"/>
      <c r="O564" s="981"/>
      <c r="P564" s="981"/>
      <c r="Q564" s="92"/>
    </row>
    <row r="565" spans="1:17" ht="15" customHeight="1">
      <c r="A565" s="981"/>
      <c r="B565" s="981"/>
      <c r="C565" s="1016"/>
      <c r="D565" s="952"/>
      <c r="E565" s="981"/>
      <c r="F565" s="952"/>
      <c r="G565" s="981"/>
      <c r="H565" s="981"/>
      <c r="I565" s="981"/>
      <c r="J565" s="981"/>
      <c r="K565" s="981"/>
      <c r="O565" s="981"/>
      <c r="P565" s="981"/>
      <c r="Q565" s="92"/>
    </row>
    <row r="566" spans="1:17" ht="15" customHeight="1">
      <c r="A566" s="981"/>
      <c r="B566" s="981"/>
      <c r="C566" s="1016"/>
      <c r="D566" s="952"/>
      <c r="E566" s="981"/>
      <c r="F566" s="952"/>
      <c r="G566" s="981"/>
      <c r="H566" s="981"/>
      <c r="I566" s="981"/>
      <c r="J566" s="981"/>
      <c r="K566" s="981"/>
      <c r="O566" s="981"/>
      <c r="P566" s="981"/>
      <c r="Q566" s="92"/>
    </row>
    <row r="567" spans="1:17" ht="15" customHeight="1">
      <c r="A567" s="981"/>
      <c r="B567" s="981"/>
      <c r="C567" s="1016"/>
      <c r="D567" s="952"/>
      <c r="E567" s="981"/>
      <c r="F567" s="952"/>
      <c r="G567" s="981"/>
      <c r="H567" s="981"/>
      <c r="I567" s="981"/>
      <c r="J567" s="981"/>
      <c r="K567" s="981"/>
      <c r="O567" s="981"/>
      <c r="P567" s="981"/>
      <c r="Q567" s="92"/>
    </row>
    <row r="568" spans="1:17" ht="15" customHeight="1">
      <c r="A568" s="981"/>
      <c r="B568" s="981"/>
      <c r="C568" s="1016"/>
      <c r="D568" s="952"/>
      <c r="E568" s="981"/>
      <c r="F568" s="952"/>
      <c r="G568" s="981"/>
      <c r="H568" s="981"/>
      <c r="I568" s="981"/>
      <c r="J568" s="981"/>
      <c r="K568" s="981"/>
      <c r="O568" s="981"/>
      <c r="P568" s="981"/>
      <c r="Q568" s="92"/>
    </row>
    <row r="569" spans="1:17" ht="15" customHeight="1">
      <c r="A569" s="981"/>
      <c r="B569" s="981"/>
      <c r="C569" s="1016"/>
      <c r="D569" s="952"/>
      <c r="E569" s="981"/>
      <c r="F569" s="952"/>
      <c r="G569" s="981"/>
      <c r="H569" s="981"/>
      <c r="I569" s="981"/>
      <c r="J569" s="981"/>
      <c r="K569" s="981"/>
      <c r="O569" s="981"/>
      <c r="P569" s="981"/>
      <c r="Q569" s="92"/>
    </row>
    <row r="570" spans="1:17" ht="15" customHeight="1">
      <c r="A570" s="981"/>
      <c r="B570" s="981"/>
      <c r="C570" s="1016"/>
      <c r="D570" s="952"/>
      <c r="E570" s="981"/>
      <c r="F570" s="952"/>
      <c r="G570" s="981"/>
      <c r="H570" s="981"/>
      <c r="I570" s="981"/>
      <c r="J570" s="981"/>
      <c r="K570" s="981"/>
      <c r="O570" s="981"/>
      <c r="P570" s="981"/>
      <c r="Q570" s="92"/>
    </row>
    <row r="571" spans="1:17" ht="15" customHeight="1">
      <c r="A571" s="981"/>
      <c r="B571" s="981"/>
      <c r="C571" s="1016"/>
      <c r="D571" s="952"/>
      <c r="E571" s="981"/>
      <c r="F571" s="952"/>
      <c r="G571" s="981"/>
      <c r="H571" s="981"/>
      <c r="I571" s="981"/>
      <c r="J571" s="981"/>
      <c r="K571" s="981"/>
      <c r="O571" s="981"/>
      <c r="P571" s="981"/>
      <c r="Q571" s="92"/>
    </row>
    <row r="572" spans="1:17" ht="15" customHeight="1">
      <c r="A572" s="981"/>
      <c r="B572" s="981"/>
      <c r="C572" s="1016"/>
      <c r="D572" s="952"/>
      <c r="E572" s="981"/>
      <c r="F572" s="952"/>
      <c r="G572" s="981"/>
      <c r="H572" s="981"/>
      <c r="I572" s="981"/>
      <c r="J572" s="981"/>
      <c r="K572" s="981"/>
      <c r="O572" s="981"/>
      <c r="P572" s="981"/>
      <c r="Q572" s="92"/>
    </row>
    <row r="573" spans="1:17" ht="15" customHeight="1">
      <c r="A573" s="981"/>
      <c r="B573" s="981"/>
      <c r="C573" s="1016"/>
      <c r="D573" s="952"/>
      <c r="E573" s="981"/>
      <c r="F573" s="952"/>
      <c r="G573" s="981"/>
      <c r="H573" s="981"/>
      <c r="I573" s="981"/>
      <c r="J573" s="981"/>
      <c r="K573" s="981"/>
      <c r="O573" s="981"/>
      <c r="P573" s="981"/>
      <c r="Q573" s="92"/>
    </row>
    <row r="574" spans="1:17" ht="15" customHeight="1">
      <c r="A574" s="981"/>
      <c r="B574" s="981"/>
      <c r="C574" s="1016"/>
      <c r="D574" s="952"/>
      <c r="E574" s="981"/>
      <c r="F574" s="952"/>
      <c r="G574" s="981"/>
      <c r="H574" s="981"/>
      <c r="I574" s="981"/>
      <c r="J574" s="981"/>
      <c r="K574" s="981"/>
      <c r="O574" s="981"/>
      <c r="P574" s="981"/>
      <c r="Q574" s="92"/>
    </row>
    <row r="575" spans="1:17" ht="15" customHeight="1">
      <c r="A575" s="981"/>
      <c r="B575" s="981"/>
      <c r="C575" s="1016"/>
      <c r="D575" s="952"/>
      <c r="E575" s="981"/>
      <c r="F575" s="952"/>
      <c r="G575" s="981"/>
      <c r="H575" s="981"/>
      <c r="I575" s="981"/>
      <c r="J575" s="981"/>
      <c r="K575" s="981"/>
      <c r="O575" s="981"/>
      <c r="P575" s="981"/>
      <c r="Q575" s="92"/>
    </row>
    <row r="576" spans="1:17" ht="15" customHeight="1">
      <c r="A576" s="981"/>
      <c r="B576" s="981"/>
      <c r="C576" s="1016"/>
      <c r="D576" s="952"/>
      <c r="E576" s="981"/>
      <c r="F576" s="952"/>
      <c r="G576" s="981"/>
      <c r="H576" s="981"/>
      <c r="I576" s="981"/>
      <c r="J576" s="981"/>
      <c r="K576" s="981"/>
      <c r="O576" s="981"/>
      <c r="P576" s="981"/>
      <c r="Q576" s="92"/>
    </row>
    <row r="577" spans="1:17" ht="15" customHeight="1">
      <c r="A577" s="981"/>
      <c r="B577" s="981"/>
      <c r="C577" s="1016"/>
      <c r="D577" s="952"/>
      <c r="E577" s="981"/>
      <c r="F577" s="952"/>
      <c r="G577" s="981"/>
      <c r="H577" s="981"/>
      <c r="I577" s="981"/>
      <c r="J577" s="981"/>
      <c r="K577" s="981"/>
      <c r="O577" s="981"/>
      <c r="P577" s="981"/>
      <c r="Q577" s="92"/>
    </row>
    <row r="578" spans="1:17" ht="15" customHeight="1">
      <c r="A578" s="981"/>
      <c r="B578" s="981"/>
      <c r="C578" s="1016"/>
      <c r="D578" s="952"/>
      <c r="E578" s="981"/>
      <c r="F578" s="952"/>
      <c r="G578" s="981"/>
      <c r="H578" s="981"/>
      <c r="I578" s="981"/>
      <c r="J578" s="981"/>
      <c r="K578" s="981"/>
      <c r="O578" s="981"/>
      <c r="P578" s="981"/>
      <c r="Q578" s="92"/>
    </row>
    <row r="579" spans="1:17" ht="15" customHeight="1">
      <c r="A579" s="981"/>
      <c r="B579" s="981"/>
      <c r="C579" s="1016"/>
      <c r="D579" s="952"/>
      <c r="E579" s="981"/>
      <c r="F579" s="952"/>
      <c r="G579" s="981"/>
      <c r="H579" s="981"/>
      <c r="I579" s="981"/>
      <c r="J579" s="981"/>
      <c r="K579" s="981"/>
      <c r="O579" s="981"/>
      <c r="P579" s="981"/>
      <c r="Q579" s="92"/>
    </row>
    <row r="580" spans="1:17" ht="15" customHeight="1">
      <c r="A580" s="981"/>
      <c r="B580" s="981"/>
      <c r="C580" s="1016"/>
      <c r="D580" s="952"/>
      <c r="E580" s="981"/>
      <c r="F580" s="952"/>
      <c r="G580" s="981"/>
      <c r="H580" s="981"/>
      <c r="I580" s="981"/>
      <c r="J580" s="981"/>
      <c r="K580" s="981"/>
      <c r="O580" s="981"/>
      <c r="P580" s="981"/>
      <c r="Q580" s="92"/>
    </row>
    <row r="581" spans="1:17" ht="15" customHeight="1">
      <c r="A581" s="981"/>
      <c r="B581" s="981"/>
      <c r="C581" s="1016"/>
      <c r="D581" s="952"/>
      <c r="E581" s="981"/>
      <c r="F581" s="952"/>
      <c r="G581" s="981"/>
      <c r="H581" s="981"/>
      <c r="I581" s="981"/>
      <c r="J581" s="981"/>
      <c r="K581" s="981"/>
      <c r="O581" s="981"/>
      <c r="P581" s="981"/>
      <c r="Q581" s="92"/>
    </row>
    <row r="582" spans="1:17" ht="15" customHeight="1">
      <c r="A582" s="981"/>
      <c r="B582" s="981"/>
      <c r="C582" s="1016"/>
      <c r="D582" s="952"/>
      <c r="E582" s="981"/>
      <c r="F582" s="952"/>
      <c r="G582" s="981"/>
      <c r="H582" s="981"/>
      <c r="I582" s="981"/>
      <c r="J582" s="981"/>
      <c r="K582" s="981"/>
      <c r="O582" s="981"/>
      <c r="P582" s="981"/>
      <c r="Q582" s="92"/>
    </row>
    <row r="583" spans="1:17" ht="15" customHeight="1">
      <c r="A583" s="981"/>
      <c r="B583" s="981"/>
      <c r="C583" s="1016"/>
      <c r="D583" s="952"/>
      <c r="E583" s="981"/>
      <c r="F583" s="952"/>
      <c r="G583" s="981"/>
      <c r="H583" s="981"/>
      <c r="I583" s="981"/>
      <c r="J583" s="981"/>
      <c r="K583" s="981"/>
      <c r="O583" s="981"/>
      <c r="P583" s="981"/>
      <c r="Q583" s="92"/>
    </row>
    <row r="584" spans="1:17" ht="15" customHeight="1">
      <c r="A584" s="981"/>
      <c r="B584" s="981"/>
      <c r="C584" s="1016"/>
      <c r="D584" s="952"/>
      <c r="E584" s="981"/>
      <c r="F584" s="952"/>
      <c r="G584" s="981"/>
      <c r="H584" s="981"/>
      <c r="I584" s="981"/>
      <c r="J584" s="981"/>
      <c r="K584" s="981"/>
      <c r="O584" s="981"/>
      <c r="P584" s="981"/>
      <c r="Q584" s="92"/>
    </row>
    <row r="585" spans="1:17" ht="15" customHeight="1">
      <c r="A585" s="981"/>
      <c r="B585" s="981"/>
      <c r="C585" s="1016"/>
      <c r="D585" s="952"/>
      <c r="E585" s="981"/>
      <c r="F585" s="952"/>
      <c r="G585" s="981"/>
      <c r="H585" s="981"/>
      <c r="I585" s="981"/>
      <c r="J585" s="981"/>
      <c r="K585" s="981"/>
      <c r="O585" s="981"/>
      <c r="P585" s="981"/>
      <c r="Q585" s="92"/>
    </row>
    <row r="586" spans="1:17" ht="15" customHeight="1">
      <c r="A586" s="981"/>
      <c r="B586" s="981"/>
      <c r="C586" s="1016"/>
      <c r="D586" s="952"/>
      <c r="E586" s="981"/>
      <c r="F586" s="952"/>
      <c r="G586" s="981"/>
      <c r="H586" s="981"/>
      <c r="I586" s="981"/>
      <c r="J586" s="981"/>
      <c r="K586" s="981"/>
      <c r="O586" s="981"/>
      <c r="P586" s="981"/>
      <c r="Q586" s="92"/>
    </row>
    <row r="587" spans="1:17" ht="15" customHeight="1">
      <c r="A587" s="981"/>
      <c r="B587" s="981"/>
      <c r="C587" s="1016"/>
      <c r="D587" s="952"/>
      <c r="E587" s="981"/>
      <c r="F587" s="952"/>
      <c r="G587" s="981"/>
      <c r="H587" s="981"/>
      <c r="I587" s="981"/>
      <c r="J587" s="981"/>
      <c r="K587" s="981"/>
      <c r="O587" s="981"/>
      <c r="P587" s="981"/>
      <c r="Q587" s="92"/>
    </row>
    <row r="588" spans="1:17" ht="15" customHeight="1">
      <c r="A588" s="981"/>
      <c r="B588" s="981"/>
      <c r="C588" s="1016"/>
      <c r="D588" s="952"/>
      <c r="E588" s="981"/>
      <c r="F588" s="952"/>
      <c r="G588" s="981"/>
      <c r="H588" s="981"/>
      <c r="I588" s="981"/>
      <c r="J588" s="981"/>
      <c r="K588" s="981"/>
      <c r="O588" s="981"/>
      <c r="P588" s="981"/>
      <c r="Q588" s="92"/>
    </row>
    <row r="589" spans="1:17" ht="15" customHeight="1">
      <c r="A589" s="981"/>
      <c r="B589" s="981"/>
      <c r="C589" s="1016"/>
      <c r="D589" s="952"/>
      <c r="E589" s="981"/>
      <c r="F589" s="952"/>
      <c r="G589" s="981"/>
      <c r="H589" s="981"/>
      <c r="I589" s="981"/>
      <c r="J589" s="981"/>
      <c r="K589" s="981"/>
      <c r="O589" s="981"/>
      <c r="P589" s="981"/>
      <c r="Q589" s="92"/>
    </row>
    <row r="590" spans="1:17" ht="15" customHeight="1">
      <c r="A590" s="981"/>
      <c r="B590" s="981"/>
      <c r="C590" s="1016"/>
      <c r="D590" s="952"/>
      <c r="E590" s="981"/>
      <c r="F590" s="952"/>
      <c r="G590" s="981"/>
      <c r="H590" s="981"/>
      <c r="I590" s="981"/>
      <c r="J590" s="981"/>
      <c r="K590" s="981"/>
      <c r="O590" s="981"/>
      <c r="P590" s="981"/>
      <c r="Q590" s="92"/>
    </row>
    <row r="591" spans="1:17" ht="15" customHeight="1">
      <c r="A591" s="981"/>
      <c r="B591" s="981"/>
      <c r="C591" s="1016"/>
      <c r="D591" s="952"/>
      <c r="E591" s="981"/>
      <c r="F591" s="952"/>
      <c r="G591" s="981"/>
      <c r="H591" s="981"/>
      <c r="I591" s="981"/>
      <c r="J591" s="981"/>
      <c r="K591" s="981"/>
      <c r="O591" s="981"/>
      <c r="P591" s="981"/>
      <c r="Q591" s="92"/>
    </row>
    <row r="592" spans="1:17" ht="15" customHeight="1">
      <c r="A592" s="981"/>
      <c r="B592" s="981"/>
      <c r="C592" s="1016"/>
      <c r="D592" s="952"/>
      <c r="E592" s="981"/>
      <c r="F592" s="952"/>
      <c r="G592" s="981"/>
      <c r="H592" s="981"/>
      <c r="I592" s="981"/>
      <c r="J592" s="981"/>
      <c r="K592" s="981"/>
      <c r="O592" s="981"/>
      <c r="P592" s="981"/>
      <c r="Q592" s="92"/>
    </row>
    <row r="593" spans="1:17" ht="15" customHeight="1">
      <c r="A593" s="981"/>
      <c r="B593" s="981"/>
      <c r="C593" s="1016"/>
      <c r="D593" s="952"/>
      <c r="E593" s="981"/>
      <c r="F593" s="952"/>
      <c r="G593" s="981"/>
      <c r="H593" s="981"/>
      <c r="I593" s="981"/>
      <c r="J593" s="981"/>
      <c r="K593" s="981"/>
      <c r="O593" s="981"/>
      <c r="P593" s="981"/>
      <c r="Q593" s="92"/>
    </row>
    <row r="594" spans="1:17" ht="15" customHeight="1">
      <c r="A594" s="981"/>
      <c r="B594" s="981"/>
      <c r="C594" s="1016"/>
      <c r="D594" s="952"/>
      <c r="E594" s="981"/>
      <c r="F594" s="952"/>
      <c r="G594" s="981"/>
      <c r="H594" s="981"/>
      <c r="I594" s="981"/>
      <c r="J594" s="981"/>
      <c r="K594" s="981"/>
      <c r="O594" s="981"/>
      <c r="P594" s="981"/>
      <c r="Q594" s="92"/>
    </row>
    <row r="595" spans="1:17" ht="15" customHeight="1">
      <c r="A595" s="981"/>
      <c r="B595" s="981"/>
      <c r="C595" s="1016"/>
      <c r="D595" s="952"/>
      <c r="E595" s="981"/>
      <c r="F595" s="952"/>
      <c r="G595" s="981"/>
      <c r="H595" s="981"/>
      <c r="I595" s="981"/>
      <c r="J595" s="981"/>
      <c r="K595" s="981"/>
      <c r="O595" s="981"/>
      <c r="P595" s="981"/>
      <c r="Q595" s="92"/>
    </row>
    <row r="596" spans="1:17" ht="15" customHeight="1">
      <c r="A596" s="981"/>
      <c r="B596" s="981"/>
      <c r="C596" s="1016"/>
      <c r="D596" s="952"/>
      <c r="E596" s="981"/>
      <c r="F596" s="952"/>
      <c r="G596" s="981"/>
      <c r="H596" s="981"/>
      <c r="I596" s="981"/>
      <c r="J596" s="981"/>
      <c r="K596" s="981"/>
      <c r="O596" s="981"/>
      <c r="P596" s="981"/>
      <c r="Q596" s="92"/>
    </row>
    <row r="597" spans="1:17" ht="15" customHeight="1">
      <c r="A597" s="981"/>
      <c r="B597" s="981"/>
      <c r="C597" s="1016"/>
      <c r="D597" s="952"/>
      <c r="E597" s="981"/>
      <c r="F597" s="952"/>
      <c r="G597" s="981"/>
      <c r="H597" s="981"/>
      <c r="I597" s="981"/>
      <c r="J597" s="981"/>
      <c r="K597" s="981"/>
      <c r="O597" s="981"/>
      <c r="P597" s="981"/>
      <c r="Q597" s="92"/>
    </row>
    <row r="598" spans="1:17" ht="15" customHeight="1">
      <c r="A598" s="981"/>
      <c r="B598" s="981"/>
      <c r="C598" s="1016"/>
      <c r="D598" s="952"/>
      <c r="E598" s="981"/>
      <c r="F598" s="952"/>
      <c r="G598" s="981"/>
      <c r="H598" s="981"/>
      <c r="I598" s="981"/>
      <c r="J598" s="981"/>
      <c r="K598" s="981"/>
      <c r="O598" s="981"/>
      <c r="P598" s="981"/>
      <c r="Q598" s="92"/>
    </row>
    <row r="599" spans="1:17" ht="15" customHeight="1">
      <c r="A599" s="981"/>
      <c r="B599" s="981"/>
      <c r="C599" s="1016"/>
      <c r="D599" s="952"/>
      <c r="E599" s="981"/>
      <c r="F599" s="952"/>
      <c r="G599" s="981"/>
      <c r="H599" s="981"/>
      <c r="I599" s="981"/>
      <c r="J599" s="981"/>
      <c r="K599" s="981"/>
      <c r="O599" s="981"/>
      <c r="P599" s="981"/>
      <c r="Q599" s="92"/>
    </row>
    <row r="600" spans="1:17" ht="15" customHeight="1">
      <c r="A600" s="981"/>
      <c r="B600" s="981"/>
      <c r="C600" s="1016"/>
      <c r="D600" s="952"/>
      <c r="E600" s="981"/>
      <c r="F600" s="952"/>
      <c r="G600" s="981"/>
      <c r="H600" s="981"/>
      <c r="I600" s="981"/>
      <c r="J600" s="981"/>
      <c r="K600" s="981"/>
      <c r="O600" s="981"/>
      <c r="P600" s="981"/>
      <c r="Q600" s="92"/>
    </row>
    <row r="601" spans="1:17" ht="15" customHeight="1">
      <c r="A601" s="981"/>
      <c r="B601" s="981"/>
      <c r="C601" s="1016"/>
      <c r="D601" s="952"/>
      <c r="E601" s="981"/>
      <c r="F601" s="952"/>
      <c r="G601" s="981"/>
      <c r="H601" s="981"/>
      <c r="I601" s="981"/>
      <c r="J601" s="981"/>
      <c r="K601" s="981"/>
      <c r="O601" s="981"/>
      <c r="P601" s="981"/>
      <c r="Q601" s="92"/>
    </row>
    <row r="602" spans="1:17" ht="15" customHeight="1">
      <c r="A602" s="981"/>
      <c r="B602" s="981"/>
      <c r="C602" s="1016"/>
      <c r="D602" s="952"/>
      <c r="E602" s="981"/>
      <c r="F602" s="952"/>
      <c r="G602" s="981"/>
      <c r="H602" s="981"/>
      <c r="I602" s="981"/>
      <c r="J602" s="981"/>
      <c r="K602" s="981"/>
      <c r="O602" s="981"/>
      <c r="P602" s="981"/>
      <c r="Q602" s="92"/>
    </row>
    <row r="603" spans="1:17" ht="15" customHeight="1">
      <c r="A603" s="981"/>
      <c r="B603" s="981"/>
      <c r="C603" s="1016"/>
      <c r="D603" s="952"/>
      <c r="E603" s="981"/>
      <c r="F603" s="952"/>
      <c r="G603" s="981"/>
      <c r="H603" s="981"/>
      <c r="I603" s="981"/>
      <c r="J603" s="981"/>
      <c r="K603" s="981"/>
      <c r="O603" s="981"/>
      <c r="P603" s="981"/>
      <c r="Q603" s="92"/>
    </row>
    <row r="604" spans="1:17" ht="15" customHeight="1">
      <c r="A604" s="981"/>
      <c r="B604" s="981"/>
      <c r="C604" s="1016"/>
      <c r="D604" s="952"/>
      <c r="E604" s="981"/>
      <c r="F604" s="952"/>
      <c r="G604" s="981"/>
      <c r="H604" s="981"/>
      <c r="I604" s="981"/>
      <c r="J604" s="981"/>
      <c r="K604" s="981"/>
      <c r="O604" s="981"/>
      <c r="P604" s="981"/>
      <c r="Q604" s="92"/>
    </row>
    <row r="605" spans="1:17" ht="15" customHeight="1">
      <c r="A605" s="981"/>
      <c r="B605" s="981"/>
      <c r="C605" s="1016"/>
      <c r="D605" s="952"/>
      <c r="E605" s="981"/>
      <c r="F605" s="952"/>
      <c r="G605" s="981"/>
      <c r="H605" s="981"/>
      <c r="I605" s="981"/>
      <c r="J605" s="981"/>
      <c r="K605" s="981"/>
      <c r="O605" s="981"/>
      <c r="P605" s="981"/>
      <c r="Q605" s="92"/>
    </row>
    <row r="606" spans="1:17" ht="15" customHeight="1">
      <c r="A606" s="981"/>
      <c r="B606" s="981"/>
      <c r="C606" s="1016"/>
      <c r="D606" s="952"/>
      <c r="E606" s="981"/>
      <c r="F606" s="952"/>
      <c r="G606" s="981"/>
      <c r="H606" s="981"/>
      <c r="I606" s="981"/>
      <c r="J606" s="981"/>
      <c r="K606" s="981"/>
      <c r="O606" s="981"/>
      <c r="P606" s="981"/>
      <c r="Q606" s="92"/>
    </row>
    <row r="607" spans="1:17" ht="15" customHeight="1">
      <c r="A607" s="981"/>
      <c r="B607" s="981"/>
      <c r="C607" s="1016"/>
      <c r="D607" s="952"/>
      <c r="E607" s="981"/>
      <c r="F607" s="952"/>
      <c r="G607" s="981"/>
      <c r="H607" s="981"/>
      <c r="I607" s="981"/>
      <c r="J607" s="981"/>
      <c r="K607" s="981"/>
      <c r="O607" s="981"/>
      <c r="P607" s="981"/>
      <c r="Q607" s="92"/>
    </row>
    <row r="608" spans="1:17" ht="15" customHeight="1">
      <c r="A608" s="981"/>
      <c r="B608" s="981"/>
      <c r="C608" s="1016"/>
      <c r="D608" s="952"/>
      <c r="E608" s="981"/>
      <c r="F608" s="952"/>
      <c r="G608" s="981"/>
      <c r="H608" s="981"/>
      <c r="I608" s="981"/>
      <c r="J608" s="981"/>
      <c r="K608" s="981"/>
      <c r="O608" s="981"/>
      <c r="P608" s="981"/>
      <c r="Q608" s="92"/>
    </row>
    <row r="609" spans="1:17" ht="15" customHeight="1">
      <c r="A609" s="981"/>
      <c r="B609" s="981"/>
      <c r="C609" s="1016"/>
      <c r="D609" s="952"/>
      <c r="E609" s="981"/>
      <c r="F609" s="952"/>
      <c r="G609" s="981"/>
      <c r="H609" s="981"/>
      <c r="I609" s="981"/>
      <c r="J609" s="981"/>
      <c r="K609" s="981"/>
      <c r="O609" s="981"/>
      <c r="P609" s="981"/>
      <c r="Q609" s="92"/>
    </row>
    <row r="610" spans="1:17" ht="15" customHeight="1">
      <c r="A610" s="981"/>
      <c r="B610" s="981"/>
      <c r="C610" s="1016"/>
      <c r="D610" s="952"/>
      <c r="E610" s="981"/>
      <c r="F610" s="952"/>
      <c r="G610" s="981"/>
      <c r="H610" s="981"/>
      <c r="I610" s="981"/>
      <c r="J610" s="981"/>
      <c r="K610" s="981"/>
      <c r="O610" s="981"/>
      <c r="P610" s="981"/>
      <c r="Q610" s="92"/>
    </row>
    <row r="611" spans="1:17" ht="15" customHeight="1">
      <c r="A611" s="981"/>
      <c r="B611" s="981"/>
      <c r="C611" s="1016"/>
      <c r="D611" s="952"/>
      <c r="E611" s="981"/>
      <c r="F611" s="952"/>
      <c r="G611" s="981"/>
      <c r="H611" s="981"/>
      <c r="I611" s="981"/>
      <c r="J611" s="981"/>
      <c r="K611" s="981"/>
      <c r="O611" s="981"/>
      <c r="P611" s="981"/>
      <c r="Q611" s="92"/>
    </row>
    <row r="612" spans="1:17" ht="15" customHeight="1">
      <c r="A612" s="981"/>
      <c r="B612" s="981"/>
      <c r="C612" s="1016"/>
      <c r="D612" s="952"/>
      <c r="E612" s="981"/>
      <c r="F612" s="952"/>
      <c r="G612" s="981"/>
      <c r="H612" s="981"/>
      <c r="I612" s="981"/>
      <c r="J612" s="981"/>
      <c r="K612" s="981"/>
      <c r="O612" s="981"/>
      <c r="P612" s="981"/>
      <c r="Q612" s="92"/>
    </row>
    <row r="613" spans="1:17" ht="15" customHeight="1">
      <c r="A613" s="981"/>
      <c r="B613" s="981"/>
      <c r="C613" s="1016"/>
      <c r="D613" s="952"/>
      <c r="E613" s="981"/>
      <c r="F613" s="952"/>
      <c r="G613" s="981"/>
      <c r="H613" s="981"/>
      <c r="I613" s="981"/>
      <c r="J613" s="981"/>
      <c r="K613" s="981"/>
      <c r="O613" s="981"/>
      <c r="P613" s="981"/>
      <c r="Q613" s="92"/>
    </row>
    <row r="614" spans="1:17" ht="15" customHeight="1">
      <c r="A614" s="981"/>
      <c r="B614" s="981"/>
      <c r="C614" s="1016"/>
      <c r="D614" s="952"/>
      <c r="E614" s="981"/>
      <c r="F614" s="952"/>
      <c r="G614" s="981"/>
      <c r="H614" s="981"/>
      <c r="I614" s="981"/>
      <c r="J614" s="981"/>
      <c r="K614" s="981"/>
      <c r="O614" s="981"/>
      <c r="P614" s="981"/>
      <c r="Q614" s="92"/>
    </row>
    <row r="615" spans="1:17" ht="15" customHeight="1">
      <c r="A615" s="981"/>
      <c r="B615" s="981"/>
      <c r="C615" s="1016"/>
      <c r="D615" s="952"/>
      <c r="E615" s="981"/>
      <c r="F615" s="952"/>
      <c r="G615" s="981"/>
      <c r="H615" s="981"/>
      <c r="I615" s="981"/>
      <c r="J615" s="981"/>
      <c r="K615" s="981"/>
      <c r="O615" s="981"/>
      <c r="P615" s="981"/>
      <c r="Q615" s="92"/>
    </row>
    <row r="616" spans="1:17" ht="15" customHeight="1">
      <c r="A616" s="981"/>
      <c r="B616" s="981"/>
      <c r="C616" s="1016"/>
      <c r="D616" s="952"/>
      <c r="E616" s="981"/>
      <c r="F616" s="952"/>
      <c r="G616" s="981"/>
      <c r="H616" s="981"/>
      <c r="I616" s="981"/>
      <c r="J616" s="981"/>
      <c r="K616" s="981"/>
      <c r="O616" s="981"/>
      <c r="P616" s="981"/>
      <c r="Q616" s="92"/>
    </row>
    <row r="617" spans="1:17" ht="15" customHeight="1">
      <c r="A617" s="981"/>
      <c r="B617" s="981"/>
      <c r="C617" s="1016"/>
      <c r="D617" s="952"/>
      <c r="E617" s="981"/>
      <c r="F617" s="952"/>
      <c r="G617" s="981"/>
      <c r="H617" s="981"/>
      <c r="I617" s="981"/>
      <c r="J617" s="981"/>
      <c r="K617" s="981"/>
      <c r="O617" s="981"/>
      <c r="P617" s="981"/>
      <c r="Q617" s="92"/>
    </row>
    <row r="618" spans="1:17" ht="15" customHeight="1">
      <c r="A618" s="981"/>
      <c r="B618" s="981"/>
      <c r="C618" s="1016"/>
      <c r="D618" s="952"/>
      <c r="E618" s="981"/>
      <c r="F618" s="952"/>
      <c r="G618" s="981"/>
      <c r="H618" s="981"/>
      <c r="I618" s="981"/>
      <c r="J618" s="981"/>
      <c r="K618" s="981"/>
      <c r="O618" s="981"/>
      <c r="P618" s="981"/>
      <c r="Q618" s="92"/>
    </row>
    <row r="619" spans="1:17" ht="15" customHeight="1">
      <c r="A619" s="981"/>
      <c r="B619" s="981"/>
      <c r="C619" s="1016"/>
      <c r="D619" s="952"/>
      <c r="E619" s="981"/>
      <c r="F619" s="952"/>
      <c r="G619" s="981"/>
      <c r="H619" s="981"/>
      <c r="I619" s="981"/>
      <c r="J619" s="981"/>
      <c r="K619" s="981"/>
      <c r="O619" s="981"/>
      <c r="P619" s="981"/>
      <c r="Q619" s="92"/>
    </row>
    <row r="620" spans="1:17" ht="15" customHeight="1">
      <c r="A620" s="981"/>
      <c r="B620" s="981"/>
      <c r="C620" s="1016"/>
      <c r="D620" s="952"/>
      <c r="E620" s="981"/>
      <c r="F620" s="952"/>
      <c r="G620" s="981"/>
      <c r="H620" s="981"/>
      <c r="I620" s="981"/>
      <c r="J620" s="981"/>
      <c r="K620" s="981"/>
      <c r="O620" s="981"/>
      <c r="P620" s="981"/>
      <c r="Q620" s="92"/>
    </row>
    <row r="621" spans="1:17" ht="15" customHeight="1">
      <c r="A621" s="981"/>
      <c r="B621" s="981"/>
      <c r="C621" s="1016"/>
      <c r="D621" s="952"/>
      <c r="E621" s="981"/>
      <c r="F621" s="952"/>
      <c r="G621" s="981"/>
      <c r="H621" s="981"/>
      <c r="I621" s="981"/>
      <c r="J621" s="981"/>
      <c r="K621" s="981"/>
      <c r="O621" s="981"/>
      <c r="P621" s="981"/>
      <c r="Q621" s="92"/>
    </row>
    <row r="622" spans="1:17" ht="15" customHeight="1">
      <c r="A622" s="981"/>
      <c r="B622" s="981"/>
      <c r="C622" s="1016"/>
      <c r="D622" s="952"/>
      <c r="E622" s="981"/>
      <c r="F622" s="952"/>
      <c r="G622" s="981"/>
      <c r="H622" s="981"/>
      <c r="I622" s="981"/>
      <c r="J622" s="981"/>
      <c r="K622" s="981"/>
      <c r="O622" s="981"/>
      <c r="P622" s="981"/>
      <c r="Q622" s="92"/>
    </row>
    <row r="623" spans="1:17" ht="15" customHeight="1">
      <c r="A623" s="981"/>
      <c r="B623" s="981"/>
      <c r="C623" s="1016"/>
      <c r="D623" s="952"/>
      <c r="E623" s="981"/>
      <c r="F623" s="952"/>
      <c r="G623" s="981"/>
      <c r="H623" s="981"/>
      <c r="I623" s="981"/>
      <c r="J623" s="981"/>
      <c r="K623" s="981"/>
      <c r="O623" s="981"/>
      <c r="P623" s="981"/>
      <c r="Q623" s="92"/>
    </row>
    <row r="624" spans="1:17" ht="15" customHeight="1">
      <c r="A624" s="981"/>
      <c r="B624" s="981"/>
      <c r="C624" s="1016"/>
      <c r="D624" s="952"/>
      <c r="E624" s="981"/>
      <c r="F624" s="952"/>
      <c r="G624" s="981"/>
      <c r="H624" s="981"/>
      <c r="I624" s="981"/>
      <c r="J624" s="981"/>
      <c r="K624" s="981"/>
      <c r="O624" s="981"/>
      <c r="P624" s="981"/>
      <c r="Q624" s="92"/>
    </row>
    <row r="625" spans="1:17" ht="15" customHeight="1">
      <c r="A625" s="981"/>
      <c r="B625" s="981"/>
      <c r="C625" s="1016"/>
      <c r="D625" s="952"/>
      <c r="E625" s="981"/>
      <c r="F625" s="952"/>
      <c r="G625" s="981"/>
      <c r="H625" s="981"/>
      <c r="I625" s="981"/>
      <c r="J625" s="981"/>
      <c r="K625" s="981"/>
      <c r="O625" s="981"/>
      <c r="P625" s="981"/>
      <c r="Q625" s="92"/>
    </row>
    <row r="626" spans="1:17" ht="15" customHeight="1">
      <c r="A626" s="981"/>
      <c r="B626" s="981"/>
      <c r="C626" s="1016"/>
      <c r="D626" s="952"/>
      <c r="E626" s="981"/>
      <c r="F626" s="952"/>
      <c r="G626" s="981"/>
      <c r="H626" s="981"/>
      <c r="I626" s="981"/>
      <c r="J626" s="981"/>
      <c r="K626" s="981"/>
      <c r="O626" s="981"/>
      <c r="P626" s="981"/>
      <c r="Q626" s="92"/>
    </row>
    <row r="627" spans="1:17" ht="15" customHeight="1">
      <c r="A627" s="981"/>
      <c r="B627" s="981"/>
      <c r="C627" s="1016"/>
      <c r="D627" s="952"/>
      <c r="E627" s="981"/>
      <c r="F627" s="952"/>
      <c r="G627" s="981"/>
      <c r="H627" s="981"/>
      <c r="I627" s="981"/>
      <c r="J627" s="981"/>
      <c r="K627" s="981"/>
      <c r="O627" s="981"/>
      <c r="P627" s="981"/>
      <c r="Q627" s="92"/>
    </row>
    <row r="628" spans="1:17" ht="15" customHeight="1">
      <c r="A628" s="981"/>
      <c r="B628" s="981"/>
      <c r="C628" s="1016"/>
      <c r="D628" s="952"/>
      <c r="E628" s="981"/>
      <c r="F628" s="952"/>
      <c r="G628" s="981"/>
      <c r="H628" s="981"/>
      <c r="I628" s="981"/>
      <c r="J628" s="981"/>
      <c r="K628" s="981"/>
      <c r="O628" s="981"/>
      <c r="P628" s="981"/>
      <c r="Q628" s="92"/>
    </row>
    <row r="629" spans="1:17" ht="15" customHeight="1">
      <c r="A629" s="981"/>
      <c r="B629" s="981"/>
      <c r="C629" s="1016"/>
      <c r="D629" s="952"/>
      <c r="E629" s="981"/>
      <c r="F629" s="952"/>
      <c r="G629" s="981"/>
      <c r="H629" s="981"/>
      <c r="I629" s="981"/>
      <c r="J629" s="981"/>
      <c r="K629" s="981"/>
      <c r="O629" s="981"/>
      <c r="P629" s="981"/>
      <c r="Q629" s="92"/>
    </row>
    <row r="630" spans="1:17" ht="15" customHeight="1">
      <c r="A630" s="981"/>
      <c r="B630" s="981"/>
      <c r="C630" s="1016"/>
      <c r="D630" s="952"/>
      <c r="E630" s="981"/>
      <c r="F630" s="952"/>
      <c r="G630" s="981"/>
      <c r="H630" s="981"/>
      <c r="I630" s="981"/>
      <c r="J630" s="981"/>
      <c r="K630" s="981"/>
      <c r="O630" s="981"/>
      <c r="P630" s="981"/>
      <c r="Q630" s="92"/>
    </row>
    <row r="631" spans="1:17" ht="15" customHeight="1">
      <c r="A631" s="981"/>
      <c r="B631" s="981"/>
      <c r="C631" s="1016"/>
      <c r="D631" s="952"/>
      <c r="E631" s="981"/>
      <c r="F631" s="952"/>
      <c r="G631" s="981"/>
      <c r="H631" s="981"/>
      <c r="I631" s="981"/>
      <c r="J631" s="981"/>
      <c r="K631" s="981"/>
      <c r="O631" s="981"/>
      <c r="P631" s="981"/>
      <c r="Q631" s="92"/>
    </row>
    <row r="632" spans="1:17" ht="15" customHeight="1">
      <c r="A632" s="981"/>
      <c r="B632" s="981"/>
      <c r="C632" s="1016"/>
      <c r="D632" s="952"/>
      <c r="E632" s="981"/>
      <c r="F632" s="952"/>
      <c r="G632" s="981"/>
      <c r="H632" s="981"/>
      <c r="I632" s="981"/>
      <c r="J632" s="981"/>
      <c r="K632" s="981"/>
      <c r="O632" s="981"/>
      <c r="P632" s="981"/>
      <c r="Q632" s="92"/>
    </row>
    <row r="633" spans="1:17" ht="15" customHeight="1">
      <c r="A633" s="981"/>
      <c r="B633" s="981"/>
      <c r="C633" s="1016"/>
      <c r="D633" s="952"/>
      <c r="E633" s="981"/>
      <c r="F633" s="952"/>
      <c r="G633" s="981"/>
      <c r="H633" s="981"/>
      <c r="I633" s="981"/>
      <c r="J633" s="981"/>
      <c r="K633" s="981"/>
      <c r="O633" s="981"/>
      <c r="P633" s="981"/>
      <c r="Q633" s="92"/>
    </row>
    <row r="634" spans="1:17" ht="15" customHeight="1">
      <c r="A634" s="981"/>
      <c r="B634" s="981"/>
      <c r="C634" s="1016"/>
      <c r="D634" s="952"/>
      <c r="E634" s="981"/>
      <c r="F634" s="952"/>
      <c r="G634" s="981"/>
      <c r="H634" s="981"/>
      <c r="I634" s="981"/>
      <c r="J634" s="981"/>
      <c r="K634" s="981"/>
      <c r="O634" s="981"/>
      <c r="P634" s="981"/>
      <c r="Q634" s="92"/>
    </row>
    <row r="635" spans="1:17" ht="15" customHeight="1">
      <c r="A635" s="981"/>
      <c r="B635" s="981"/>
      <c r="C635" s="1016"/>
      <c r="D635" s="952"/>
      <c r="E635" s="981"/>
      <c r="F635" s="952"/>
      <c r="G635" s="981"/>
      <c r="H635" s="981"/>
      <c r="I635" s="981"/>
      <c r="J635" s="981"/>
      <c r="K635" s="981"/>
      <c r="O635" s="981"/>
      <c r="P635" s="981"/>
      <c r="Q635" s="92"/>
    </row>
    <row r="636" spans="1:17" ht="15" customHeight="1">
      <c r="A636" s="981"/>
      <c r="B636" s="981"/>
      <c r="C636" s="1016"/>
      <c r="D636" s="952"/>
      <c r="E636" s="981"/>
      <c r="F636" s="952"/>
      <c r="G636" s="981"/>
      <c r="H636" s="981"/>
      <c r="I636" s="981"/>
      <c r="J636" s="981"/>
      <c r="K636" s="981"/>
      <c r="O636" s="981"/>
      <c r="P636" s="981"/>
      <c r="Q636" s="92"/>
    </row>
    <row r="637" spans="1:17" ht="15" customHeight="1">
      <c r="A637" s="981"/>
      <c r="B637" s="981"/>
      <c r="C637" s="1016"/>
      <c r="D637" s="952"/>
      <c r="E637" s="981"/>
      <c r="F637" s="952"/>
      <c r="G637" s="981"/>
      <c r="H637" s="981"/>
      <c r="I637" s="981"/>
      <c r="J637" s="981"/>
      <c r="K637" s="981"/>
      <c r="O637" s="981"/>
      <c r="P637" s="981"/>
      <c r="Q637" s="92"/>
    </row>
    <row r="638" spans="1:17" ht="15" customHeight="1">
      <c r="A638" s="981"/>
      <c r="B638" s="981"/>
      <c r="C638" s="1016"/>
      <c r="D638" s="952"/>
      <c r="E638" s="981"/>
      <c r="F638" s="952"/>
      <c r="G638" s="981"/>
      <c r="H638" s="981"/>
      <c r="I638" s="981"/>
      <c r="J638" s="981"/>
      <c r="K638" s="981"/>
      <c r="O638" s="981"/>
      <c r="P638" s="981"/>
      <c r="Q638" s="92"/>
    </row>
    <row r="639" spans="1:17" ht="15" customHeight="1">
      <c r="A639" s="981"/>
      <c r="B639" s="981"/>
      <c r="C639" s="1016"/>
      <c r="D639" s="952"/>
      <c r="E639" s="981"/>
      <c r="F639" s="952"/>
      <c r="G639" s="981"/>
      <c r="H639" s="981"/>
      <c r="I639" s="981"/>
      <c r="J639" s="981"/>
      <c r="K639" s="981"/>
      <c r="O639" s="981"/>
      <c r="P639" s="981"/>
      <c r="Q639" s="92"/>
    </row>
    <row r="640" spans="1:17" ht="15" customHeight="1">
      <c r="A640" s="981"/>
      <c r="B640" s="981"/>
      <c r="C640" s="1016"/>
      <c r="D640" s="952"/>
      <c r="E640" s="981"/>
      <c r="F640" s="952"/>
      <c r="G640" s="981"/>
      <c r="H640" s="981"/>
      <c r="I640" s="981"/>
      <c r="J640" s="981"/>
      <c r="K640" s="981"/>
      <c r="O640" s="981"/>
      <c r="P640" s="981"/>
      <c r="Q640" s="92"/>
    </row>
    <row r="641" spans="1:17" ht="15" customHeight="1">
      <c r="A641" s="981"/>
      <c r="B641" s="981"/>
      <c r="C641" s="1016"/>
      <c r="D641" s="952"/>
      <c r="E641" s="981"/>
      <c r="F641" s="952"/>
      <c r="G641" s="981"/>
      <c r="H641" s="981"/>
      <c r="I641" s="981"/>
      <c r="J641" s="981"/>
      <c r="K641" s="981"/>
      <c r="O641" s="981"/>
      <c r="P641" s="981"/>
      <c r="Q641" s="92"/>
    </row>
    <row r="642" spans="1:17" ht="15" customHeight="1">
      <c r="A642" s="981"/>
      <c r="B642" s="981"/>
      <c r="C642" s="1016"/>
      <c r="D642" s="952"/>
      <c r="E642" s="981"/>
      <c r="F642" s="952"/>
      <c r="G642" s="981"/>
      <c r="H642" s="981"/>
      <c r="I642" s="981"/>
      <c r="J642" s="981"/>
      <c r="K642" s="981"/>
      <c r="O642" s="981"/>
      <c r="P642" s="981"/>
      <c r="Q642" s="92"/>
    </row>
    <row r="643" spans="1:17" ht="15" customHeight="1">
      <c r="A643" s="981"/>
      <c r="B643" s="981"/>
      <c r="C643" s="1016"/>
      <c r="D643" s="952"/>
      <c r="E643" s="981"/>
      <c r="F643" s="952"/>
      <c r="G643" s="981"/>
      <c r="H643" s="981"/>
      <c r="I643" s="981"/>
      <c r="J643" s="981"/>
      <c r="K643" s="981"/>
      <c r="O643" s="981"/>
      <c r="P643" s="981"/>
      <c r="Q643" s="92"/>
    </row>
    <row r="644" spans="1:17" ht="15" customHeight="1">
      <c r="A644" s="981"/>
      <c r="B644" s="981"/>
      <c r="C644" s="1016"/>
      <c r="D644" s="952"/>
      <c r="E644" s="981"/>
      <c r="F644" s="952"/>
      <c r="G644" s="981"/>
      <c r="H644" s="981"/>
      <c r="I644" s="981"/>
      <c r="J644" s="981"/>
      <c r="K644" s="981"/>
      <c r="O644" s="981"/>
      <c r="P644" s="981"/>
      <c r="Q644" s="92"/>
    </row>
    <row r="645" spans="1:17" ht="15" customHeight="1">
      <c r="A645" s="981"/>
      <c r="B645" s="981"/>
      <c r="C645" s="1016"/>
      <c r="D645" s="952"/>
      <c r="E645" s="981"/>
      <c r="F645" s="952"/>
      <c r="G645" s="981"/>
      <c r="H645" s="981"/>
      <c r="I645" s="981"/>
      <c r="J645" s="981"/>
      <c r="K645" s="981"/>
      <c r="O645" s="981"/>
      <c r="P645" s="981"/>
      <c r="Q645" s="92"/>
    </row>
    <row r="646" spans="1:17" ht="15" customHeight="1">
      <c r="A646" s="981"/>
      <c r="B646" s="981"/>
      <c r="C646" s="1016"/>
      <c r="D646" s="952"/>
      <c r="E646" s="981"/>
      <c r="F646" s="952"/>
      <c r="G646" s="981"/>
      <c r="H646" s="981"/>
      <c r="I646" s="981"/>
      <c r="J646" s="981"/>
      <c r="K646" s="981"/>
      <c r="O646" s="981"/>
      <c r="P646" s="981"/>
      <c r="Q646" s="92"/>
    </row>
    <row r="647" spans="1:17" ht="15" customHeight="1">
      <c r="A647" s="981"/>
      <c r="B647" s="981"/>
      <c r="C647" s="1016"/>
      <c r="D647" s="952"/>
      <c r="E647" s="981"/>
      <c r="F647" s="952"/>
      <c r="G647" s="981"/>
      <c r="H647" s="981"/>
      <c r="I647" s="981"/>
      <c r="J647" s="981"/>
      <c r="K647" s="981"/>
      <c r="O647" s="981"/>
      <c r="P647" s="981"/>
      <c r="Q647" s="92"/>
    </row>
    <row r="648" spans="1:17" ht="15" customHeight="1">
      <c r="A648" s="981"/>
      <c r="B648" s="981"/>
      <c r="C648" s="1016"/>
      <c r="D648" s="952"/>
      <c r="E648" s="981"/>
      <c r="F648" s="952"/>
      <c r="G648" s="981"/>
      <c r="H648" s="981"/>
      <c r="I648" s="981"/>
      <c r="J648" s="981"/>
      <c r="K648" s="981"/>
      <c r="O648" s="981"/>
      <c r="P648" s="981"/>
      <c r="Q648" s="92"/>
    </row>
    <row r="649" spans="1:17" ht="15" customHeight="1">
      <c r="A649" s="981"/>
      <c r="B649" s="981"/>
      <c r="C649" s="1016"/>
      <c r="D649" s="952"/>
      <c r="E649" s="981"/>
      <c r="F649" s="952"/>
      <c r="G649" s="981"/>
      <c r="H649" s="981"/>
      <c r="I649" s="981"/>
      <c r="J649" s="981"/>
      <c r="K649" s="981"/>
      <c r="O649" s="981"/>
      <c r="P649" s="981"/>
      <c r="Q649" s="92"/>
    </row>
    <row r="650" spans="1:17" ht="15" customHeight="1">
      <c r="A650" s="981"/>
      <c r="B650" s="981"/>
      <c r="C650" s="1016"/>
      <c r="D650" s="952"/>
      <c r="E650" s="981"/>
      <c r="F650" s="952"/>
      <c r="G650" s="981"/>
      <c r="H650" s="981"/>
      <c r="I650" s="981"/>
      <c r="J650" s="981"/>
      <c r="K650" s="981"/>
      <c r="O650" s="981"/>
      <c r="P650" s="981"/>
      <c r="Q650" s="92"/>
    </row>
    <row r="651" spans="1:17" ht="15" customHeight="1">
      <c r="A651" s="981"/>
      <c r="B651" s="981"/>
      <c r="C651" s="1016"/>
      <c r="D651" s="952"/>
      <c r="E651" s="981"/>
      <c r="F651" s="952"/>
      <c r="G651" s="981"/>
      <c r="H651" s="981"/>
      <c r="I651" s="981"/>
      <c r="J651" s="981"/>
      <c r="K651" s="981"/>
      <c r="O651" s="981"/>
      <c r="P651" s="981"/>
      <c r="Q651" s="92"/>
    </row>
    <row r="652" spans="1:17" ht="15" customHeight="1">
      <c r="A652" s="981"/>
      <c r="B652" s="981"/>
      <c r="C652" s="1016"/>
      <c r="D652" s="952"/>
      <c r="E652" s="981"/>
      <c r="F652" s="952"/>
      <c r="G652" s="981"/>
      <c r="H652" s="981"/>
      <c r="I652" s="981"/>
      <c r="J652" s="981"/>
      <c r="K652" s="981"/>
      <c r="O652" s="981"/>
      <c r="P652" s="981"/>
      <c r="Q652" s="92"/>
    </row>
    <row r="653" spans="1:17" ht="15" customHeight="1">
      <c r="A653" s="981"/>
      <c r="B653" s="981"/>
      <c r="C653" s="1016"/>
      <c r="D653" s="952"/>
      <c r="E653" s="981"/>
      <c r="F653" s="952"/>
      <c r="G653" s="981"/>
      <c r="H653" s="981"/>
      <c r="I653" s="981"/>
      <c r="J653" s="981"/>
      <c r="K653" s="981"/>
      <c r="O653" s="981"/>
      <c r="P653" s="981"/>
      <c r="Q653" s="92"/>
    </row>
    <row r="654" spans="1:17" ht="15" customHeight="1">
      <c r="A654" s="981"/>
      <c r="B654" s="981"/>
      <c r="C654" s="1016"/>
      <c r="D654" s="952"/>
      <c r="E654" s="981"/>
      <c r="F654" s="952"/>
      <c r="G654" s="981"/>
      <c r="H654" s="981"/>
      <c r="I654" s="981"/>
      <c r="J654" s="981"/>
      <c r="K654" s="981"/>
      <c r="O654" s="981"/>
      <c r="P654" s="981"/>
      <c r="Q654" s="92"/>
    </row>
    <row r="655" spans="1:17" ht="15" customHeight="1">
      <c r="A655" s="981"/>
      <c r="B655" s="981"/>
      <c r="C655" s="1016"/>
      <c r="D655" s="952"/>
      <c r="E655" s="981"/>
      <c r="F655" s="952"/>
      <c r="G655" s="981"/>
      <c r="H655" s="981"/>
      <c r="I655" s="981"/>
      <c r="J655" s="981"/>
      <c r="K655" s="981"/>
      <c r="O655" s="981"/>
      <c r="P655" s="981"/>
      <c r="Q655" s="92"/>
    </row>
    <row r="656" spans="1:17" ht="15" customHeight="1">
      <c r="A656" s="981"/>
      <c r="B656" s="981"/>
      <c r="C656" s="1016"/>
      <c r="D656" s="952"/>
      <c r="E656" s="981"/>
      <c r="F656" s="952"/>
      <c r="G656" s="981"/>
      <c r="H656" s="981"/>
      <c r="I656" s="981"/>
      <c r="J656" s="981"/>
      <c r="K656" s="981"/>
      <c r="O656" s="981"/>
      <c r="P656" s="981"/>
      <c r="Q656" s="92"/>
    </row>
    <row r="657" spans="1:17" ht="15" customHeight="1">
      <c r="A657" s="981"/>
      <c r="B657" s="981"/>
      <c r="C657" s="1016"/>
      <c r="D657" s="952"/>
      <c r="E657" s="981"/>
      <c r="F657" s="952"/>
      <c r="G657" s="981"/>
      <c r="H657" s="981"/>
      <c r="I657" s="981"/>
      <c r="J657" s="981"/>
      <c r="K657" s="981"/>
      <c r="O657" s="981"/>
      <c r="P657" s="981"/>
      <c r="Q657" s="92"/>
    </row>
    <row r="658" spans="1:17" ht="15" customHeight="1">
      <c r="A658" s="981"/>
      <c r="B658" s="981"/>
      <c r="C658" s="1016"/>
      <c r="D658" s="952"/>
      <c r="E658" s="981"/>
      <c r="F658" s="952"/>
      <c r="G658" s="981"/>
      <c r="H658" s="981"/>
      <c r="I658" s="981"/>
      <c r="J658" s="981"/>
      <c r="K658" s="981"/>
      <c r="O658" s="981"/>
      <c r="P658" s="981"/>
      <c r="Q658" s="92"/>
    </row>
    <row r="659" spans="1:17" ht="15" customHeight="1">
      <c r="A659" s="981"/>
      <c r="B659" s="981"/>
      <c r="C659" s="1016"/>
      <c r="D659" s="952"/>
      <c r="E659" s="981"/>
      <c r="F659" s="952"/>
      <c r="G659" s="981"/>
      <c r="H659" s="981"/>
      <c r="I659" s="981"/>
      <c r="J659" s="981"/>
      <c r="K659" s="981"/>
      <c r="O659" s="981"/>
      <c r="P659" s="981"/>
      <c r="Q659" s="92"/>
    </row>
    <row r="660" spans="1:17" ht="15" customHeight="1">
      <c r="A660" s="981"/>
      <c r="B660" s="981"/>
      <c r="C660" s="1016"/>
      <c r="D660" s="952"/>
      <c r="E660" s="981"/>
      <c r="F660" s="952"/>
      <c r="G660" s="981"/>
      <c r="H660" s="981"/>
      <c r="I660" s="981"/>
      <c r="J660" s="981"/>
      <c r="K660" s="981"/>
      <c r="O660" s="981"/>
      <c r="P660" s="981"/>
      <c r="Q660" s="92"/>
    </row>
    <row r="661" spans="1:17" ht="15" customHeight="1">
      <c r="A661" s="981"/>
      <c r="B661" s="981"/>
      <c r="C661" s="1016"/>
      <c r="D661" s="952"/>
      <c r="E661" s="981"/>
      <c r="F661" s="952"/>
      <c r="G661" s="981"/>
      <c r="H661" s="981"/>
      <c r="I661" s="981"/>
      <c r="J661" s="981"/>
      <c r="K661" s="981"/>
      <c r="O661" s="981"/>
      <c r="P661" s="981"/>
      <c r="Q661" s="92"/>
    </row>
    <row r="662" spans="1:17" ht="15" customHeight="1">
      <c r="A662" s="981"/>
      <c r="B662" s="981"/>
      <c r="C662" s="1016"/>
      <c r="D662" s="952"/>
      <c r="E662" s="981"/>
      <c r="F662" s="952"/>
      <c r="G662" s="981"/>
      <c r="H662" s="981"/>
      <c r="I662" s="981"/>
      <c r="J662" s="981"/>
      <c r="K662" s="981"/>
      <c r="O662" s="981"/>
      <c r="P662" s="981"/>
      <c r="Q662" s="92"/>
    </row>
    <row r="663" spans="1:17" ht="15" customHeight="1">
      <c r="A663" s="981"/>
      <c r="B663" s="981"/>
      <c r="C663" s="1016"/>
      <c r="D663" s="952"/>
      <c r="E663" s="981"/>
      <c r="F663" s="952"/>
      <c r="G663" s="981"/>
      <c r="H663" s="981"/>
      <c r="I663" s="981"/>
      <c r="J663" s="981"/>
      <c r="K663" s="981"/>
      <c r="O663" s="981"/>
      <c r="P663" s="981"/>
      <c r="Q663" s="92"/>
    </row>
    <row r="664" spans="1:17" ht="15" customHeight="1">
      <c r="A664" s="981"/>
      <c r="B664" s="981"/>
      <c r="C664" s="1016"/>
      <c r="D664" s="952"/>
      <c r="E664" s="981"/>
      <c r="F664" s="952"/>
      <c r="G664" s="981"/>
      <c r="H664" s="981"/>
      <c r="I664" s="981"/>
      <c r="J664" s="981"/>
      <c r="K664" s="981"/>
      <c r="O664" s="981"/>
      <c r="P664" s="981"/>
      <c r="Q664" s="92"/>
    </row>
    <row r="665" spans="1:17" ht="15" customHeight="1">
      <c r="A665" s="981"/>
      <c r="B665" s="981"/>
      <c r="C665" s="1016"/>
      <c r="D665" s="952"/>
      <c r="E665" s="981"/>
      <c r="F665" s="952"/>
      <c r="G665" s="981"/>
      <c r="H665" s="981"/>
      <c r="I665" s="981"/>
      <c r="J665" s="981"/>
      <c r="K665" s="981"/>
      <c r="O665" s="981"/>
      <c r="P665" s="981"/>
      <c r="Q665" s="92"/>
    </row>
    <row r="666" spans="1:17" ht="15" customHeight="1">
      <c r="A666" s="981"/>
      <c r="B666" s="981"/>
      <c r="C666" s="1016"/>
      <c r="D666" s="952"/>
      <c r="E666" s="981"/>
      <c r="F666" s="952"/>
      <c r="G666" s="981"/>
      <c r="H666" s="981"/>
      <c r="I666" s="981"/>
      <c r="J666" s="981"/>
      <c r="K666" s="981"/>
      <c r="O666" s="981"/>
      <c r="P666" s="981"/>
      <c r="Q666" s="92"/>
    </row>
    <row r="667" spans="1:17" ht="15" customHeight="1">
      <c r="A667" s="981"/>
      <c r="B667" s="981"/>
      <c r="C667" s="1016"/>
      <c r="D667" s="952"/>
      <c r="E667" s="981"/>
      <c r="F667" s="952"/>
      <c r="G667" s="981"/>
      <c r="H667" s="981"/>
      <c r="I667" s="981"/>
      <c r="J667" s="981"/>
      <c r="K667" s="981"/>
      <c r="O667" s="981"/>
      <c r="P667" s="981"/>
      <c r="Q667" s="92"/>
    </row>
    <row r="668" spans="1:17" ht="15" customHeight="1">
      <c r="A668" s="981"/>
      <c r="B668" s="981"/>
      <c r="C668" s="1016"/>
      <c r="D668" s="952"/>
      <c r="E668" s="981"/>
      <c r="F668" s="952"/>
      <c r="G668" s="981"/>
      <c r="H668" s="981"/>
      <c r="I668" s="981"/>
      <c r="J668" s="981"/>
      <c r="K668" s="981"/>
      <c r="O668" s="981"/>
      <c r="P668" s="981"/>
      <c r="Q668" s="92"/>
    </row>
    <row r="669" spans="1:17" ht="15" customHeight="1">
      <c r="A669" s="981"/>
      <c r="B669" s="981"/>
      <c r="C669" s="1016"/>
      <c r="D669" s="952"/>
      <c r="E669" s="981"/>
      <c r="F669" s="952"/>
      <c r="G669" s="981"/>
      <c r="H669" s="981"/>
      <c r="I669" s="981"/>
      <c r="J669" s="981"/>
      <c r="K669" s="981"/>
      <c r="O669" s="981"/>
      <c r="P669" s="981"/>
      <c r="Q669" s="92"/>
    </row>
    <row r="670" spans="1:17" ht="15" customHeight="1">
      <c r="A670" s="981"/>
      <c r="B670" s="981"/>
      <c r="C670" s="1016"/>
      <c r="D670" s="952"/>
      <c r="E670" s="981"/>
      <c r="F670" s="952"/>
      <c r="G670" s="981"/>
      <c r="H670" s="981"/>
      <c r="I670" s="981"/>
      <c r="J670" s="981"/>
      <c r="K670" s="981"/>
      <c r="O670" s="981"/>
      <c r="P670" s="981"/>
      <c r="Q670" s="92"/>
    </row>
    <row r="671" spans="1:17" ht="15" customHeight="1">
      <c r="A671" s="981"/>
      <c r="B671" s="981"/>
      <c r="C671" s="1016"/>
      <c r="D671" s="952"/>
      <c r="E671" s="981"/>
      <c r="F671" s="952"/>
      <c r="G671" s="981"/>
      <c r="H671" s="981"/>
      <c r="I671" s="981"/>
      <c r="J671" s="981"/>
      <c r="K671" s="981"/>
      <c r="O671" s="981"/>
      <c r="P671" s="981"/>
      <c r="Q671" s="92"/>
    </row>
    <row r="672" spans="1:17" ht="15" customHeight="1">
      <c r="A672" s="981"/>
      <c r="B672" s="981"/>
      <c r="C672" s="1016"/>
      <c r="D672" s="952"/>
      <c r="E672" s="981"/>
      <c r="F672" s="952"/>
      <c r="G672" s="981"/>
      <c r="H672" s="981"/>
      <c r="I672" s="981"/>
      <c r="J672" s="981"/>
      <c r="K672" s="981"/>
      <c r="O672" s="981"/>
      <c r="P672" s="981"/>
      <c r="Q672" s="92"/>
    </row>
    <row r="673" spans="1:17" ht="15" customHeight="1">
      <c r="A673" s="981"/>
      <c r="B673" s="981"/>
      <c r="C673" s="1016"/>
      <c r="D673" s="952"/>
      <c r="E673" s="981"/>
      <c r="F673" s="952"/>
      <c r="G673" s="981"/>
      <c r="H673" s="981"/>
      <c r="I673" s="981"/>
      <c r="J673" s="981"/>
      <c r="K673" s="981"/>
      <c r="O673" s="981"/>
      <c r="P673" s="981"/>
      <c r="Q673" s="92"/>
    </row>
    <row r="674" spans="1:17" ht="15" customHeight="1">
      <c r="A674" s="981"/>
      <c r="B674" s="981"/>
      <c r="C674" s="1016"/>
      <c r="D674" s="952"/>
      <c r="E674" s="981"/>
      <c r="F674" s="952"/>
      <c r="G674" s="981"/>
      <c r="H674" s="981"/>
      <c r="I674" s="981"/>
      <c r="J674" s="981"/>
      <c r="K674" s="981"/>
      <c r="O674" s="981"/>
      <c r="P674" s="981"/>
      <c r="Q674" s="92"/>
    </row>
    <row r="675" spans="1:17" ht="15" customHeight="1">
      <c r="A675" s="981"/>
      <c r="B675" s="981"/>
      <c r="C675" s="1016"/>
      <c r="D675" s="952"/>
      <c r="E675" s="981"/>
      <c r="F675" s="952"/>
      <c r="G675" s="981"/>
      <c r="H675" s="981"/>
      <c r="I675" s="981"/>
      <c r="J675" s="981"/>
      <c r="K675" s="981"/>
      <c r="O675" s="981"/>
      <c r="P675" s="981"/>
      <c r="Q675" s="92"/>
    </row>
    <row r="676" spans="1:17" ht="15" customHeight="1">
      <c r="A676" s="981"/>
      <c r="B676" s="981"/>
      <c r="C676" s="1016"/>
      <c r="D676" s="952"/>
      <c r="E676" s="981"/>
      <c r="F676" s="952"/>
      <c r="G676" s="981"/>
      <c r="H676" s="981"/>
      <c r="I676" s="981"/>
      <c r="J676" s="981"/>
      <c r="K676" s="981"/>
      <c r="O676" s="981"/>
      <c r="P676" s="981"/>
      <c r="Q676" s="92"/>
    </row>
    <row r="677" spans="1:17" ht="15" customHeight="1">
      <c r="A677" s="981"/>
      <c r="B677" s="981"/>
      <c r="C677" s="1016"/>
      <c r="D677" s="952"/>
      <c r="E677" s="981"/>
      <c r="F677" s="952"/>
      <c r="G677" s="981"/>
      <c r="H677" s="981"/>
      <c r="I677" s="981"/>
      <c r="J677" s="981"/>
      <c r="K677" s="981"/>
      <c r="O677" s="981"/>
      <c r="P677" s="981"/>
      <c r="Q677" s="92"/>
    </row>
    <row r="678" spans="1:17" ht="15" customHeight="1">
      <c r="A678" s="981"/>
      <c r="B678" s="981"/>
      <c r="C678" s="1016"/>
      <c r="D678" s="952"/>
      <c r="E678" s="981"/>
      <c r="F678" s="952"/>
      <c r="G678" s="981"/>
      <c r="H678" s="981"/>
      <c r="I678" s="981"/>
      <c r="J678" s="981"/>
      <c r="K678" s="981"/>
      <c r="O678" s="981"/>
      <c r="P678" s="981"/>
      <c r="Q678" s="92"/>
    </row>
    <row r="679" spans="1:17" ht="15" customHeight="1">
      <c r="A679" s="981"/>
      <c r="B679" s="981"/>
      <c r="C679" s="1016"/>
      <c r="D679" s="952"/>
      <c r="E679" s="981"/>
      <c r="F679" s="952"/>
      <c r="G679" s="981"/>
      <c r="H679" s="981"/>
      <c r="I679" s="981"/>
      <c r="J679" s="981"/>
      <c r="K679" s="981"/>
      <c r="O679" s="981"/>
      <c r="P679" s="981"/>
      <c r="Q679" s="92"/>
    </row>
    <row r="680" spans="1:17" ht="15" customHeight="1">
      <c r="A680" s="981"/>
      <c r="B680" s="981"/>
      <c r="C680" s="1016"/>
      <c r="D680" s="952"/>
      <c r="E680" s="981"/>
      <c r="F680" s="952"/>
      <c r="G680" s="981"/>
      <c r="H680" s="981"/>
      <c r="I680" s="981"/>
      <c r="J680" s="981"/>
      <c r="K680" s="981"/>
      <c r="O680" s="981"/>
      <c r="P680" s="981"/>
      <c r="Q680" s="92"/>
    </row>
    <row r="681" spans="1:17" ht="15" customHeight="1">
      <c r="A681" s="981"/>
      <c r="B681" s="981"/>
      <c r="C681" s="1016"/>
      <c r="D681" s="952"/>
      <c r="E681" s="981"/>
      <c r="F681" s="952"/>
      <c r="G681" s="981"/>
      <c r="H681" s="981"/>
      <c r="I681" s="981"/>
      <c r="J681" s="981"/>
      <c r="K681" s="981"/>
      <c r="O681" s="981"/>
      <c r="P681" s="981"/>
      <c r="Q681" s="92"/>
    </row>
    <row r="682" spans="1:17" ht="15" customHeight="1">
      <c r="A682" s="981"/>
      <c r="B682" s="981"/>
      <c r="C682" s="1016"/>
      <c r="D682" s="952"/>
      <c r="E682" s="981"/>
      <c r="F682" s="952"/>
      <c r="G682" s="981"/>
      <c r="H682" s="981"/>
      <c r="I682" s="981"/>
      <c r="J682" s="981"/>
      <c r="K682" s="981"/>
      <c r="O682" s="981"/>
      <c r="P682" s="981"/>
      <c r="Q682" s="92"/>
    </row>
    <row r="683" spans="1:17" ht="15" customHeight="1">
      <c r="A683" s="981"/>
      <c r="B683" s="981"/>
      <c r="C683" s="1016"/>
      <c r="D683" s="952"/>
      <c r="E683" s="981"/>
      <c r="F683" s="952"/>
      <c r="G683" s="981"/>
      <c r="H683" s="981"/>
      <c r="I683" s="981"/>
      <c r="J683" s="981"/>
      <c r="K683" s="981"/>
      <c r="O683" s="981"/>
      <c r="P683" s="981"/>
      <c r="Q683" s="92"/>
    </row>
    <row r="684" spans="1:17" ht="15" customHeight="1">
      <c r="A684" s="981"/>
      <c r="B684" s="981"/>
      <c r="C684" s="1016"/>
      <c r="D684" s="952"/>
      <c r="E684" s="981"/>
      <c r="F684" s="952"/>
      <c r="G684" s="981"/>
      <c r="H684" s="981"/>
      <c r="I684" s="981"/>
      <c r="J684" s="981"/>
      <c r="K684" s="981"/>
      <c r="O684" s="981"/>
      <c r="P684" s="981"/>
      <c r="Q684" s="92"/>
    </row>
    <row r="685" spans="1:17" ht="15" customHeight="1">
      <c r="A685" s="981"/>
      <c r="B685" s="981"/>
      <c r="C685" s="1016"/>
      <c r="D685" s="952"/>
      <c r="E685" s="981"/>
      <c r="F685" s="952"/>
      <c r="G685" s="981"/>
      <c r="H685" s="981"/>
      <c r="I685" s="981"/>
      <c r="J685" s="981"/>
      <c r="K685" s="981"/>
      <c r="O685" s="981"/>
      <c r="P685" s="981"/>
      <c r="Q685" s="92"/>
    </row>
    <row r="686" spans="1:17" ht="15" customHeight="1">
      <c r="A686" s="981"/>
      <c r="B686" s="981"/>
      <c r="C686" s="1016"/>
      <c r="D686" s="952"/>
      <c r="E686" s="981"/>
      <c r="F686" s="952"/>
      <c r="G686" s="981"/>
      <c r="H686" s="981"/>
      <c r="I686" s="981"/>
      <c r="J686" s="981"/>
      <c r="K686" s="981"/>
      <c r="O686" s="981"/>
      <c r="P686" s="981"/>
      <c r="Q686" s="92"/>
    </row>
    <row r="687" spans="1:17" ht="15" customHeight="1">
      <c r="A687" s="981"/>
      <c r="B687" s="981"/>
      <c r="C687" s="1016"/>
      <c r="D687" s="952"/>
      <c r="E687" s="981"/>
      <c r="F687" s="952"/>
      <c r="G687" s="981"/>
      <c r="H687" s="981"/>
      <c r="I687" s="981"/>
      <c r="J687" s="981"/>
      <c r="K687" s="981"/>
      <c r="O687" s="981"/>
      <c r="P687" s="981"/>
      <c r="Q687" s="92"/>
    </row>
    <row r="688" spans="1:17" ht="15" customHeight="1">
      <c r="A688" s="981"/>
      <c r="B688" s="981"/>
      <c r="C688" s="1016"/>
      <c r="D688" s="952"/>
      <c r="E688" s="981"/>
      <c r="F688" s="952"/>
      <c r="G688" s="981"/>
      <c r="H688" s="981"/>
      <c r="I688" s="981"/>
      <c r="J688" s="981"/>
      <c r="K688" s="981"/>
      <c r="O688" s="981"/>
      <c r="P688" s="981"/>
      <c r="Q688" s="92"/>
    </row>
    <row r="689" spans="1:17" ht="15" customHeight="1">
      <c r="A689" s="981"/>
      <c r="B689" s="981"/>
      <c r="C689" s="1016"/>
      <c r="D689" s="952"/>
      <c r="E689" s="981"/>
      <c r="F689" s="952"/>
      <c r="G689" s="981"/>
      <c r="H689" s="981"/>
      <c r="I689" s="981"/>
      <c r="J689" s="981"/>
      <c r="K689" s="981"/>
      <c r="O689" s="981"/>
      <c r="P689" s="981"/>
      <c r="Q689" s="92"/>
    </row>
    <row r="690" spans="1:17" ht="15" customHeight="1">
      <c r="A690" s="981"/>
      <c r="B690" s="981"/>
      <c r="C690" s="1016"/>
      <c r="D690" s="952"/>
      <c r="E690" s="981"/>
      <c r="F690" s="952"/>
      <c r="G690" s="981"/>
      <c r="H690" s="981"/>
      <c r="I690" s="981"/>
      <c r="J690" s="981"/>
      <c r="K690" s="981"/>
      <c r="O690" s="981"/>
      <c r="P690" s="981"/>
      <c r="Q690" s="92"/>
    </row>
    <row r="691" spans="1:17" ht="15" customHeight="1">
      <c r="A691" s="981"/>
      <c r="B691" s="981"/>
      <c r="C691" s="1016"/>
      <c r="D691" s="952"/>
      <c r="E691" s="981"/>
      <c r="F691" s="952"/>
      <c r="G691" s="981"/>
      <c r="H691" s="981"/>
      <c r="I691" s="981"/>
      <c r="J691" s="981"/>
      <c r="K691" s="981"/>
      <c r="O691" s="981"/>
      <c r="P691" s="981"/>
      <c r="Q691" s="92"/>
    </row>
    <row r="692" spans="1:17" ht="15" customHeight="1">
      <c r="A692" s="981"/>
      <c r="B692" s="981"/>
      <c r="C692" s="1016"/>
      <c r="D692" s="952"/>
      <c r="E692" s="981"/>
      <c r="F692" s="952"/>
      <c r="G692" s="981"/>
      <c r="H692" s="981"/>
      <c r="I692" s="981"/>
      <c r="J692" s="981"/>
      <c r="K692" s="981"/>
      <c r="O692" s="981"/>
      <c r="P692" s="981"/>
      <c r="Q692" s="92"/>
    </row>
    <row r="693" spans="1:17" ht="15" customHeight="1">
      <c r="A693" s="981"/>
      <c r="B693" s="981"/>
      <c r="C693" s="1016"/>
      <c r="D693" s="952"/>
      <c r="E693" s="981"/>
      <c r="F693" s="952"/>
      <c r="G693" s="981"/>
      <c r="H693" s="981"/>
      <c r="I693" s="981"/>
      <c r="J693" s="981"/>
      <c r="K693" s="981"/>
      <c r="O693" s="981"/>
      <c r="P693" s="981"/>
      <c r="Q693" s="92"/>
    </row>
    <row r="694" spans="1:17" ht="15" customHeight="1">
      <c r="A694" s="981"/>
      <c r="B694" s="981"/>
      <c r="C694" s="1016"/>
      <c r="D694" s="952"/>
      <c r="E694" s="981"/>
      <c r="F694" s="952"/>
      <c r="G694" s="981"/>
      <c r="H694" s="981"/>
      <c r="I694" s="981"/>
      <c r="J694" s="981"/>
      <c r="K694" s="981"/>
      <c r="O694" s="981"/>
      <c r="P694" s="981"/>
      <c r="Q694" s="92"/>
    </row>
    <row r="695" spans="1:17" ht="15" customHeight="1">
      <c r="A695" s="981"/>
      <c r="B695" s="981"/>
      <c r="C695" s="1016"/>
      <c r="D695" s="952"/>
      <c r="E695" s="981"/>
      <c r="F695" s="952"/>
      <c r="G695" s="981"/>
      <c r="H695" s="981"/>
      <c r="I695" s="981"/>
      <c r="J695" s="981"/>
      <c r="K695" s="981"/>
      <c r="O695" s="981"/>
      <c r="P695" s="981"/>
      <c r="Q695" s="92"/>
    </row>
    <row r="696" spans="1:17" ht="15" customHeight="1">
      <c r="A696" s="981"/>
      <c r="B696" s="981"/>
      <c r="C696" s="1016"/>
      <c r="D696" s="952"/>
      <c r="E696" s="981"/>
      <c r="F696" s="952"/>
      <c r="G696" s="981"/>
      <c r="H696" s="981"/>
      <c r="I696" s="981"/>
      <c r="J696" s="981"/>
      <c r="K696" s="981"/>
      <c r="O696" s="981"/>
      <c r="P696" s="981"/>
      <c r="Q696" s="92"/>
    </row>
    <row r="697" spans="1:17" ht="15" customHeight="1">
      <c r="A697" s="981"/>
      <c r="B697" s="981"/>
      <c r="C697" s="1016"/>
      <c r="D697" s="952"/>
      <c r="E697" s="981"/>
      <c r="F697" s="952"/>
      <c r="G697" s="981"/>
      <c r="H697" s="981"/>
      <c r="I697" s="981"/>
      <c r="J697" s="981"/>
      <c r="K697" s="981"/>
      <c r="O697" s="981"/>
      <c r="P697" s="981"/>
      <c r="Q697" s="92"/>
    </row>
    <row r="698" spans="1:17" ht="15" customHeight="1">
      <c r="A698" s="981"/>
      <c r="B698" s="981"/>
      <c r="C698" s="1016"/>
      <c r="D698" s="952"/>
      <c r="E698" s="981"/>
      <c r="F698" s="952"/>
      <c r="G698" s="981"/>
      <c r="H698" s="981"/>
      <c r="I698" s="981"/>
      <c r="J698" s="981"/>
      <c r="K698" s="981"/>
      <c r="O698" s="981"/>
      <c r="P698" s="981"/>
      <c r="Q698" s="92"/>
    </row>
    <row r="699" spans="1:17" ht="15" customHeight="1">
      <c r="A699" s="981"/>
      <c r="B699" s="981"/>
      <c r="C699" s="1016"/>
      <c r="D699" s="952"/>
      <c r="E699" s="981"/>
      <c r="F699" s="952"/>
      <c r="G699" s="981"/>
      <c r="H699" s="981"/>
      <c r="I699" s="981"/>
      <c r="J699" s="981"/>
      <c r="K699" s="981"/>
      <c r="O699" s="981"/>
      <c r="P699" s="981"/>
      <c r="Q699" s="92"/>
    </row>
    <row r="700" spans="1:17" ht="15" customHeight="1">
      <c r="A700" s="981"/>
      <c r="B700" s="981"/>
      <c r="C700" s="1016"/>
      <c r="D700" s="952"/>
      <c r="E700" s="981"/>
      <c r="F700" s="952"/>
      <c r="G700" s="981"/>
      <c r="H700" s="981"/>
      <c r="I700" s="981"/>
      <c r="J700" s="981"/>
      <c r="K700" s="981"/>
      <c r="O700" s="981"/>
      <c r="P700" s="981"/>
      <c r="Q700" s="92"/>
    </row>
    <row r="701" spans="1:17" ht="15" customHeight="1">
      <c r="A701" s="981"/>
      <c r="B701" s="981"/>
      <c r="C701" s="1016"/>
      <c r="D701" s="952"/>
      <c r="E701" s="981"/>
      <c r="F701" s="952"/>
      <c r="G701" s="981"/>
      <c r="H701" s="981"/>
      <c r="I701" s="981"/>
      <c r="J701" s="981"/>
      <c r="K701" s="981"/>
      <c r="O701" s="981"/>
      <c r="P701" s="981"/>
      <c r="Q701" s="92"/>
    </row>
    <row r="702" spans="1:17" ht="15" customHeight="1">
      <c r="A702" s="981"/>
      <c r="B702" s="981"/>
      <c r="C702" s="1016"/>
      <c r="D702" s="952"/>
      <c r="E702" s="981"/>
      <c r="F702" s="952"/>
      <c r="G702" s="981"/>
      <c r="H702" s="981"/>
      <c r="I702" s="981"/>
      <c r="J702" s="981"/>
      <c r="K702" s="981"/>
      <c r="O702" s="981"/>
      <c r="P702" s="981"/>
      <c r="Q702" s="92"/>
    </row>
    <row r="703" spans="1:17" ht="15" customHeight="1">
      <c r="A703" s="981"/>
      <c r="B703" s="981"/>
      <c r="C703" s="1016"/>
      <c r="D703" s="952"/>
      <c r="E703" s="981"/>
      <c r="F703" s="952"/>
      <c r="G703" s="981"/>
      <c r="H703" s="981"/>
      <c r="I703" s="981"/>
      <c r="J703" s="981"/>
      <c r="K703" s="981"/>
      <c r="O703" s="981"/>
      <c r="P703" s="981"/>
      <c r="Q703" s="92"/>
    </row>
    <row r="704" spans="1:17" ht="15" customHeight="1">
      <c r="A704" s="981"/>
      <c r="B704" s="981"/>
      <c r="C704" s="1016"/>
      <c r="D704" s="952"/>
      <c r="E704" s="981"/>
      <c r="F704" s="952"/>
      <c r="G704" s="981"/>
      <c r="H704" s="981"/>
      <c r="I704" s="981"/>
      <c r="J704" s="981"/>
      <c r="K704" s="981"/>
      <c r="O704" s="981"/>
      <c r="P704" s="981"/>
      <c r="Q704" s="92"/>
    </row>
    <row r="705" spans="1:17" ht="15" customHeight="1">
      <c r="A705" s="981"/>
      <c r="B705" s="981"/>
      <c r="C705" s="1016"/>
      <c r="D705" s="952"/>
      <c r="E705" s="981"/>
      <c r="F705" s="952"/>
      <c r="G705" s="981"/>
      <c r="H705" s="981"/>
      <c r="I705" s="981"/>
      <c r="J705" s="981"/>
      <c r="K705" s="981"/>
      <c r="O705" s="981"/>
      <c r="P705" s="981"/>
      <c r="Q705" s="92"/>
    </row>
    <row r="706" spans="1:17" ht="15" customHeight="1">
      <c r="A706" s="981"/>
      <c r="B706" s="981"/>
      <c r="C706" s="1016"/>
      <c r="D706" s="952"/>
      <c r="E706" s="981"/>
      <c r="F706" s="952"/>
      <c r="G706" s="981"/>
      <c r="H706" s="981"/>
      <c r="I706" s="981"/>
      <c r="J706" s="981"/>
      <c r="K706" s="981"/>
      <c r="O706" s="981"/>
      <c r="P706" s="981"/>
      <c r="Q706" s="92"/>
    </row>
    <row r="707" spans="1:17" ht="15" customHeight="1">
      <c r="A707" s="981"/>
      <c r="B707" s="981"/>
      <c r="C707" s="1016"/>
      <c r="D707" s="952"/>
      <c r="E707" s="981"/>
      <c r="F707" s="952"/>
      <c r="G707" s="981"/>
      <c r="H707" s="981"/>
      <c r="I707" s="981"/>
      <c r="J707" s="981"/>
      <c r="K707" s="981"/>
      <c r="O707" s="981"/>
      <c r="P707" s="981"/>
      <c r="Q707" s="92"/>
    </row>
    <row r="708" spans="1:17" ht="15" customHeight="1">
      <c r="A708" s="981"/>
      <c r="B708" s="981"/>
      <c r="C708" s="1016"/>
      <c r="D708" s="952"/>
      <c r="E708" s="981"/>
      <c r="F708" s="952"/>
      <c r="G708" s="981"/>
      <c r="H708" s="981"/>
      <c r="I708" s="981"/>
      <c r="J708" s="981"/>
      <c r="K708" s="981"/>
      <c r="O708" s="981"/>
      <c r="P708" s="981"/>
      <c r="Q708" s="92"/>
    </row>
    <row r="709" spans="1:17" ht="15" customHeight="1">
      <c r="A709" s="981"/>
      <c r="B709" s="981"/>
      <c r="C709" s="1016"/>
      <c r="D709" s="952"/>
      <c r="E709" s="981"/>
      <c r="F709" s="952"/>
      <c r="G709" s="981"/>
      <c r="H709" s="981"/>
      <c r="I709" s="981"/>
      <c r="J709" s="981"/>
      <c r="K709" s="981"/>
      <c r="O709" s="981"/>
      <c r="P709" s="981"/>
      <c r="Q709" s="92"/>
    </row>
    <row r="710" spans="1:17" ht="15" customHeight="1">
      <c r="A710" s="981"/>
      <c r="B710" s="981"/>
      <c r="C710" s="1016"/>
      <c r="D710" s="952"/>
      <c r="E710" s="981"/>
      <c r="F710" s="952"/>
      <c r="G710" s="981"/>
      <c r="H710" s="981"/>
      <c r="I710" s="981"/>
      <c r="J710" s="981"/>
      <c r="K710" s="981"/>
      <c r="O710" s="981"/>
      <c r="P710" s="981"/>
      <c r="Q710" s="92"/>
    </row>
    <row r="711" spans="1:17" ht="15" customHeight="1">
      <c r="A711" s="981"/>
      <c r="B711" s="981"/>
      <c r="C711" s="1016"/>
      <c r="D711" s="952"/>
      <c r="E711" s="981"/>
      <c r="F711" s="952"/>
      <c r="G711" s="981"/>
      <c r="H711" s="981"/>
      <c r="I711" s="981"/>
      <c r="J711" s="981"/>
      <c r="K711" s="981"/>
      <c r="O711" s="981"/>
      <c r="P711" s="981"/>
      <c r="Q711" s="92"/>
    </row>
    <row r="712" spans="1:17" ht="15" customHeight="1">
      <c r="A712" s="981"/>
      <c r="B712" s="981"/>
      <c r="C712" s="1016"/>
      <c r="D712" s="952"/>
      <c r="E712" s="981"/>
      <c r="F712" s="952"/>
      <c r="G712" s="981"/>
      <c r="H712" s="981"/>
      <c r="I712" s="981"/>
      <c r="J712" s="981"/>
      <c r="K712" s="981"/>
      <c r="O712" s="981"/>
      <c r="P712" s="981"/>
      <c r="Q712" s="92"/>
    </row>
    <row r="713" spans="1:17" ht="15" customHeight="1">
      <c r="A713" s="981"/>
      <c r="B713" s="981"/>
      <c r="C713" s="1016"/>
      <c r="D713" s="952"/>
      <c r="E713" s="981"/>
      <c r="F713" s="952"/>
      <c r="G713" s="981"/>
      <c r="H713" s="981"/>
      <c r="I713" s="981"/>
      <c r="J713" s="981"/>
      <c r="K713" s="981"/>
      <c r="O713" s="981"/>
      <c r="P713" s="981"/>
      <c r="Q713" s="92"/>
    </row>
    <row r="714" spans="1:17" ht="15" customHeight="1">
      <c r="A714" s="981"/>
      <c r="B714" s="981"/>
      <c r="C714" s="1016"/>
      <c r="D714" s="952"/>
      <c r="E714" s="981"/>
      <c r="F714" s="952"/>
      <c r="G714" s="981"/>
      <c r="H714" s="981"/>
      <c r="I714" s="981"/>
      <c r="J714" s="981"/>
      <c r="K714" s="981"/>
      <c r="O714" s="981"/>
      <c r="P714" s="981"/>
      <c r="Q714" s="92"/>
    </row>
    <row r="715" spans="1:17" ht="15" customHeight="1">
      <c r="A715" s="981"/>
      <c r="B715" s="981"/>
      <c r="C715" s="1016"/>
      <c r="D715" s="952"/>
      <c r="E715" s="981"/>
      <c r="F715" s="952"/>
      <c r="G715" s="981"/>
      <c r="H715" s="981"/>
      <c r="I715" s="981"/>
      <c r="J715" s="981"/>
      <c r="K715" s="981"/>
      <c r="O715" s="981"/>
      <c r="P715" s="981"/>
      <c r="Q715" s="92"/>
    </row>
    <row r="716" spans="1:17" ht="15" customHeight="1">
      <c r="A716" s="981"/>
      <c r="B716" s="981"/>
      <c r="C716" s="1016"/>
      <c r="D716" s="952"/>
      <c r="E716" s="981"/>
      <c r="F716" s="952"/>
      <c r="G716" s="981"/>
      <c r="H716" s="981"/>
      <c r="I716" s="981"/>
      <c r="J716" s="981"/>
      <c r="K716" s="981"/>
      <c r="O716" s="981"/>
      <c r="P716" s="981"/>
      <c r="Q716" s="92"/>
    </row>
    <row r="717" spans="1:17" ht="15" customHeight="1">
      <c r="A717" s="981"/>
      <c r="B717" s="981"/>
      <c r="C717" s="1016"/>
      <c r="D717" s="952"/>
      <c r="E717" s="981"/>
      <c r="F717" s="952"/>
      <c r="G717" s="981"/>
      <c r="H717" s="981"/>
      <c r="I717" s="981"/>
      <c r="J717" s="981"/>
      <c r="K717" s="981"/>
      <c r="O717" s="981"/>
      <c r="P717" s="981"/>
      <c r="Q717" s="92"/>
    </row>
    <row r="718" spans="1:17" ht="15" customHeight="1">
      <c r="A718" s="981"/>
      <c r="B718" s="981"/>
      <c r="C718" s="1016"/>
      <c r="D718" s="952"/>
      <c r="E718" s="981"/>
      <c r="F718" s="952"/>
      <c r="G718" s="981"/>
      <c r="H718" s="981"/>
      <c r="I718" s="981"/>
      <c r="J718" s="981"/>
      <c r="K718" s="981"/>
      <c r="O718" s="981"/>
      <c r="P718" s="981"/>
      <c r="Q718" s="92"/>
    </row>
    <row r="719" spans="1:17" ht="15" customHeight="1">
      <c r="A719" s="981"/>
      <c r="B719" s="981"/>
      <c r="C719" s="1016"/>
      <c r="D719" s="952"/>
      <c r="E719" s="981"/>
      <c r="F719" s="952"/>
      <c r="G719" s="981"/>
      <c r="H719" s="981"/>
      <c r="I719" s="981"/>
      <c r="J719" s="981"/>
      <c r="K719" s="981"/>
      <c r="O719" s="981"/>
      <c r="P719" s="981"/>
      <c r="Q719" s="92"/>
    </row>
    <row r="720" spans="1:17" ht="15" customHeight="1">
      <c r="A720" s="981"/>
      <c r="B720" s="981"/>
      <c r="C720" s="1016"/>
      <c r="D720" s="952"/>
      <c r="E720" s="981"/>
      <c r="F720" s="952"/>
      <c r="G720" s="981"/>
      <c r="H720" s="981"/>
      <c r="I720" s="981"/>
      <c r="J720" s="981"/>
      <c r="K720" s="981"/>
      <c r="O720" s="981"/>
      <c r="P720" s="981"/>
      <c r="Q720" s="92"/>
    </row>
    <row r="721" spans="1:17" ht="15" customHeight="1">
      <c r="A721" s="981"/>
      <c r="B721" s="981"/>
      <c r="C721" s="1016"/>
      <c r="D721" s="952"/>
      <c r="E721" s="981"/>
      <c r="F721" s="952"/>
      <c r="G721" s="981"/>
      <c r="H721" s="981"/>
      <c r="I721" s="981"/>
      <c r="J721" s="981"/>
      <c r="K721" s="981"/>
      <c r="O721" s="981"/>
      <c r="P721" s="981"/>
      <c r="Q721" s="92"/>
    </row>
    <row r="722" spans="1:17" ht="15" customHeight="1">
      <c r="A722" s="981"/>
      <c r="B722" s="981"/>
      <c r="C722" s="1016"/>
      <c r="D722" s="952"/>
      <c r="E722" s="981"/>
      <c r="F722" s="952"/>
      <c r="G722" s="981"/>
      <c r="H722" s="981"/>
      <c r="I722" s="981"/>
      <c r="J722" s="981"/>
      <c r="K722" s="981"/>
      <c r="O722" s="981"/>
      <c r="P722" s="981"/>
      <c r="Q722" s="92"/>
    </row>
    <row r="723" spans="1:17" ht="15" customHeight="1">
      <c r="A723" s="981"/>
      <c r="B723" s="981"/>
      <c r="C723" s="1016"/>
      <c r="D723" s="952"/>
      <c r="E723" s="981"/>
      <c r="F723" s="952"/>
      <c r="G723" s="981"/>
      <c r="H723" s="981"/>
      <c r="I723" s="981"/>
      <c r="J723" s="981"/>
      <c r="K723" s="981"/>
      <c r="O723" s="981"/>
      <c r="P723" s="981"/>
      <c r="Q723" s="92"/>
    </row>
    <row r="724" spans="1:17" ht="15" customHeight="1">
      <c r="A724" s="981"/>
      <c r="B724" s="981"/>
      <c r="C724" s="1016"/>
      <c r="D724" s="952"/>
      <c r="E724" s="981"/>
      <c r="F724" s="952"/>
      <c r="G724" s="981"/>
      <c r="H724" s="981"/>
      <c r="I724" s="981"/>
      <c r="J724" s="981"/>
      <c r="K724" s="981"/>
      <c r="O724" s="981"/>
      <c r="P724" s="981"/>
      <c r="Q724" s="92"/>
    </row>
    <row r="725" spans="1:17" ht="15" customHeight="1">
      <c r="A725" s="981"/>
      <c r="B725" s="981"/>
      <c r="C725" s="1016"/>
      <c r="D725" s="952"/>
      <c r="E725" s="981"/>
      <c r="F725" s="952"/>
      <c r="G725" s="981"/>
      <c r="H725" s="981"/>
      <c r="I725" s="981"/>
      <c r="J725" s="981"/>
      <c r="K725" s="981"/>
      <c r="O725" s="981"/>
      <c r="P725" s="981"/>
      <c r="Q725" s="92"/>
    </row>
    <row r="726" spans="1:17" ht="15" customHeight="1">
      <c r="A726" s="981"/>
      <c r="B726" s="981"/>
      <c r="C726" s="1016"/>
      <c r="D726" s="952"/>
      <c r="E726" s="981"/>
      <c r="F726" s="952"/>
      <c r="G726" s="981"/>
      <c r="H726" s="981"/>
      <c r="I726" s="981"/>
      <c r="J726" s="981"/>
      <c r="K726" s="981"/>
      <c r="O726" s="981"/>
      <c r="P726" s="981"/>
      <c r="Q726" s="92"/>
    </row>
    <row r="727" spans="1:17" ht="15" customHeight="1">
      <c r="A727" s="981"/>
      <c r="B727" s="981"/>
      <c r="C727" s="1016"/>
      <c r="D727" s="952"/>
      <c r="E727" s="981"/>
      <c r="F727" s="952"/>
      <c r="G727" s="981"/>
      <c r="H727" s="981"/>
      <c r="I727" s="981"/>
      <c r="J727" s="981"/>
      <c r="K727" s="981"/>
      <c r="O727" s="981"/>
      <c r="P727" s="981"/>
      <c r="Q727" s="92"/>
    </row>
    <row r="728" spans="1:17" ht="15" customHeight="1">
      <c r="A728" s="981"/>
      <c r="B728" s="981"/>
      <c r="C728" s="1016"/>
      <c r="D728" s="952"/>
      <c r="E728" s="981"/>
      <c r="F728" s="952"/>
      <c r="G728" s="981"/>
      <c r="H728" s="981"/>
      <c r="I728" s="981"/>
      <c r="J728" s="981"/>
      <c r="K728" s="981"/>
      <c r="O728" s="981"/>
      <c r="P728" s="981"/>
      <c r="Q728" s="92"/>
    </row>
    <row r="729" spans="1:17" ht="15" customHeight="1">
      <c r="A729" s="981"/>
      <c r="B729" s="981"/>
      <c r="C729" s="1016"/>
      <c r="D729" s="952"/>
      <c r="E729" s="981"/>
      <c r="F729" s="952"/>
      <c r="G729" s="981"/>
      <c r="H729" s="981"/>
      <c r="I729" s="981"/>
      <c r="J729" s="981"/>
      <c r="K729" s="981"/>
      <c r="O729" s="981"/>
      <c r="P729" s="981"/>
      <c r="Q729" s="92"/>
    </row>
    <row r="730" spans="1:17" ht="15" customHeight="1">
      <c r="A730" s="981"/>
      <c r="B730" s="981"/>
      <c r="C730" s="1016"/>
      <c r="D730" s="952"/>
      <c r="E730" s="981"/>
      <c r="F730" s="952"/>
      <c r="G730" s="981"/>
      <c r="H730" s="981"/>
      <c r="I730" s="981"/>
      <c r="J730" s="981"/>
      <c r="K730" s="981"/>
      <c r="O730" s="981"/>
      <c r="P730" s="981"/>
      <c r="Q730" s="92"/>
    </row>
    <row r="731" spans="1:17" ht="15" customHeight="1">
      <c r="A731" s="981"/>
      <c r="B731" s="981"/>
      <c r="C731" s="1016"/>
      <c r="D731" s="952"/>
      <c r="E731" s="981"/>
      <c r="F731" s="952"/>
      <c r="G731" s="981"/>
      <c r="H731" s="981"/>
      <c r="I731" s="981"/>
      <c r="J731" s="981"/>
      <c r="K731" s="981"/>
      <c r="O731" s="981"/>
      <c r="P731" s="981"/>
      <c r="Q731" s="92"/>
    </row>
    <row r="732" spans="1:17" ht="15" customHeight="1">
      <c r="A732" s="981"/>
      <c r="B732" s="981"/>
      <c r="C732" s="1016"/>
      <c r="D732" s="952"/>
      <c r="E732" s="981"/>
      <c r="F732" s="952"/>
      <c r="G732" s="981"/>
      <c r="H732" s="981"/>
      <c r="I732" s="981"/>
      <c r="J732" s="981"/>
      <c r="K732" s="981"/>
      <c r="O732" s="981"/>
      <c r="P732" s="981"/>
      <c r="Q732" s="92"/>
    </row>
    <row r="733" spans="1:17" ht="15" customHeight="1">
      <c r="A733" s="981"/>
      <c r="B733" s="981"/>
      <c r="C733" s="1016"/>
      <c r="D733" s="952"/>
      <c r="E733" s="981"/>
      <c r="F733" s="952"/>
      <c r="G733" s="981"/>
      <c r="H733" s="981"/>
      <c r="I733" s="981"/>
      <c r="J733" s="981"/>
      <c r="K733" s="981"/>
      <c r="O733" s="981"/>
      <c r="P733" s="981"/>
      <c r="Q733" s="92"/>
    </row>
    <row r="734" spans="1:17" ht="15" customHeight="1">
      <c r="A734" s="981"/>
      <c r="B734" s="981"/>
      <c r="C734" s="1016"/>
      <c r="D734" s="952"/>
      <c r="E734" s="981"/>
      <c r="F734" s="952"/>
      <c r="G734" s="981"/>
      <c r="H734" s="981"/>
      <c r="I734" s="981"/>
      <c r="J734" s="981"/>
      <c r="K734" s="981"/>
      <c r="O734" s="981"/>
      <c r="P734" s="981"/>
      <c r="Q734" s="92"/>
    </row>
    <row r="735" spans="1:17" ht="15" customHeight="1">
      <c r="A735" s="981"/>
      <c r="B735" s="981"/>
      <c r="C735" s="1016"/>
      <c r="D735" s="952"/>
      <c r="E735" s="981"/>
      <c r="F735" s="952"/>
      <c r="G735" s="981"/>
      <c r="H735" s="981"/>
      <c r="I735" s="981"/>
      <c r="J735" s="981"/>
      <c r="K735" s="981"/>
      <c r="O735" s="981"/>
      <c r="P735" s="981"/>
      <c r="Q735" s="92"/>
    </row>
    <row r="736" spans="1:17" ht="15" customHeight="1">
      <c r="A736" s="981"/>
      <c r="B736" s="981"/>
      <c r="C736" s="1016"/>
      <c r="D736" s="952"/>
      <c r="E736" s="981"/>
      <c r="F736" s="952"/>
      <c r="G736" s="981"/>
      <c r="H736" s="981"/>
      <c r="I736" s="981"/>
      <c r="J736" s="981"/>
      <c r="K736" s="981"/>
      <c r="O736" s="981"/>
      <c r="P736" s="981"/>
      <c r="Q736" s="92"/>
    </row>
    <row r="737" spans="1:17" ht="15" customHeight="1">
      <c r="A737" s="981"/>
      <c r="B737" s="981"/>
      <c r="C737" s="1016"/>
      <c r="D737" s="952"/>
      <c r="E737" s="981"/>
      <c r="F737" s="952"/>
      <c r="G737" s="981"/>
      <c r="H737" s="981"/>
      <c r="I737" s="981"/>
      <c r="J737" s="981"/>
      <c r="K737" s="981"/>
      <c r="O737" s="981"/>
      <c r="P737" s="981"/>
      <c r="Q737" s="92"/>
    </row>
    <row r="738" spans="1:17" ht="15" customHeight="1">
      <c r="A738" s="981"/>
      <c r="B738" s="981"/>
      <c r="C738" s="1016"/>
      <c r="D738" s="952"/>
      <c r="E738" s="981"/>
      <c r="F738" s="952"/>
      <c r="G738" s="981"/>
      <c r="H738" s="981"/>
      <c r="I738" s="981"/>
      <c r="J738" s="981"/>
      <c r="K738" s="981"/>
      <c r="O738" s="981"/>
      <c r="P738" s="981"/>
      <c r="Q738" s="92"/>
    </row>
    <row r="739" spans="1:17" ht="15" customHeight="1">
      <c r="A739" s="981"/>
      <c r="B739" s="981"/>
      <c r="C739" s="1016"/>
      <c r="D739" s="952"/>
      <c r="E739" s="981"/>
      <c r="F739" s="952"/>
      <c r="G739" s="981"/>
      <c r="H739" s="981"/>
      <c r="I739" s="981"/>
      <c r="J739" s="981"/>
      <c r="K739" s="981"/>
      <c r="O739" s="981"/>
      <c r="P739" s="981"/>
      <c r="Q739" s="92"/>
    </row>
    <row r="740" spans="1:17" ht="15" customHeight="1">
      <c r="A740" s="981"/>
      <c r="B740" s="981"/>
      <c r="C740" s="1016"/>
      <c r="D740" s="952"/>
      <c r="E740" s="981"/>
      <c r="F740" s="952"/>
      <c r="G740" s="981"/>
      <c r="H740" s="981"/>
      <c r="I740" s="981"/>
      <c r="J740" s="981"/>
      <c r="K740" s="981"/>
      <c r="O740" s="981"/>
      <c r="P740" s="981"/>
      <c r="Q740" s="92"/>
    </row>
    <row r="741" spans="1:17" ht="15" customHeight="1">
      <c r="A741" s="981"/>
      <c r="B741" s="981"/>
      <c r="C741" s="1016"/>
      <c r="D741" s="952"/>
      <c r="E741" s="981"/>
      <c r="F741" s="952"/>
      <c r="G741" s="981"/>
      <c r="H741" s="981"/>
      <c r="I741" s="981"/>
      <c r="J741" s="981"/>
      <c r="K741" s="981"/>
      <c r="O741" s="981"/>
      <c r="P741" s="981"/>
      <c r="Q741" s="92"/>
    </row>
    <row r="742" spans="1:17" ht="15" customHeight="1">
      <c r="A742" s="981"/>
      <c r="B742" s="981"/>
      <c r="C742" s="1016"/>
      <c r="D742" s="952"/>
      <c r="E742" s="981"/>
      <c r="F742" s="952"/>
      <c r="G742" s="981"/>
      <c r="H742" s="981"/>
      <c r="I742" s="981"/>
      <c r="J742" s="981"/>
      <c r="K742" s="981"/>
      <c r="O742" s="981"/>
      <c r="P742" s="981"/>
      <c r="Q742" s="92"/>
    </row>
    <row r="743" spans="1:17" ht="15" customHeight="1">
      <c r="A743" s="981"/>
      <c r="B743" s="981"/>
      <c r="C743" s="1016"/>
      <c r="D743" s="952"/>
      <c r="E743" s="981"/>
      <c r="F743" s="952"/>
      <c r="G743" s="981"/>
      <c r="H743" s="981"/>
      <c r="I743" s="981"/>
      <c r="J743" s="981"/>
      <c r="K743" s="981"/>
      <c r="O743" s="981"/>
      <c r="P743" s="981"/>
      <c r="Q743" s="92"/>
    </row>
    <row r="744" spans="1:17" ht="15" customHeight="1">
      <c r="A744" s="981"/>
      <c r="B744" s="981"/>
      <c r="C744" s="1016"/>
      <c r="D744" s="952"/>
      <c r="E744" s="981"/>
      <c r="F744" s="952"/>
      <c r="G744" s="981"/>
      <c r="H744" s="981"/>
      <c r="I744" s="981"/>
      <c r="J744" s="981"/>
      <c r="K744" s="981"/>
      <c r="O744" s="981"/>
      <c r="P744" s="981"/>
      <c r="Q744" s="92"/>
    </row>
    <row r="745" spans="1:17" ht="15" customHeight="1">
      <c r="A745" s="981"/>
      <c r="B745" s="981"/>
      <c r="C745" s="1016"/>
      <c r="D745" s="952"/>
      <c r="E745" s="981"/>
      <c r="F745" s="952"/>
      <c r="G745" s="981"/>
      <c r="H745" s="981"/>
      <c r="I745" s="981"/>
      <c r="J745" s="981"/>
      <c r="K745" s="981"/>
      <c r="O745" s="981"/>
      <c r="P745" s="981"/>
      <c r="Q745" s="92"/>
    </row>
    <row r="746" spans="1:17" ht="15" customHeight="1">
      <c r="A746" s="981"/>
      <c r="B746" s="981"/>
      <c r="C746" s="1016"/>
      <c r="D746" s="952"/>
      <c r="E746" s="981"/>
      <c r="F746" s="952"/>
      <c r="G746" s="981"/>
      <c r="H746" s="981"/>
      <c r="I746" s="981"/>
      <c r="J746" s="981"/>
      <c r="K746" s="981"/>
      <c r="O746" s="981"/>
      <c r="P746" s="981"/>
      <c r="Q746" s="92"/>
    </row>
    <row r="747" spans="1:17" ht="15" customHeight="1">
      <c r="A747" s="981"/>
      <c r="B747" s="981"/>
      <c r="C747" s="1016"/>
      <c r="D747" s="952"/>
      <c r="E747" s="981"/>
      <c r="F747" s="952"/>
      <c r="G747" s="981"/>
      <c r="H747" s="981"/>
      <c r="I747" s="981"/>
      <c r="J747" s="981"/>
      <c r="K747" s="981"/>
      <c r="O747" s="981"/>
      <c r="P747" s="981"/>
      <c r="Q747" s="92"/>
    </row>
    <row r="748" spans="1:17" ht="15" customHeight="1">
      <c r="A748" s="981"/>
      <c r="B748" s="981"/>
      <c r="C748" s="1016"/>
      <c r="D748" s="952"/>
      <c r="E748" s="981"/>
      <c r="F748" s="952"/>
      <c r="G748" s="981"/>
      <c r="H748" s="981"/>
      <c r="I748" s="981"/>
      <c r="J748" s="981"/>
      <c r="K748" s="981"/>
      <c r="O748" s="981"/>
      <c r="P748" s="981"/>
      <c r="Q748" s="92"/>
    </row>
    <row r="749" spans="1:17" ht="15" customHeight="1">
      <c r="A749" s="981"/>
      <c r="B749" s="981"/>
      <c r="C749" s="1016"/>
      <c r="D749" s="952"/>
      <c r="E749" s="981"/>
      <c r="F749" s="952"/>
      <c r="G749" s="981"/>
      <c r="H749" s="981"/>
      <c r="I749" s="981"/>
      <c r="J749" s="981"/>
      <c r="K749" s="981"/>
      <c r="O749" s="981"/>
      <c r="P749" s="981"/>
      <c r="Q749" s="92"/>
    </row>
    <row r="750" spans="1:17" ht="15" customHeight="1">
      <c r="A750" s="981"/>
      <c r="B750" s="981"/>
      <c r="C750" s="1016"/>
      <c r="D750" s="952"/>
      <c r="E750" s="981"/>
      <c r="F750" s="952"/>
      <c r="G750" s="981"/>
      <c r="H750" s="981"/>
      <c r="I750" s="981"/>
      <c r="J750" s="981"/>
      <c r="K750" s="981"/>
      <c r="O750" s="981"/>
      <c r="P750" s="981"/>
      <c r="Q750" s="92"/>
    </row>
    <row r="751" spans="1:17" ht="15" customHeight="1">
      <c r="A751" s="981"/>
      <c r="B751" s="981"/>
      <c r="C751" s="1016"/>
      <c r="D751" s="952"/>
      <c r="E751" s="981"/>
      <c r="F751" s="952"/>
      <c r="G751" s="981"/>
      <c r="H751" s="981"/>
      <c r="I751" s="981"/>
      <c r="J751" s="981"/>
      <c r="K751" s="981"/>
      <c r="O751" s="981"/>
      <c r="P751" s="981"/>
      <c r="Q751" s="92"/>
    </row>
    <row r="752" spans="1:17" ht="15" customHeight="1">
      <c r="A752" s="981"/>
      <c r="B752" s="981"/>
      <c r="C752" s="1016"/>
      <c r="D752" s="952"/>
      <c r="E752" s="981"/>
      <c r="F752" s="952"/>
      <c r="G752" s="981"/>
      <c r="H752" s="981"/>
      <c r="I752" s="981"/>
      <c r="J752" s="981"/>
      <c r="K752" s="981"/>
      <c r="O752" s="981"/>
      <c r="P752" s="981"/>
      <c r="Q752" s="92"/>
    </row>
    <row r="753" spans="1:17" ht="15" customHeight="1">
      <c r="A753" s="981"/>
      <c r="B753" s="981"/>
      <c r="C753" s="1016"/>
      <c r="D753" s="952"/>
      <c r="E753" s="981"/>
      <c r="F753" s="952"/>
      <c r="G753" s="981"/>
      <c r="H753" s="981"/>
      <c r="I753" s="981"/>
      <c r="J753" s="981"/>
      <c r="K753" s="981"/>
      <c r="O753" s="981"/>
      <c r="P753" s="981"/>
      <c r="Q753" s="92"/>
    </row>
    <row r="754" spans="1:17" ht="15" customHeight="1">
      <c r="A754" s="981"/>
      <c r="B754" s="981"/>
      <c r="C754" s="1016"/>
      <c r="D754" s="952"/>
      <c r="E754" s="981"/>
      <c r="F754" s="952"/>
      <c r="G754" s="981"/>
      <c r="H754" s="981"/>
      <c r="I754" s="981"/>
      <c r="J754" s="981"/>
      <c r="K754" s="981"/>
      <c r="O754" s="981"/>
      <c r="P754" s="981"/>
      <c r="Q754" s="92"/>
    </row>
    <row r="755" spans="1:17" ht="15" customHeight="1">
      <c r="A755" s="981"/>
      <c r="B755" s="981"/>
      <c r="C755" s="1016"/>
      <c r="D755" s="952"/>
      <c r="E755" s="981"/>
      <c r="F755" s="952"/>
      <c r="G755" s="981"/>
      <c r="H755" s="981"/>
      <c r="I755" s="981"/>
      <c r="J755" s="981"/>
      <c r="K755" s="981"/>
      <c r="O755" s="981"/>
      <c r="P755" s="981"/>
      <c r="Q755" s="92"/>
    </row>
    <row r="756" spans="1:17" ht="15" customHeight="1">
      <c r="A756" s="981"/>
      <c r="B756" s="981"/>
      <c r="C756" s="1016"/>
      <c r="D756" s="952"/>
      <c r="E756" s="981"/>
      <c r="F756" s="952"/>
      <c r="G756" s="981"/>
      <c r="H756" s="981"/>
      <c r="I756" s="981"/>
      <c r="J756" s="981"/>
      <c r="K756" s="981"/>
      <c r="O756" s="981"/>
      <c r="P756" s="981"/>
      <c r="Q756" s="92"/>
    </row>
    <row r="757" spans="1:17" ht="15" customHeight="1">
      <c r="A757" s="981"/>
      <c r="B757" s="981"/>
      <c r="C757" s="1016"/>
      <c r="D757" s="952"/>
      <c r="E757" s="981"/>
      <c r="F757" s="952"/>
      <c r="G757" s="981"/>
      <c r="H757" s="981"/>
      <c r="I757" s="981"/>
      <c r="J757" s="981"/>
      <c r="K757" s="981"/>
      <c r="O757" s="981"/>
      <c r="P757" s="981"/>
      <c r="Q757" s="92"/>
    </row>
    <row r="758" spans="1:17" ht="15" customHeight="1">
      <c r="A758" s="981"/>
      <c r="B758" s="981"/>
      <c r="C758" s="1016"/>
      <c r="D758" s="952"/>
      <c r="E758" s="981"/>
      <c r="F758" s="952"/>
      <c r="G758" s="981"/>
      <c r="H758" s="981"/>
      <c r="I758" s="981"/>
      <c r="J758" s="981"/>
      <c r="K758" s="981"/>
      <c r="O758" s="981"/>
      <c r="P758" s="981"/>
      <c r="Q758" s="92"/>
    </row>
    <row r="759" spans="1:17" ht="15" customHeight="1">
      <c r="A759" s="981"/>
      <c r="B759" s="981"/>
      <c r="C759" s="1016"/>
      <c r="D759" s="952"/>
      <c r="E759" s="981"/>
      <c r="F759" s="952"/>
      <c r="G759" s="981"/>
      <c r="H759" s="981"/>
      <c r="I759" s="981"/>
      <c r="J759" s="981"/>
      <c r="K759" s="981"/>
      <c r="O759" s="981"/>
      <c r="P759" s="981"/>
      <c r="Q759" s="92"/>
    </row>
    <row r="760" spans="1:17" ht="15" customHeight="1">
      <c r="A760" s="981"/>
      <c r="B760" s="981"/>
      <c r="C760" s="1016"/>
      <c r="D760" s="952"/>
      <c r="E760" s="981"/>
      <c r="F760" s="952"/>
      <c r="G760" s="981"/>
      <c r="H760" s="981"/>
      <c r="I760" s="981"/>
      <c r="J760" s="981"/>
      <c r="K760" s="981"/>
      <c r="O760" s="981"/>
      <c r="P760" s="981"/>
      <c r="Q760" s="92"/>
    </row>
    <row r="761" spans="1:17" ht="15" customHeight="1">
      <c r="A761" s="981"/>
      <c r="B761" s="981"/>
      <c r="C761" s="1016"/>
      <c r="D761" s="952"/>
      <c r="E761" s="981"/>
      <c r="F761" s="952"/>
      <c r="G761" s="981"/>
      <c r="H761" s="981"/>
      <c r="I761" s="981"/>
      <c r="J761" s="981"/>
      <c r="K761" s="981"/>
      <c r="O761" s="981"/>
      <c r="P761" s="981"/>
      <c r="Q761" s="92"/>
    </row>
    <row r="762" spans="1:17" ht="15" customHeight="1">
      <c r="A762" s="981"/>
      <c r="B762" s="981"/>
      <c r="C762" s="1016"/>
      <c r="D762" s="952"/>
      <c r="E762" s="981"/>
      <c r="F762" s="952"/>
      <c r="G762" s="981"/>
      <c r="H762" s="981"/>
      <c r="I762" s="981"/>
      <c r="J762" s="981"/>
      <c r="K762" s="981"/>
      <c r="O762" s="981"/>
      <c r="P762" s="981"/>
      <c r="Q762" s="92"/>
    </row>
    <row r="763" spans="1:17" ht="15" customHeight="1">
      <c r="A763" s="981"/>
      <c r="B763" s="981"/>
      <c r="C763" s="1016"/>
      <c r="D763" s="952"/>
      <c r="E763" s="981"/>
      <c r="F763" s="952"/>
      <c r="G763" s="981"/>
      <c r="H763" s="981"/>
      <c r="I763" s="981"/>
      <c r="J763" s="981"/>
      <c r="K763" s="981"/>
      <c r="O763" s="981"/>
      <c r="P763" s="981"/>
      <c r="Q763" s="92"/>
    </row>
    <row r="764" spans="1:17" ht="15" customHeight="1">
      <c r="A764" s="981"/>
      <c r="B764" s="981"/>
      <c r="C764" s="1016"/>
      <c r="D764" s="952"/>
      <c r="E764" s="981"/>
      <c r="F764" s="952"/>
      <c r="G764" s="981"/>
      <c r="H764" s="981"/>
      <c r="I764" s="981"/>
      <c r="J764" s="981"/>
      <c r="K764" s="981"/>
      <c r="O764" s="981"/>
      <c r="P764" s="981"/>
      <c r="Q764" s="92"/>
    </row>
    <row r="765" spans="1:17" ht="15" customHeight="1">
      <c r="A765" s="981"/>
      <c r="B765" s="981"/>
      <c r="C765" s="1016"/>
      <c r="D765" s="952"/>
      <c r="E765" s="981"/>
      <c r="F765" s="952"/>
      <c r="G765" s="981"/>
      <c r="H765" s="981"/>
      <c r="I765" s="981"/>
      <c r="J765" s="981"/>
      <c r="K765" s="981"/>
      <c r="O765" s="981"/>
      <c r="P765" s="981"/>
      <c r="Q765" s="92"/>
    </row>
    <row r="766" spans="1:17" ht="15" customHeight="1">
      <c r="A766" s="981"/>
      <c r="B766" s="981"/>
      <c r="C766" s="1016"/>
      <c r="D766" s="952"/>
      <c r="E766" s="981"/>
      <c r="F766" s="952"/>
      <c r="G766" s="981"/>
      <c r="H766" s="981"/>
      <c r="I766" s="981"/>
      <c r="J766" s="981"/>
      <c r="K766" s="981"/>
      <c r="O766" s="981"/>
      <c r="P766" s="981"/>
      <c r="Q766" s="92"/>
    </row>
    <row r="767" spans="1:17" ht="15" customHeight="1">
      <c r="A767" s="981"/>
      <c r="B767" s="981"/>
      <c r="C767" s="1016"/>
      <c r="D767" s="952"/>
      <c r="E767" s="981"/>
      <c r="F767" s="952"/>
      <c r="G767" s="981"/>
      <c r="H767" s="981"/>
      <c r="I767" s="981"/>
      <c r="J767" s="981"/>
      <c r="K767" s="981"/>
      <c r="O767" s="981"/>
      <c r="P767" s="981"/>
      <c r="Q767" s="92"/>
    </row>
    <row r="768" spans="1:17" ht="15" customHeight="1">
      <c r="A768" s="981"/>
      <c r="B768" s="981"/>
      <c r="C768" s="1016"/>
      <c r="D768" s="952"/>
      <c r="E768" s="981"/>
      <c r="F768" s="952"/>
      <c r="G768" s="981"/>
      <c r="H768" s="981"/>
      <c r="I768" s="981"/>
      <c r="J768" s="981"/>
      <c r="K768" s="981"/>
      <c r="O768" s="981"/>
      <c r="P768" s="981"/>
      <c r="Q768" s="92"/>
    </row>
    <row r="769" spans="1:17" ht="15" customHeight="1">
      <c r="A769" s="981"/>
      <c r="B769" s="981"/>
      <c r="C769" s="1016"/>
      <c r="D769" s="952"/>
      <c r="E769" s="981"/>
      <c r="F769" s="952"/>
      <c r="G769" s="981"/>
      <c r="H769" s="981"/>
      <c r="I769" s="981"/>
      <c r="J769" s="981"/>
      <c r="K769" s="981"/>
      <c r="O769" s="981"/>
      <c r="P769" s="981"/>
      <c r="Q769" s="92"/>
    </row>
    <row r="770" spans="1:17" ht="15" customHeight="1">
      <c r="A770" s="981"/>
      <c r="B770" s="981"/>
      <c r="C770" s="1016"/>
      <c r="D770" s="952"/>
      <c r="E770" s="981"/>
      <c r="F770" s="952"/>
      <c r="G770" s="981"/>
      <c r="H770" s="981"/>
      <c r="I770" s="981"/>
      <c r="J770" s="981"/>
      <c r="K770" s="981"/>
      <c r="O770" s="981"/>
      <c r="P770" s="981"/>
      <c r="Q770" s="92"/>
    </row>
    <row r="771" spans="1:17" ht="15" customHeight="1">
      <c r="A771" s="981"/>
      <c r="B771" s="981"/>
      <c r="C771" s="1016"/>
      <c r="D771" s="952"/>
      <c r="E771" s="981"/>
      <c r="F771" s="952"/>
      <c r="G771" s="981"/>
      <c r="H771" s="981"/>
      <c r="I771" s="981"/>
      <c r="J771" s="981"/>
      <c r="K771" s="981"/>
      <c r="O771" s="981"/>
      <c r="P771" s="981"/>
      <c r="Q771" s="92"/>
    </row>
    <row r="772" spans="1:17" ht="15" customHeight="1">
      <c r="A772" s="981"/>
      <c r="B772" s="981"/>
      <c r="C772" s="1016"/>
      <c r="D772" s="952"/>
      <c r="E772" s="981"/>
      <c r="F772" s="952"/>
      <c r="G772" s="981"/>
      <c r="H772" s="981"/>
      <c r="I772" s="981"/>
      <c r="J772" s="981"/>
      <c r="K772" s="981"/>
      <c r="O772" s="981"/>
      <c r="P772" s="981"/>
      <c r="Q772" s="92"/>
    </row>
    <row r="773" spans="1:17" ht="15" customHeight="1">
      <c r="A773" s="981"/>
      <c r="B773" s="981"/>
      <c r="C773" s="1016"/>
      <c r="D773" s="952"/>
      <c r="E773" s="981"/>
      <c r="F773" s="952"/>
      <c r="G773" s="981"/>
      <c r="H773" s="981"/>
      <c r="I773" s="981"/>
      <c r="J773" s="981"/>
      <c r="K773" s="981"/>
      <c r="O773" s="981"/>
      <c r="P773" s="981"/>
      <c r="Q773" s="92"/>
    </row>
    <row r="774" spans="1:17" ht="15" customHeight="1">
      <c r="A774" s="981"/>
      <c r="B774" s="981"/>
      <c r="C774" s="1016"/>
      <c r="D774" s="952"/>
      <c r="E774" s="981"/>
      <c r="F774" s="952"/>
      <c r="G774" s="981"/>
      <c r="H774" s="981"/>
      <c r="I774" s="981"/>
      <c r="J774" s="981"/>
      <c r="K774" s="981"/>
      <c r="O774" s="981"/>
      <c r="P774" s="981"/>
      <c r="Q774" s="92"/>
    </row>
    <row r="775" spans="1:17" ht="15" customHeight="1">
      <c r="A775" s="981"/>
      <c r="B775" s="981"/>
      <c r="C775" s="1016"/>
      <c r="D775" s="952"/>
      <c r="E775" s="981"/>
      <c r="F775" s="952"/>
      <c r="G775" s="981"/>
      <c r="H775" s="981"/>
      <c r="I775" s="981"/>
      <c r="J775" s="981"/>
      <c r="K775" s="981"/>
      <c r="O775" s="981"/>
      <c r="P775" s="981"/>
      <c r="Q775" s="92"/>
    </row>
    <row r="776" spans="1:17" ht="15" customHeight="1">
      <c r="A776" s="981"/>
      <c r="B776" s="981"/>
      <c r="C776" s="1016"/>
      <c r="D776" s="952"/>
      <c r="E776" s="981"/>
      <c r="F776" s="952"/>
      <c r="G776" s="981"/>
      <c r="H776" s="981"/>
      <c r="I776" s="981"/>
      <c r="J776" s="981"/>
      <c r="K776" s="981"/>
      <c r="O776" s="981"/>
      <c r="P776" s="981"/>
      <c r="Q776" s="92"/>
    </row>
    <row r="777" spans="1:17" ht="15" customHeight="1">
      <c r="A777" s="981"/>
      <c r="B777" s="981"/>
      <c r="C777" s="1016"/>
      <c r="D777" s="952"/>
      <c r="E777" s="981"/>
      <c r="F777" s="952"/>
      <c r="G777" s="981"/>
      <c r="H777" s="981"/>
      <c r="I777" s="981"/>
      <c r="J777" s="981"/>
      <c r="K777" s="981"/>
      <c r="O777" s="981"/>
      <c r="P777" s="981"/>
      <c r="Q777" s="92"/>
    </row>
    <row r="778" spans="1:17" ht="15" customHeight="1">
      <c r="A778" s="981"/>
      <c r="B778" s="981"/>
      <c r="C778" s="1016"/>
      <c r="D778" s="952"/>
      <c r="E778" s="981"/>
      <c r="F778" s="952"/>
      <c r="G778" s="981"/>
      <c r="H778" s="981"/>
      <c r="I778" s="981"/>
      <c r="J778" s="981"/>
      <c r="K778" s="981"/>
      <c r="O778" s="981"/>
      <c r="P778" s="981"/>
      <c r="Q778" s="92"/>
    </row>
    <row r="779" spans="1:17" ht="15" customHeight="1">
      <c r="A779" s="981"/>
      <c r="B779" s="981"/>
      <c r="C779" s="1016"/>
      <c r="D779" s="952"/>
      <c r="E779" s="981"/>
      <c r="F779" s="952"/>
      <c r="G779" s="981"/>
      <c r="H779" s="981"/>
      <c r="I779" s="981"/>
      <c r="J779" s="981"/>
      <c r="K779" s="981"/>
      <c r="O779" s="981"/>
      <c r="P779" s="981"/>
      <c r="Q779" s="92"/>
    </row>
    <row r="780" spans="1:17" ht="15" customHeight="1">
      <c r="A780" s="981"/>
      <c r="B780" s="981"/>
      <c r="C780" s="1016"/>
      <c r="D780" s="952"/>
      <c r="E780" s="981"/>
      <c r="F780" s="952"/>
      <c r="G780" s="981"/>
      <c r="H780" s="981"/>
      <c r="I780" s="981"/>
      <c r="J780" s="981"/>
      <c r="K780" s="981"/>
      <c r="O780" s="981"/>
      <c r="P780" s="981"/>
      <c r="Q780" s="92"/>
    </row>
    <row r="781" spans="1:17" ht="15" customHeight="1">
      <c r="A781" s="981"/>
      <c r="B781" s="981"/>
      <c r="C781" s="1016"/>
      <c r="D781" s="952"/>
      <c r="E781" s="981"/>
      <c r="F781" s="952"/>
      <c r="G781" s="981"/>
      <c r="H781" s="981"/>
      <c r="I781" s="981"/>
      <c r="J781" s="981"/>
      <c r="K781" s="981"/>
      <c r="O781" s="981"/>
      <c r="P781" s="981"/>
      <c r="Q781" s="92"/>
    </row>
    <row r="782" spans="1:17" ht="15" customHeight="1">
      <c r="A782" s="981"/>
      <c r="B782" s="981"/>
      <c r="C782" s="1016"/>
      <c r="D782" s="952"/>
      <c r="E782" s="981"/>
      <c r="F782" s="952"/>
      <c r="G782" s="981"/>
      <c r="H782" s="981"/>
      <c r="I782" s="981"/>
      <c r="J782" s="981"/>
      <c r="K782" s="981"/>
      <c r="O782" s="981"/>
      <c r="P782" s="981"/>
      <c r="Q782" s="92"/>
    </row>
    <row r="783" spans="1:17" ht="15" customHeight="1">
      <c r="A783" s="981"/>
      <c r="B783" s="981"/>
      <c r="C783" s="1016"/>
      <c r="D783" s="952"/>
      <c r="E783" s="981"/>
      <c r="F783" s="952"/>
      <c r="G783" s="981"/>
      <c r="H783" s="981"/>
      <c r="I783" s="981"/>
      <c r="J783" s="981"/>
      <c r="K783" s="981"/>
      <c r="O783" s="981"/>
      <c r="P783" s="981"/>
      <c r="Q783" s="92"/>
    </row>
    <row r="784" spans="1:17" ht="15" customHeight="1">
      <c r="A784" s="981"/>
      <c r="B784" s="981"/>
      <c r="C784" s="1016"/>
      <c r="D784" s="952"/>
      <c r="E784" s="981"/>
      <c r="F784" s="952"/>
      <c r="G784" s="981"/>
      <c r="H784" s="981"/>
      <c r="I784" s="981"/>
      <c r="J784" s="981"/>
      <c r="K784" s="981"/>
      <c r="O784" s="981"/>
      <c r="P784" s="981"/>
      <c r="Q784" s="92"/>
    </row>
    <row r="785" spans="1:17" ht="15" customHeight="1">
      <c r="A785" s="981"/>
      <c r="B785" s="981"/>
      <c r="C785" s="1016"/>
      <c r="D785" s="952"/>
      <c r="E785" s="981"/>
      <c r="F785" s="952"/>
      <c r="G785" s="981"/>
      <c r="H785" s="981"/>
      <c r="I785" s="981"/>
      <c r="J785" s="981"/>
      <c r="K785" s="981"/>
      <c r="O785" s="981"/>
      <c r="P785" s="981"/>
      <c r="Q785" s="92"/>
    </row>
    <row r="786" spans="1:17" ht="15" customHeight="1">
      <c r="A786" s="981"/>
      <c r="B786" s="981"/>
      <c r="C786" s="1016"/>
      <c r="D786" s="952"/>
      <c r="E786" s="981"/>
      <c r="F786" s="952"/>
      <c r="G786" s="981"/>
      <c r="H786" s="981"/>
      <c r="I786" s="981"/>
      <c r="J786" s="981"/>
      <c r="K786" s="981"/>
      <c r="O786" s="981"/>
      <c r="P786" s="981"/>
      <c r="Q786" s="92"/>
    </row>
    <row r="787" spans="1:17" ht="15" customHeight="1">
      <c r="A787" s="981"/>
      <c r="B787" s="981"/>
      <c r="C787" s="1016"/>
      <c r="D787" s="952"/>
      <c r="E787" s="981"/>
      <c r="F787" s="952"/>
      <c r="G787" s="981"/>
      <c r="H787" s="981"/>
      <c r="I787" s="981"/>
      <c r="J787" s="981"/>
      <c r="K787" s="981"/>
      <c r="O787" s="981"/>
      <c r="P787" s="981"/>
      <c r="Q787" s="92"/>
    </row>
    <row r="788" spans="1:17" ht="15" customHeight="1">
      <c r="A788" s="981"/>
      <c r="B788" s="981"/>
      <c r="C788" s="1016"/>
      <c r="D788" s="952"/>
      <c r="E788" s="981"/>
      <c r="F788" s="952"/>
      <c r="G788" s="981"/>
      <c r="H788" s="981"/>
      <c r="I788" s="981"/>
      <c r="J788" s="981"/>
      <c r="K788" s="981"/>
      <c r="O788" s="981"/>
      <c r="P788" s="981"/>
      <c r="Q788" s="92"/>
    </row>
    <row r="789" spans="1:17" ht="15" customHeight="1">
      <c r="A789" s="981"/>
      <c r="B789" s="981"/>
      <c r="C789" s="1016"/>
      <c r="D789" s="952"/>
      <c r="E789" s="981"/>
      <c r="F789" s="952"/>
      <c r="G789" s="981"/>
      <c r="H789" s="981"/>
      <c r="I789" s="981"/>
      <c r="J789" s="981"/>
      <c r="K789" s="981"/>
      <c r="O789" s="981"/>
      <c r="P789" s="981"/>
      <c r="Q789" s="92"/>
    </row>
    <row r="790" spans="1:17" ht="15" customHeight="1">
      <c r="A790" s="981"/>
      <c r="B790" s="981"/>
      <c r="C790" s="1016"/>
      <c r="D790" s="952"/>
      <c r="E790" s="981"/>
      <c r="F790" s="952"/>
      <c r="G790" s="981"/>
      <c r="H790" s="981"/>
      <c r="I790" s="981"/>
      <c r="J790" s="981"/>
      <c r="K790" s="981"/>
      <c r="O790" s="981"/>
      <c r="P790" s="981"/>
      <c r="Q790" s="92"/>
    </row>
    <row r="791" spans="1:17" ht="15" customHeight="1">
      <c r="A791" s="981"/>
      <c r="B791" s="981"/>
      <c r="C791" s="1016"/>
      <c r="D791" s="952"/>
      <c r="E791" s="981"/>
      <c r="F791" s="952"/>
      <c r="G791" s="981"/>
      <c r="H791" s="981"/>
      <c r="I791" s="981"/>
      <c r="J791" s="981"/>
      <c r="K791" s="981"/>
      <c r="O791" s="981"/>
      <c r="P791" s="981"/>
      <c r="Q791" s="92"/>
    </row>
    <row r="792" spans="1:17" ht="15" customHeight="1">
      <c r="A792" s="981"/>
      <c r="B792" s="981"/>
      <c r="C792" s="1016"/>
      <c r="D792" s="952"/>
      <c r="E792" s="981"/>
      <c r="F792" s="952"/>
      <c r="G792" s="981"/>
      <c r="H792" s="981"/>
      <c r="I792" s="981"/>
      <c r="J792" s="981"/>
      <c r="K792" s="981"/>
      <c r="O792" s="981"/>
      <c r="P792" s="981"/>
      <c r="Q792" s="92"/>
    </row>
    <row r="793" spans="1:17" ht="15" customHeight="1">
      <c r="A793" s="981"/>
      <c r="B793" s="981"/>
      <c r="C793" s="1016"/>
      <c r="D793" s="952"/>
      <c r="E793" s="981"/>
      <c r="F793" s="952"/>
      <c r="G793" s="981"/>
      <c r="H793" s="981"/>
      <c r="I793" s="981"/>
      <c r="J793" s="981"/>
      <c r="K793" s="981"/>
      <c r="O793" s="981"/>
      <c r="P793" s="981"/>
      <c r="Q793" s="92"/>
    </row>
    <row r="794" spans="1:17" ht="15" customHeight="1">
      <c r="A794" s="981"/>
      <c r="B794" s="981"/>
      <c r="C794" s="1016"/>
      <c r="D794" s="952"/>
      <c r="E794" s="981"/>
      <c r="F794" s="952"/>
      <c r="G794" s="981"/>
      <c r="H794" s="981"/>
      <c r="I794" s="981"/>
      <c r="J794" s="981"/>
      <c r="K794" s="981"/>
      <c r="O794" s="981"/>
      <c r="P794" s="981"/>
      <c r="Q794" s="92"/>
    </row>
    <row r="795" spans="1:17" ht="15" customHeight="1">
      <c r="A795" s="981"/>
      <c r="B795" s="981"/>
      <c r="C795" s="1016"/>
      <c r="D795" s="952"/>
      <c r="E795" s="981"/>
      <c r="F795" s="952"/>
      <c r="G795" s="981"/>
      <c r="H795" s="981"/>
      <c r="I795" s="981"/>
      <c r="J795" s="981"/>
      <c r="K795" s="981"/>
      <c r="O795" s="981"/>
      <c r="P795" s="981"/>
      <c r="Q795" s="92"/>
    </row>
    <row r="796" spans="1:17" ht="15" customHeight="1">
      <c r="A796" s="981"/>
      <c r="B796" s="981"/>
      <c r="C796" s="1016"/>
      <c r="D796" s="952"/>
      <c r="E796" s="981"/>
      <c r="F796" s="952"/>
      <c r="G796" s="981"/>
      <c r="H796" s="981"/>
      <c r="I796" s="981"/>
      <c r="J796" s="981"/>
      <c r="K796" s="981"/>
      <c r="O796" s="981"/>
      <c r="P796" s="981"/>
      <c r="Q796" s="92"/>
    </row>
    <row r="797" spans="1:17" ht="15" customHeight="1">
      <c r="A797" s="981"/>
      <c r="B797" s="981"/>
      <c r="C797" s="1016"/>
      <c r="D797" s="952"/>
      <c r="E797" s="981"/>
      <c r="F797" s="952"/>
      <c r="G797" s="981"/>
      <c r="H797" s="981"/>
      <c r="I797" s="981"/>
      <c r="J797" s="981"/>
      <c r="K797" s="981"/>
      <c r="O797" s="981"/>
      <c r="P797" s="981"/>
      <c r="Q797" s="92"/>
    </row>
    <row r="798" spans="1:17" ht="15" customHeight="1">
      <c r="A798" s="981"/>
      <c r="B798" s="981"/>
      <c r="C798" s="1016"/>
      <c r="D798" s="952"/>
      <c r="E798" s="981"/>
      <c r="F798" s="952"/>
      <c r="G798" s="981"/>
      <c r="H798" s="981"/>
      <c r="I798" s="981"/>
      <c r="J798" s="981"/>
      <c r="K798" s="981"/>
      <c r="O798" s="981"/>
      <c r="P798" s="981"/>
      <c r="Q798" s="92"/>
    </row>
    <row r="799" spans="1:17" ht="15" customHeight="1">
      <c r="A799" s="981"/>
      <c r="B799" s="981"/>
      <c r="C799" s="1016"/>
      <c r="D799" s="952"/>
      <c r="E799" s="981"/>
      <c r="F799" s="952"/>
      <c r="G799" s="981"/>
      <c r="H799" s="981"/>
      <c r="I799" s="981"/>
      <c r="J799" s="981"/>
      <c r="K799" s="981"/>
      <c r="O799" s="981"/>
      <c r="P799" s="981"/>
      <c r="Q799" s="92"/>
    </row>
    <row r="800" spans="1:17" ht="15" customHeight="1">
      <c r="A800" s="981"/>
      <c r="B800" s="981"/>
      <c r="C800" s="1016"/>
      <c r="D800" s="952"/>
      <c r="E800" s="981"/>
      <c r="F800" s="952"/>
      <c r="G800" s="981"/>
      <c r="H800" s="981"/>
      <c r="I800" s="981"/>
      <c r="J800" s="981"/>
      <c r="K800" s="981"/>
      <c r="O800" s="981"/>
      <c r="P800" s="981"/>
      <c r="Q800" s="92"/>
    </row>
    <row r="801" spans="1:17" ht="15" customHeight="1">
      <c r="A801" s="981"/>
      <c r="B801" s="981"/>
      <c r="C801" s="1016"/>
      <c r="D801" s="952"/>
      <c r="E801" s="981"/>
      <c r="F801" s="952"/>
      <c r="G801" s="981"/>
      <c r="H801" s="981"/>
      <c r="I801" s="981"/>
      <c r="J801" s="981"/>
      <c r="K801" s="981"/>
      <c r="O801" s="981"/>
      <c r="P801" s="981"/>
      <c r="Q801" s="92"/>
    </row>
    <row r="802" spans="1:17" ht="15" customHeight="1">
      <c r="A802" s="981"/>
      <c r="B802" s="981"/>
      <c r="C802" s="1016"/>
      <c r="D802" s="952"/>
      <c r="E802" s="981"/>
      <c r="F802" s="952"/>
      <c r="G802" s="981"/>
      <c r="H802" s="981"/>
      <c r="I802" s="981"/>
      <c r="J802" s="981"/>
      <c r="K802" s="981"/>
      <c r="O802" s="981"/>
      <c r="P802" s="981"/>
      <c r="Q802" s="92"/>
    </row>
    <row r="803" spans="1:17" ht="15" customHeight="1">
      <c r="A803" s="981"/>
      <c r="B803" s="981"/>
      <c r="C803" s="1016"/>
      <c r="D803" s="952"/>
      <c r="E803" s="981"/>
      <c r="F803" s="952"/>
      <c r="G803" s="981"/>
      <c r="H803" s="981"/>
      <c r="I803" s="981"/>
      <c r="J803" s="981"/>
      <c r="K803" s="981"/>
      <c r="O803" s="981"/>
      <c r="P803" s="981"/>
      <c r="Q803" s="92"/>
    </row>
    <row r="804" spans="1:17" ht="15" customHeight="1">
      <c r="A804" s="981"/>
      <c r="B804" s="981"/>
      <c r="C804" s="1016"/>
      <c r="D804" s="952"/>
      <c r="E804" s="981"/>
      <c r="F804" s="952"/>
      <c r="G804" s="981"/>
      <c r="H804" s="981"/>
      <c r="I804" s="981"/>
      <c r="J804" s="981"/>
      <c r="K804" s="981"/>
      <c r="O804" s="981"/>
      <c r="P804" s="981"/>
      <c r="Q804" s="92"/>
    </row>
    <row r="805" spans="1:17" ht="15" customHeight="1">
      <c r="A805" s="981"/>
      <c r="B805" s="981"/>
      <c r="C805" s="1016"/>
      <c r="D805" s="952"/>
      <c r="E805" s="981"/>
      <c r="F805" s="952"/>
      <c r="G805" s="981"/>
      <c r="H805" s="981"/>
      <c r="I805" s="981"/>
      <c r="J805" s="981"/>
      <c r="K805" s="981"/>
      <c r="O805" s="981"/>
      <c r="P805" s="981"/>
      <c r="Q805" s="92"/>
    </row>
    <row r="806" spans="1:17" ht="15" customHeight="1">
      <c r="A806" s="981"/>
      <c r="B806" s="981"/>
      <c r="C806" s="1016"/>
      <c r="D806" s="952"/>
      <c r="E806" s="981"/>
      <c r="F806" s="952"/>
      <c r="G806" s="981"/>
      <c r="H806" s="981"/>
      <c r="I806" s="981"/>
      <c r="J806" s="981"/>
      <c r="K806" s="981"/>
      <c r="O806" s="981"/>
      <c r="P806" s="981"/>
      <c r="Q806" s="92"/>
    </row>
    <row r="807" spans="1:17" ht="15" customHeight="1">
      <c r="A807" s="981"/>
      <c r="B807" s="981"/>
      <c r="C807" s="1016"/>
      <c r="D807" s="952"/>
      <c r="E807" s="981"/>
      <c r="F807" s="952"/>
      <c r="G807" s="981"/>
      <c r="H807" s="981"/>
      <c r="I807" s="981"/>
      <c r="J807" s="981"/>
      <c r="K807" s="981"/>
      <c r="O807" s="981"/>
      <c r="P807" s="981"/>
      <c r="Q807" s="92"/>
    </row>
    <row r="808" spans="1:17" ht="15" customHeight="1">
      <c r="A808" s="981"/>
      <c r="B808" s="981"/>
      <c r="C808" s="1016"/>
      <c r="D808" s="952"/>
      <c r="E808" s="981"/>
      <c r="F808" s="952"/>
      <c r="G808" s="981"/>
      <c r="H808" s="981"/>
      <c r="I808" s="981"/>
      <c r="J808" s="981"/>
      <c r="K808" s="981"/>
      <c r="O808" s="981"/>
      <c r="P808" s="981"/>
      <c r="Q808" s="92"/>
    </row>
    <row r="809" spans="1:17" ht="15" customHeight="1">
      <c r="A809" s="981"/>
      <c r="B809" s="981"/>
      <c r="C809" s="1016"/>
      <c r="D809" s="952"/>
      <c r="E809" s="981"/>
      <c r="F809" s="952"/>
      <c r="G809" s="981"/>
      <c r="H809" s="981"/>
      <c r="I809" s="981"/>
      <c r="J809" s="981"/>
      <c r="K809" s="981"/>
      <c r="O809" s="981"/>
      <c r="P809" s="981"/>
      <c r="Q809" s="92"/>
    </row>
    <row r="810" spans="1:17" ht="15" customHeight="1">
      <c r="A810" s="981"/>
      <c r="B810" s="981"/>
      <c r="C810" s="1016"/>
      <c r="D810" s="952"/>
      <c r="E810" s="981"/>
      <c r="F810" s="952"/>
      <c r="G810" s="981"/>
      <c r="H810" s="981"/>
      <c r="I810" s="981"/>
      <c r="J810" s="981"/>
      <c r="K810" s="981"/>
      <c r="O810" s="981"/>
      <c r="P810" s="981"/>
      <c r="Q810" s="92"/>
    </row>
    <row r="811" spans="1:17" ht="15" customHeight="1">
      <c r="A811" s="981"/>
      <c r="B811" s="981"/>
      <c r="C811" s="1016"/>
      <c r="D811" s="952"/>
      <c r="E811" s="981"/>
      <c r="F811" s="952"/>
      <c r="G811" s="981"/>
      <c r="H811" s="981"/>
      <c r="I811" s="981"/>
      <c r="J811" s="981"/>
      <c r="K811" s="981"/>
      <c r="O811" s="981"/>
      <c r="P811" s="981"/>
      <c r="Q811" s="92"/>
    </row>
    <row r="812" spans="1:17" ht="15" customHeight="1">
      <c r="A812" s="981"/>
      <c r="B812" s="981"/>
      <c r="C812" s="1016"/>
      <c r="D812" s="952"/>
      <c r="E812" s="981"/>
      <c r="F812" s="952"/>
      <c r="G812" s="981"/>
      <c r="H812" s="981"/>
      <c r="I812" s="981"/>
      <c r="J812" s="981"/>
      <c r="K812" s="981"/>
      <c r="O812" s="981"/>
      <c r="P812" s="981"/>
      <c r="Q812" s="92"/>
    </row>
    <row r="813" spans="1:17" ht="15" customHeight="1">
      <c r="A813" s="981"/>
      <c r="B813" s="981"/>
      <c r="C813" s="1016"/>
      <c r="D813" s="952"/>
      <c r="E813" s="981"/>
      <c r="F813" s="952"/>
      <c r="G813" s="981"/>
      <c r="H813" s="981"/>
      <c r="I813" s="981"/>
      <c r="J813" s="981"/>
      <c r="K813" s="981"/>
      <c r="O813" s="981"/>
      <c r="P813" s="981"/>
      <c r="Q813" s="92"/>
    </row>
    <row r="814" spans="1:17" ht="15" customHeight="1">
      <c r="A814" s="981"/>
      <c r="B814" s="981"/>
      <c r="C814" s="1016"/>
      <c r="D814" s="952"/>
      <c r="E814" s="981"/>
      <c r="F814" s="952"/>
      <c r="G814" s="981"/>
      <c r="H814" s="981"/>
      <c r="I814" s="981"/>
      <c r="J814" s="981"/>
      <c r="K814" s="981"/>
      <c r="O814" s="981"/>
      <c r="P814" s="981"/>
      <c r="Q814" s="92"/>
    </row>
    <row r="815" spans="1:17" ht="15" customHeight="1">
      <c r="A815" s="981"/>
      <c r="B815" s="981"/>
      <c r="C815" s="1016"/>
      <c r="D815" s="952"/>
      <c r="E815" s="981"/>
      <c r="F815" s="952"/>
      <c r="G815" s="981"/>
      <c r="H815" s="981"/>
      <c r="I815" s="981"/>
      <c r="J815" s="981"/>
      <c r="K815" s="981"/>
      <c r="O815" s="981"/>
      <c r="P815" s="981"/>
      <c r="Q815" s="92"/>
    </row>
    <row r="816" spans="1:17" ht="15" customHeight="1">
      <c r="A816" s="981"/>
      <c r="B816" s="981"/>
      <c r="C816" s="1016"/>
      <c r="D816" s="952"/>
      <c r="E816" s="981"/>
      <c r="F816" s="952"/>
      <c r="G816" s="981"/>
      <c r="H816" s="981"/>
      <c r="I816" s="981"/>
      <c r="J816" s="981"/>
      <c r="K816" s="981"/>
      <c r="O816" s="981"/>
      <c r="P816" s="981"/>
      <c r="Q816" s="92"/>
    </row>
    <row r="817" spans="1:17" ht="15" customHeight="1">
      <c r="A817" s="981"/>
      <c r="B817" s="981"/>
      <c r="C817" s="1016"/>
      <c r="D817" s="952"/>
      <c r="E817" s="981"/>
      <c r="F817" s="952"/>
      <c r="G817" s="981"/>
      <c r="H817" s="981"/>
      <c r="I817" s="981"/>
      <c r="J817" s="981"/>
      <c r="K817" s="981"/>
      <c r="O817" s="981"/>
      <c r="P817" s="981"/>
      <c r="Q817" s="92"/>
    </row>
    <row r="818" spans="1:17" ht="15" customHeight="1">
      <c r="A818" s="981"/>
      <c r="B818" s="981"/>
      <c r="C818" s="1016"/>
      <c r="D818" s="952"/>
      <c r="E818" s="981"/>
      <c r="F818" s="952"/>
      <c r="G818" s="981"/>
      <c r="H818" s="981"/>
      <c r="I818" s="981"/>
      <c r="J818" s="981"/>
      <c r="K818" s="981"/>
      <c r="O818" s="981"/>
      <c r="P818" s="981"/>
      <c r="Q818" s="92"/>
    </row>
    <row r="819" spans="1:17" ht="15" customHeight="1">
      <c r="A819" s="981"/>
      <c r="B819" s="981"/>
      <c r="C819" s="1016"/>
      <c r="D819" s="952"/>
      <c r="E819" s="981"/>
      <c r="F819" s="952"/>
      <c r="G819" s="981"/>
      <c r="H819" s="981"/>
      <c r="I819" s="981"/>
      <c r="J819" s="981"/>
      <c r="K819" s="981"/>
      <c r="O819" s="981"/>
      <c r="P819" s="981"/>
      <c r="Q819" s="92"/>
    </row>
    <row r="820" spans="1:17" ht="15" customHeight="1">
      <c r="A820" s="981"/>
      <c r="B820" s="981"/>
      <c r="C820" s="1016"/>
      <c r="D820" s="952"/>
      <c r="E820" s="981"/>
      <c r="F820" s="952"/>
      <c r="G820" s="981"/>
      <c r="H820" s="981"/>
      <c r="I820" s="981"/>
      <c r="J820" s="981"/>
      <c r="K820" s="981"/>
      <c r="O820" s="981"/>
      <c r="P820" s="981"/>
      <c r="Q820" s="92"/>
    </row>
    <row r="821" spans="1:17" ht="15" customHeight="1">
      <c r="A821" s="981"/>
      <c r="B821" s="981"/>
      <c r="C821" s="1016"/>
      <c r="D821" s="952"/>
      <c r="E821" s="981"/>
      <c r="F821" s="952"/>
      <c r="G821" s="981"/>
      <c r="H821" s="981"/>
      <c r="I821" s="981"/>
      <c r="J821" s="981"/>
      <c r="K821" s="981"/>
      <c r="O821" s="981"/>
      <c r="P821" s="981"/>
      <c r="Q821" s="92"/>
    </row>
    <row r="822" spans="1:17" ht="15" customHeight="1">
      <c r="A822" s="981"/>
      <c r="B822" s="981"/>
      <c r="C822" s="1016"/>
      <c r="D822" s="952"/>
      <c r="E822" s="981"/>
      <c r="F822" s="952"/>
      <c r="G822" s="981"/>
      <c r="H822" s="981"/>
      <c r="I822" s="981"/>
      <c r="J822" s="981"/>
      <c r="K822" s="981"/>
      <c r="O822" s="981"/>
      <c r="P822" s="981"/>
      <c r="Q822" s="92"/>
    </row>
    <row r="823" spans="1:17" ht="15" customHeight="1">
      <c r="A823" s="981"/>
      <c r="B823" s="981"/>
      <c r="C823" s="1016"/>
      <c r="D823" s="952"/>
      <c r="E823" s="981"/>
      <c r="F823" s="952"/>
      <c r="G823" s="981"/>
      <c r="H823" s="981"/>
      <c r="I823" s="981"/>
      <c r="J823" s="981"/>
      <c r="K823" s="981"/>
      <c r="O823" s="981"/>
      <c r="P823" s="981"/>
      <c r="Q823" s="92"/>
    </row>
    <row r="824" spans="1:17" ht="15" customHeight="1">
      <c r="A824" s="981"/>
      <c r="B824" s="981"/>
      <c r="C824" s="1016"/>
      <c r="D824" s="952"/>
      <c r="E824" s="981"/>
      <c r="F824" s="952"/>
      <c r="G824" s="981"/>
      <c r="H824" s="981"/>
      <c r="I824" s="981"/>
      <c r="J824" s="981"/>
      <c r="K824" s="981"/>
      <c r="O824" s="981"/>
      <c r="P824" s="981"/>
      <c r="Q824" s="92"/>
    </row>
    <row r="825" spans="1:17" ht="15" customHeight="1">
      <c r="A825" s="981"/>
      <c r="B825" s="981"/>
      <c r="C825" s="1016"/>
      <c r="D825" s="952"/>
      <c r="E825" s="981"/>
      <c r="F825" s="952"/>
      <c r="G825" s="981"/>
      <c r="H825" s="981"/>
      <c r="I825" s="981"/>
      <c r="J825" s="981"/>
      <c r="K825" s="981"/>
      <c r="O825" s="981"/>
      <c r="P825" s="981"/>
      <c r="Q825" s="92"/>
    </row>
    <row r="826" spans="1:17" ht="15" customHeight="1">
      <c r="A826" s="981"/>
      <c r="B826" s="981"/>
      <c r="C826" s="1016"/>
      <c r="D826" s="952"/>
      <c r="E826" s="981"/>
      <c r="F826" s="952"/>
      <c r="G826" s="981"/>
      <c r="H826" s="981"/>
      <c r="I826" s="981"/>
      <c r="J826" s="981"/>
      <c r="K826" s="981"/>
      <c r="O826" s="981"/>
      <c r="P826" s="981"/>
      <c r="Q826" s="92"/>
    </row>
    <row r="827" spans="1:17" ht="15" customHeight="1">
      <c r="A827" s="981"/>
      <c r="B827" s="981"/>
      <c r="C827" s="1016"/>
      <c r="D827" s="952"/>
      <c r="E827" s="981"/>
      <c r="F827" s="952"/>
      <c r="G827" s="981"/>
      <c r="H827" s="981"/>
      <c r="I827" s="981"/>
      <c r="J827" s="981"/>
      <c r="K827" s="981"/>
      <c r="O827" s="981"/>
      <c r="P827" s="981"/>
      <c r="Q827" s="92"/>
    </row>
    <row r="828" spans="1:17" ht="15" customHeight="1">
      <c r="A828" s="981"/>
      <c r="B828" s="981"/>
      <c r="C828" s="1016"/>
      <c r="D828" s="952"/>
      <c r="E828" s="981"/>
      <c r="F828" s="952"/>
      <c r="G828" s="981"/>
      <c r="H828" s="981"/>
      <c r="I828" s="981"/>
      <c r="J828" s="981"/>
      <c r="K828" s="981"/>
      <c r="O828" s="981"/>
      <c r="P828" s="981"/>
      <c r="Q828" s="92"/>
    </row>
    <row r="829" spans="1:17" ht="15" customHeight="1">
      <c r="A829" s="981"/>
      <c r="B829" s="981"/>
      <c r="C829" s="1016"/>
      <c r="D829" s="952"/>
      <c r="E829" s="981"/>
      <c r="F829" s="952"/>
      <c r="G829" s="981"/>
      <c r="H829" s="981"/>
      <c r="I829" s="981"/>
      <c r="J829" s="981"/>
      <c r="K829" s="981"/>
      <c r="O829" s="981"/>
      <c r="P829" s="981"/>
      <c r="Q829" s="92"/>
    </row>
    <row r="830" spans="1:17" ht="15" customHeight="1">
      <c r="A830" s="981"/>
      <c r="B830" s="981"/>
      <c r="C830" s="1016"/>
      <c r="D830" s="952"/>
      <c r="E830" s="981"/>
      <c r="F830" s="952"/>
      <c r="G830" s="981"/>
      <c r="H830" s="981"/>
      <c r="I830" s="981"/>
      <c r="J830" s="981"/>
      <c r="K830" s="981"/>
      <c r="O830" s="981"/>
      <c r="P830" s="981"/>
      <c r="Q830" s="92"/>
    </row>
    <row r="831" spans="1:17" ht="15" customHeight="1">
      <c r="A831" s="981"/>
      <c r="B831" s="981"/>
      <c r="C831" s="1016"/>
      <c r="D831" s="952"/>
      <c r="E831" s="981"/>
      <c r="F831" s="952"/>
      <c r="G831" s="981"/>
      <c r="H831" s="981"/>
      <c r="I831" s="981"/>
      <c r="J831" s="981"/>
      <c r="K831" s="981"/>
      <c r="O831" s="981"/>
      <c r="P831" s="981"/>
      <c r="Q831" s="92"/>
    </row>
    <row r="832" spans="1:17" ht="15" customHeight="1">
      <c r="A832" s="981"/>
      <c r="B832" s="981"/>
      <c r="C832" s="1016"/>
      <c r="D832" s="952"/>
      <c r="E832" s="981"/>
      <c r="F832" s="952"/>
      <c r="G832" s="981"/>
      <c r="H832" s="981"/>
      <c r="I832" s="981"/>
      <c r="J832" s="981"/>
      <c r="K832" s="981"/>
      <c r="O832" s="981"/>
      <c r="P832" s="981"/>
      <c r="Q832" s="92"/>
    </row>
    <row r="833" spans="1:17" ht="15" customHeight="1">
      <c r="A833" s="981"/>
      <c r="B833" s="981"/>
      <c r="C833" s="1016"/>
      <c r="D833" s="952"/>
      <c r="E833" s="981"/>
      <c r="F833" s="952"/>
      <c r="G833" s="981"/>
      <c r="H833" s="981"/>
      <c r="I833" s="981"/>
      <c r="J833" s="981"/>
      <c r="K833" s="981"/>
      <c r="O833" s="981"/>
      <c r="P833" s="981"/>
      <c r="Q833" s="92"/>
    </row>
    <row r="834" spans="1:17" ht="15" customHeight="1">
      <c r="A834" s="981"/>
      <c r="B834" s="981"/>
      <c r="C834" s="1016"/>
      <c r="D834" s="952"/>
      <c r="E834" s="981"/>
      <c r="F834" s="952"/>
      <c r="G834" s="981"/>
      <c r="H834" s="981"/>
      <c r="I834" s="981"/>
      <c r="J834" s="981"/>
      <c r="K834" s="981"/>
      <c r="O834" s="981"/>
      <c r="P834" s="981"/>
      <c r="Q834" s="92"/>
    </row>
    <row r="835" spans="1:17" ht="15" customHeight="1">
      <c r="A835" s="981"/>
      <c r="B835" s="981"/>
      <c r="C835" s="1016"/>
      <c r="D835" s="952"/>
      <c r="E835" s="981"/>
      <c r="F835" s="952"/>
      <c r="G835" s="981"/>
      <c r="H835" s="981"/>
      <c r="I835" s="981"/>
      <c r="J835" s="981"/>
      <c r="K835" s="981"/>
      <c r="O835" s="981"/>
      <c r="P835" s="981"/>
      <c r="Q835" s="92"/>
    </row>
    <row r="836" spans="1:17" ht="15" customHeight="1">
      <c r="A836" s="981"/>
      <c r="B836" s="981"/>
      <c r="C836" s="1016"/>
      <c r="D836" s="952"/>
      <c r="E836" s="981"/>
      <c r="F836" s="952"/>
      <c r="G836" s="981"/>
      <c r="H836" s="981"/>
      <c r="I836" s="981"/>
      <c r="J836" s="981"/>
      <c r="K836" s="981"/>
      <c r="O836" s="981"/>
      <c r="P836" s="981"/>
      <c r="Q836" s="92"/>
    </row>
    <row r="837" spans="1:17" ht="15" customHeight="1">
      <c r="A837" s="981"/>
      <c r="B837" s="981"/>
      <c r="C837" s="1016"/>
      <c r="D837" s="952"/>
      <c r="E837" s="981"/>
      <c r="F837" s="952"/>
      <c r="G837" s="981"/>
      <c r="H837" s="981"/>
      <c r="I837" s="981"/>
      <c r="J837" s="981"/>
      <c r="K837" s="981"/>
      <c r="O837" s="981"/>
      <c r="P837" s="981"/>
      <c r="Q837" s="92"/>
    </row>
    <row r="838" spans="1:17" ht="15" customHeight="1">
      <c r="A838" s="981"/>
      <c r="B838" s="981"/>
      <c r="C838" s="1016"/>
      <c r="D838" s="952"/>
      <c r="E838" s="981"/>
      <c r="F838" s="952"/>
      <c r="G838" s="981"/>
      <c r="H838" s="981"/>
      <c r="I838" s="981"/>
      <c r="J838" s="981"/>
      <c r="K838" s="981"/>
      <c r="O838" s="981"/>
      <c r="P838" s="981"/>
      <c r="Q838" s="92"/>
    </row>
    <row r="839" spans="1:17" ht="15" customHeight="1">
      <c r="A839" s="981"/>
      <c r="B839" s="981"/>
      <c r="C839" s="1016"/>
      <c r="D839" s="952"/>
      <c r="E839" s="981"/>
      <c r="F839" s="952"/>
      <c r="G839" s="981"/>
      <c r="H839" s="981"/>
      <c r="I839" s="981"/>
      <c r="J839" s="981"/>
      <c r="K839" s="981"/>
      <c r="O839" s="981"/>
      <c r="P839" s="981"/>
      <c r="Q839" s="92"/>
    </row>
    <row r="840" spans="1:17" ht="15" customHeight="1">
      <c r="A840" s="981"/>
      <c r="B840" s="981"/>
      <c r="C840" s="1016"/>
      <c r="D840" s="952"/>
      <c r="E840" s="981"/>
      <c r="F840" s="952"/>
      <c r="G840" s="981"/>
      <c r="H840" s="981"/>
      <c r="I840" s="981"/>
      <c r="J840" s="981"/>
      <c r="K840" s="981"/>
      <c r="O840" s="981"/>
      <c r="P840" s="981"/>
      <c r="Q840" s="92"/>
    </row>
    <row r="841" spans="1:17" ht="15" customHeight="1">
      <c r="A841" s="981"/>
      <c r="B841" s="981"/>
      <c r="C841" s="1016"/>
      <c r="D841" s="952"/>
      <c r="E841" s="981"/>
      <c r="F841" s="952"/>
      <c r="G841" s="981"/>
      <c r="H841" s="981"/>
      <c r="I841" s="981"/>
      <c r="J841" s="981"/>
      <c r="K841" s="981"/>
      <c r="O841" s="981"/>
      <c r="P841" s="981"/>
      <c r="Q841" s="92"/>
    </row>
    <row r="842" spans="1:17" ht="15" customHeight="1">
      <c r="A842" s="981"/>
      <c r="B842" s="981"/>
      <c r="C842" s="1016"/>
      <c r="D842" s="952"/>
      <c r="E842" s="981"/>
      <c r="F842" s="952"/>
      <c r="G842" s="981"/>
      <c r="H842" s="981"/>
      <c r="I842" s="981"/>
      <c r="J842" s="981"/>
      <c r="K842" s="981"/>
      <c r="O842" s="981"/>
      <c r="P842" s="981"/>
      <c r="Q842" s="92"/>
    </row>
    <row r="843" spans="1:17" ht="15" customHeight="1">
      <c r="A843" s="981"/>
      <c r="B843" s="981"/>
      <c r="C843" s="1016"/>
      <c r="D843" s="952"/>
      <c r="E843" s="981"/>
      <c r="F843" s="952"/>
      <c r="G843" s="981"/>
      <c r="H843" s="981"/>
      <c r="I843" s="981"/>
      <c r="J843" s="981"/>
      <c r="K843" s="981"/>
      <c r="O843" s="981"/>
      <c r="P843" s="981"/>
      <c r="Q843" s="92"/>
    </row>
    <row r="844" spans="1:17" ht="15" customHeight="1">
      <c r="A844" s="981"/>
      <c r="B844" s="981"/>
      <c r="C844" s="1016"/>
      <c r="D844" s="952"/>
      <c r="E844" s="981"/>
      <c r="F844" s="952"/>
      <c r="G844" s="981"/>
      <c r="H844" s="981"/>
      <c r="I844" s="981"/>
      <c r="J844" s="981"/>
      <c r="K844" s="981"/>
      <c r="O844" s="981"/>
      <c r="P844" s="981"/>
      <c r="Q844" s="92"/>
    </row>
    <row r="845" spans="1:17" ht="15" customHeight="1">
      <c r="A845" s="981"/>
      <c r="B845" s="981"/>
      <c r="C845" s="1016"/>
      <c r="D845" s="952"/>
      <c r="E845" s="981"/>
      <c r="F845" s="952"/>
      <c r="G845" s="981"/>
      <c r="H845" s="981"/>
      <c r="I845" s="981"/>
      <c r="J845" s="981"/>
      <c r="K845" s="981"/>
      <c r="O845" s="981"/>
      <c r="P845" s="981"/>
      <c r="Q845" s="92"/>
    </row>
    <row r="846" spans="1:17" ht="15" customHeight="1">
      <c r="A846" s="981"/>
      <c r="B846" s="981"/>
      <c r="C846" s="1016"/>
      <c r="D846" s="952"/>
      <c r="E846" s="981"/>
      <c r="F846" s="952"/>
      <c r="G846" s="981"/>
      <c r="H846" s="981"/>
      <c r="I846" s="981"/>
      <c r="J846" s="981"/>
      <c r="K846" s="981"/>
      <c r="O846" s="981"/>
      <c r="P846" s="981"/>
      <c r="Q846" s="92"/>
    </row>
    <row r="847" spans="1:17" ht="15" customHeight="1">
      <c r="A847" s="981"/>
      <c r="B847" s="981"/>
      <c r="C847" s="1016"/>
      <c r="D847" s="952"/>
      <c r="E847" s="981"/>
      <c r="F847" s="952"/>
      <c r="G847" s="981"/>
      <c r="H847" s="981"/>
      <c r="I847" s="981"/>
      <c r="J847" s="981"/>
      <c r="K847" s="981"/>
      <c r="O847" s="981"/>
      <c r="P847" s="981"/>
      <c r="Q847" s="92"/>
    </row>
    <row r="848" spans="1:17" ht="15" customHeight="1">
      <c r="A848" s="981"/>
      <c r="B848" s="981"/>
      <c r="C848" s="1016"/>
      <c r="D848" s="952"/>
      <c r="E848" s="981"/>
      <c r="F848" s="952"/>
      <c r="G848" s="981"/>
      <c r="H848" s="981"/>
      <c r="I848" s="981"/>
      <c r="J848" s="981"/>
      <c r="K848" s="981"/>
      <c r="O848" s="981"/>
      <c r="P848" s="981"/>
      <c r="Q848" s="92"/>
    </row>
    <row r="849" spans="1:17" ht="15" customHeight="1">
      <c r="A849" s="981"/>
      <c r="B849" s="981"/>
      <c r="C849" s="1016"/>
      <c r="D849" s="952"/>
      <c r="E849" s="981"/>
      <c r="F849" s="952"/>
      <c r="G849" s="981"/>
      <c r="H849" s="981"/>
      <c r="I849" s="981"/>
      <c r="J849" s="981"/>
      <c r="K849" s="981"/>
      <c r="O849" s="981"/>
      <c r="P849" s="981"/>
      <c r="Q849" s="92"/>
    </row>
    <row r="850" spans="1:17" ht="15" customHeight="1">
      <c r="A850" s="981"/>
      <c r="B850" s="981"/>
      <c r="C850" s="1016"/>
      <c r="D850" s="952"/>
      <c r="E850" s="981"/>
      <c r="F850" s="952"/>
      <c r="G850" s="981"/>
      <c r="H850" s="981"/>
      <c r="I850" s="981"/>
      <c r="J850" s="981"/>
      <c r="K850" s="981"/>
      <c r="O850" s="981"/>
      <c r="P850" s="981"/>
      <c r="Q850" s="92"/>
    </row>
    <row r="851" spans="1:17" ht="15" customHeight="1">
      <c r="A851" s="981"/>
      <c r="B851" s="981"/>
      <c r="C851" s="1016"/>
      <c r="D851" s="952"/>
      <c r="E851" s="981"/>
      <c r="F851" s="952"/>
      <c r="G851" s="981"/>
      <c r="H851" s="981"/>
      <c r="I851" s="981"/>
      <c r="J851" s="981"/>
      <c r="K851" s="981"/>
      <c r="O851" s="981"/>
      <c r="P851" s="981"/>
      <c r="Q851" s="92"/>
    </row>
    <row r="852" spans="1:17" ht="15" customHeight="1">
      <c r="A852" s="981"/>
      <c r="B852" s="981"/>
      <c r="C852" s="1016"/>
      <c r="D852" s="952"/>
      <c r="E852" s="981"/>
      <c r="F852" s="952"/>
      <c r="G852" s="981"/>
      <c r="H852" s="981"/>
      <c r="I852" s="981"/>
      <c r="J852" s="981"/>
      <c r="K852" s="981"/>
      <c r="O852" s="981"/>
      <c r="P852" s="981"/>
      <c r="Q852" s="92"/>
    </row>
    <row r="853" spans="1:17" ht="15" customHeight="1">
      <c r="A853" s="981"/>
      <c r="B853" s="981"/>
      <c r="C853" s="1016"/>
      <c r="D853" s="952"/>
      <c r="E853" s="981"/>
      <c r="F853" s="952"/>
      <c r="G853" s="981"/>
      <c r="H853" s="981"/>
      <c r="I853" s="981"/>
      <c r="J853" s="981"/>
      <c r="K853" s="981"/>
      <c r="O853" s="981"/>
      <c r="P853" s="981"/>
      <c r="Q853" s="92"/>
    </row>
    <row r="854" spans="1:17" ht="15" customHeight="1">
      <c r="A854" s="981"/>
      <c r="B854" s="981"/>
      <c r="C854" s="1016"/>
      <c r="D854" s="952"/>
      <c r="E854" s="981"/>
      <c r="F854" s="952"/>
      <c r="G854" s="981"/>
      <c r="H854" s="981"/>
      <c r="I854" s="981"/>
      <c r="J854" s="981"/>
      <c r="K854" s="981"/>
      <c r="O854" s="981"/>
      <c r="P854" s="981"/>
      <c r="Q854" s="92"/>
    </row>
    <row r="855" spans="1:17" ht="15" customHeight="1">
      <c r="A855" s="981"/>
      <c r="B855" s="981"/>
      <c r="C855" s="1016"/>
      <c r="D855" s="952"/>
      <c r="E855" s="981"/>
      <c r="F855" s="952"/>
      <c r="G855" s="981"/>
      <c r="H855" s="981"/>
      <c r="I855" s="981"/>
      <c r="J855" s="981"/>
      <c r="K855" s="981"/>
      <c r="O855" s="981"/>
      <c r="P855" s="981"/>
      <c r="Q855" s="92"/>
    </row>
    <row r="856" spans="1:17" ht="15" customHeight="1">
      <c r="A856" s="981"/>
      <c r="B856" s="981"/>
      <c r="C856" s="1016"/>
      <c r="D856" s="952"/>
      <c r="E856" s="981"/>
      <c r="F856" s="952"/>
      <c r="G856" s="981"/>
      <c r="H856" s="981"/>
      <c r="I856" s="981"/>
      <c r="J856" s="981"/>
      <c r="K856" s="981"/>
      <c r="O856" s="981"/>
      <c r="P856" s="981"/>
      <c r="Q856" s="92"/>
    </row>
    <row r="857" spans="1:17" ht="15" customHeight="1">
      <c r="A857" s="981"/>
      <c r="B857" s="981"/>
      <c r="C857" s="1016"/>
      <c r="D857" s="952"/>
      <c r="E857" s="981"/>
      <c r="F857" s="952"/>
      <c r="G857" s="981"/>
      <c r="H857" s="981"/>
      <c r="I857" s="981"/>
      <c r="J857" s="981"/>
      <c r="K857" s="981"/>
      <c r="O857" s="981"/>
      <c r="P857" s="981"/>
      <c r="Q857" s="92"/>
    </row>
    <row r="858" spans="1:17" ht="15" customHeight="1">
      <c r="A858" s="981"/>
      <c r="B858" s="981"/>
      <c r="C858" s="1016"/>
      <c r="D858" s="952"/>
      <c r="E858" s="981"/>
      <c r="F858" s="952"/>
      <c r="G858" s="981"/>
      <c r="H858" s="981"/>
      <c r="I858" s="981"/>
      <c r="J858" s="981"/>
      <c r="K858" s="981"/>
      <c r="O858" s="981"/>
      <c r="P858" s="981"/>
      <c r="Q858" s="92"/>
    </row>
    <row r="859" spans="1:17" ht="15" customHeight="1">
      <c r="A859" s="981"/>
      <c r="B859" s="981"/>
      <c r="C859" s="1016"/>
      <c r="D859" s="952"/>
      <c r="E859" s="981"/>
      <c r="F859" s="952"/>
      <c r="G859" s="981"/>
      <c r="H859" s="981"/>
      <c r="I859" s="981"/>
      <c r="J859" s="981"/>
      <c r="K859" s="981"/>
      <c r="O859" s="981"/>
      <c r="P859" s="981"/>
      <c r="Q859" s="92"/>
    </row>
    <row r="860" spans="1:17" ht="15" customHeight="1">
      <c r="A860" s="981"/>
      <c r="B860" s="981"/>
      <c r="C860" s="1016"/>
      <c r="D860" s="952"/>
      <c r="E860" s="981"/>
      <c r="F860" s="952"/>
      <c r="G860" s="981"/>
      <c r="H860" s="981"/>
      <c r="I860" s="981"/>
      <c r="J860" s="981"/>
      <c r="K860" s="981"/>
      <c r="O860" s="981"/>
      <c r="P860" s="981"/>
      <c r="Q860" s="92"/>
    </row>
    <row r="861" spans="1:17" ht="15" customHeight="1">
      <c r="A861" s="981"/>
      <c r="B861" s="981"/>
      <c r="C861" s="1016"/>
      <c r="D861" s="952"/>
      <c r="E861" s="981"/>
      <c r="F861" s="952"/>
      <c r="G861" s="981"/>
      <c r="H861" s="981"/>
      <c r="I861" s="981"/>
      <c r="J861" s="981"/>
      <c r="K861" s="981"/>
      <c r="O861" s="981"/>
      <c r="P861" s="981"/>
      <c r="Q861" s="92"/>
    </row>
    <row r="862" spans="1:17" ht="15" customHeight="1">
      <c r="A862" s="981"/>
      <c r="B862" s="981"/>
      <c r="C862" s="1016"/>
      <c r="D862" s="952"/>
      <c r="E862" s="981"/>
      <c r="F862" s="952"/>
      <c r="G862" s="981"/>
      <c r="H862" s="981"/>
      <c r="I862" s="981"/>
      <c r="J862" s="981"/>
      <c r="K862" s="981"/>
      <c r="O862" s="981"/>
      <c r="P862" s="981"/>
      <c r="Q862" s="92"/>
    </row>
    <row r="863" spans="1:17" ht="15" customHeight="1">
      <c r="A863" s="981"/>
      <c r="B863" s="981"/>
      <c r="C863" s="1016"/>
      <c r="D863" s="952"/>
      <c r="E863" s="981"/>
      <c r="F863" s="952"/>
      <c r="G863" s="981"/>
      <c r="H863" s="981"/>
      <c r="I863" s="981"/>
      <c r="J863" s="981"/>
      <c r="K863" s="981"/>
      <c r="O863" s="981"/>
      <c r="P863" s="981"/>
      <c r="Q863" s="92"/>
    </row>
    <row r="864" spans="1:17" ht="15" customHeight="1">
      <c r="A864" s="981"/>
      <c r="B864" s="981"/>
      <c r="C864" s="1016"/>
      <c r="D864" s="952"/>
      <c r="E864" s="981"/>
      <c r="F864" s="952"/>
      <c r="G864" s="981"/>
      <c r="H864" s="981"/>
      <c r="I864" s="981"/>
      <c r="J864" s="981"/>
      <c r="K864" s="981"/>
      <c r="O864" s="981"/>
      <c r="P864" s="981"/>
      <c r="Q864" s="92"/>
    </row>
    <row r="865" spans="1:17" ht="15" customHeight="1">
      <c r="A865" s="981"/>
      <c r="B865" s="981"/>
      <c r="C865" s="1016"/>
      <c r="D865" s="952"/>
      <c r="E865" s="981"/>
      <c r="F865" s="952"/>
      <c r="G865" s="981"/>
      <c r="H865" s="981"/>
      <c r="I865" s="981"/>
      <c r="J865" s="981"/>
      <c r="K865" s="981"/>
      <c r="O865" s="981"/>
      <c r="P865" s="981"/>
      <c r="Q865" s="92"/>
    </row>
    <row r="866" spans="1:17" ht="15" customHeight="1">
      <c r="A866" s="981"/>
      <c r="B866" s="981"/>
      <c r="C866" s="1016"/>
      <c r="D866" s="952"/>
      <c r="E866" s="981"/>
      <c r="F866" s="952"/>
      <c r="G866" s="981"/>
      <c r="H866" s="981"/>
      <c r="I866" s="981"/>
      <c r="J866" s="981"/>
      <c r="K866" s="981"/>
      <c r="O866" s="981"/>
      <c r="P866" s="981"/>
      <c r="Q866" s="92"/>
    </row>
    <row r="867" spans="1:17" ht="15" customHeight="1">
      <c r="A867" s="981"/>
      <c r="B867" s="981"/>
      <c r="C867" s="1016"/>
      <c r="D867" s="952"/>
      <c r="E867" s="981"/>
      <c r="F867" s="952"/>
      <c r="G867" s="981"/>
      <c r="H867" s="981"/>
      <c r="I867" s="981"/>
      <c r="J867" s="981"/>
      <c r="K867" s="981"/>
      <c r="O867" s="981"/>
      <c r="P867" s="981"/>
      <c r="Q867" s="92"/>
    </row>
    <row r="868" spans="1:17" ht="15" customHeight="1">
      <c r="A868" s="981"/>
      <c r="B868" s="981"/>
      <c r="C868" s="1016"/>
      <c r="D868" s="952"/>
      <c r="E868" s="981"/>
      <c r="F868" s="952"/>
      <c r="G868" s="981"/>
      <c r="H868" s="981"/>
      <c r="I868" s="981"/>
      <c r="J868" s="981"/>
      <c r="K868" s="981"/>
      <c r="O868" s="981"/>
      <c r="P868" s="981"/>
      <c r="Q868" s="92"/>
    </row>
    <row r="869" spans="1:17" ht="15" customHeight="1">
      <c r="A869" s="981"/>
      <c r="B869" s="981"/>
      <c r="C869" s="1016"/>
      <c r="D869" s="952"/>
      <c r="E869" s="981"/>
      <c r="F869" s="952"/>
      <c r="G869" s="981"/>
      <c r="H869" s="981"/>
      <c r="I869" s="981"/>
      <c r="J869" s="981"/>
      <c r="K869" s="981"/>
      <c r="O869" s="981"/>
      <c r="P869" s="981"/>
      <c r="Q869" s="92"/>
    </row>
    <row r="870" spans="1:17" ht="15" customHeight="1">
      <c r="A870" s="981"/>
      <c r="B870" s="981"/>
      <c r="C870" s="1016"/>
      <c r="D870" s="952"/>
      <c r="E870" s="981"/>
      <c r="F870" s="952"/>
      <c r="G870" s="981"/>
      <c r="H870" s="981"/>
      <c r="I870" s="981"/>
      <c r="J870" s="981"/>
      <c r="K870" s="981"/>
      <c r="O870" s="981"/>
      <c r="P870" s="981"/>
      <c r="Q870" s="92"/>
    </row>
    <row r="871" spans="1:17" ht="15" customHeight="1">
      <c r="A871" s="981"/>
      <c r="B871" s="981"/>
      <c r="C871" s="1016"/>
      <c r="D871" s="952"/>
      <c r="E871" s="981"/>
      <c r="F871" s="952"/>
      <c r="G871" s="981"/>
      <c r="H871" s="981"/>
      <c r="I871" s="981"/>
      <c r="J871" s="981"/>
      <c r="K871" s="981"/>
      <c r="O871" s="981"/>
      <c r="P871" s="981"/>
      <c r="Q871" s="92"/>
    </row>
    <row r="872" spans="1:17" ht="15" customHeight="1">
      <c r="A872" s="981"/>
      <c r="B872" s="981"/>
      <c r="C872" s="1016"/>
      <c r="D872" s="952"/>
      <c r="E872" s="981"/>
      <c r="F872" s="952"/>
      <c r="G872" s="981"/>
      <c r="H872" s="981"/>
      <c r="I872" s="981"/>
      <c r="J872" s="981"/>
      <c r="K872" s="981"/>
      <c r="O872" s="981"/>
      <c r="P872" s="981"/>
      <c r="Q872" s="92"/>
    </row>
    <row r="873" spans="1:17" ht="15" customHeight="1">
      <c r="A873" s="981"/>
      <c r="B873" s="981"/>
      <c r="C873" s="1016"/>
      <c r="D873" s="952"/>
      <c r="E873" s="981"/>
      <c r="F873" s="952"/>
      <c r="G873" s="981"/>
      <c r="H873" s="981"/>
      <c r="I873" s="981"/>
      <c r="J873" s="981"/>
      <c r="K873" s="981"/>
      <c r="O873" s="981"/>
      <c r="P873" s="981"/>
      <c r="Q873" s="92"/>
    </row>
    <row r="874" spans="1:17" ht="15" customHeight="1">
      <c r="A874" s="981"/>
      <c r="B874" s="981"/>
      <c r="C874" s="1016"/>
      <c r="D874" s="952"/>
      <c r="E874" s="981"/>
      <c r="F874" s="952"/>
      <c r="G874" s="981"/>
      <c r="H874" s="981"/>
      <c r="I874" s="981"/>
      <c r="J874" s="981"/>
      <c r="K874" s="981"/>
      <c r="O874" s="981"/>
      <c r="P874" s="981"/>
      <c r="Q874" s="92"/>
    </row>
    <row r="875" spans="1:17" ht="15" customHeight="1">
      <c r="A875" s="981"/>
      <c r="B875" s="981"/>
      <c r="C875" s="1016"/>
      <c r="D875" s="952"/>
      <c r="E875" s="981"/>
      <c r="F875" s="952"/>
      <c r="G875" s="981"/>
      <c r="H875" s="981"/>
      <c r="I875" s="981"/>
      <c r="J875" s="981"/>
      <c r="K875" s="981"/>
      <c r="O875" s="981"/>
      <c r="P875" s="981"/>
      <c r="Q875" s="92"/>
    </row>
    <row r="876" spans="1:17" ht="15" customHeight="1">
      <c r="A876" s="981"/>
      <c r="B876" s="981"/>
      <c r="C876" s="1016"/>
      <c r="D876" s="952"/>
      <c r="E876" s="981"/>
      <c r="F876" s="952"/>
      <c r="G876" s="981"/>
      <c r="H876" s="981"/>
      <c r="I876" s="981"/>
      <c r="J876" s="981"/>
      <c r="K876" s="981"/>
      <c r="O876" s="981"/>
      <c r="P876" s="981"/>
      <c r="Q876" s="92"/>
    </row>
    <row r="877" spans="1:17" ht="15" customHeight="1">
      <c r="A877" s="981"/>
      <c r="B877" s="981"/>
      <c r="C877" s="1016"/>
      <c r="D877" s="952"/>
      <c r="E877" s="981"/>
      <c r="F877" s="952"/>
      <c r="G877" s="981"/>
      <c r="H877" s="981"/>
      <c r="I877" s="981"/>
      <c r="J877" s="981"/>
      <c r="K877" s="981"/>
      <c r="O877" s="981"/>
      <c r="P877" s="981"/>
      <c r="Q877" s="92"/>
    </row>
    <row r="878" spans="1:17" ht="15" customHeight="1">
      <c r="A878" s="981"/>
      <c r="B878" s="981"/>
      <c r="C878" s="1016"/>
      <c r="D878" s="952"/>
      <c r="E878" s="981"/>
      <c r="F878" s="952"/>
      <c r="G878" s="981"/>
      <c r="H878" s="981"/>
      <c r="I878" s="981"/>
      <c r="J878" s="981"/>
      <c r="K878" s="981"/>
      <c r="O878" s="981"/>
      <c r="P878" s="981"/>
      <c r="Q878" s="92"/>
    </row>
    <row r="879" spans="1:17" ht="15" customHeight="1">
      <c r="A879" s="981"/>
      <c r="B879" s="981"/>
      <c r="C879" s="1016"/>
      <c r="D879" s="952"/>
      <c r="E879" s="981"/>
      <c r="F879" s="952"/>
      <c r="G879" s="981"/>
      <c r="H879" s="981"/>
      <c r="I879" s="981"/>
      <c r="J879" s="981"/>
      <c r="K879" s="981"/>
      <c r="O879" s="981"/>
      <c r="P879" s="981"/>
      <c r="Q879" s="92"/>
    </row>
    <row r="880" spans="1:17" ht="15" customHeight="1">
      <c r="A880" s="981"/>
      <c r="B880" s="981"/>
      <c r="C880" s="1016"/>
      <c r="D880" s="952"/>
      <c r="E880" s="981"/>
      <c r="F880" s="952"/>
      <c r="G880" s="981"/>
      <c r="H880" s="981"/>
      <c r="I880" s="981"/>
      <c r="J880" s="981"/>
      <c r="K880" s="981"/>
      <c r="O880" s="981"/>
      <c r="P880" s="981"/>
      <c r="Q880" s="92"/>
    </row>
    <row r="881" spans="1:17" ht="15" customHeight="1">
      <c r="A881" s="981"/>
      <c r="B881" s="981"/>
      <c r="C881" s="1016"/>
      <c r="D881" s="952"/>
      <c r="E881" s="981"/>
      <c r="F881" s="952"/>
      <c r="G881" s="981"/>
      <c r="H881" s="981"/>
      <c r="I881" s="981"/>
      <c r="J881" s="981"/>
      <c r="K881" s="981"/>
      <c r="O881" s="981"/>
      <c r="P881" s="981"/>
      <c r="Q881" s="92"/>
    </row>
    <row r="882" spans="1:17" ht="15" customHeight="1">
      <c r="A882" s="981"/>
      <c r="B882" s="981"/>
      <c r="C882" s="1016"/>
      <c r="D882" s="952"/>
      <c r="E882" s="981"/>
      <c r="F882" s="952"/>
      <c r="G882" s="981"/>
      <c r="H882" s="981"/>
      <c r="I882" s="981"/>
      <c r="J882" s="981"/>
      <c r="K882" s="981"/>
      <c r="O882" s="981"/>
      <c r="P882" s="981"/>
      <c r="Q882" s="92"/>
    </row>
    <row r="883" spans="1:17" ht="15" customHeight="1">
      <c r="A883" s="981"/>
      <c r="B883" s="981"/>
      <c r="C883" s="1016"/>
      <c r="D883" s="952"/>
      <c r="E883" s="981"/>
      <c r="F883" s="952"/>
      <c r="G883" s="981"/>
      <c r="H883" s="981"/>
      <c r="I883" s="981"/>
      <c r="J883" s="981"/>
      <c r="K883" s="981"/>
      <c r="O883" s="981"/>
      <c r="P883" s="981"/>
      <c r="Q883" s="92"/>
    </row>
    <row r="884" spans="1:17" ht="15" customHeight="1">
      <c r="A884" s="981"/>
      <c r="B884" s="981"/>
      <c r="C884" s="1016"/>
      <c r="D884" s="952"/>
      <c r="E884" s="981"/>
      <c r="F884" s="952"/>
      <c r="G884" s="981"/>
      <c r="H884" s="981"/>
      <c r="I884" s="981"/>
      <c r="J884" s="981"/>
      <c r="K884" s="981"/>
      <c r="O884" s="981"/>
      <c r="P884" s="981"/>
      <c r="Q884" s="92"/>
    </row>
    <row r="885" spans="1:17" ht="15" customHeight="1">
      <c r="A885" s="981"/>
      <c r="B885" s="981"/>
      <c r="C885" s="1016"/>
      <c r="D885" s="952"/>
      <c r="E885" s="981"/>
      <c r="F885" s="952"/>
      <c r="G885" s="981"/>
      <c r="H885" s="981"/>
      <c r="I885" s="981"/>
      <c r="J885" s="981"/>
      <c r="K885" s="981"/>
      <c r="O885" s="981"/>
      <c r="P885" s="981"/>
      <c r="Q885" s="92"/>
    </row>
    <row r="886" spans="1:17" ht="15" customHeight="1">
      <c r="A886" s="981"/>
      <c r="B886" s="981"/>
      <c r="C886" s="1016"/>
      <c r="D886" s="952"/>
      <c r="E886" s="981"/>
      <c r="F886" s="952"/>
      <c r="G886" s="981"/>
      <c r="H886" s="981"/>
      <c r="I886" s="981"/>
      <c r="J886" s="981"/>
      <c r="K886" s="981"/>
      <c r="O886" s="981"/>
      <c r="P886" s="981"/>
      <c r="Q886" s="92"/>
    </row>
    <row r="887" spans="1:17" ht="15" customHeight="1">
      <c r="A887" s="981"/>
      <c r="B887" s="981"/>
      <c r="C887" s="1016"/>
      <c r="D887" s="952"/>
      <c r="E887" s="981"/>
      <c r="F887" s="952"/>
      <c r="G887" s="981"/>
      <c r="H887" s="981"/>
      <c r="I887" s="981"/>
      <c r="J887" s="981"/>
      <c r="K887" s="981"/>
      <c r="O887" s="981"/>
      <c r="P887" s="981"/>
      <c r="Q887" s="92"/>
    </row>
    <row r="888" spans="1:17" ht="15" customHeight="1">
      <c r="A888" s="981"/>
      <c r="B888" s="981"/>
      <c r="C888" s="1016"/>
      <c r="D888" s="952"/>
      <c r="E888" s="981"/>
      <c r="F888" s="952"/>
      <c r="G888" s="981"/>
      <c r="H888" s="981"/>
      <c r="I888" s="981"/>
      <c r="J888" s="981"/>
      <c r="K888" s="981"/>
      <c r="O888" s="981"/>
      <c r="P888" s="981"/>
      <c r="Q888" s="92"/>
    </row>
    <row r="889" spans="1:17" ht="15" customHeight="1">
      <c r="A889" s="981"/>
      <c r="B889" s="981"/>
      <c r="C889" s="1016"/>
      <c r="D889" s="952"/>
      <c r="E889" s="981"/>
      <c r="F889" s="952"/>
      <c r="G889" s="981"/>
      <c r="H889" s="981"/>
      <c r="I889" s="981"/>
      <c r="J889" s="981"/>
      <c r="K889" s="981"/>
      <c r="O889" s="981"/>
      <c r="P889" s="981"/>
      <c r="Q889" s="92"/>
    </row>
    <row r="890" spans="1:17" ht="15" customHeight="1">
      <c r="A890" s="981"/>
      <c r="B890" s="981"/>
      <c r="C890" s="1016"/>
      <c r="D890" s="952"/>
      <c r="E890" s="981"/>
      <c r="F890" s="952"/>
      <c r="G890" s="981"/>
      <c r="H890" s="981"/>
      <c r="I890" s="981"/>
      <c r="J890" s="981"/>
      <c r="K890" s="981"/>
      <c r="O890" s="981"/>
      <c r="P890" s="981"/>
      <c r="Q890" s="92"/>
    </row>
    <row r="891" spans="1:17" ht="15" customHeight="1">
      <c r="A891" s="981"/>
      <c r="B891" s="981"/>
      <c r="C891" s="1016"/>
      <c r="D891" s="952"/>
      <c r="E891" s="981"/>
      <c r="F891" s="952"/>
      <c r="G891" s="981"/>
      <c r="H891" s="981"/>
      <c r="I891" s="981"/>
      <c r="J891" s="981"/>
      <c r="K891" s="981"/>
      <c r="O891" s="981"/>
      <c r="P891" s="981"/>
      <c r="Q891" s="92"/>
    </row>
    <row r="892" spans="1:17" ht="15" customHeight="1">
      <c r="A892" s="981"/>
      <c r="B892" s="981"/>
      <c r="C892" s="1016"/>
      <c r="D892" s="952"/>
      <c r="E892" s="981"/>
      <c r="F892" s="952"/>
      <c r="G892" s="981"/>
      <c r="H892" s="981"/>
      <c r="I892" s="981"/>
      <c r="J892" s="981"/>
      <c r="K892" s="981"/>
      <c r="O892" s="981"/>
      <c r="P892" s="981"/>
      <c r="Q892" s="92"/>
    </row>
    <row r="893" spans="1:17" ht="15" customHeight="1">
      <c r="A893" s="981"/>
      <c r="B893" s="981"/>
      <c r="C893" s="1016"/>
      <c r="D893" s="952"/>
      <c r="E893" s="981"/>
      <c r="F893" s="952"/>
      <c r="G893" s="981"/>
      <c r="H893" s="981"/>
      <c r="I893" s="981"/>
      <c r="J893" s="981"/>
      <c r="K893" s="981"/>
      <c r="O893" s="981"/>
      <c r="P893" s="981"/>
      <c r="Q893" s="92"/>
    </row>
    <row r="894" spans="1:17" ht="15" customHeight="1">
      <c r="A894" s="981"/>
      <c r="B894" s="981"/>
      <c r="C894" s="1016"/>
      <c r="D894" s="952"/>
      <c r="E894" s="981"/>
      <c r="F894" s="952"/>
      <c r="G894" s="981"/>
      <c r="H894" s="981"/>
      <c r="I894" s="981"/>
      <c r="J894" s="981"/>
      <c r="K894" s="981"/>
      <c r="O894" s="981"/>
      <c r="P894" s="981"/>
      <c r="Q894" s="92"/>
    </row>
    <row r="895" spans="1:17" ht="15" customHeight="1">
      <c r="A895" s="981"/>
      <c r="B895" s="981"/>
      <c r="C895" s="1016"/>
      <c r="D895" s="952"/>
      <c r="E895" s="981"/>
      <c r="F895" s="952"/>
      <c r="G895" s="981"/>
      <c r="H895" s="981"/>
      <c r="I895" s="981"/>
      <c r="J895" s="981"/>
      <c r="K895" s="981"/>
      <c r="O895" s="981"/>
      <c r="P895" s="981"/>
      <c r="Q895" s="92"/>
    </row>
    <row r="896" spans="1:17" ht="15" customHeight="1">
      <c r="A896" s="981"/>
      <c r="B896" s="981"/>
      <c r="C896" s="1016"/>
      <c r="D896" s="952"/>
      <c r="E896" s="981"/>
      <c r="F896" s="952"/>
      <c r="G896" s="981"/>
      <c r="H896" s="981"/>
      <c r="I896" s="981"/>
      <c r="J896" s="981"/>
      <c r="K896" s="981"/>
      <c r="O896" s="981"/>
      <c r="P896" s="981"/>
      <c r="Q896" s="92"/>
    </row>
    <row r="897" spans="1:17" ht="15" customHeight="1">
      <c r="A897" s="981"/>
      <c r="B897" s="981"/>
      <c r="C897" s="1016"/>
      <c r="D897" s="952"/>
      <c r="E897" s="981"/>
      <c r="F897" s="952"/>
      <c r="G897" s="981"/>
      <c r="H897" s="981"/>
      <c r="I897" s="981"/>
      <c r="J897" s="981"/>
      <c r="K897" s="981"/>
      <c r="O897" s="981"/>
      <c r="P897" s="981"/>
      <c r="Q897" s="92"/>
    </row>
    <row r="898" spans="1:17" ht="15" customHeight="1">
      <c r="A898" s="981"/>
      <c r="B898" s="981"/>
      <c r="C898" s="1016"/>
      <c r="D898" s="952"/>
      <c r="E898" s="981"/>
      <c r="F898" s="952"/>
      <c r="G898" s="981"/>
      <c r="H898" s="981"/>
      <c r="I898" s="981"/>
      <c r="J898" s="981"/>
      <c r="K898" s="981"/>
      <c r="O898" s="981"/>
      <c r="P898" s="981"/>
      <c r="Q898" s="92"/>
    </row>
    <row r="899" spans="1:17" ht="15" customHeight="1">
      <c r="A899" s="981"/>
      <c r="B899" s="981"/>
      <c r="C899" s="1016"/>
      <c r="D899" s="952"/>
      <c r="E899" s="981"/>
      <c r="F899" s="952"/>
      <c r="G899" s="981"/>
      <c r="H899" s="981"/>
      <c r="I899" s="981"/>
      <c r="J899" s="981"/>
      <c r="K899" s="981"/>
      <c r="O899" s="981"/>
      <c r="P899" s="981"/>
      <c r="Q899" s="92"/>
    </row>
    <row r="900" spans="1:17" ht="15" customHeight="1">
      <c r="A900" s="981"/>
      <c r="B900" s="981"/>
      <c r="C900" s="1016"/>
      <c r="D900" s="952"/>
      <c r="E900" s="981"/>
      <c r="F900" s="952"/>
      <c r="G900" s="981"/>
      <c r="H900" s="981"/>
      <c r="I900" s="981"/>
      <c r="J900" s="981"/>
      <c r="K900" s="981"/>
      <c r="O900" s="981"/>
      <c r="P900" s="981"/>
      <c r="Q900" s="92"/>
    </row>
    <row r="901" spans="1:17" ht="15" customHeight="1">
      <c r="A901" s="981"/>
      <c r="B901" s="981"/>
      <c r="C901" s="1016"/>
      <c r="D901" s="952"/>
      <c r="E901" s="981"/>
      <c r="F901" s="952"/>
      <c r="G901" s="981"/>
      <c r="H901" s="981"/>
      <c r="I901" s="981"/>
      <c r="J901" s="981"/>
      <c r="K901" s="981"/>
      <c r="O901" s="981"/>
      <c r="P901" s="981"/>
      <c r="Q901" s="92"/>
    </row>
    <row r="902" spans="1:17" ht="15" customHeight="1">
      <c r="A902" s="981"/>
      <c r="B902" s="981"/>
      <c r="C902" s="1016"/>
      <c r="D902" s="952"/>
      <c r="E902" s="981"/>
      <c r="F902" s="952"/>
      <c r="G902" s="981"/>
      <c r="H902" s="981"/>
      <c r="I902" s="981"/>
      <c r="J902" s="981"/>
      <c r="K902" s="981"/>
      <c r="O902" s="981"/>
      <c r="P902" s="981"/>
      <c r="Q902" s="92"/>
    </row>
    <row r="903" spans="1:17" ht="15" customHeight="1">
      <c r="A903" s="981"/>
      <c r="B903" s="981"/>
      <c r="C903" s="1016"/>
      <c r="D903" s="952"/>
      <c r="E903" s="981"/>
      <c r="F903" s="952"/>
      <c r="G903" s="981"/>
      <c r="H903" s="981"/>
      <c r="I903" s="981"/>
      <c r="J903" s="981"/>
      <c r="K903" s="981"/>
      <c r="O903" s="981"/>
      <c r="P903" s="981"/>
      <c r="Q903" s="92"/>
    </row>
    <row r="904" spans="1:17" ht="15" customHeight="1">
      <c r="A904" s="981"/>
      <c r="B904" s="981"/>
      <c r="C904" s="1016"/>
      <c r="D904" s="952"/>
      <c r="E904" s="981"/>
      <c r="F904" s="952"/>
      <c r="G904" s="981"/>
      <c r="H904" s="981"/>
      <c r="I904" s="981"/>
      <c r="J904" s="981"/>
      <c r="K904" s="981"/>
      <c r="O904" s="981"/>
      <c r="P904" s="981"/>
      <c r="Q904" s="92"/>
    </row>
    <row r="905" spans="1:17" ht="15" customHeight="1">
      <c r="A905" s="981"/>
      <c r="B905" s="981"/>
      <c r="C905" s="1016"/>
      <c r="D905" s="952"/>
      <c r="E905" s="981"/>
      <c r="F905" s="952"/>
      <c r="G905" s="981"/>
      <c r="H905" s="981"/>
      <c r="I905" s="981"/>
      <c r="J905" s="981"/>
      <c r="K905" s="981"/>
      <c r="O905" s="981"/>
      <c r="P905" s="981"/>
      <c r="Q905" s="92"/>
    </row>
    <row r="906" spans="1:17" ht="15" customHeight="1">
      <c r="A906" s="981"/>
      <c r="B906" s="981"/>
      <c r="C906" s="1016"/>
      <c r="D906" s="952"/>
      <c r="E906" s="981"/>
      <c r="F906" s="952"/>
      <c r="G906" s="981"/>
      <c r="H906" s="981"/>
      <c r="I906" s="981"/>
      <c r="J906" s="981"/>
      <c r="K906" s="981"/>
      <c r="O906" s="981"/>
      <c r="P906" s="981"/>
      <c r="Q906" s="92"/>
    </row>
    <row r="907" spans="1:17" ht="15" customHeight="1">
      <c r="A907" s="981"/>
      <c r="B907" s="981"/>
      <c r="C907" s="1016"/>
      <c r="D907" s="952"/>
      <c r="E907" s="981"/>
      <c r="F907" s="952"/>
      <c r="G907" s="981"/>
      <c r="H907" s="981"/>
      <c r="I907" s="981"/>
      <c r="J907" s="981"/>
      <c r="K907" s="981"/>
      <c r="O907" s="981"/>
      <c r="P907" s="981"/>
      <c r="Q907" s="92"/>
    </row>
    <row r="908" spans="1:17" ht="15" customHeight="1">
      <c r="A908" s="981"/>
      <c r="B908" s="981"/>
      <c r="C908" s="1016"/>
      <c r="D908" s="952"/>
      <c r="E908" s="981"/>
      <c r="F908" s="952"/>
      <c r="G908" s="981"/>
      <c r="H908" s="981"/>
      <c r="I908" s="981"/>
      <c r="J908" s="981"/>
      <c r="K908" s="981"/>
      <c r="O908" s="981"/>
      <c r="P908" s="981"/>
      <c r="Q908" s="92"/>
    </row>
    <row r="909" spans="1:17" ht="15" customHeight="1">
      <c r="A909" s="981"/>
      <c r="B909" s="981"/>
      <c r="C909" s="1016"/>
      <c r="D909" s="952"/>
      <c r="E909" s="981"/>
      <c r="F909" s="952"/>
      <c r="G909" s="981"/>
      <c r="H909" s="981"/>
      <c r="I909" s="981"/>
      <c r="J909" s="981"/>
      <c r="K909" s="981"/>
      <c r="O909" s="981"/>
      <c r="P909" s="981"/>
      <c r="Q909" s="92"/>
    </row>
    <row r="910" spans="1:17" ht="15" customHeight="1">
      <c r="A910" s="981"/>
      <c r="B910" s="981"/>
      <c r="C910" s="1016"/>
      <c r="D910" s="952"/>
      <c r="E910" s="981"/>
      <c r="F910" s="952"/>
      <c r="G910" s="981"/>
      <c r="H910" s="981"/>
      <c r="I910" s="981"/>
      <c r="J910" s="981"/>
      <c r="K910" s="981"/>
      <c r="O910" s="981"/>
      <c r="P910" s="981"/>
      <c r="Q910" s="92"/>
    </row>
    <row r="911" spans="1:17" ht="15" customHeight="1">
      <c r="A911" s="981"/>
      <c r="B911" s="981"/>
      <c r="C911" s="1016"/>
      <c r="D911" s="952"/>
      <c r="E911" s="981"/>
      <c r="F911" s="952"/>
      <c r="G911" s="981"/>
      <c r="H911" s="981"/>
      <c r="I911" s="981"/>
      <c r="J911" s="981"/>
      <c r="K911" s="981"/>
      <c r="O911" s="981"/>
      <c r="P911" s="981"/>
      <c r="Q911" s="92"/>
    </row>
    <row r="912" spans="1:17" ht="15" customHeight="1">
      <c r="A912" s="981"/>
      <c r="B912" s="981"/>
      <c r="C912" s="1016"/>
      <c r="D912" s="952"/>
      <c r="E912" s="981"/>
      <c r="F912" s="952"/>
      <c r="G912" s="981"/>
      <c r="H912" s="981"/>
      <c r="I912" s="981"/>
      <c r="J912" s="981"/>
      <c r="K912" s="981"/>
      <c r="O912" s="981"/>
      <c r="P912" s="981"/>
      <c r="Q912" s="92"/>
    </row>
    <row r="913" spans="1:17" ht="15" customHeight="1">
      <c r="A913" s="981"/>
      <c r="B913" s="981"/>
      <c r="C913" s="1016"/>
      <c r="D913" s="952"/>
      <c r="E913" s="981"/>
      <c r="F913" s="952"/>
      <c r="G913" s="981"/>
      <c r="H913" s="981"/>
      <c r="I913" s="981"/>
      <c r="J913" s="981"/>
      <c r="K913" s="981"/>
      <c r="O913" s="981"/>
      <c r="P913" s="981"/>
      <c r="Q913" s="92"/>
    </row>
    <row r="914" spans="1:17" ht="15" customHeight="1">
      <c r="A914" s="981"/>
      <c r="B914" s="981"/>
      <c r="C914" s="1016"/>
      <c r="D914" s="952"/>
      <c r="E914" s="981"/>
      <c r="F914" s="952"/>
      <c r="G914" s="981"/>
      <c r="H914" s="981"/>
      <c r="I914" s="981"/>
      <c r="J914" s="981"/>
      <c r="K914" s="981"/>
      <c r="O914" s="981"/>
      <c r="P914" s="981"/>
      <c r="Q914" s="92"/>
    </row>
    <row r="915" spans="1:17" ht="15" customHeight="1">
      <c r="A915" s="981"/>
      <c r="B915" s="981"/>
      <c r="C915" s="1016"/>
      <c r="D915" s="952"/>
      <c r="E915" s="981"/>
      <c r="F915" s="952"/>
      <c r="G915" s="981"/>
      <c r="H915" s="981"/>
      <c r="I915" s="981"/>
      <c r="J915" s="981"/>
      <c r="K915" s="981"/>
      <c r="O915" s="981"/>
      <c r="P915" s="981"/>
      <c r="Q915" s="92"/>
    </row>
    <row r="916" spans="1:17" ht="15" customHeight="1">
      <c r="A916" s="981"/>
      <c r="B916" s="981"/>
      <c r="C916" s="1016"/>
      <c r="D916" s="952"/>
      <c r="E916" s="981"/>
      <c r="F916" s="952"/>
      <c r="G916" s="981"/>
      <c r="H916" s="981"/>
      <c r="I916" s="981"/>
      <c r="J916" s="981"/>
      <c r="K916" s="981"/>
      <c r="O916" s="981"/>
      <c r="P916" s="981"/>
      <c r="Q916" s="92"/>
    </row>
    <row r="917" spans="1:17" ht="15" customHeight="1">
      <c r="A917" s="981"/>
      <c r="B917" s="981"/>
      <c r="C917" s="1016"/>
      <c r="D917" s="952"/>
      <c r="E917" s="981"/>
      <c r="F917" s="952"/>
      <c r="G917" s="981"/>
      <c r="H917" s="981"/>
      <c r="I917" s="981"/>
      <c r="J917" s="981"/>
      <c r="K917" s="981"/>
      <c r="O917" s="981"/>
      <c r="P917" s="981"/>
      <c r="Q917" s="92"/>
    </row>
    <row r="918" spans="1:17" ht="15" customHeight="1">
      <c r="A918" s="981"/>
      <c r="B918" s="981"/>
      <c r="C918" s="1016"/>
      <c r="D918" s="952"/>
      <c r="E918" s="981"/>
      <c r="F918" s="952"/>
      <c r="G918" s="981"/>
      <c r="H918" s="981"/>
      <c r="I918" s="981"/>
      <c r="J918" s="981"/>
      <c r="K918" s="981"/>
      <c r="O918" s="981"/>
      <c r="P918" s="981"/>
      <c r="Q918" s="92"/>
    </row>
    <row r="919" spans="1:17" ht="15" customHeight="1">
      <c r="A919" s="981"/>
      <c r="B919" s="981"/>
      <c r="C919" s="1016"/>
      <c r="D919" s="952"/>
      <c r="E919" s="981"/>
      <c r="F919" s="952"/>
      <c r="G919" s="981"/>
      <c r="H919" s="981"/>
      <c r="I919" s="981"/>
      <c r="J919" s="981"/>
      <c r="K919" s="981"/>
      <c r="O919" s="981"/>
      <c r="P919" s="981"/>
      <c r="Q919" s="92"/>
    </row>
    <row r="920" spans="1:17" ht="15" customHeight="1">
      <c r="A920" s="981"/>
      <c r="B920" s="981"/>
      <c r="C920" s="1016"/>
      <c r="D920" s="952"/>
      <c r="E920" s="981"/>
      <c r="F920" s="952"/>
      <c r="G920" s="981"/>
      <c r="H920" s="981"/>
      <c r="I920" s="981"/>
      <c r="J920" s="981"/>
      <c r="K920" s="981"/>
      <c r="O920" s="981"/>
      <c r="P920" s="981"/>
      <c r="Q920" s="92"/>
    </row>
    <row r="921" spans="1:17" ht="15" customHeight="1">
      <c r="A921" s="981"/>
      <c r="B921" s="981"/>
      <c r="C921" s="1016"/>
      <c r="D921" s="952"/>
      <c r="E921" s="981"/>
      <c r="F921" s="952"/>
      <c r="G921" s="981"/>
      <c r="H921" s="981"/>
      <c r="I921" s="981"/>
      <c r="J921" s="981"/>
      <c r="K921" s="981"/>
      <c r="O921" s="981"/>
      <c r="P921" s="981"/>
      <c r="Q921" s="92"/>
    </row>
    <row r="922" spans="1:17" ht="15" customHeight="1">
      <c r="A922" s="981"/>
      <c r="B922" s="981"/>
      <c r="C922" s="1016"/>
      <c r="D922" s="952"/>
      <c r="E922" s="981"/>
      <c r="F922" s="952"/>
      <c r="G922" s="981"/>
      <c r="H922" s="981"/>
      <c r="I922" s="981"/>
      <c r="J922" s="981"/>
      <c r="K922" s="981"/>
      <c r="O922" s="981"/>
      <c r="P922" s="981"/>
      <c r="Q922" s="92"/>
    </row>
    <row r="923" spans="1:17" ht="15" customHeight="1">
      <c r="A923" s="981"/>
      <c r="B923" s="981"/>
      <c r="C923" s="1016"/>
      <c r="D923" s="952"/>
      <c r="E923" s="981"/>
      <c r="F923" s="952"/>
      <c r="G923" s="981"/>
      <c r="H923" s="981"/>
      <c r="I923" s="981"/>
      <c r="J923" s="981"/>
      <c r="K923" s="981"/>
      <c r="O923" s="981"/>
      <c r="P923" s="981"/>
      <c r="Q923" s="92"/>
    </row>
    <row r="924" spans="1:17" ht="15" customHeight="1">
      <c r="A924" s="981"/>
      <c r="B924" s="981"/>
      <c r="C924" s="1016"/>
      <c r="D924" s="952"/>
      <c r="E924" s="981"/>
      <c r="F924" s="952"/>
      <c r="G924" s="981"/>
      <c r="H924" s="981"/>
      <c r="I924" s="981"/>
      <c r="J924" s="981"/>
      <c r="K924" s="981"/>
      <c r="O924" s="981"/>
      <c r="P924" s="981"/>
      <c r="Q924" s="92"/>
    </row>
    <row r="925" spans="1:17" ht="15" customHeight="1">
      <c r="A925" s="981"/>
      <c r="B925" s="981"/>
      <c r="C925" s="1016"/>
      <c r="D925" s="952"/>
      <c r="E925" s="981"/>
      <c r="F925" s="952"/>
      <c r="G925" s="981"/>
      <c r="H925" s="981"/>
      <c r="I925" s="981"/>
      <c r="J925" s="981"/>
      <c r="K925" s="981"/>
      <c r="O925" s="981"/>
      <c r="P925" s="981"/>
      <c r="Q925" s="92"/>
    </row>
    <row r="926" spans="1:17" ht="15" customHeight="1">
      <c r="A926" s="981"/>
      <c r="B926" s="981"/>
      <c r="C926" s="1016"/>
      <c r="D926" s="952"/>
      <c r="E926" s="981"/>
      <c r="F926" s="952"/>
      <c r="G926" s="981"/>
      <c r="H926" s="981"/>
      <c r="I926" s="981"/>
      <c r="J926" s="981"/>
      <c r="K926" s="981"/>
      <c r="O926" s="981"/>
      <c r="P926" s="981"/>
      <c r="Q926" s="92"/>
    </row>
    <row r="927" spans="1:17" ht="15" customHeight="1">
      <c r="A927" s="981"/>
      <c r="B927" s="981"/>
      <c r="C927" s="1016"/>
      <c r="D927" s="952"/>
      <c r="E927" s="981"/>
      <c r="F927" s="952"/>
      <c r="G927" s="981"/>
      <c r="H927" s="981"/>
      <c r="I927" s="981"/>
      <c r="J927" s="981"/>
      <c r="K927" s="981"/>
      <c r="O927" s="981"/>
      <c r="P927" s="981"/>
      <c r="Q927" s="92"/>
    </row>
    <row r="928" spans="1:17" ht="15" customHeight="1">
      <c r="A928" s="981"/>
      <c r="B928" s="981"/>
      <c r="C928" s="1016"/>
      <c r="D928" s="952"/>
      <c r="E928" s="981"/>
      <c r="F928" s="952"/>
      <c r="G928" s="981"/>
      <c r="H928" s="981"/>
      <c r="I928" s="981"/>
      <c r="J928" s="981"/>
      <c r="K928" s="981"/>
      <c r="O928" s="981"/>
      <c r="P928" s="981"/>
      <c r="Q928" s="92"/>
    </row>
    <row r="929" spans="1:17" ht="15" customHeight="1">
      <c r="A929" s="981"/>
      <c r="B929" s="981"/>
      <c r="C929" s="1016"/>
      <c r="D929" s="952"/>
      <c r="E929" s="981"/>
      <c r="F929" s="952"/>
      <c r="G929" s="981"/>
      <c r="H929" s="981"/>
      <c r="I929" s="981"/>
      <c r="J929" s="981"/>
      <c r="K929" s="981"/>
      <c r="O929" s="981"/>
      <c r="P929" s="981"/>
      <c r="Q929" s="92"/>
    </row>
    <row r="930" spans="1:17" ht="15" customHeight="1">
      <c r="A930" s="981"/>
      <c r="B930" s="981"/>
      <c r="C930" s="1016"/>
      <c r="D930" s="952"/>
      <c r="E930" s="981"/>
      <c r="F930" s="952"/>
      <c r="G930" s="981"/>
      <c r="H930" s="981"/>
      <c r="I930" s="981"/>
      <c r="J930" s="981"/>
      <c r="K930" s="981"/>
      <c r="O930" s="981"/>
      <c r="P930" s="981"/>
      <c r="Q930" s="92"/>
    </row>
    <row r="931" spans="1:17" ht="15" customHeight="1">
      <c r="A931" s="981"/>
      <c r="B931" s="981"/>
      <c r="C931" s="1016"/>
      <c r="D931" s="952"/>
      <c r="E931" s="981"/>
      <c r="F931" s="952"/>
      <c r="G931" s="981"/>
      <c r="H931" s="981"/>
      <c r="I931" s="981"/>
      <c r="J931" s="981"/>
      <c r="K931" s="981"/>
      <c r="O931" s="981"/>
      <c r="P931" s="981"/>
      <c r="Q931" s="92"/>
    </row>
    <row r="932" spans="1:17" ht="15" customHeight="1">
      <c r="A932" s="981"/>
      <c r="B932" s="981"/>
      <c r="C932" s="1016"/>
      <c r="D932" s="952"/>
      <c r="E932" s="981"/>
      <c r="F932" s="952"/>
      <c r="G932" s="981"/>
      <c r="H932" s="981"/>
      <c r="I932" s="981"/>
      <c r="J932" s="981"/>
      <c r="K932" s="981"/>
      <c r="O932" s="981"/>
      <c r="P932" s="981"/>
      <c r="Q932" s="92"/>
    </row>
    <row r="933" spans="1:17" ht="15" customHeight="1">
      <c r="A933" s="981"/>
      <c r="B933" s="981"/>
      <c r="C933" s="1016"/>
      <c r="D933" s="952"/>
      <c r="E933" s="981"/>
      <c r="F933" s="952"/>
      <c r="G933" s="981"/>
      <c r="H933" s="981"/>
      <c r="I933" s="981"/>
      <c r="J933" s="981"/>
      <c r="K933" s="981"/>
      <c r="O933" s="981"/>
      <c r="P933" s="981"/>
      <c r="Q933" s="92"/>
    </row>
    <row r="934" spans="1:17" ht="15" customHeight="1">
      <c r="A934" s="981"/>
      <c r="B934" s="981"/>
      <c r="C934" s="1016"/>
      <c r="D934" s="952"/>
      <c r="E934" s="981"/>
      <c r="F934" s="952"/>
      <c r="G934" s="981"/>
      <c r="H934" s="981"/>
      <c r="I934" s="981"/>
      <c r="J934" s="981"/>
      <c r="K934" s="981"/>
      <c r="O934" s="981"/>
      <c r="P934" s="981"/>
      <c r="Q934" s="92"/>
    </row>
    <row r="935" spans="1:17" ht="15" customHeight="1">
      <c r="A935" s="981"/>
      <c r="B935" s="981"/>
      <c r="C935" s="1016"/>
      <c r="D935" s="952"/>
      <c r="E935" s="981"/>
      <c r="F935" s="952"/>
      <c r="G935" s="981"/>
      <c r="H935" s="981"/>
      <c r="I935" s="981"/>
      <c r="J935" s="981"/>
      <c r="K935" s="981"/>
      <c r="O935" s="981"/>
      <c r="P935" s="981"/>
      <c r="Q935" s="92"/>
    </row>
    <row r="936" spans="1:17" ht="15" customHeight="1">
      <c r="A936" s="981"/>
      <c r="B936" s="981"/>
      <c r="C936" s="1016"/>
      <c r="D936" s="952"/>
      <c r="E936" s="981"/>
      <c r="F936" s="952"/>
      <c r="G936" s="981"/>
      <c r="H936" s="981"/>
      <c r="I936" s="981"/>
      <c r="J936" s="981"/>
      <c r="K936" s="981"/>
      <c r="O936" s="981"/>
      <c r="P936" s="981"/>
      <c r="Q936" s="92"/>
    </row>
    <row r="937" spans="1:17" ht="15" customHeight="1">
      <c r="A937" s="981"/>
      <c r="B937" s="981"/>
      <c r="C937" s="1016"/>
      <c r="D937" s="952"/>
      <c r="E937" s="981"/>
      <c r="F937" s="952"/>
      <c r="G937" s="981"/>
      <c r="H937" s="981"/>
      <c r="I937" s="981"/>
      <c r="J937" s="981"/>
      <c r="K937" s="981"/>
      <c r="O937" s="981"/>
      <c r="P937" s="981"/>
      <c r="Q937" s="92"/>
    </row>
    <row r="938" spans="1:17" ht="15" customHeight="1">
      <c r="A938" s="981"/>
      <c r="B938" s="981"/>
      <c r="C938" s="1016"/>
      <c r="D938" s="952"/>
      <c r="E938" s="981"/>
      <c r="F938" s="952"/>
      <c r="G938" s="981"/>
      <c r="H938" s="981"/>
      <c r="I938" s="981"/>
      <c r="J938" s="981"/>
      <c r="K938" s="981"/>
      <c r="O938" s="981"/>
      <c r="P938" s="981"/>
      <c r="Q938" s="92"/>
    </row>
    <row r="939" spans="1:17" ht="15" customHeight="1">
      <c r="A939" s="981"/>
      <c r="B939" s="981"/>
      <c r="C939" s="1016"/>
      <c r="D939" s="952"/>
      <c r="E939" s="981"/>
      <c r="F939" s="952"/>
      <c r="G939" s="981"/>
      <c r="H939" s="981"/>
      <c r="I939" s="981"/>
      <c r="J939" s="981"/>
      <c r="K939" s="981"/>
      <c r="O939" s="981"/>
      <c r="P939" s="981"/>
      <c r="Q939" s="92"/>
    </row>
    <row r="940" spans="1:17" ht="15" customHeight="1">
      <c r="A940" s="981"/>
      <c r="B940" s="981"/>
      <c r="C940" s="1016"/>
      <c r="D940" s="952"/>
      <c r="E940" s="981"/>
      <c r="F940" s="952"/>
      <c r="G940" s="981"/>
      <c r="H940" s="981"/>
      <c r="I940" s="981"/>
      <c r="J940" s="981"/>
      <c r="K940" s="981"/>
      <c r="O940" s="981"/>
      <c r="P940" s="981"/>
      <c r="Q940" s="92"/>
    </row>
    <row r="941" spans="1:17" ht="15" customHeight="1">
      <c r="A941" s="981"/>
      <c r="B941" s="981"/>
      <c r="C941" s="1016"/>
      <c r="D941" s="952"/>
      <c r="E941" s="981"/>
      <c r="F941" s="952"/>
      <c r="G941" s="981"/>
      <c r="H941" s="981"/>
      <c r="I941" s="981"/>
      <c r="J941" s="981"/>
      <c r="K941" s="981"/>
      <c r="O941" s="981"/>
      <c r="P941" s="981"/>
      <c r="Q941" s="92"/>
    </row>
    <row r="942" spans="1:17" ht="15" customHeight="1">
      <c r="A942" s="981"/>
      <c r="B942" s="981"/>
      <c r="C942" s="1016"/>
      <c r="D942" s="952"/>
      <c r="E942" s="981"/>
      <c r="F942" s="952"/>
      <c r="G942" s="981"/>
      <c r="H942" s="981"/>
      <c r="I942" s="981"/>
      <c r="J942" s="981"/>
      <c r="K942" s="981"/>
      <c r="O942" s="981"/>
      <c r="P942" s="981"/>
      <c r="Q942" s="92"/>
    </row>
    <row r="943" spans="1:17" ht="15" customHeight="1">
      <c r="A943" s="981"/>
      <c r="B943" s="981"/>
      <c r="C943" s="1016"/>
      <c r="D943" s="952"/>
      <c r="E943" s="981"/>
      <c r="F943" s="952"/>
      <c r="G943" s="981"/>
      <c r="H943" s="981"/>
      <c r="I943" s="981"/>
      <c r="J943" s="981"/>
      <c r="K943" s="981"/>
      <c r="O943" s="981"/>
      <c r="P943" s="981"/>
      <c r="Q943" s="92"/>
    </row>
    <row r="944" spans="1:17" ht="15" customHeight="1">
      <c r="A944" s="981"/>
      <c r="B944" s="981"/>
      <c r="C944" s="1016"/>
      <c r="D944" s="952"/>
      <c r="E944" s="981"/>
      <c r="F944" s="952"/>
      <c r="G944" s="981"/>
      <c r="H944" s="981"/>
      <c r="I944" s="981"/>
      <c r="J944" s="981"/>
      <c r="K944" s="981"/>
      <c r="O944" s="981"/>
      <c r="P944" s="981"/>
      <c r="Q944" s="92"/>
    </row>
    <row r="945" spans="1:17" ht="15" customHeight="1">
      <c r="A945" s="981"/>
      <c r="B945" s="981"/>
      <c r="C945" s="1016"/>
      <c r="D945" s="952"/>
      <c r="E945" s="981"/>
      <c r="F945" s="952"/>
      <c r="G945" s="981"/>
      <c r="H945" s="981"/>
      <c r="I945" s="981"/>
      <c r="J945" s="981"/>
      <c r="K945" s="981"/>
      <c r="O945" s="981"/>
      <c r="P945" s="981"/>
      <c r="Q945" s="92"/>
    </row>
    <row r="946" spans="1:17" ht="15" customHeight="1">
      <c r="A946" s="981"/>
      <c r="B946" s="981"/>
      <c r="C946" s="1016"/>
      <c r="D946" s="952"/>
      <c r="E946" s="981"/>
      <c r="F946" s="952"/>
      <c r="G946" s="981"/>
      <c r="H946" s="981"/>
      <c r="I946" s="981"/>
      <c r="J946" s="981"/>
      <c r="K946" s="981"/>
      <c r="O946" s="981"/>
      <c r="P946" s="981"/>
      <c r="Q946" s="92"/>
    </row>
    <row r="947" spans="1:17" ht="15" customHeight="1">
      <c r="A947" s="981"/>
      <c r="B947" s="981"/>
      <c r="C947" s="1016"/>
      <c r="D947" s="952"/>
      <c r="E947" s="981"/>
      <c r="F947" s="952"/>
      <c r="G947" s="981"/>
      <c r="H947" s="981"/>
      <c r="I947" s="981"/>
      <c r="J947" s="981"/>
      <c r="K947" s="981"/>
      <c r="O947" s="981"/>
      <c r="P947" s="981"/>
      <c r="Q947" s="92"/>
    </row>
    <row r="948" spans="1:17" ht="15" customHeight="1">
      <c r="A948" s="981"/>
      <c r="B948" s="981"/>
      <c r="C948" s="1016"/>
      <c r="D948" s="952"/>
      <c r="E948" s="981"/>
      <c r="F948" s="952"/>
      <c r="G948" s="981"/>
      <c r="H948" s="981"/>
      <c r="I948" s="981"/>
      <c r="J948" s="981"/>
      <c r="K948" s="981"/>
      <c r="O948" s="981"/>
      <c r="P948" s="981"/>
      <c r="Q948" s="92"/>
    </row>
    <row r="949" spans="1:17" ht="15" customHeight="1">
      <c r="A949" s="981"/>
      <c r="B949" s="981"/>
      <c r="C949" s="1016"/>
      <c r="D949" s="952"/>
      <c r="E949" s="981"/>
      <c r="F949" s="952"/>
      <c r="G949" s="981"/>
      <c r="H949" s="981"/>
      <c r="I949" s="981"/>
      <c r="J949" s="981"/>
      <c r="K949" s="981"/>
      <c r="O949" s="981"/>
      <c r="P949" s="981"/>
      <c r="Q949" s="92"/>
    </row>
    <row r="950" spans="1:17" ht="15" customHeight="1">
      <c r="A950" s="981"/>
      <c r="B950" s="981"/>
      <c r="C950" s="1016"/>
      <c r="D950" s="952"/>
      <c r="E950" s="981"/>
      <c r="F950" s="952"/>
      <c r="G950" s="981"/>
      <c r="H950" s="981"/>
      <c r="I950" s="981"/>
      <c r="J950" s="981"/>
      <c r="K950" s="981"/>
      <c r="O950" s="981"/>
      <c r="P950" s="981"/>
      <c r="Q950" s="92"/>
    </row>
    <row r="951" spans="1:17" ht="15" customHeight="1">
      <c r="A951" s="981"/>
      <c r="B951" s="981"/>
      <c r="C951" s="1016"/>
      <c r="D951" s="952"/>
      <c r="E951" s="981"/>
      <c r="F951" s="952"/>
      <c r="G951" s="981"/>
      <c r="H951" s="981"/>
      <c r="I951" s="981"/>
      <c r="J951" s="981"/>
      <c r="K951" s="981"/>
      <c r="O951" s="981"/>
      <c r="P951" s="981"/>
      <c r="Q951" s="92"/>
    </row>
    <row r="952" spans="1:17" ht="15" customHeight="1">
      <c r="A952" s="981"/>
      <c r="B952" s="981"/>
      <c r="C952" s="1016"/>
      <c r="D952" s="952"/>
      <c r="E952" s="981"/>
      <c r="F952" s="952"/>
      <c r="G952" s="981"/>
      <c r="H952" s="981"/>
      <c r="I952" s="981"/>
      <c r="J952" s="981"/>
      <c r="K952" s="981"/>
      <c r="O952" s="981"/>
      <c r="P952" s="981"/>
      <c r="Q952" s="92"/>
    </row>
    <row r="953" spans="1:17" ht="15" customHeight="1">
      <c r="A953" s="981"/>
      <c r="B953" s="981"/>
      <c r="C953" s="1016"/>
      <c r="D953" s="952"/>
      <c r="E953" s="981"/>
      <c r="F953" s="952"/>
      <c r="G953" s="981"/>
      <c r="H953" s="981"/>
      <c r="I953" s="981"/>
      <c r="J953" s="981"/>
      <c r="K953" s="981"/>
      <c r="O953" s="981"/>
      <c r="P953" s="981"/>
      <c r="Q953" s="92"/>
    </row>
    <row r="954" spans="1:17" ht="15" customHeight="1">
      <c r="A954" s="981"/>
      <c r="B954" s="981"/>
      <c r="C954" s="1016"/>
      <c r="D954" s="952"/>
      <c r="E954" s="981"/>
      <c r="F954" s="952"/>
      <c r="G954" s="981"/>
      <c r="H954" s="981"/>
      <c r="I954" s="981"/>
      <c r="J954" s="981"/>
      <c r="K954" s="981"/>
      <c r="O954" s="981"/>
      <c r="P954" s="981"/>
      <c r="Q954" s="92"/>
    </row>
    <row r="955" spans="1:17" ht="15" customHeight="1">
      <c r="A955" s="981"/>
      <c r="B955" s="981"/>
      <c r="C955" s="1016"/>
      <c r="D955" s="952"/>
      <c r="E955" s="981"/>
      <c r="F955" s="952"/>
      <c r="G955" s="981"/>
      <c r="H955" s="981"/>
      <c r="I955" s="981"/>
      <c r="J955" s="981"/>
      <c r="K955" s="981"/>
      <c r="O955" s="981"/>
      <c r="P955" s="981"/>
      <c r="Q955" s="92"/>
    </row>
    <row r="956" spans="1:17" ht="15" customHeight="1">
      <c r="A956" s="981"/>
      <c r="B956" s="981"/>
      <c r="C956" s="1016"/>
      <c r="D956" s="952"/>
      <c r="E956" s="981"/>
      <c r="F956" s="952"/>
      <c r="G956" s="981"/>
      <c r="H956" s="981"/>
      <c r="I956" s="981"/>
      <c r="J956" s="981"/>
      <c r="K956" s="981"/>
      <c r="O956" s="981"/>
      <c r="P956" s="981"/>
      <c r="Q956" s="92"/>
    </row>
    <row r="957" spans="1:17" ht="15" customHeight="1">
      <c r="A957" s="981"/>
      <c r="B957" s="981"/>
      <c r="C957" s="1016"/>
      <c r="D957" s="952"/>
      <c r="E957" s="981"/>
      <c r="F957" s="952"/>
      <c r="G957" s="981"/>
      <c r="H957" s="981"/>
      <c r="I957" s="981"/>
      <c r="J957" s="981"/>
      <c r="K957" s="981"/>
      <c r="O957" s="981"/>
      <c r="P957" s="981"/>
      <c r="Q957" s="92"/>
    </row>
    <row r="958" spans="1:17" ht="15" customHeight="1">
      <c r="A958" s="981"/>
      <c r="B958" s="981"/>
      <c r="C958" s="1016"/>
      <c r="D958" s="952"/>
      <c r="E958" s="981"/>
      <c r="F958" s="952"/>
      <c r="G958" s="981"/>
      <c r="H958" s="981"/>
      <c r="I958" s="981"/>
      <c r="J958" s="981"/>
      <c r="K958" s="981"/>
      <c r="O958" s="981"/>
      <c r="P958" s="981"/>
      <c r="Q958" s="92"/>
    </row>
    <row r="959" spans="1:17" ht="15" customHeight="1">
      <c r="A959" s="981"/>
      <c r="B959" s="981"/>
      <c r="C959" s="1016"/>
      <c r="D959" s="952"/>
      <c r="E959" s="981"/>
      <c r="F959" s="952"/>
      <c r="G959" s="981"/>
      <c r="H959" s="981"/>
      <c r="I959" s="981"/>
      <c r="J959" s="981"/>
      <c r="K959" s="981"/>
      <c r="O959" s="981"/>
      <c r="P959" s="981"/>
      <c r="Q959" s="92"/>
    </row>
    <row r="960" spans="1:17" ht="15" customHeight="1">
      <c r="A960" s="981"/>
      <c r="B960" s="981"/>
      <c r="C960" s="1016"/>
      <c r="D960" s="952"/>
      <c r="E960" s="981"/>
      <c r="F960" s="952"/>
      <c r="G960" s="981"/>
      <c r="H960" s="981"/>
      <c r="I960" s="981"/>
      <c r="J960" s="981"/>
      <c r="K960" s="981"/>
      <c r="O960" s="981"/>
      <c r="P960" s="981"/>
      <c r="Q960" s="92"/>
    </row>
    <row r="961" spans="1:17" ht="15" customHeight="1">
      <c r="A961" s="981"/>
      <c r="B961" s="981"/>
      <c r="C961" s="1016"/>
      <c r="D961" s="952"/>
      <c r="E961" s="981"/>
      <c r="F961" s="952"/>
      <c r="G961" s="981"/>
      <c r="H961" s="981"/>
      <c r="I961" s="981"/>
      <c r="J961" s="981"/>
      <c r="K961" s="981"/>
      <c r="O961" s="981"/>
      <c r="P961" s="981"/>
      <c r="Q961" s="92"/>
    </row>
    <row r="962" spans="1:17" ht="15" customHeight="1">
      <c r="A962" s="981"/>
      <c r="B962" s="981"/>
      <c r="C962" s="1016"/>
      <c r="D962" s="952"/>
      <c r="E962" s="981"/>
      <c r="F962" s="952"/>
      <c r="G962" s="981"/>
      <c r="H962" s="981"/>
      <c r="I962" s="981"/>
      <c r="J962" s="981"/>
      <c r="K962" s="981"/>
      <c r="O962" s="981"/>
      <c r="P962" s="981"/>
      <c r="Q962" s="92"/>
    </row>
    <row r="963" spans="1:17" ht="15" customHeight="1">
      <c r="A963" s="981"/>
      <c r="B963" s="981"/>
      <c r="C963" s="1016"/>
      <c r="D963" s="952"/>
      <c r="E963" s="981"/>
      <c r="F963" s="952"/>
      <c r="G963" s="981"/>
      <c r="H963" s="981"/>
      <c r="I963" s="981"/>
      <c r="J963" s="981"/>
      <c r="K963" s="981"/>
      <c r="O963" s="981"/>
      <c r="P963" s="981"/>
      <c r="Q963" s="92"/>
    </row>
    <row r="964" spans="1:17" ht="15" customHeight="1">
      <c r="A964" s="981"/>
      <c r="B964" s="981"/>
      <c r="C964" s="1016"/>
      <c r="D964" s="952"/>
      <c r="E964" s="981"/>
      <c r="F964" s="952"/>
      <c r="G964" s="981"/>
      <c r="H964" s="981"/>
      <c r="I964" s="981"/>
      <c r="J964" s="981"/>
      <c r="K964" s="981"/>
      <c r="O964" s="981"/>
      <c r="P964" s="981"/>
      <c r="Q964" s="92"/>
    </row>
    <row r="965" spans="1:17" ht="15" customHeight="1">
      <c r="A965" s="981"/>
      <c r="B965" s="981"/>
      <c r="C965" s="1016"/>
      <c r="D965" s="952"/>
      <c r="E965" s="981"/>
      <c r="F965" s="952"/>
      <c r="G965" s="981"/>
      <c r="H965" s="981"/>
      <c r="I965" s="981"/>
      <c r="J965" s="981"/>
      <c r="K965" s="981"/>
      <c r="O965" s="981"/>
      <c r="P965" s="981"/>
      <c r="Q965" s="92"/>
    </row>
    <row r="966" spans="1:17" ht="15" customHeight="1">
      <c r="A966" s="981"/>
      <c r="B966" s="981"/>
      <c r="C966" s="1016"/>
      <c r="D966" s="952"/>
      <c r="E966" s="981"/>
      <c r="F966" s="952"/>
      <c r="G966" s="981"/>
      <c r="H966" s="981"/>
      <c r="I966" s="981"/>
      <c r="J966" s="981"/>
      <c r="K966" s="981"/>
      <c r="O966" s="981"/>
      <c r="P966" s="981"/>
      <c r="Q966" s="92"/>
    </row>
    <row r="967" spans="1:17" ht="15" customHeight="1">
      <c r="A967" s="981"/>
      <c r="B967" s="981"/>
      <c r="C967" s="1016"/>
      <c r="D967" s="952"/>
      <c r="E967" s="981"/>
      <c r="F967" s="952"/>
      <c r="G967" s="981"/>
      <c r="H967" s="981"/>
      <c r="I967" s="981"/>
      <c r="J967" s="981"/>
      <c r="K967" s="981"/>
      <c r="O967" s="981"/>
      <c r="P967" s="981"/>
      <c r="Q967" s="92"/>
    </row>
    <row r="968" spans="1:17" ht="15" customHeight="1">
      <c r="A968" s="981"/>
      <c r="B968" s="981"/>
      <c r="C968" s="1016"/>
      <c r="D968" s="952"/>
      <c r="E968" s="981"/>
      <c r="F968" s="952"/>
      <c r="G968" s="981"/>
      <c r="H968" s="981"/>
      <c r="I968" s="981"/>
      <c r="J968" s="981"/>
      <c r="K968" s="981"/>
      <c r="O968" s="981"/>
      <c r="P968" s="981"/>
      <c r="Q968" s="92"/>
    </row>
    <row r="969" spans="1:17" ht="15" customHeight="1">
      <c r="A969" s="981"/>
      <c r="B969" s="981"/>
      <c r="C969" s="1016"/>
      <c r="D969" s="952"/>
      <c r="E969" s="981"/>
      <c r="F969" s="952"/>
      <c r="G969" s="981"/>
      <c r="H969" s="981"/>
      <c r="I969" s="981"/>
      <c r="J969" s="981"/>
      <c r="K969" s="981"/>
      <c r="O969" s="981"/>
      <c r="P969" s="981"/>
      <c r="Q969" s="92"/>
    </row>
    <row r="970" spans="1:17" ht="15" customHeight="1">
      <c r="A970" s="981"/>
      <c r="B970" s="981"/>
      <c r="C970" s="1016"/>
      <c r="D970" s="952"/>
      <c r="E970" s="981"/>
      <c r="F970" s="952"/>
      <c r="G970" s="981"/>
      <c r="H970" s="981"/>
      <c r="I970" s="981"/>
      <c r="J970" s="981"/>
      <c r="K970" s="981"/>
      <c r="O970" s="981"/>
      <c r="P970" s="981"/>
      <c r="Q970" s="92"/>
    </row>
    <row r="971" spans="1:17" ht="15" customHeight="1">
      <c r="A971" s="981"/>
      <c r="B971" s="981"/>
      <c r="C971" s="1016"/>
      <c r="D971" s="952"/>
      <c r="E971" s="981"/>
      <c r="F971" s="952"/>
      <c r="G971" s="981"/>
      <c r="H971" s="981"/>
      <c r="I971" s="981"/>
      <c r="J971" s="981"/>
      <c r="K971" s="981"/>
      <c r="O971" s="981"/>
      <c r="P971" s="981"/>
      <c r="Q971" s="92"/>
    </row>
    <row r="972" spans="1:17" ht="15" customHeight="1">
      <c r="A972" s="981"/>
      <c r="B972" s="981"/>
      <c r="C972" s="1016"/>
      <c r="D972" s="952"/>
      <c r="E972" s="981"/>
      <c r="F972" s="952"/>
      <c r="G972" s="981"/>
      <c r="H972" s="981"/>
      <c r="I972" s="981"/>
      <c r="J972" s="981"/>
      <c r="K972" s="981"/>
      <c r="O972" s="981"/>
      <c r="P972" s="981"/>
      <c r="Q972" s="92"/>
    </row>
    <row r="973" spans="1:17" ht="15" customHeight="1">
      <c r="A973" s="981"/>
      <c r="B973" s="981"/>
      <c r="C973" s="1016"/>
      <c r="D973" s="952"/>
      <c r="E973" s="981"/>
      <c r="F973" s="952"/>
      <c r="G973" s="981"/>
      <c r="H973" s="981"/>
      <c r="I973" s="981"/>
      <c r="J973" s="981"/>
      <c r="K973" s="981"/>
      <c r="O973" s="981"/>
      <c r="P973" s="981"/>
      <c r="Q973" s="92"/>
    </row>
    <row r="974" spans="1:17" ht="15" customHeight="1">
      <c r="A974" s="981"/>
      <c r="B974" s="981"/>
      <c r="C974" s="1016"/>
      <c r="D974" s="952"/>
      <c r="E974" s="981"/>
      <c r="F974" s="952"/>
      <c r="G974" s="981"/>
      <c r="H974" s="981"/>
      <c r="I974" s="981"/>
      <c r="J974" s="981"/>
      <c r="K974" s="981"/>
      <c r="O974" s="981"/>
      <c r="P974" s="981"/>
      <c r="Q974" s="92"/>
    </row>
    <row r="975" spans="1:17" ht="15" customHeight="1">
      <c r="A975" s="981"/>
      <c r="B975" s="981"/>
      <c r="C975" s="1016"/>
      <c r="D975" s="952"/>
      <c r="E975" s="981"/>
      <c r="F975" s="952"/>
      <c r="G975" s="981"/>
      <c r="H975" s="981"/>
      <c r="I975" s="981"/>
      <c r="J975" s="981"/>
      <c r="K975" s="981"/>
      <c r="O975" s="981"/>
      <c r="P975" s="981"/>
      <c r="Q975" s="92"/>
    </row>
    <row r="976" spans="1:17" ht="15" customHeight="1">
      <c r="A976" s="981"/>
      <c r="B976" s="981"/>
      <c r="C976" s="1016"/>
      <c r="D976" s="952"/>
      <c r="E976" s="981"/>
      <c r="F976" s="952"/>
      <c r="G976" s="981"/>
      <c r="H976" s="981"/>
      <c r="I976" s="981"/>
      <c r="J976" s="981"/>
      <c r="K976" s="981"/>
      <c r="O976" s="981"/>
      <c r="P976" s="981"/>
      <c r="Q976" s="92"/>
    </row>
    <row r="977" spans="1:17" ht="15" customHeight="1">
      <c r="A977" s="981"/>
      <c r="B977" s="981"/>
      <c r="C977" s="1016"/>
      <c r="D977" s="952"/>
      <c r="E977" s="981"/>
      <c r="F977" s="952"/>
      <c r="G977" s="981"/>
      <c r="H977" s="981"/>
      <c r="I977" s="981"/>
      <c r="J977" s="981"/>
      <c r="K977" s="981"/>
      <c r="O977" s="981"/>
      <c r="P977" s="981"/>
      <c r="Q977" s="92"/>
    </row>
    <row r="978" spans="1:17" ht="15" customHeight="1">
      <c r="A978" s="981"/>
      <c r="B978" s="981"/>
      <c r="C978" s="1016"/>
      <c r="D978" s="952"/>
      <c r="E978" s="981"/>
      <c r="F978" s="952"/>
      <c r="G978" s="981"/>
      <c r="H978" s="981"/>
      <c r="I978" s="981"/>
      <c r="J978" s="981"/>
      <c r="K978" s="981"/>
      <c r="O978" s="981"/>
      <c r="P978" s="981"/>
      <c r="Q978" s="92"/>
    </row>
    <row r="979" spans="1:17" ht="15" customHeight="1">
      <c r="A979" s="981"/>
      <c r="B979" s="981"/>
      <c r="C979" s="1016"/>
      <c r="D979" s="952"/>
      <c r="E979" s="981"/>
      <c r="F979" s="952"/>
      <c r="G979" s="981"/>
      <c r="H979" s="981"/>
      <c r="I979" s="981"/>
      <c r="J979" s="981"/>
      <c r="K979" s="981"/>
      <c r="O979" s="981"/>
      <c r="P979" s="981"/>
      <c r="Q979" s="92"/>
    </row>
    <row r="980" spans="1:17" ht="15" customHeight="1">
      <c r="A980" s="981"/>
      <c r="B980" s="981"/>
      <c r="C980" s="1016"/>
      <c r="D980" s="952"/>
      <c r="E980" s="981"/>
      <c r="F980" s="952"/>
      <c r="G980" s="981"/>
      <c r="H980" s="981"/>
      <c r="I980" s="981"/>
      <c r="J980" s="981"/>
      <c r="K980" s="981"/>
      <c r="O980" s="981"/>
      <c r="P980" s="981"/>
      <c r="Q980" s="92"/>
    </row>
    <row r="981" spans="1:17" ht="15" customHeight="1">
      <c r="A981" s="981"/>
      <c r="B981" s="981"/>
      <c r="C981" s="1016"/>
      <c r="D981" s="952"/>
      <c r="E981" s="981"/>
      <c r="F981" s="952"/>
      <c r="G981" s="981"/>
      <c r="H981" s="981"/>
      <c r="I981" s="981"/>
      <c r="J981" s="981"/>
      <c r="K981" s="981"/>
      <c r="O981" s="981"/>
      <c r="P981" s="981"/>
      <c r="Q981" s="92"/>
    </row>
    <row r="982" spans="1:17" ht="15" customHeight="1">
      <c r="A982" s="981"/>
      <c r="B982" s="981"/>
      <c r="C982" s="1016"/>
      <c r="D982" s="952"/>
      <c r="E982" s="981"/>
      <c r="F982" s="952"/>
      <c r="G982" s="981"/>
      <c r="H982" s="981"/>
      <c r="I982" s="981"/>
      <c r="J982" s="981"/>
      <c r="K982" s="981"/>
      <c r="O982" s="981"/>
      <c r="P982" s="981"/>
      <c r="Q982" s="92"/>
    </row>
    <row r="983" spans="1:17" ht="15" customHeight="1">
      <c r="A983" s="981"/>
      <c r="B983" s="981"/>
      <c r="C983" s="1016"/>
      <c r="D983" s="952"/>
      <c r="E983" s="981"/>
      <c r="F983" s="952"/>
      <c r="G983" s="981"/>
      <c r="H983" s="981"/>
      <c r="I983" s="981"/>
      <c r="J983" s="981"/>
      <c r="K983" s="981"/>
      <c r="O983" s="981"/>
      <c r="P983" s="981"/>
      <c r="Q983" s="92"/>
    </row>
    <row r="984" spans="1:17" ht="15" customHeight="1">
      <c r="A984" s="981"/>
      <c r="B984" s="981"/>
      <c r="C984" s="1016"/>
      <c r="D984" s="952"/>
      <c r="E984" s="981"/>
      <c r="F984" s="952"/>
      <c r="G984" s="981"/>
      <c r="H984" s="981"/>
      <c r="I984" s="981"/>
      <c r="J984" s="981"/>
      <c r="K984" s="981"/>
      <c r="O984" s="981"/>
      <c r="P984" s="981"/>
      <c r="Q984" s="92"/>
    </row>
    <row r="985" spans="1:17" ht="15" customHeight="1">
      <c r="A985" s="981"/>
      <c r="B985" s="981"/>
      <c r="C985" s="1016"/>
      <c r="D985" s="952"/>
      <c r="E985" s="981"/>
      <c r="F985" s="952"/>
      <c r="G985" s="981"/>
      <c r="H985" s="981"/>
      <c r="I985" s="981"/>
      <c r="J985" s="981"/>
      <c r="K985" s="981"/>
      <c r="O985" s="981"/>
      <c r="P985" s="981"/>
      <c r="Q985" s="92"/>
    </row>
    <row r="986" spans="1:17" ht="15" customHeight="1">
      <c r="A986" s="981"/>
      <c r="B986" s="981"/>
      <c r="C986" s="1016"/>
      <c r="D986" s="952"/>
      <c r="E986" s="981"/>
      <c r="F986" s="952"/>
      <c r="G986" s="981"/>
      <c r="H986" s="981"/>
      <c r="I986" s="981"/>
      <c r="J986" s="981"/>
      <c r="K986" s="981"/>
      <c r="O986" s="981"/>
      <c r="P986" s="981"/>
      <c r="Q986" s="92"/>
    </row>
    <row r="987" spans="1:17" ht="15" customHeight="1">
      <c r="A987" s="981"/>
      <c r="B987" s="981"/>
      <c r="C987" s="1016"/>
      <c r="D987" s="952"/>
      <c r="E987" s="981"/>
      <c r="F987" s="952"/>
      <c r="G987" s="981"/>
      <c r="H987" s="981"/>
      <c r="I987" s="981"/>
      <c r="J987" s="981"/>
      <c r="K987" s="981"/>
      <c r="O987" s="981"/>
      <c r="P987" s="981"/>
      <c r="Q987" s="92"/>
    </row>
    <row r="988" spans="1:17" ht="15" customHeight="1">
      <c r="A988" s="981"/>
      <c r="B988" s="981"/>
      <c r="C988" s="1016"/>
      <c r="D988" s="952"/>
      <c r="E988" s="981"/>
      <c r="F988" s="952"/>
      <c r="G988" s="981"/>
      <c r="H988" s="981"/>
      <c r="I988" s="981"/>
      <c r="J988" s="981"/>
      <c r="K988" s="981"/>
      <c r="O988" s="981"/>
      <c r="P988" s="981"/>
      <c r="Q988" s="92"/>
    </row>
    <row r="989" spans="1:17" ht="15" customHeight="1">
      <c r="A989" s="981"/>
      <c r="B989" s="981"/>
      <c r="C989" s="1016"/>
      <c r="D989" s="952"/>
      <c r="E989" s="981"/>
      <c r="F989" s="952"/>
      <c r="G989" s="981"/>
      <c r="H989" s="981"/>
      <c r="I989" s="981"/>
      <c r="J989" s="981"/>
      <c r="K989" s="981"/>
      <c r="O989" s="981"/>
      <c r="P989" s="981"/>
      <c r="Q989" s="92"/>
    </row>
    <row r="990" spans="1:17" ht="15" customHeight="1">
      <c r="A990" s="981"/>
      <c r="B990" s="981"/>
      <c r="C990" s="1016"/>
      <c r="D990" s="952"/>
      <c r="E990" s="981"/>
      <c r="F990" s="952"/>
      <c r="G990" s="981"/>
      <c r="H990" s="981"/>
      <c r="I990" s="981"/>
      <c r="J990" s="981"/>
      <c r="K990" s="981"/>
      <c r="O990" s="981"/>
      <c r="P990" s="981"/>
      <c r="Q990" s="92"/>
    </row>
    <row r="991" spans="1:17" ht="15" customHeight="1">
      <c r="A991" s="981"/>
      <c r="B991" s="981"/>
      <c r="C991" s="1016"/>
      <c r="D991" s="952"/>
      <c r="E991" s="981"/>
      <c r="F991" s="952"/>
      <c r="G991" s="981"/>
      <c r="H991" s="981"/>
      <c r="I991" s="981"/>
      <c r="J991" s="981"/>
      <c r="K991" s="981"/>
      <c r="O991" s="981"/>
      <c r="P991" s="981"/>
      <c r="Q991" s="92"/>
    </row>
    <row r="992" spans="1:17" ht="15" customHeight="1">
      <c r="A992" s="981"/>
      <c r="B992" s="981"/>
      <c r="C992" s="1016"/>
      <c r="D992" s="952"/>
      <c r="E992" s="981"/>
      <c r="F992" s="952"/>
      <c r="G992" s="981"/>
      <c r="H992" s="981"/>
      <c r="I992" s="981"/>
      <c r="J992" s="981"/>
      <c r="K992" s="981"/>
      <c r="O992" s="981"/>
      <c r="P992" s="981"/>
      <c r="Q992" s="92"/>
    </row>
    <row r="993" spans="1:17" ht="15" customHeight="1">
      <c r="A993" s="981"/>
      <c r="B993" s="981"/>
      <c r="C993" s="1016"/>
      <c r="D993" s="952"/>
      <c r="E993" s="981"/>
      <c r="F993" s="952"/>
      <c r="G993" s="981"/>
      <c r="H993" s="981"/>
      <c r="I993" s="981"/>
      <c r="J993" s="981"/>
      <c r="K993" s="981"/>
      <c r="O993" s="981"/>
      <c r="P993" s="981"/>
      <c r="Q993" s="92"/>
    </row>
    <row r="994" spans="1:17" ht="15" customHeight="1">
      <c r="A994" s="981"/>
      <c r="B994" s="981"/>
      <c r="C994" s="1016"/>
      <c r="D994" s="952"/>
      <c r="E994" s="981"/>
      <c r="F994" s="952"/>
      <c r="G994" s="981"/>
      <c r="H994" s="981"/>
      <c r="I994" s="981"/>
      <c r="J994" s="981"/>
      <c r="K994" s="981"/>
      <c r="O994" s="981"/>
      <c r="P994" s="981"/>
      <c r="Q994" s="92"/>
    </row>
    <row r="995" spans="1:17" ht="15" customHeight="1">
      <c r="A995" s="981"/>
      <c r="B995" s="981"/>
      <c r="C995" s="1016"/>
      <c r="D995" s="952"/>
      <c r="E995" s="981"/>
      <c r="F995" s="952"/>
      <c r="G995" s="981"/>
      <c r="H995" s="981"/>
      <c r="I995" s="981"/>
      <c r="J995" s="981"/>
      <c r="K995" s="981"/>
      <c r="O995" s="981"/>
      <c r="P995" s="981"/>
      <c r="Q995" s="92"/>
    </row>
    <row r="996" spans="1:17" ht="15" customHeight="1">
      <c r="A996" s="981"/>
      <c r="B996" s="981"/>
      <c r="C996" s="1016"/>
      <c r="D996" s="952"/>
      <c r="E996" s="981"/>
      <c r="F996" s="952"/>
      <c r="G996" s="981"/>
      <c r="H996" s="981"/>
      <c r="I996" s="981"/>
      <c r="J996" s="981"/>
      <c r="K996" s="981"/>
      <c r="O996" s="981"/>
      <c r="P996" s="981"/>
      <c r="Q996" s="92"/>
    </row>
    <row r="997" spans="1:17" ht="15" customHeight="1">
      <c r="A997" s="981"/>
      <c r="B997" s="981"/>
      <c r="C997" s="1016"/>
      <c r="D997" s="952"/>
      <c r="E997" s="981"/>
      <c r="F997" s="952"/>
      <c r="G997" s="981"/>
      <c r="H997" s="981"/>
      <c r="I997" s="981"/>
      <c r="J997" s="981"/>
      <c r="K997" s="981"/>
      <c r="O997" s="981"/>
      <c r="P997" s="981"/>
      <c r="Q997" s="92"/>
    </row>
    <row r="998" spans="1:17" ht="15" customHeight="1">
      <c r="A998" s="981"/>
      <c r="B998" s="981"/>
      <c r="C998" s="1016"/>
      <c r="D998" s="952"/>
      <c r="E998" s="981"/>
      <c r="F998" s="952"/>
      <c r="G998" s="981"/>
      <c r="H998" s="981"/>
      <c r="I998" s="981"/>
      <c r="J998" s="981"/>
      <c r="K998" s="981"/>
      <c r="O998" s="981"/>
      <c r="P998" s="981"/>
      <c r="Q998" s="92"/>
    </row>
    <row r="999" spans="1:17" ht="15" customHeight="1">
      <c r="A999" s="981"/>
      <c r="B999" s="981"/>
      <c r="C999" s="1016"/>
      <c r="D999" s="952"/>
      <c r="E999" s="981"/>
      <c r="F999" s="952"/>
      <c r="G999" s="981"/>
      <c r="H999" s="981"/>
      <c r="I999" s="981"/>
      <c r="J999" s="981"/>
      <c r="K999" s="981"/>
      <c r="O999" s="981"/>
      <c r="P999" s="981"/>
      <c r="Q999" s="92"/>
    </row>
    <row r="1000" spans="1:17" ht="15" customHeight="1">
      <c r="A1000" s="981"/>
      <c r="B1000" s="981"/>
      <c r="C1000" s="1016"/>
      <c r="D1000" s="952"/>
      <c r="E1000" s="981"/>
      <c r="F1000" s="952"/>
      <c r="G1000" s="981"/>
      <c r="H1000" s="981"/>
      <c r="I1000" s="981"/>
      <c r="J1000" s="981"/>
      <c r="K1000" s="981"/>
      <c r="O1000" s="981"/>
      <c r="P1000" s="981"/>
      <c r="Q1000" s="92"/>
    </row>
    <row r="1001" spans="1:17" ht="15" customHeight="1">
      <c r="A1001" s="981"/>
      <c r="B1001" s="981"/>
      <c r="C1001" s="1016"/>
      <c r="D1001" s="952"/>
      <c r="E1001" s="981"/>
      <c r="F1001" s="952"/>
      <c r="G1001" s="981"/>
      <c r="H1001" s="981"/>
      <c r="I1001" s="981"/>
      <c r="J1001" s="981"/>
      <c r="K1001" s="981"/>
      <c r="O1001" s="981"/>
      <c r="P1001" s="981"/>
      <c r="Q1001" s="92"/>
    </row>
    <row r="1002" spans="1:17" ht="15" customHeight="1">
      <c r="A1002" s="981"/>
      <c r="B1002" s="981"/>
      <c r="C1002" s="1016"/>
      <c r="D1002" s="952"/>
      <c r="E1002" s="981"/>
      <c r="F1002" s="952"/>
      <c r="G1002" s="981"/>
      <c r="H1002" s="981"/>
      <c r="I1002" s="981"/>
      <c r="J1002" s="981"/>
      <c r="K1002" s="981"/>
      <c r="O1002" s="981"/>
      <c r="P1002" s="981"/>
      <c r="Q1002" s="92"/>
    </row>
    <row r="1003" spans="1:17" ht="15" customHeight="1">
      <c r="A1003" s="981"/>
      <c r="B1003" s="981"/>
      <c r="C1003" s="1016"/>
      <c r="D1003" s="952"/>
      <c r="E1003" s="981"/>
      <c r="F1003" s="952"/>
      <c r="G1003" s="981"/>
      <c r="H1003" s="981"/>
      <c r="I1003" s="981"/>
      <c r="J1003" s="981"/>
      <c r="K1003" s="981"/>
      <c r="O1003" s="981"/>
      <c r="P1003" s="981"/>
      <c r="Q1003" s="92"/>
    </row>
    <row r="1004" spans="1:17" ht="15" customHeight="1">
      <c r="A1004" s="981"/>
      <c r="B1004" s="981"/>
      <c r="C1004" s="1016"/>
      <c r="D1004" s="952"/>
      <c r="E1004" s="981"/>
      <c r="F1004" s="952"/>
      <c r="G1004" s="981"/>
      <c r="H1004" s="981"/>
      <c r="I1004" s="981"/>
      <c r="J1004" s="981"/>
      <c r="K1004" s="981"/>
      <c r="O1004" s="981"/>
      <c r="P1004" s="981"/>
      <c r="Q1004" s="92"/>
    </row>
    <row r="1005" spans="1:17" ht="15" customHeight="1">
      <c r="A1005" s="981"/>
      <c r="B1005" s="981"/>
      <c r="C1005" s="1016"/>
      <c r="D1005" s="952"/>
      <c r="E1005" s="981"/>
      <c r="F1005" s="952"/>
      <c r="G1005" s="981"/>
      <c r="H1005" s="981"/>
      <c r="I1005" s="981"/>
      <c r="J1005" s="981"/>
      <c r="K1005" s="981"/>
      <c r="O1005" s="981"/>
      <c r="P1005" s="981"/>
      <c r="Q1005" s="92"/>
    </row>
    <row r="1006" spans="1:17" ht="15" customHeight="1">
      <c r="A1006" s="981"/>
      <c r="B1006" s="981"/>
      <c r="C1006" s="1016"/>
      <c r="D1006" s="952"/>
      <c r="E1006" s="981"/>
      <c r="F1006" s="952"/>
      <c r="G1006" s="981"/>
      <c r="H1006" s="981"/>
      <c r="I1006" s="981"/>
      <c r="J1006" s="981"/>
      <c r="K1006" s="981"/>
      <c r="O1006" s="981"/>
      <c r="P1006" s="981"/>
      <c r="Q1006" s="92"/>
    </row>
    <row r="1007" spans="1:17" ht="15" customHeight="1">
      <c r="A1007" s="981"/>
      <c r="B1007" s="981"/>
      <c r="C1007" s="1016"/>
      <c r="D1007" s="952"/>
      <c r="E1007" s="981"/>
      <c r="F1007" s="952"/>
      <c r="G1007" s="981"/>
      <c r="H1007" s="981"/>
      <c r="I1007" s="981"/>
      <c r="J1007" s="981"/>
      <c r="K1007" s="981"/>
      <c r="O1007" s="981"/>
      <c r="P1007" s="981"/>
      <c r="Q1007" s="92"/>
    </row>
    <row r="1008" spans="1:17" ht="15" customHeight="1">
      <c r="A1008" s="981"/>
      <c r="B1008" s="981"/>
      <c r="C1008" s="1016"/>
      <c r="D1008" s="952"/>
      <c r="E1008" s="981"/>
      <c r="F1008" s="952"/>
      <c r="G1008" s="981"/>
      <c r="H1008" s="981"/>
      <c r="I1008" s="981"/>
      <c r="J1008" s="981"/>
      <c r="K1008" s="981"/>
      <c r="O1008" s="981"/>
      <c r="P1008" s="981"/>
      <c r="Q1008" s="92"/>
    </row>
    <row r="1009" spans="1:17" ht="15" customHeight="1">
      <c r="A1009" s="981"/>
      <c r="B1009" s="981"/>
      <c r="C1009" s="1016"/>
      <c r="D1009" s="952"/>
      <c r="E1009" s="981"/>
      <c r="F1009" s="952"/>
      <c r="G1009" s="981"/>
      <c r="H1009" s="981"/>
      <c r="I1009" s="981"/>
      <c r="J1009" s="981"/>
      <c r="K1009" s="981"/>
      <c r="O1009" s="981"/>
      <c r="P1009" s="981"/>
      <c r="Q1009" s="92"/>
    </row>
    <row r="1010" spans="1:17" ht="15" customHeight="1">
      <c r="A1010" s="981"/>
      <c r="B1010" s="981"/>
      <c r="C1010" s="1016"/>
      <c r="D1010" s="952"/>
      <c r="E1010" s="981"/>
      <c r="F1010" s="952"/>
      <c r="G1010" s="981"/>
      <c r="H1010" s="981"/>
      <c r="I1010" s="981"/>
      <c r="J1010" s="981"/>
      <c r="K1010" s="981"/>
      <c r="O1010" s="981"/>
      <c r="P1010" s="981"/>
      <c r="Q1010" s="92"/>
    </row>
    <row r="1011" spans="1:17" ht="15" customHeight="1">
      <c r="A1011" s="981"/>
      <c r="B1011" s="981"/>
      <c r="C1011" s="1016"/>
      <c r="D1011" s="952"/>
      <c r="E1011" s="981"/>
      <c r="F1011" s="952"/>
      <c r="G1011" s="981"/>
      <c r="H1011" s="981"/>
      <c r="I1011" s="981"/>
      <c r="J1011" s="981"/>
      <c r="K1011" s="981"/>
      <c r="O1011" s="981"/>
      <c r="P1011" s="981"/>
      <c r="Q1011" s="92"/>
    </row>
    <row r="1012" spans="1:17" ht="15" customHeight="1">
      <c r="A1012" s="981"/>
      <c r="B1012" s="981"/>
      <c r="C1012" s="1016"/>
      <c r="D1012" s="952"/>
      <c r="E1012" s="981"/>
      <c r="F1012" s="952"/>
      <c r="G1012" s="981"/>
      <c r="H1012" s="981"/>
      <c r="I1012" s="981"/>
      <c r="J1012" s="981"/>
      <c r="K1012" s="981"/>
      <c r="O1012" s="981"/>
      <c r="P1012" s="981"/>
      <c r="Q1012" s="92"/>
    </row>
    <row r="1013" spans="1:17" ht="15" customHeight="1">
      <c r="A1013" s="981"/>
      <c r="B1013" s="981"/>
      <c r="C1013" s="1016"/>
      <c r="D1013" s="952"/>
      <c r="E1013" s="981"/>
      <c r="F1013" s="952"/>
      <c r="G1013" s="981"/>
      <c r="H1013" s="981"/>
      <c r="I1013" s="981"/>
      <c r="J1013" s="981"/>
      <c r="K1013" s="981"/>
      <c r="O1013" s="981"/>
      <c r="P1013" s="981"/>
      <c r="Q1013" s="92"/>
    </row>
    <row r="1014" spans="1:17" ht="15" customHeight="1">
      <c r="A1014" s="981"/>
      <c r="B1014" s="981"/>
      <c r="C1014" s="1016"/>
      <c r="D1014" s="952"/>
      <c r="E1014" s="981"/>
      <c r="F1014" s="952"/>
      <c r="G1014" s="981"/>
      <c r="H1014" s="981"/>
      <c r="I1014" s="981"/>
      <c r="J1014" s="981"/>
      <c r="K1014" s="981"/>
      <c r="O1014" s="981"/>
      <c r="P1014" s="981"/>
      <c r="Q1014" s="92"/>
    </row>
    <row r="1015" spans="1:17" ht="15" customHeight="1">
      <c r="A1015" s="981"/>
      <c r="B1015" s="981"/>
      <c r="C1015" s="1016"/>
      <c r="D1015" s="952"/>
      <c r="E1015" s="981"/>
      <c r="F1015" s="952"/>
      <c r="G1015" s="981"/>
      <c r="H1015" s="981"/>
      <c r="I1015" s="981"/>
      <c r="J1015" s="981"/>
      <c r="K1015" s="981"/>
      <c r="O1015" s="981"/>
      <c r="P1015" s="981"/>
      <c r="Q1015" s="92"/>
    </row>
    <row r="1016" spans="1:17" ht="15" customHeight="1">
      <c r="A1016" s="981"/>
      <c r="B1016" s="981"/>
      <c r="C1016" s="1016"/>
      <c r="D1016" s="952"/>
      <c r="E1016" s="981"/>
      <c r="F1016" s="952"/>
      <c r="G1016" s="981"/>
      <c r="H1016" s="981"/>
      <c r="I1016" s="981"/>
      <c r="J1016" s="981"/>
      <c r="K1016" s="981"/>
      <c r="O1016" s="981"/>
      <c r="P1016" s="981"/>
      <c r="Q1016" s="92"/>
    </row>
    <row r="1017" spans="1:17" ht="15" customHeight="1">
      <c r="A1017" s="981"/>
      <c r="B1017" s="981"/>
      <c r="C1017" s="1016"/>
      <c r="D1017" s="952"/>
      <c r="E1017" s="981"/>
      <c r="F1017" s="952"/>
      <c r="G1017" s="981"/>
      <c r="H1017" s="981"/>
      <c r="I1017" s="981"/>
      <c r="J1017" s="981"/>
      <c r="K1017" s="981"/>
      <c r="O1017" s="981"/>
      <c r="P1017" s="981"/>
      <c r="Q1017" s="92"/>
    </row>
    <row r="1018" spans="1:17" ht="15" customHeight="1">
      <c r="A1018" s="981"/>
      <c r="B1018" s="981"/>
      <c r="C1018" s="1016"/>
      <c r="D1018" s="952"/>
      <c r="E1018" s="981"/>
      <c r="F1018" s="952"/>
      <c r="G1018" s="981"/>
      <c r="H1018" s="981"/>
      <c r="I1018" s="981"/>
      <c r="J1018" s="981"/>
      <c r="K1018" s="981"/>
      <c r="O1018" s="981"/>
      <c r="P1018" s="981"/>
      <c r="Q1018" s="92"/>
    </row>
    <row r="1019" spans="1:17" ht="15" customHeight="1">
      <c r="A1019" s="981"/>
      <c r="B1019" s="981"/>
      <c r="C1019" s="1016"/>
      <c r="D1019" s="952"/>
      <c r="E1019" s="981"/>
      <c r="F1019" s="952"/>
      <c r="G1019" s="981"/>
      <c r="H1019" s="981"/>
      <c r="I1019" s="981"/>
      <c r="J1019" s="981"/>
      <c r="K1019" s="981"/>
      <c r="O1019" s="981"/>
      <c r="P1019" s="981"/>
      <c r="Q1019" s="92"/>
    </row>
    <row r="1020" spans="1:17" ht="15" customHeight="1">
      <c r="A1020" s="981"/>
      <c r="B1020" s="981"/>
      <c r="C1020" s="1016"/>
      <c r="D1020" s="952"/>
      <c r="E1020" s="981"/>
      <c r="F1020" s="952"/>
      <c r="G1020" s="981"/>
      <c r="H1020" s="981"/>
      <c r="I1020" s="981"/>
      <c r="J1020" s="981"/>
      <c r="K1020" s="981"/>
      <c r="O1020" s="981"/>
      <c r="P1020" s="981"/>
      <c r="Q1020" s="92"/>
    </row>
    <row r="1021" spans="1:17" ht="15" customHeight="1">
      <c r="A1021" s="981"/>
      <c r="B1021" s="981"/>
      <c r="C1021" s="1016"/>
      <c r="D1021" s="952"/>
      <c r="E1021" s="981"/>
      <c r="F1021" s="952"/>
      <c r="G1021" s="981"/>
      <c r="H1021" s="981"/>
      <c r="I1021" s="981"/>
      <c r="J1021" s="981"/>
      <c r="K1021" s="981"/>
      <c r="O1021" s="981"/>
      <c r="P1021" s="981"/>
      <c r="Q1021" s="92"/>
    </row>
    <row r="1022" spans="1:17" ht="15" customHeight="1">
      <c r="A1022" s="981"/>
      <c r="B1022" s="981"/>
      <c r="C1022" s="1016"/>
      <c r="D1022" s="952"/>
      <c r="E1022" s="981"/>
      <c r="F1022" s="952"/>
      <c r="G1022" s="981"/>
      <c r="H1022" s="981"/>
      <c r="I1022" s="981"/>
      <c r="J1022" s="981"/>
      <c r="K1022" s="981"/>
      <c r="O1022" s="981"/>
      <c r="P1022" s="981"/>
      <c r="Q1022" s="92"/>
    </row>
    <row r="1023" spans="1:17" ht="15" customHeight="1">
      <c r="A1023" s="981"/>
      <c r="B1023" s="981"/>
      <c r="C1023" s="1016"/>
      <c r="D1023" s="952"/>
      <c r="E1023" s="981"/>
      <c r="F1023" s="952"/>
      <c r="G1023" s="981"/>
      <c r="H1023" s="981"/>
      <c r="I1023" s="981"/>
      <c r="J1023" s="981"/>
      <c r="K1023" s="981"/>
      <c r="O1023" s="981"/>
      <c r="P1023" s="981"/>
      <c r="Q1023" s="92"/>
    </row>
    <row r="1024" spans="1:17" ht="15" customHeight="1">
      <c r="A1024" s="981"/>
      <c r="B1024" s="981"/>
      <c r="C1024" s="1016"/>
      <c r="D1024" s="952"/>
      <c r="E1024" s="981"/>
      <c r="F1024" s="952"/>
      <c r="G1024" s="981"/>
      <c r="H1024" s="981"/>
      <c r="I1024" s="981"/>
      <c r="J1024" s="981"/>
      <c r="K1024" s="981"/>
      <c r="O1024" s="981"/>
      <c r="P1024" s="981"/>
      <c r="Q1024" s="92"/>
    </row>
    <row r="1025" spans="1:17" ht="15" customHeight="1">
      <c r="A1025" s="981"/>
      <c r="B1025" s="981"/>
      <c r="C1025" s="1016"/>
      <c r="D1025" s="952"/>
      <c r="E1025" s="981"/>
      <c r="F1025" s="952"/>
      <c r="G1025" s="981"/>
      <c r="H1025" s="981"/>
      <c r="I1025" s="981"/>
      <c r="J1025" s="981"/>
      <c r="K1025" s="981"/>
      <c r="O1025" s="981"/>
      <c r="P1025" s="981"/>
      <c r="Q1025" s="92"/>
    </row>
    <row r="1026" spans="1:17" ht="15" customHeight="1">
      <c r="A1026" s="981"/>
      <c r="B1026" s="981"/>
      <c r="C1026" s="1016"/>
      <c r="D1026" s="952"/>
      <c r="E1026" s="981"/>
      <c r="F1026" s="952"/>
      <c r="G1026" s="981"/>
      <c r="H1026" s="981"/>
      <c r="I1026" s="981"/>
      <c r="J1026" s="981"/>
      <c r="K1026" s="981"/>
      <c r="O1026" s="981"/>
      <c r="P1026" s="981"/>
      <c r="Q1026" s="92"/>
    </row>
    <row r="1027" spans="1:17" ht="15" customHeight="1">
      <c r="A1027" s="981"/>
      <c r="B1027" s="981"/>
      <c r="C1027" s="1016"/>
      <c r="D1027" s="952"/>
      <c r="E1027" s="981"/>
      <c r="F1027" s="952"/>
      <c r="G1027" s="981"/>
      <c r="H1027" s="981"/>
      <c r="I1027" s="981"/>
      <c r="J1027" s="981"/>
      <c r="K1027" s="981"/>
      <c r="O1027" s="981"/>
      <c r="P1027" s="981"/>
      <c r="Q1027" s="92"/>
    </row>
    <row r="1028" spans="1:17" ht="15" customHeight="1">
      <c r="A1028" s="981"/>
      <c r="B1028" s="981"/>
      <c r="C1028" s="1016"/>
      <c r="D1028" s="952"/>
      <c r="E1028" s="981"/>
      <c r="F1028" s="952"/>
      <c r="G1028" s="981"/>
      <c r="H1028" s="981"/>
      <c r="I1028" s="981"/>
      <c r="J1028" s="981"/>
      <c r="K1028" s="981"/>
      <c r="O1028" s="981"/>
      <c r="P1028" s="981"/>
      <c r="Q1028" s="92"/>
    </row>
    <row r="1029" spans="1:17" ht="15" customHeight="1">
      <c r="A1029" s="981"/>
      <c r="B1029" s="981"/>
      <c r="C1029" s="1016"/>
      <c r="D1029" s="952"/>
      <c r="E1029" s="981"/>
      <c r="F1029" s="952"/>
      <c r="G1029" s="981"/>
      <c r="H1029" s="981"/>
      <c r="I1029" s="981"/>
      <c r="J1029" s="981"/>
      <c r="K1029" s="981"/>
      <c r="O1029" s="981"/>
      <c r="P1029" s="981"/>
      <c r="Q1029" s="92"/>
    </row>
    <row r="1030" spans="1:17" ht="15" customHeight="1">
      <c r="A1030" s="981"/>
      <c r="B1030" s="981"/>
      <c r="C1030" s="1016"/>
      <c r="D1030" s="952"/>
      <c r="E1030" s="981"/>
      <c r="F1030" s="952"/>
      <c r="G1030" s="981"/>
      <c r="H1030" s="981"/>
      <c r="I1030" s="981"/>
      <c r="J1030" s="981"/>
      <c r="K1030" s="981"/>
      <c r="O1030" s="981"/>
      <c r="P1030" s="981"/>
      <c r="Q1030" s="92"/>
    </row>
    <row r="1031" spans="1:17" ht="15" customHeight="1">
      <c r="A1031" s="981"/>
      <c r="B1031" s="981"/>
      <c r="C1031" s="1016"/>
      <c r="D1031" s="952"/>
      <c r="E1031" s="981"/>
      <c r="F1031" s="952"/>
      <c r="G1031" s="981"/>
      <c r="H1031" s="981"/>
      <c r="I1031" s="981"/>
      <c r="J1031" s="981"/>
      <c r="K1031" s="981"/>
      <c r="O1031" s="981"/>
      <c r="P1031" s="981"/>
      <c r="Q1031" s="92"/>
    </row>
    <row r="1032" spans="1:17" ht="15" customHeight="1">
      <c r="A1032" s="981"/>
      <c r="B1032" s="981"/>
      <c r="C1032" s="1016"/>
      <c r="D1032" s="952"/>
      <c r="E1032" s="981"/>
      <c r="F1032" s="952"/>
      <c r="G1032" s="981"/>
      <c r="H1032" s="981"/>
      <c r="I1032" s="981"/>
      <c r="J1032" s="981"/>
      <c r="K1032" s="981"/>
      <c r="O1032" s="981"/>
      <c r="P1032" s="981"/>
      <c r="Q1032" s="92"/>
    </row>
    <row r="1033" spans="1:17" ht="15" customHeight="1">
      <c r="A1033" s="981"/>
      <c r="B1033" s="981"/>
      <c r="C1033" s="1016"/>
      <c r="D1033" s="952"/>
      <c r="E1033" s="981"/>
      <c r="F1033" s="952"/>
      <c r="G1033" s="981"/>
      <c r="H1033" s="981"/>
      <c r="I1033" s="981"/>
      <c r="J1033" s="981"/>
      <c r="K1033" s="981"/>
      <c r="O1033" s="981"/>
      <c r="P1033" s="981"/>
      <c r="Q1033" s="92"/>
    </row>
    <row r="1034" spans="1:17" ht="15" customHeight="1">
      <c r="A1034" s="981"/>
      <c r="B1034" s="981"/>
      <c r="C1034" s="1016"/>
      <c r="D1034" s="952"/>
      <c r="E1034" s="981"/>
      <c r="F1034" s="952"/>
      <c r="G1034" s="981"/>
      <c r="H1034" s="981"/>
      <c r="I1034" s="981"/>
      <c r="J1034" s="981"/>
      <c r="K1034" s="981"/>
      <c r="O1034" s="981"/>
      <c r="P1034" s="981"/>
      <c r="Q1034" s="92"/>
    </row>
    <row r="1035" spans="1:17" ht="15" customHeight="1">
      <c r="A1035" s="981"/>
      <c r="B1035" s="981"/>
      <c r="C1035" s="1016"/>
      <c r="D1035" s="952"/>
      <c r="E1035" s="981"/>
      <c r="F1035" s="952"/>
      <c r="G1035" s="981"/>
      <c r="H1035" s="981"/>
      <c r="I1035" s="981"/>
      <c r="J1035" s="981"/>
      <c r="K1035" s="981"/>
      <c r="O1035" s="981"/>
      <c r="P1035" s="981"/>
      <c r="Q1035" s="92"/>
    </row>
    <row r="1036" spans="1:17" ht="15" customHeight="1">
      <c r="A1036" s="981"/>
      <c r="B1036" s="981"/>
      <c r="C1036" s="1016"/>
      <c r="D1036" s="952"/>
      <c r="E1036" s="981"/>
      <c r="F1036" s="952"/>
      <c r="G1036" s="981"/>
      <c r="H1036" s="981"/>
      <c r="I1036" s="981"/>
      <c r="J1036" s="981"/>
      <c r="K1036" s="981"/>
      <c r="O1036" s="981"/>
      <c r="P1036" s="981"/>
      <c r="Q1036" s="92"/>
    </row>
    <row r="1037" spans="1:17" ht="15" customHeight="1">
      <c r="A1037" s="981"/>
      <c r="B1037" s="981"/>
      <c r="C1037" s="1016"/>
      <c r="D1037" s="952"/>
      <c r="E1037" s="981"/>
      <c r="F1037" s="952"/>
      <c r="G1037" s="981"/>
      <c r="H1037" s="981"/>
      <c r="I1037" s="981"/>
      <c r="J1037" s="981"/>
      <c r="K1037" s="981"/>
      <c r="O1037" s="981"/>
      <c r="P1037" s="981"/>
      <c r="Q1037" s="92"/>
    </row>
    <row r="1038" spans="1:17" ht="15" customHeight="1">
      <c r="A1038" s="981"/>
      <c r="B1038" s="981"/>
      <c r="C1038" s="1016"/>
      <c r="D1038" s="952"/>
      <c r="E1038" s="981"/>
      <c r="F1038" s="952"/>
      <c r="G1038" s="981"/>
      <c r="H1038" s="981"/>
      <c r="I1038" s="981"/>
      <c r="J1038" s="981"/>
      <c r="K1038" s="981"/>
      <c r="O1038" s="981"/>
      <c r="P1038" s="981"/>
      <c r="Q1038" s="92"/>
    </row>
    <row r="1039" spans="1:17" ht="15" customHeight="1">
      <c r="A1039" s="981"/>
      <c r="B1039" s="981"/>
      <c r="C1039" s="1016"/>
      <c r="D1039" s="952"/>
      <c r="E1039" s="981"/>
      <c r="F1039" s="952"/>
      <c r="G1039" s="981"/>
      <c r="H1039" s="981"/>
      <c r="I1039" s="981"/>
      <c r="J1039" s="981"/>
      <c r="K1039" s="981"/>
      <c r="O1039" s="981"/>
      <c r="P1039" s="981"/>
      <c r="Q1039" s="92"/>
    </row>
    <row r="1040" spans="1:17" ht="15" customHeight="1">
      <c r="A1040" s="981"/>
      <c r="B1040" s="981"/>
      <c r="C1040" s="1016"/>
      <c r="D1040" s="952"/>
      <c r="E1040" s="981"/>
      <c r="F1040" s="952"/>
      <c r="G1040" s="981"/>
      <c r="H1040" s="981"/>
      <c r="I1040" s="981"/>
      <c r="J1040" s="981"/>
      <c r="K1040" s="981"/>
      <c r="O1040" s="981"/>
      <c r="P1040" s="981"/>
      <c r="Q1040" s="92"/>
    </row>
    <row r="1041" spans="1:17" ht="15" customHeight="1">
      <c r="A1041" s="981"/>
      <c r="B1041" s="981"/>
      <c r="C1041" s="1016"/>
      <c r="D1041" s="952"/>
      <c r="E1041" s="981"/>
      <c r="F1041" s="952"/>
      <c r="G1041" s="981"/>
      <c r="H1041" s="981"/>
      <c r="I1041" s="981"/>
      <c r="J1041" s="981"/>
      <c r="K1041" s="981"/>
      <c r="O1041" s="981"/>
      <c r="P1041" s="981"/>
      <c r="Q1041" s="92"/>
    </row>
    <row r="1042" spans="1:17" ht="15" customHeight="1">
      <c r="A1042" s="981"/>
      <c r="B1042" s="981"/>
      <c r="C1042" s="1016"/>
      <c r="D1042" s="952"/>
      <c r="E1042" s="981"/>
      <c r="F1042" s="952"/>
      <c r="G1042" s="981"/>
      <c r="H1042" s="981"/>
      <c r="I1042" s="981"/>
      <c r="J1042" s="981"/>
      <c r="K1042" s="981"/>
      <c r="O1042" s="981"/>
      <c r="P1042" s="981"/>
      <c r="Q1042" s="92"/>
    </row>
    <row r="1043" spans="1:17" ht="15" customHeight="1">
      <c r="A1043" s="981"/>
      <c r="B1043" s="981"/>
      <c r="C1043" s="1016"/>
      <c r="D1043" s="952"/>
      <c r="E1043" s="981"/>
      <c r="F1043" s="952"/>
      <c r="G1043" s="981"/>
      <c r="H1043" s="981"/>
      <c r="I1043" s="981"/>
      <c r="J1043" s="981"/>
      <c r="K1043" s="981"/>
      <c r="O1043" s="981"/>
      <c r="P1043" s="981"/>
      <c r="Q1043" s="92"/>
    </row>
    <row r="1044" spans="1:17" ht="15" customHeight="1">
      <c r="A1044" s="981"/>
      <c r="B1044" s="981"/>
      <c r="C1044" s="1016"/>
      <c r="D1044" s="952"/>
      <c r="E1044" s="981"/>
      <c r="F1044" s="952"/>
      <c r="G1044" s="981"/>
      <c r="H1044" s="981"/>
      <c r="I1044" s="981"/>
      <c r="J1044" s="981"/>
      <c r="K1044" s="981"/>
      <c r="O1044" s="981"/>
      <c r="P1044" s="981"/>
      <c r="Q1044" s="92"/>
    </row>
    <row r="1045" spans="1:17" ht="15" customHeight="1">
      <c r="A1045" s="981"/>
      <c r="B1045" s="981"/>
      <c r="C1045" s="1016"/>
      <c r="D1045" s="952"/>
      <c r="E1045" s="981"/>
      <c r="F1045" s="952"/>
      <c r="G1045" s="981"/>
      <c r="H1045" s="981"/>
      <c r="I1045" s="981"/>
      <c r="J1045" s="981"/>
      <c r="K1045" s="981"/>
      <c r="O1045" s="981"/>
      <c r="P1045" s="981"/>
      <c r="Q1045" s="92"/>
    </row>
    <row r="1046" spans="1:17" ht="15" customHeight="1">
      <c r="A1046" s="981"/>
      <c r="B1046" s="981"/>
      <c r="C1046" s="1016"/>
      <c r="D1046" s="952"/>
      <c r="E1046" s="981"/>
      <c r="F1046" s="952"/>
      <c r="G1046" s="981"/>
      <c r="H1046" s="981"/>
      <c r="I1046" s="981"/>
      <c r="J1046" s="981"/>
      <c r="K1046" s="981"/>
      <c r="O1046" s="981"/>
      <c r="P1046" s="981"/>
      <c r="Q1046" s="92"/>
    </row>
    <row r="1047" spans="1:17" ht="15" customHeight="1">
      <c r="A1047" s="981"/>
      <c r="B1047" s="981"/>
      <c r="C1047" s="1016"/>
      <c r="D1047" s="952"/>
      <c r="E1047" s="981"/>
      <c r="F1047" s="952"/>
      <c r="G1047" s="981"/>
      <c r="H1047" s="981"/>
      <c r="I1047" s="981"/>
      <c r="J1047" s="981"/>
      <c r="K1047" s="981"/>
      <c r="O1047" s="981"/>
      <c r="P1047" s="981"/>
      <c r="Q1047" s="92"/>
    </row>
    <row r="1048" spans="1:17" ht="15" customHeight="1">
      <c r="A1048" s="981"/>
      <c r="B1048" s="981"/>
      <c r="C1048" s="1016"/>
      <c r="D1048" s="952"/>
      <c r="E1048" s="981"/>
      <c r="F1048" s="952"/>
      <c r="G1048" s="981"/>
      <c r="H1048" s="981"/>
      <c r="I1048" s="981"/>
      <c r="J1048" s="981"/>
      <c r="K1048" s="981"/>
      <c r="O1048" s="981"/>
      <c r="P1048" s="981"/>
      <c r="Q1048" s="92"/>
    </row>
    <row r="1049" spans="1:17" ht="15" customHeight="1">
      <c r="A1049" s="981"/>
      <c r="B1049" s="981"/>
      <c r="C1049" s="1016"/>
      <c r="D1049" s="952"/>
      <c r="E1049" s="981"/>
      <c r="F1049" s="952"/>
      <c r="G1049" s="981"/>
      <c r="H1049" s="981"/>
      <c r="I1049" s="981"/>
      <c r="J1049" s="981"/>
      <c r="K1049" s="981"/>
      <c r="O1049" s="981"/>
      <c r="P1049" s="981"/>
      <c r="Q1049" s="92"/>
    </row>
    <row r="1050" spans="1:17" ht="15" customHeight="1">
      <c r="A1050" s="981"/>
      <c r="B1050" s="981"/>
      <c r="C1050" s="1016"/>
      <c r="D1050" s="952"/>
      <c r="E1050" s="981"/>
      <c r="F1050" s="952"/>
      <c r="G1050" s="981"/>
      <c r="H1050" s="981"/>
      <c r="I1050" s="981"/>
      <c r="J1050" s="981"/>
      <c r="K1050" s="981"/>
      <c r="O1050" s="981"/>
      <c r="P1050" s="981"/>
      <c r="Q1050" s="92"/>
    </row>
    <row r="1051" spans="1:17" ht="15" customHeight="1">
      <c r="A1051" s="981"/>
      <c r="B1051" s="981"/>
      <c r="C1051" s="1016"/>
      <c r="D1051" s="952"/>
      <c r="E1051" s="981"/>
      <c r="F1051" s="952"/>
      <c r="G1051" s="981"/>
      <c r="H1051" s="981"/>
      <c r="I1051" s="981"/>
      <c r="J1051" s="981"/>
      <c r="K1051" s="981"/>
      <c r="O1051" s="981"/>
      <c r="P1051" s="981"/>
      <c r="Q1051" s="92"/>
    </row>
    <row r="1052" spans="1:17" ht="15" customHeight="1">
      <c r="A1052" s="981"/>
      <c r="B1052" s="981"/>
      <c r="C1052" s="1016"/>
      <c r="D1052" s="952"/>
      <c r="E1052" s="981"/>
      <c r="F1052" s="952"/>
      <c r="G1052" s="981"/>
      <c r="H1052" s="981"/>
      <c r="I1052" s="981"/>
      <c r="J1052" s="981"/>
      <c r="K1052" s="981"/>
      <c r="O1052" s="981"/>
      <c r="P1052" s="981"/>
      <c r="Q1052" s="92"/>
    </row>
    <row r="1053" spans="1:17" ht="15" customHeight="1">
      <c r="A1053" s="981"/>
      <c r="B1053" s="981"/>
      <c r="C1053" s="1016"/>
      <c r="D1053" s="952"/>
      <c r="E1053" s="981"/>
      <c r="F1053" s="952"/>
      <c r="G1053" s="981"/>
      <c r="H1053" s="981"/>
      <c r="I1053" s="981"/>
      <c r="J1053" s="981"/>
      <c r="K1053" s="981"/>
      <c r="O1053" s="981"/>
      <c r="P1053" s="981"/>
      <c r="Q1053" s="92"/>
    </row>
    <row r="1054" spans="1:17" ht="15" customHeight="1">
      <c r="A1054" s="981"/>
      <c r="B1054" s="981"/>
      <c r="C1054" s="1016"/>
      <c r="D1054" s="952"/>
      <c r="E1054" s="981"/>
      <c r="F1054" s="952"/>
      <c r="G1054" s="981"/>
      <c r="H1054" s="981"/>
      <c r="I1054" s="981"/>
      <c r="J1054" s="981"/>
      <c r="K1054" s="981"/>
      <c r="O1054" s="981"/>
      <c r="P1054" s="981"/>
      <c r="Q1054" s="92"/>
    </row>
    <row r="1055" spans="1:17" ht="15" customHeight="1">
      <c r="A1055" s="981"/>
      <c r="B1055" s="981"/>
      <c r="C1055" s="1016"/>
      <c r="D1055" s="952"/>
      <c r="E1055" s="981"/>
      <c r="F1055" s="952"/>
      <c r="G1055" s="981"/>
      <c r="H1055" s="981"/>
      <c r="I1055" s="981"/>
      <c r="J1055" s="981"/>
      <c r="K1055" s="981"/>
      <c r="O1055" s="981"/>
      <c r="P1055" s="981"/>
      <c r="Q1055" s="92"/>
    </row>
    <row r="1056" spans="1:17" ht="15" customHeight="1">
      <c r="A1056" s="981"/>
      <c r="B1056" s="981"/>
      <c r="C1056" s="1016"/>
      <c r="D1056" s="952"/>
      <c r="E1056" s="981"/>
      <c r="F1056" s="952"/>
      <c r="G1056" s="981"/>
      <c r="H1056" s="981"/>
      <c r="I1056" s="981"/>
      <c r="J1056" s="981"/>
      <c r="K1056" s="981"/>
      <c r="O1056" s="981"/>
      <c r="P1056" s="981"/>
      <c r="Q1056" s="92"/>
    </row>
    <row r="1057" spans="1:17" ht="15" customHeight="1">
      <c r="A1057" s="981"/>
      <c r="B1057" s="981"/>
      <c r="C1057" s="1016"/>
      <c r="D1057" s="952"/>
      <c r="E1057" s="981"/>
      <c r="F1057" s="952"/>
      <c r="G1057" s="981"/>
      <c r="H1057" s="981"/>
      <c r="I1057" s="981"/>
      <c r="J1057" s="981"/>
      <c r="K1057" s="981"/>
      <c r="O1057" s="981"/>
      <c r="P1057" s="981"/>
      <c r="Q1057" s="92"/>
    </row>
    <row r="1058" spans="1:17" ht="15" customHeight="1">
      <c r="A1058" s="981"/>
      <c r="B1058" s="981"/>
      <c r="C1058" s="1016"/>
      <c r="D1058" s="952"/>
      <c r="E1058" s="981"/>
      <c r="F1058" s="952"/>
      <c r="G1058" s="981"/>
      <c r="H1058" s="981"/>
      <c r="I1058" s="981"/>
      <c r="J1058" s="981"/>
      <c r="K1058" s="981"/>
      <c r="O1058" s="981"/>
      <c r="P1058" s="981"/>
      <c r="Q1058" s="92"/>
    </row>
    <row r="1059" spans="1:17" ht="15" customHeight="1">
      <c r="A1059" s="981"/>
      <c r="B1059" s="981"/>
      <c r="C1059" s="1016"/>
      <c r="D1059" s="952"/>
      <c r="E1059" s="981"/>
      <c r="F1059" s="952"/>
      <c r="G1059" s="981"/>
      <c r="H1059" s="981"/>
      <c r="I1059" s="981"/>
      <c r="J1059" s="981"/>
      <c r="K1059" s="981"/>
      <c r="O1059" s="981"/>
      <c r="P1059" s="981"/>
      <c r="Q1059" s="92"/>
    </row>
    <row r="1060" spans="1:17" ht="15" customHeight="1">
      <c r="A1060" s="981"/>
      <c r="B1060" s="981"/>
      <c r="C1060" s="1016"/>
      <c r="D1060" s="952"/>
      <c r="E1060" s="981"/>
      <c r="F1060" s="952"/>
      <c r="G1060" s="981"/>
      <c r="H1060" s="981"/>
      <c r="I1060" s="981"/>
      <c r="J1060" s="981"/>
      <c r="K1060" s="981"/>
      <c r="O1060" s="981"/>
      <c r="P1060" s="981"/>
      <c r="Q1060" s="92"/>
    </row>
    <row r="1061" spans="1:17" ht="15" customHeight="1">
      <c r="A1061" s="981"/>
      <c r="B1061" s="981"/>
      <c r="C1061" s="1016"/>
      <c r="D1061" s="952"/>
      <c r="E1061" s="981"/>
      <c r="F1061" s="952"/>
      <c r="G1061" s="981"/>
      <c r="H1061" s="981"/>
      <c r="I1061" s="981"/>
      <c r="J1061" s="981"/>
      <c r="K1061" s="981"/>
      <c r="O1061" s="981"/>
      <c r="P1061" s="981"/>
      <c r="Q1061" s="92"/>
    </row>
    <row r="1062" spans="1:17" ht="15" customHeight="1">
      <c r="A1062" s="981"/>
      <c r="B1062" s="981"/>
      <c r="C1062" s="1016"/>
      <c r="D1062" s="952"/>
      <c r="E1062" s="981"/>
      <c r="F1062" s="952"/>
      <c r="G1062" s="981"/>
      <c r="H1062" s="981"/>
      <c r="I1062" s="981"/>
      <c r="J1062" s="981"/>
      <c r="K1062" s="981"/>
      <c r="O1062" s="981"/>
      <c r="P1062" s="981"/>
      <c r="Q1062" s="92"/>
    </row>
    <row r="1063" spans="1:17" ht="15" customHeight="1">
      <c r="A1063" s="981"/>
      <c r="B1063" s="981"/>
      <c r="C1063" s="1016"/>
      <c r="D1063" s="952"/>
      <c r="E1063" s="981"/>
      <c r="F1063" s="952"/>
      <c r="G1063" s="981"/>
      <c r="H1063" s="981"/>
      <c r="I1063" s="981"/>
      <c r="J1063" s="981"/>
      <c r="K1063" s="981"/>
      <c r="O1063" s="981"/>
      <c r="P1063" s="981"/>
      <c r="Q1063" s="92"/>
    </row>
    <row r="1064" spans="1:17" ht="15" customHeight="1">
      <c r="A1064" s="981"/>
      <c r="B1064" s="981"/>
      <c r="C1064" s="1016"/>
      <c r="D1064" s="952"/>
      <c r="E1064" s="981"/>
      <c r="F1064" s="952"/>
      <c r="G1064" s="981"/>
      <c r="H1064" s="981"/>
      <c r="I1064" s="981"/>
      <c r="J1064" s="981"/>
      <c r="K1064" s="981"/>
      <c r="O1064" s="981"/>
      <c r="P1064" s="981"/>
      <c r="Q1064" s="92"/>
    </row>
    <row r="1065" spans="1:17" ht="15" customHeight="1">
      <c r="A1065" s="981"/>
      <c r="B1065" s="981"/>
      <c r="C1065" s="1016"/>
      <c r="D1065" s="952"/>
      <c r="E1065" s="981"/>
      <c r="F1065" s="952"/>
      <c r="G1065" s="981"/>
      <c r="H1065" s="981"/>
      <c r="I1065" s="981"/>
      <c r="J1065" s="981"/>
      <c r="K1065" s="981"/>
      <c r="O1065" s="981"/>
      <c r="P1065" s="981"/>
      <c r="Q1065" s="92"/>
    </row>
    <row r="1066" spans="1:17" ht="15" customHeight="1">
      <c r="A1066" s="981"/>
      <c r="B1066" s="981"/>
      <c r="C1066" s="1016"/>
      <c r="D1066" s="952"/>
      <c r="E1066" s="981"/>
      <c r="F1066" s="952"/>
      <c r="G1066" s="981"/>
      <c r="H1066" s="981"/>
      <c r="I1066" s="981"/>
      <c r="J1066" s="981"/>
      <c r="K1066" s="981"/>
      <c r="O1066" s="981"/>
      <c r="P1066" s="981"/>
      <c r="Q1066" s="92"/>
    </row>
    <row r="1067" spans="1:17" ht="15" customHeight="1">
      <c r="A1067" s="981"/>
      <c r="B1067" s="981"/>
      <c r="C1067" s="1016"/>
      <c r="D1067" s="952"/>
      <c r="E1067" s="981"/>
      <c r="F1067" s="952"/>
      <c r="G1067" s="981"/>
      <c r="H1067" s="981"/>
      <c r="I1067" s="981"/>
      <c r="J1067" s="981"/>
      <c r="K1067" s="981"/>
      <c r="O1067" s="981"/>
      <c r="P1067" s="981"/>
      <c r="Q1067" s="92"/>
    </row>
    <row r="1068" spans="1:17" ht="15" customHeight="1">
      <c r="A1068" s="981"/>
      <c r="B1068" s="981"/>
      <c r="C1068" s="1016"/>
      <c r="D1068" s="952"/>
      <c r="E1068" s="981"/>
      <c r="F1068" s="952"/>
      <c r="G1068" s="981"/>
      <c r="H1068" s="981"/>
      <c r="I1068" s="981"/>
      <c r="J1068" s="981"/>
      <c r="K1068" s="981"/>
      <c r="O1068" s="981"/>
      <c r="P1068" s="981"/>
      <c r="Q1068" s="92"/>
    </row>
    <row r="1069" spans="1:17" ht="15" customHeight="1">
      <c r="A1069" s="981"/>
      <c r="B1069" s="981"/>
      <c r="C1069" s="1016"/>
      <c r="D1069" s="952"/>
      <c r="E1069" s="981"/>
      <c r="F1069" s="952"/>
      <c r="G1069" s="981"/>
      <c r="H1069" s="981"/>
      <c r="I1069" s="981"/>
      <c r="J1069" s="981"/>
      <c r="K1069" s="981"/>
      <c r="O1069" s="981"/>
      <c r="P1069" s="981"/>
      <c r="Q1069" s="92"/>
    </row>
    <row r="1070" spans="1:17" ht="15" customHeight="1">
      <c r="A1070" s="981"/>
      <c r="B1070" s="981"/>
      <c r="C1070" s="1016"/>
      <c r="D1070" s="952"/>
      <c r="E1070" s="981"/>
      <c r="F1070" s="952"/>
      <c r="G1070" s="981"/>
      <c r="H1070" s="981"/>
      <c r="I1070" s="981"/>
      <c r="J1070" s="981"/>
      <c r="K1070" s="981"/>
      <c r="O1070" s="981"/>
      <c r="P1070" s="981"/>
      <c r="Q1070" s="92"/>
    </row>
    <row r="1071" spans="1:17" ht="15" customHeight="1">
      <c r="A1071" s="981"/>
      <c r="B1071" s="981"/>
      <c r="C1071" s="1016"/>
      <c r="D1071" s="952"/>
      <c r="E1071" s="981"/>
      <c r="F1071" s="952"/>
      <c r="G1071" s="981"/>
      <c r="H1071" s="981"/>
      <c r="I1071" s="981"/>
      <c r="J1071" s="981"/>
      <c r="K1071" s="981"/>
      <c r="O1071" s="981"/>
      <c r="P1071" s="981"/>
      <c r="Q1071" s="92"/>
    </row>
    <row r="1072" spans="1:17" ht="15" customHeight="1">
      <c r="A1072" s="981"/>
      <c r="B1072" s="981"/>
      <c r="C1072" s="1016"/>
      <c r="D1072" s="952"/>
      <c r="E1072" s="981"/>
      <c r="F1072" s="952"/>
      <c r="G1072" s="981"/>
      <c r="H1072" s="981"/>
      <c r="I1072" s="981"/>
      <c r="J1072" s="981"/>
      <c r="K1072" s="981"/>
      <c r="O1072" s="981"/>
      <c r="P1072" s="981"/>
      <c r="Q1072" s="92"/>
    </row>
    <row r="1073" spans="1:17" ht="15" customHeight="1">
      <c r="A1073" s="981"/>
      <c r="B1073" s="981"/>
      <c r="C1073" s="1016"/>
      <c r="D1073" s="952"/>
      <c r="E1073" s="981"/>
      <c r="F1073" s="952"/>
      <c r="G1073" s="981"/>
      <c r="H1073" s="981"/>
      <c r="I1073" s="981"/>
      <c r="J1073" s="981"/>
      <c r="K1073" s="981"/>
      <c r="O1073" s="981"/>
      <c r="P1073" s="981"/>
      <c r="Q1073" s="92"/>
    </row>
    <row r="1074" spans="1:17" ht="15" customHeight="1">
      <c r="A1074" s="981"/>
      <c r="B1074" s="981"/>
      <c r="C1074" s="1016"/>
      <c r="D1074" s="952"/>
      <c r="E1074" s="981"/>
      <c r="F1074" s="952"/>
      <c r="G1074" s="981"/>
      <c r="H1074" s="981"/>
      <c r="I1074" s="981"/>
      <c r="J1074" s="981"/>
      <c r="K1074" s="981"/>
      <c r="O1074" s="981"/>
      <c r="P1074" s="981"/>
      <c r="Q1074" s="92"/>
    </row>
    <row r="1075" spans="1:17" ht="15" customHeight="1">
      <c r="A1075" s="981"/>
      <c r="B1075" s="981"/>
      <c r="C1075" s="1016"/>
      <c r="D1075" s="952"/>
      <c r="E1075" s="981"/>
      <c r="F1075" s="952"/>
      <c r="G1075" s="981"/>
      <c r="H1075" s="981"/>
      <c r="I1075" s="981"/>
      <c r="J1075" s="981"/>
      <c r="K1075" s="981"/>
      <c r="O1075" s="981"/>
      <c r="P1075" s="981"/>
      <c r="Q1075" s="92"/>
    </row>
    <row r="1076" spans="1:17" ht="15" customHeight="1">
      <c r="A1076" s="981"/>
      <c r="B1076" s="981"/>
      <c r="C1076" s="1016"/>
      <c r="D1076" s="952"/>
      <c r="E1076" s="981"/>
      <c r="F1076" s="952"/>
      <c r="G1076" s="981"/>
      <c r="H1076" s="981"/>
      <c r="I1076" s="981"/>
      <c r="J1076" s="981"/>
      <c r="K1076" s="981"/>
      <c r="O1076" s="981"/>
      <c r="P1076" s="981"/>
      <c r="Q1076" s="92"/>
    </row>
    <row r="1077" spans="1:17" ht="15" customHeight="1">
      <c r="A1077" s="981"/>
      <c r="B1077" s="981"/>
      <c r="C1077" s="1016"/>
      <c r="D1077" s="952"/>
      <c r="E1077" s="981"/>
      <c r="F1077" s="952"/>
      <c r="G1077" s="981"/>
      <c r="H1077" s="981"/>
      <c r="I1077" s="981"/>
      <c r="J1077" s="981"/>
      <c r="K1077" s="981"/>
      <c r="O1077" s="981"/>
      <c r="P1077" s="981"/>
      <c r="Q1077" s="92"/>
    </row>
    <row r="1078" spans="1:17" ht="15" customHeight="1">
      <c r="A1078" s="981"/>
      <c r="B1078" s="981"/>
      <c r="C1078" s="1016"/>
      <c r="D1078" s="952"/>
      <c r="E1078" s="981"/>
      <c r="F1078" s="952"/>
      <c r="G1078" s="981"/>
      <c r="H1078" s="981"/>
      <c r="I1078" s="981"/>
      <c r="J1078" s="981"/>
      <c r="K1078" s="981"/>
      <c r="O1078" s="981"/>
      <c r="P1078" s="981"/>
      <c r="Q1078" s="92"/>
    </row>
    <row r="1079" spans="1:17" ht="15" customHeight="1">
      <c r="A1079" s="981"/>
      <c r="B1079" s="981"/>
      <c r="C1079" s="1016"/>
      <c r="D1079" s="952"/>
      <c r="E1079" s="981"/>
      <c r="F1079" s="952"/>
      <c r="G1079" s="981"/>
      <c r="H1079" s="981"/>
      <c r="I1079" s="981"/>
      <c r="J1079" s="981"/>
      <c r="K1079" s="981"/>
      <c r="O1079" s="981"/>
      <c r="P1079" s="981"/>
      <c r="Q1079" s="92"/>
    </row>
    <row r="1080" spans="1:17" ht="15" customHeight="1">
      <c r="A1080" s="981"/>
      <c r="B1080" s="981"/>
      <c r="C1080" s="1016"/>
      <c r="D1080" s="952"/>
      <c r="E1080" s="981"/>
      <c r="F1080" s="952"/>
      <c r="G1080" s="981"/>
      <c r="H1080" s="981"/>
      <c r="I1080" s="981"/>
      <c r="J1080" s="981"/>
      <c r="K1080" s="981"/>
      <c r="O1080" s="981"/>
      <c r="P1080" s="981"/>
      <c r="Q1080" s="92"/>
    </row>
    <row r="1081" spans="1:17" ht="15" customHeight="1">
      <c r="A1081" s="981"/>
      <c r="B1081" s="981"/>
      <c r="C1081" s="1016"/>
      <c r="D1081" s="952"/>
      <c r="E1081" s="981"/>
      <c r="F1081" s="952"/>
      <c r="G1081" s="981"/>
      <c r="H1081" s="981"/>
      <c r="I1081" s="981"/>
      <c r="J1081" s="981"/>
      <c r="K1081" s="981"/>
      <c r="O1081" s="981"/>
      <c r="P1081" s="981"/>
      <c r="Q1081" s="92"/>
    </row>
    <row r="1082" spans="1:17" ht="15" customHeight="1">
      <c r="A1082" s="981"/>
      <c r="B1082" s="981"/>
      <c r="C1082" s="1016"/>
      <c r="D1082" s="952"/>
      <c r="E1082" s="981"/>
      <c r="F1082" s="952"/>
      <c r="G1082" s="981"/>
      <c r="H1082" s="981"/>
      <c r="I1082" s="981"/>
      <c r="J1082" s="981"/>
      <c r="K1082" s="981"/>
      <c r="O1082" s="981"/>
      <c r="P1082" s="981"/>
      <c r="Q1082" s="92"/>
    </row>
    <row r="1083" spans="1:17" ht="15" customHeight="1">
      <c r="A1083" s="981"/>
      <c r="B1083" s="981"/>
      <c r="C1083" s="1016"/>
      <c r="D1083" s="952"/>
      <c r="E1083" s="981"/>
      <c r="F1083" s="952"/>
      <c r="G1083" s="981"/>
      <c r="H1083" s="981"/>
      <c r="I1083" s="981"/>
      <c r="J1083" s="981"/>
      <c r="K1083" s="981"/>
      <c r="O1083" s="981"/>
      <c r="P1083" s="981"/>
      <c r="Q1083" s="92"/>
    </row>
    <row r="1084" spans="1:17" ht="15" customHeight="1">
      <c r="A1084" s="981"/>
      <c r="B1084" s="981"/>
      <c r="C1084" s="1016"/>
      <c r="D1084" s="952"/>
      <c r="E1084" s="981"/>
      <c r="F1084" s="952"/>
      <c r="G1084" s="981"/>
      <c r="H1084" s="981"/>
      <c r="I1084" s="981"/>
      <c r="J1084" s="981"/>
      <c r="K1084" s="981"/>
      <c r="O1084" s="981"/>
      <c r="P1084" s="981"/>
      <c r="Q1084" s="92"/>
    </row>
    <row r="1085" spans="1:17" ht="15" customHeight="1">
      <c r="A1085" s="981"/>
      <c r="B1085" s="981"/>
      <c r="C1085" s="1016"/>
      <c r="D1085" s="952"/>
      <c r="E1085" s="981"/>
      <c r="F1085" s="952"/>
      <c r="G1085" s="981"/>
      <c r="H1085" s="981"/>
      <c r="I1085" s="981"/>
      <c r="J1085" s="981"/>
      <c r="K1085" s="981"/>
      <c r="O1085" s="981"/>
      <c r="P1085" s="981"/>
      <c r="Q1085" s="92"/>
    </row>
    <row r="1086" spans="1:17" ht="15" customHeight="1">
      <c r="A1086" s="981"/>
      <c r="B1086" s="981"/>
      <c r="C1086" s="1016"/>
      <c r="D1086" s="952"/>
      <c r="E1086" s="981"/>
      <c r="F1086" s="952"/>
      <c r="G1086" s="981"/>
      <c r="H1086" s="981"/>
      <c r="I1086" s="981"/>
      <c r="J1086" s="981"/>
      <c r="K1086" s="981"/>
      <c r="O1086" s="981"/>
      <c r="P1086" s="981"/>
      <c r="Q1086" s="92"/>
    </row>
    <row r="1087" spans="1:17" ht="15" customHeight="1">
      <c r="A1087" s="981"/>
      <c r="B1087" s="981"/>
      <c r="C1087" s="1016"/>
      <c r="D1087" s="952"/>
      <c r="E1087" s="981"/>
      <c r="F1087" s="952"/>
      <c r="G1087" s="981"/>
      <c r="H1087" s="981"/>
      <c r="I1087" s="981"/>
      <c r="J1087" s="981"/>
      <c r="K1087" s="981"/>
      <c r="O1087" s="981"/>
      <c r="P1087" s="981"/>
      <c r="Q1087" s="92"/>
    </row>
    <row r="1088" spans="1:17" ht="15" customHeight="1">
      <c r="A1088" s="981"/>
      <c r="B1088" s="981"/>
      <c r="C1088" s="1016"/>
      <c r="D1088" s="952"/>
      <c r="E1088" s="981"/>
      <c r="F1088" s="952"/>
      <c r="G1088" s="981"/>
      <c r="H1088" s="981"/>
      <c r="I1088" s="981"/>
      <c r="J1088" s="981"/>
      <c r="K1088" s="981"/>
      <c r="O1088" s="981"/>
      <c r="P1088" s="981"/>
      <c r="Q1088" s="92"/>
    </row>
    <row r="1089" spans="1:17" ht="15" customHeight="1">
      <c r="A1089" s="981"/>
      <c r="B1089" s="981"/>
      <c r="C1089" s="1016"/>
      <c r="D1089" s="952"/>
      <c r="E1089" s="981"/>
      <c r="F1089" s="952"/>
      <c r="G1089" s="981"/>
      <c r="H1089" s="981"/>
      <c r="I1089" s="981"/>
      <c r="J1089" s="981"/>
      <c r="K1089" s="981"/>
      <c r="O1089" s="981"/>
      <c r="P1089" s="981"/>
      <c r="Q1089" s="92"/>
    </row>
    <row r="1090" spans="1:17" ht="15" customHeight="1">
      <c r="A1090" s="981"/>
      <c r="B1090" s="981"/>
      <c r="C1090" s="1016"/>
      <c r="D1090" s="952"/>
      <c r="E1090" s="981"/>
      <c r="F1090" s="952"/>
      <c r="G1090" s="981"/>
      <c r="H1090" s="981"/>
      <c r="I1090" s="981"/>
      <c r="J1090" s="981"/>
      <c r="K1090" s="981"/>
      <c r="O1090" s="981"/>
      <c r="P1090" s="981"/>
      <c r="Q1090" s="92"/>
    </row>
    <row r="1091" spans="1:17" ht="15" customHeight="1">
      <c r="A1091" s="981"/>
      <c r="B1091" s="981"/>
      <c r="C1091" s="1016"/>
      <c r="D1091" s="952"/>
      <c r="E1091" s="981"/>
      <c r="F1091" s="952"/>
      <c r="G1091" s="981"/>
      <c r="H1091" s="981"/>
      <c r="I1091" s="981"/>
      <c r="J1091" s="981"/>
      <c r="K1091" s="981"/>
      <c r="O1091" s="981"/>
      <c r="P1091" s="981"/>
      <c r="Q1091" s="92"/>
    </row>
    <row r="1092" spans="1:17" ht="15" customHeight="1">
      <c r="A1092" s="981"/>
      <c r="B1092" s="981"/>
      <c r="C1092" s="1016"/>
      <c r="D1092" s="952"/>
      <c r="E1092" s="981"/>
      <c r="F1092" s="952"/>
      <c r="G1092" s="981"/>
      <c r="H1092" s="981"/>
      <c r="I1092" s="981"/>
      <c r="J1092" s="981"/>
      <c r="K1092" s="981"/>
      <c r="O1092" s="981"/>
      <c r="P1092" s="981"/>
      <c r="Q1092" s="92"/>
    </row>
    <row r="1093" spans="1:17" ht="15" customHeight="1">
      <c r="A1093" s="981"/>
      <c r="B1093" s="981"/>
      <c r="C1093" s="1016"/>
      <c r="D1093" s="952"/>
      <c r="E1093" s="981"/>
      <c r="F1093" s="952"/>
      <c r="G1093" s="981"/>
      <c r="H1093" s="981"/>
      <c r="I1093" s="981"/>
      <c r="J1093" s="981"/>
      <c r="K1093" s="981"/>
      <c r="O1093" s="981"/>
      <c r="P1093" s="981"/>
      <c r="Q1093" s="92"/>
    </row>
    <row r="1094" spans="1:17" ht="15" customHeight="1">
      <c r="A1094" s="981"/>
      <c r="B1094" s="981"/>
      <c r="C1094" s="1016"/>
      <c r="D1094" s="952"/>
      <c r="E1094" s="981"/>
      <c r="F1094" s="952"/>
      <c r="G1094" s="981"/>
      <c r="H1094" s="981"/>
      <c r="I1094" s="981"/>
      <c r="J1094" s="981"/>
      <c r="K1094" s="981"/>
      <c r="O1094" s="981"/>
      <c r="P1094" s="981"/>
      <c r="Q1094" s="92"/>
    </row>
    <row r="1095" spans="1:17" ht="15" customHeight="1">
      <c r="A1095" s="981"/>
      <c r="B1095" s="981"/>
      <c r="C1095" s="1016"/>
      <c r="D1095" s="952"/>
      <c r="E1095" s="981"/>
      <c r="F1095" s="952"/>
      <c r="G1095" s="981"/>
      <c r="H1095" s="981"/>
      <c r="I1095" s="981"/>
      <c r="J1095" s="981"/>
      <c r="K1095" s="981"/>
      <c r="O1095" s="981"/>
      <c r="P1095" s="981"/>
      <c r="Q1095" s="92"/>
    </row>
    <row r="1096" spans="1:17" ht="15" customHeight="1">
      <c r="A1096" s="981"/>
      <c r="B1096" s="981"/>
      <c r="C1096" s="1016"/>
      <c r="D1096" s="952"/>
      <c r="E1096" s="981"/>
      <c r="F1096" s="952"/>
      <c r="G1096" s="981"/>
      <c r="H1096" s="981"/>
      <c r="I1096" s="981"/>
      <c r="J1096" s="981"/>
      <c r="K1096" s="981"/>
      <c r="O1096" s="981"/>
      <c r="P1096" s="981"/>
      <c r="Q1096" s="92"/>
    </row>
    <row r="1097" spans="1:17" ht="15" customHeight="1">
      <c r="A1097" s="981"/>
      <c r="B1097" s="981"/>
      <c r="C1097" s="1016"/>
      <c r="D1097" s="952"/>
      <c r="E1097" s="981"/>
      <c r="F1097" s="952"/>
      <c r="G1097" s="981"/>
      <c r="H1097" s="981"/>
      <c r="I1097" s="981"/>
      <c r="J1097" s="981"/>
      <c r="K1097" s="981"/>
      <c r="O1097" s="981"/>
      <c r="P1097" s="981"/>
      <c r="Q1097" s="92"/>
    </row>
    <row r="1098" spans="1:17" ht="15" customHeight="1">
      <c r="A1098" s="981"/>
      <c r="B1098" s="981"/>
      <c r="C1098" s="1016"/>
      <c r="D1098" s="952"/>
      <c r="E1098" s="981"/>
      <c r="F1098" s="952"/>
      <c r="G1098" s="981"/>
      <c r="H1098" s="981"/>
      <c r="I1098" s="981"/>
      <c r="J1098" s="981"/>
      <c r="K1098" s="981"/>
      <c r="O1098" s="981"/>
      <c r="P1098" s="981"/>
      <c r="Q1098" s="92"/>
    </row>
    <row r="1099" spans="1:17" ht="15" customHeight="1">
      <c r="A1099" s="981"/>
      <c r="B1099" s="981"/>
      <c r="C1099" s="1016"/>
      <c r="D1099" s="952"/>
      <c r="E1099" s="981"/>
      <c r="F1099" s="952"/>
      <c r="G1099" s="981"/>
      <c r="H1099" s="981"/>
      <c r="I1099" s="981"/>
      <c r="J1099" s="981"/>
      <c r="K1099" s="981"/>
      <c r="O1099" s="981"/>
      <c r="P1099" s="981"/>
      <c r="Q1099" s="92"/>
    </row>
    <row r="1100" spans="1:17" ht="15" customHeight="1">
      <c r="A1100" s="981"/>
      <c r="B1100" s="981"/>
      <c r="C1100" s="1016"/>
      <c r="D1100" s="952"/>
      <c r="E1100" s="981"/>
      <c r="F1100" s="952"/>
      <c r="G1100" s="981"/>
      <c r="H1100" s="981"/>
      <c r="I1100" s="981"/>
      <c r="J1100" s="981"/>
      <c r="K1100" s="981"/>
      <c r="O1100" s="981"/>
      <c r="P1100" s="981"/>
      <c r="Q1100" s="92"/>
    </row>
    <row r="1101" spans="1:17" ht="15" customHeight="1">
      <c r="A1101" s="981"/>
      <c r="B1101" s="981"/>
      <c r="C1101" s="1016"/>
      <c r="D1101" s="952"/>
      <c r="E1101" s="981"/>
      <c r="F1101" s="952"/>
      <c r="G1101" s="981"/>
      <c r="H1101" s="981"/>
      <c r="I1101" s="981"/>
      <c r="J1101" s="981"/>
      <c r="K1101" s="981"/>
      <c r="O1101" s="981"/>
      <c r="P1101" s="981"/>
      <c r="Q1101" s="92"/>
    </row>
    <row r="1102" spans="1:17" ht="15" customHeight="1">
      <c r="A1102" s="981"/>
      <c r="B1102" s="981"/>
      <c r="C1102" s="1016"/>
      <c r="D1102" s="952"/>
      <c r="E1102" s="981"/>
      <c r="F1102" s="952"/>
      <c r="G1102" s="981"/>
      <c r="H1102" s="981"/>
      <c r="I1102" s="981"/>
      <c r="J1102" s="981"/>
      <c r="K1102" s="981"/>
      <c r="O1102" s="981"/>
      <c r="P1102" s="981"/>
      <c r="Q1102" s="92"/>
    </row>
    <row r="1103" spans="1:17" ht="15" customHeight="1">
      <c r="A1103" s="981"/>
      <c r="B1103" s="981"/>
      <c r="C1103" s="1016"/>
      <c r="D1103" s="952"/>
      <c r="E1103" s="981"/>
      <c r="F1103" s="952"/>
      <c r="G1103" s="981"/>
      <c r="H1103" s="981"/>
      <c r="I1103" s="981"/>
      <c r="J1103" s="981"/>
      <c r="K1103" s="981"/>
      <c r="O1103" s="981"/>
      <c r="P1103" s="981"/>
      <c r="Q1103" s="92"/>
    </row>
    <row r="1104" spans="1:17" ht="15" customHeight="1">
      <c r="A1104" s="981"/>
      <c r="B1104" s="981"/>
      <c r="C1104" s="1016"/>
      <c r="D1104" s="952"/>
      <c r="E1104" s="981"/>
      <c r="F1104" s="952"/>
      <c r="G1104" s="981"/>
      <c r="H1104" s="981"/>
      <c r="I1104" s="981"/>
      <c r="J1104" s="981"/>
      <c r="K1104" s="981"/>
      <c r="O1104" s="981"/>
      <c r="P1104" s="981"/>
      <c r="Q1104" s="92"/>
    </row>
    <row r="1105" spans="1:17" ht="15" customHeight="1">
      <c r="A1105" s="981"/>
      <c r="B1105" s="981"/>
      <c r="C1105" s="1016"/>
      <c r="D1105" s="952"/>
      <c r="E1105" s="981"/>
      <c r="F1105" s="952"/>
      <c r="G1105" s="981"/>
      <c r="H1105" s="981"/>
      <c r="I1105" s="981"/>
      <c r="J1105" s="981"/>
      <c r="K1105" s="981"/>
      <c r="O1105" s="981"/>
      <c r="P1105" s="981"/>
      <c r="Q1105" s="92"/>
    </row>
    <row r="1106" spans="1:17" ht="15" customHeight="1">
      <c r="A1106" s="981"/>
      <c r="B1106" s="981"/>
      <c r="C1106" s="1016"/>
      <c r="D1106" s="952"/>
      <c r="E1106" s="981"/>
      <c r="F1106" s="952"/>
      <c r="G1106" s="981"/>
      <c r="H1106" s="981"/>
      <c r="I1106" s="981"/>
      <c r="J1106" s="981"/>
      <c r="K1106" s="981"/>
      <c r="O1106" s="981"/>
      <c r="P1106" s="981"/>
      <c r="Q1106" s="92"/>
    </row>
    <row r="1107" spans="1:17" ht="15" customHeight="1">
      <c r="A1107" s="981"/>
      <c r="B1107" s="981"/>
      <c r="C1107" s="1016"/>
      <c r="D1107" s="952"/>
      <c r="E1107" s="981"/>
      <c r="F1107" s="952"/>
      <c r="G1107" s="981"/>
      <c r="H1107" s="981"/>
      <c r="I1107" s="981"/>
      <c r="J1107" s="981"/>
      <c r="K1107" s="981"/>
      <c r="O1107" s="981"/>
      <c r="P1107" s="981"/>
      <c r="Q1107" s="92"/>
    </row>
    <row r="1108" spans="1:17" ht="15" customHeight="1">
      <c r="A1108" s="981"/>
      <c r="B1108" s="981"/>
      <c r="C1108" s="1016"/>
      <c r="D1108" s="952"/>
      <c r="E1108" s="981"/>
      <c r="F1108" s="952"/>
      <c r="G1108" s="981"/>
      <c r="H1108" s="981"/>
      <c r="I1108" s="981"/>
      <c r="J1108" s="981"/>
      <c r="K1108" s="981"/>
      <c r="O1108" s="981"/>
      <c r="P1108" s="981"/>
      <c r="Q1108" s="92"/>
    </row>
    <row r="1109" spans="1:17" ht="15" customHeight="1">
      <c r="A1109" s="981"/>
      <c r="B1109" s="981"/>
      <c r="C1109" s="1016"/>
      <c r="D1109" s="952"/>
      <c r="E1109" s="981"/>
      <c r="F1109" s="952"/>
      <c r="G1109" s="981"/>
      <c r="H1109" s="981"/>
      <c r="I1109" s="981"/>
      <c r="J1109" s="981"/>
      <c r="K1109" s="981"/>
      <c r="O1109" s="981"/>
      <c r="P1109" s="981"/>
      <c r="Q1109" s="92"/>
    </row>
    <row r="1110" spans="1:17" ht="15" customHeight="1">
      <c r="A1110" s="981"/>
      <c r="B1110" s="981"/>
      <c r="C1110" s="1016"/>
      <c r="D1110" s="952"/>
      <c r="E1110" s="981"/>
      <c r="F1110" s="952"/>
      <c r="G1110" s="981"/>
      <c r="H1110" s="981"/>
      <c r="I1110" s="981"/>
      <c r="J1110" s="981"/>
      <c r="K1110" s="981"/>
      <c r="O1110" s="981"/>
      <c r="P1110" s="981"/>
      <c r="Q1110" s="92"/>
    </row>
    <row r="1111" spans="1:17" ht="15" customHeight="1">
      <c r="A1111" s="981"/>
      <c r="B1111" s="981"/>
      <c r="C1111" s="1016"/>
      <c r="D1111" s="952"/>
      <c r="E1111" s="981"/>
      <c r="F1111" s="952"/>
      <c r="G1111" s="981"/>
      <c r="H1111" s="981"/>
      <c r="I1111" s="981"/>
      <c r="J1111" s="981"/>
      <c r="K1111" s="981"/>
      <c r="O1111" s="981"/>
      <c r="P1111" s="981"/>
      <c r="Q1111" s="92"/>
    </row>
    <row r="1112" spans="1:17" ht="15" customHeight="1">
      <c r="A1112" s="981"/>
      <c r="B1112" s="981"/>
      <c r="C1112" s="1016"/>
      <c r="D1112" s="952"/>
      <c r="E1112" s="981"/>
      <c r="F1112" s="952"/>
      <c r="G1112" s="981"/>
      <c r="H1112" s="981"/>
      <c r="I1112" s="981"/>
      <c r="J1112" s="981"/>
      <c r="K1112" s="981"/>
      <c r="O1112" s="981"/>
      <c r="P1112" s="981"/>
      <c r="Q1112" s="92"/>
    </row>
    <row r="1113" spans="1:17" ht="15" customHeight="1">
      <c r="A1113" s="981"/>
      <c r="B1113" s="981"/>
      <c r="C1113" s="1016"/>
      <c r="D1113" s="952"/>
      <c r="E1113" s="981"/>
      <c r="F1113" s="952"/>
      <c r="G1113" s="981"/>
      <c r="H1113" s="981"/>
      <c r="I1113" s="981"/>
      <c r="J1113" s="981"/>
      <c r="K1113" s="981"/>
      <c r="O1113" s="981"/>
      <c r="P1113" s="981"/>
      <c r="Q1113" s="92"/>
    </row>
    <row r="1114" spans="1:17" ht="15" customHeight="1">
      <c r="A1114" s="981"/>
      <c r="B1114" s="981"/>
      <c r="C1114" s="1016"/>
      <c r="D1114" s="952"/>
      <c r="E1114" s="981"/>
      <c r="F1114" s="952"/>
      <c r="G1114" s="981"/>
      <c r="H1114" s="981"/>
      <c r="I1114" s="981"/>
      <c r="J1114" s="981"/>
      <c r="K1114" s="981"/>
      <c r="O1114" s="981"/>
      <c r="P1114" s="981"/>
      <c r="Q1114" s="92"/>
    </row>
    <row r="1115" spans="1:17" ht="15" customHeight="1">
      <c r="A1115" s="981"/>
      <c r="B1115" s="981"/>
      <c r="C1115" s="1016"/>
      <c r="D1115" s="952"/>
      <c r="E1115" s="981"/>
      <c r="F1115" s="952"/>
      <c r="G1115" s="981"/>
      <c r="H1115" s="981"/>
      <c r="I1115" s="981"/>
      <c r="J1115" s="981"/>
      <c r="K1115" s="981"/>
      <c r="O1115" s="981"/>
      <c r="P1115" s="981"/>
      <c r="Q1115" s="92"/>
    </row>
    <row r="1116" spans="1:17" ht="15" customHeight="1">
      <c r="A1116" s="981"/>
      <c r="B1116" s="981"/>
      <c r="C1116" s="1016"/>
      <c r="D1116" s="952"/>
      <c r="E1116" s="981"/>
      <c r="F1116" s="952"/>
      <c r="G1116" s="981"/>
      <c r="H1116" s="981"/>
      <c r="I1116" s="981"/>
      <c r="J1116" s="981"/>
      <c r="K1116" s="981"/>
      <c r="O1116" s="981"/>
      <c r="P1116" s="981"/>
      <c r="Q1116" s="92"/>
    </row>
    <row r="1117" spans="1:17" ht="15" customHeight="1">
      <c r="A1117" s="981"/>
      <c r="B1117" s="981"/>
      <c r="C1117" s="1016"/>
      <c r="D1117" s="952"/>
      <c r="E1117" s="981"/>
      <c r="F1117" s="952"/>
      <c r="G1117" s="981"/>
      <c r="H1117" s="981"/>
      <c r="I1117" s="981"/>
      <c r="J1117" s="981"/>
      <c r="K1117" s="981"/>
      <c r="O1117" s="981"/>
      <c r="P1117" s="981"/>
      <c r="Q1117" s="92"/>
    </row>
    <row r="1118" spans="1:17" ht="15" customHeight="1">
      <c r="A1118" s="981"/>
      <c r="B1118" s="981"/>
      <c r="C1118" s="1016"/>
      <c r="D1118" s="952"/>
      <c r="E1118" s="981"/>
      <c r="F1118" s="952"/>
      <c r="G1118" s="981"/>
      <c r="H1118" s="981"/>
      <c r="I1118" s="981"/>
      <c r="J1118" s="981"/>
      <c r="K1118" s="981"/>
      <c r="O1118" s="981"/>
      <c r="P1118" s="981"/>
      <c r="Q1118" s="92"/>
    </row>
    <row r="1119" spans="1:17" ht="15" customHeight="1">
      <c r="A1119" s="981"/>
      <c r="B1119" s="981"/>
      <c r="C1119" s="1016"/>
      <c r="D1119" s="952"/>
      <c r="E1119" s="981"/>
      <c r="F1119" s="952"/>
      <c r="G1119" s="981"/>
      <c r="H1119" s="981"/>
      <c r="I1119" s="981"/>
      <c r="J1119" s="981"/>
      <c r="K1119" s="981"/>
      <c r="O1119" s="981"/>
      <c r="P1119" s="981"/>
      <c r="Q1119" s="92"/>
    </row>
    <row r="1120" spans="1:17" ht="15" customHeight="1">
      <c r="A1120" s="981"/>
      <c r="B1120" s="981"/>
      <c r="C1120" s="1016"/>
      <c r="D1120" s="952"/>
      <c r="E1120" s="981"/>
      <c r="F1120" s="952"/>
      <c r="G1120" s="981"/>
      <c r="H1120" s="981"/>
      <c r="I1120" s="981"/>
      <c r="J1120" s="981"/>
      <c r="K1120" s="981"/>
      <c r="O1120" s="981"/>
      <c r="P1120" s="981"/>
      <c r="Q1120" s="92"/>
    </row>
    <row r="1121" spans="1:17" ht="15" customHeight="1">
      <c r="A1121" s="981"/>
      <c r="B1121" s="981"/>
      <c r="C1121" s="1016"/>
      <c r="D1121" s="952"/>
      <c r="E1121" s="981"/>
      <c r="F1121" s="952"/>
      <c r="G1121" s="981"/>
      <c r="H1121" s="981"/>
      <c r="I1121" s="981"/>
      <c r="J1121" s="981"/>
      <c r="K1121" s="981"/>
      <c r="O1121" s="981"/>
      <c r="P1121" s="981"/>
      <c r="Q1121" s="92"/>
    </row>
    <row r="1122" spans="1:17" ht="15" customHeight="1">
      <c r="A1122" s="981"/>
      <c r="B1122" s="981"/>
      <c r="C1122" s="1016"/>
      <c r="D1122" s="952"/>
      <c r="E1122" s="981"/>
      <c r="F1122" s="952"/>
      <c r="G1122" s="981"/>
      <c r="H1122" s="981"/>
      <c r="I1122" s="981"/>
      <c r="J1122" s="981"/>
      <c r="K1122" s="981"/>
      <c r="O1122" s="981"/>
      <c r="P1122" s="981"/>
      <c r="Q1122" s="92"/>
    </row>
    <row r="1123" spans="1:17" ht="15" customHeight="1">
      <c r="A1123" s="981"/>
      <c r="B1123" s="981"/>
      <c r="C1123" s="1016"/>
      <c r="D1123" s="952"/>
      <c r="E1123" s="981"/>
      <c r="F1123" s="952"/>
      <c r="G1123" s="981"/>
      <c r="H1123" s="981"/>
      <c r="I1123" s="981"/>
      <c r="J1123" s="981"/>
      <c r="K1123" s="981"/>
      <c r="O1123" s="981"/>
      <c r="P1123" s="981"/>
      <c r="Q1123" s="92"/>
    </row>
    <row r="1124" spans="1:17" ht="15" customHeight="1">
      <c r="A1124" s="981"/>
      <c r="B1124" s="981"/>
      <c r="C1124" s="1016"/>
      <c r="D1124" s="952"/>
      <c r="E1124" s="981"/>
      <c r="F1124" s="952"/>
      <c r="G1124" s="981"/>
      <c r="H1124" s="981"/>
      <c r="I1124" s="981"/>
      <c r="J1124" s="981"/>
      <c r="K1124" s="981"/>
      <c r="O1124" s="981"/>
      <c r="P1124" s="981"/>
      <c r="Q1124" s="92"/>
    </row>
    <row r="1125" spans="1:17" ht="15" customHeight="1">
      <c r="A1125" s="981"/>
      <c r="B1125" s="981"/>
      <c r="C1125" s="1016"/>
      <c r="D1125" s="952"/>
      <c r="E1125" s="981"/>
      <c r="F1125" s="952"/>
      <c r="G1125" s="981"/>
      <c r="H1125" s="981"/>
      <c r="I1125" s="981"/>
      <c r="J1125" s="981"/>
      <c r="K1125" s="981"/>
      <c r="O1125" s="981"/>
      <c r="P1125" s="981"/>
      <c r="Q1125" s="92"/>
    </row>
    <row r="1126" spans="1:17" ht="15" customHeight="1">
      <c r="A1126" s="981"/>
      <c r="B1126" s="981"/>
      <c r="C1126" s="1016"/>
      <c r="D1126" s="952"/>
      <c r="E1126" s="981"/>
      <c r="F1126" s="952"/>
      <c r="G1126" s="981"/>
      <c r="H1126" s="981"/>
      <c r="I1126" s="981"/>
      <c r="J1126" s="981"/>
      <c r="K1126" s="981"/>
      <c r="O1126" s="981"/>
      <c r="P1126" s="981"/>
      <c r="Q1126" s="92"/>
    </row>
    <row r="1127" spans="1:17" ht="15" customHeight="1">
      <c r="A1127" s="981"/>
      <c r="B1127" s="981"/>
      <c r="C1127" s="1016"/>
      <c r="D1127" s="952"/>
      <c r="E1127" s="981"/>
      <c r="F1127" s="952"/>
      <c r="G1127" s="981"/>
      <c r="H1127" s="981"/>
      <c r="I1127" s="981"/>
      <c r="J1127" s="981"/>
      <c r="K1127" s="981"/>
      <c r="O1127" s="981"/>
      <c r="P1127" s="981"/>
      <c r="Q1127" s="92"/>
    </row>
    <row r="1128" spans="1:17" ht="15" customHeight="1">
      <c r="A1128" s="981"/>
      <c r="B1128" s="981"/>
      <c r="C1128" s="1016"/>
      <c r="D1128" s="952"/>
      <c r="E1128" s="981"/>
      <c r="F1128" s="952"/>
      <c r="G1128" s="981"/>
      <c r="H1128" s="981"/>
      <c r="I1128" s="981"/>
      <c r="J1128" s="981"/>
      <c r="K1128" s="981"/>
      <c r="O1128" s="981"/>
      <c r="P1128" s="981"/>
      <c r="Q1128" s="92"/>
    </row>
    <row r="1129" spans="1:17" ht="15" customHeight="1">
      <c r="A1129" s="981"/>
      <c r="B1129" s="981"/>
      <c r="C1129" s="1016"/>
      <c r="D1129" s="952"/>
      <c r="E1129" s="981"/>
      <c r="F1129" s="952"/>
      <c r="G1129" s="981"/>
      <c r="H1129" s="981"/>
      <c r="I1129" s="981"/>
      <c r="J1129" s="981"/>
      <c r="K1129" s="981"/>
      <c r="O1129" s="981"/>
      <c r="P1129" s="981"/>
      <c r="Q1129" s="92"/>
    </row>
    <row r="1130" spans="1:17" ht="15" customHeight="1">
      <c r="A1130" s="981"/>
      <c r="B1130" s="981"/>
      <c r="C1130" s="1016"/>
      <c r="D1130" s="952"/>
      <c r="E1130" s="981"/>
      <c r="F1130" s="952"/>
      <c r="G1130" s="981"/>
      <c r="H1130" s="981"/>
      <c r="I1130" s="981"/>
      <c r="J1130" s="981"/>
      <c r="K1130" s="981"/>
      <c r="O1130" s="981"/>
      <c r="P1130" s="981"/>
      <c r="Q1130" s="92"/>
    </row>
    <row r="1131" spans="1:17" ht="15" customHeight="1">
      <c r="A1131" s="981"/>
      <c r="B1131" s="981"/>
      <c r="C1131" s="1016"/>
      <c r="D1131" s="952"/>
      <c r="E1131" s="981"/>
      <c r="F1131" s="952"/>
      <c r="G1131" s="981"/>
      <c r="H1131" s="981"/>
      <c r="I1131" s="981"/>
      <c r="J1131" s="981"/>
      <c r="K1131" s="981"/>
      <c r="O1131" s="981"/>
      <c r="P1131" s="981"/>
      <c r="Q1131" s="92"/>
    </row>
    <row r="1132" spans="1:17" ht="15" customHeight="1">
      <c r="A1132" s="981"/>
      <c r="B1132" s="981"/>
      <c r="C1132" s="1016"/>
      <c r="D1132" s="952"/>
      <c r="E1132" s="981"/>
      <c r="F1132" s="952"/>
      <c r="G1132" s="981"/>
      <c r="H1132" s="981"/>
      <c r="I1132" s="981"/>
      <c r="J1132" s="981"/>
      <c r="K1132" s="981"/>
      <c r="O1132" s="981"/>
      <c r="P1132" s="981"/>
      <c r="Q1132" s="92"/>
    </row>
    <row r="1133" spans="1:17" ht="15" customHeight="1">
      <c r="A1133" s="981"/>
      <c r="B1133" s="981"/>
      <c r="C1133" s="1016"/>
      <c r="D1133" s="952"/>
      <c r="E1133" s="981"/>
      <c r="F1133" s="952"/>
      <c r="G1133" s="981"/>
      <c r="H1133" s="981"/>
      <c r="I1133" s="981"/>
      <c r="J1133" s="981"/>
      <c r="K1133" s="981"/>
      <c r="O1133" s="981"/>
      <c r="P1133" s="981"/>
      <c r="Q1133" s="92"/>
    </row>
    <row r="1134" spans="1:17" ht="15" customHeight="1">
      <c r="A1134" s="981"/>
      <c r="B1134" s="981"/>
      <c r="C1134" s="1016"/>
      <c r="D1134" s="952"/>
      <c r="E1134" s="981"/>
      <c r="F1134" s="952"/>
      <c r="G1134" s="981"/>
      <c r="H1134" s="981"/>
      <c r="I1134" s="981"/>
      <c r="J1134" s="981"/>
      <c r="K1134" s="981"/>
      <c r="O1134" s="981"/>
      <c r="P1134" s="981"/>
      <c r="Q1134" s="92"/>
    </row>
    <row r="1135" spans="1:17" ht="15" customHeight="1">
      <c r="A1135" s="981"/>
      <c r="B1135" s="981"/>
      <c r="C1135" s="1016"/>
      <c r="D1135" s="952"/>
      <c r="E1135" s="981"/>
      <c r="F1135" s="952"/>
      <c r="G1135" s="981"/>
      <c r="H1135" s="981"/>
      <c r="I1135" s="981"/>
      <c r="J1135" s="981"/>
      <c r="K1135" s="981"/>
      <c r="O1135" s="981"/>
      <c r="P1135" s="981"/>
      <c r="Q1135" s="92"/>
    </row>
    <row r="1136" spans="1:17" ht="15" customHeight="1">
      <c r="A1136" s="981"/>
      <c r="B1136" s="981"/>
      <c r="C1136" s="1016"/>
      <c r="D1136" s="952"/>
      <c r="E1136" s="981"/>
      <c r="F1136" s="952"/>
      <c r="G1136" s="981"/>
      <c r="H1136" s="981"/>
      <c r="I1136" s="981"/>
      <c r="J1136" s="981"/>
      <c r="K1136" s="981"/>
      <c r="O1136" s="981"/>
      <c r="P1136" s="981"/>
      <c r="Q1136" s="92"/>
    </row>
    <row r="1137" spans="1:17" ht="15" customHeight="1">
      <c r="A1137" s="981"/>
      <c r="B1137" s="981"/>
      <c r="C1137" s="1016"/>
      <c r="D1137" s="952"/>
      <c r="E1137" s="981"/>
      <c r="F1137" s="952"/>
      <c r="G1137" s="981"/>
      <c r="H1137" s="981"/>
      <c r="I1137" s="981"/>
      <c r="J1137" s="981"/>
      <c r="K1137" s="981"/>
      <c r="O1137" s="981"/>
      <c r="P1137" s="981"/>
      <c r="Q1137" s="92"/>
    </row>
    <row r="1138" spans="1:17" ht="15" customHeight="1">
      <c r="A1138" s="981"/>
      <c r="B1138" s="981"/>
      <c r="C1138" s="1016"/>
      <c r="D1138" s="952"/>
      <c r="E1138" s="981"/>
      <c r="F1138" s="952"/>
      <c r="G1138" s="981"/>
      <c r="H1138" s="981"/>
      <c r="I1138" s="981"/>
      <c r="J1138" s="981"/>
      <c r="K1138" s="981"/>
      <c r="O1138" s="981"/>
      <c r="P1138" s="981"/>
      <c r="Q1138" s="92"/>
    </row>
    <row r="1139" spans="1:17" ht="15" customHeight="1">
      <c r="A1139" s="981"/>
      <c r="B1139" s="981"/>
      <c r="C1139" s="1016"/>
      <c r="D1139" s="952"/>
      <c r="E1139" s="981"/>
      <c r="F1139" s="952"/>
      <c r="G1139" s="981"/>
      <c r="H1139" s="981"/>
      <c r="I1139" s="981"/>
      <c r="J1139" s="981"/>
      <c r="K1139" s="981"/>
      <c r="O1139" s="981"/>
      <c r="P1139" s="981"/>
      <c r="Q1139" s="92"/>
    </row>
    <row r="1140" spans="1:17" ht="15" customHeight="1">
      <c r="A1140" s="981"/>
      <c r="B1140" s="981"/>
      <c r="C1140" s="1016"/>
      <c r="D1140" s="952"/>
      <c r="E1140" s="981"/>
      <c r="F1140" s="952"/>
      <c r="G1140" s="981"/>
      <c r="H1140" s="981"/>
      <c r="I1140" s="981"/>
      <c r="J1140" s="981"/>
      <c r="K1140" s="981"/>
      <c r="O1140" s="981"/>
      <c r="P1140" s="981"/>
      <c r="Q1140" s="92"/>
    </row>
    <row r="1141" spans="1:17" ht="15" customHeight="1">
      <c r="A1141" s="981"/>
      <c r="B1141" s="981"/>
      <c r="C1141" s="1016"/>
      <c r="D1141" s="952"/>
      <c r="E1141" s="981"/>
      <c r="F1141" s="952"/>
      <c r="G1141" s="981"/>
      <c r="H1141" s="981"/>
      <c r="I1141" s="981"/>
      <c r="J1141" s="981"/>
      <c r="K1141" s="981"/>
      <c r="O1141" s="981"/>
      <c r="P1141" s="981"/>
      <c r="Q1141" s="92"/>
    </row>
    <row r="1142" spans="1:17" ht="15" customHeight="1">
      <c r="A1142" s="981"/>
      <c r="B1142" s="981"/>
      <c r="C1142" s="1016"/>
      <c r="D1142" s="952"/>
      <c r="E1142" s="981"/>
      <c r="F1142" s="952"/>
      <c r="G1142" s="981"/>
      <c r="H1142" s="981"/>
      <c r="I1142" s="981"/>
      <c r="J1142" s="981"/>
      <c r="K1142" s="981"/>
      <c r="O1142" s="981"/>
      <c r="P1142" s="981"/>
      <c r="Q1142" s="92"/>
    </row>
    <row r="1143" spans="1:17" ht="15" customHeight="1">
      <c r="A1143" s="981"/>
      <c r="B1143" s="981"/>
      <c r="C1143" s="1016"/>
      <c r="D1143" s="952"/>
      <c r="E1143" s="981"/>
      <c r="F1143" s="952"/>
      <c r="G1143" s="981"/>
      <c r="H1143" s="981"/>
      <c r="I1143" s="981"/>
      <c r="J1143" s="981"/>
      <c r="K1143" s="981"/>
      <c r="O1143" s="981"/>
      <c r="P1143" s="981"/>
      <c r="Q1143" s="92"/>
    </row>
    <row r="1144" spans="1:17" ht="15" customHeight="1">
      <c r="A1144" s="981"/>
      <c r="B1144" s="981"/>
      <c r="C1144" s="1016"/>
      <c r="D1144" s="952"/>
      <c r="E1144" s="981"/>
      <c r="F1144" s="952"/>
      <c r="G1144" s="981"/>
      <c r="H1144" s="981"/>
      <c r="I1144" s="981"/>
      <c r="J1144" s="981"/>
      <c r="K1144" s="981"/>
      <c r="O1144" s="981"/>
      <c r="P1144" s="981"/>
      <c r="Q1144" s="92"/>
    </row>
    <row r="1145" spans="1:17" ht="15" customHeight="1">
      <c r="A1145" s="981"/>
      <c r="B1145" s="981"/>
      <c r="C1145" s="1016"/>
      <c r="D1145" s="952"/>
      <c r="E1145" s="981"/>
      <c r="F1145" s="952"/>
      <c r="G1145" s="981"/>
      <c r="H1145" s="981"/>
      <c r="I1145" s="981"/>
      <c r="J1145" s="981"/>
      <c r="K1145" s="981"/>
      <c r="O1145" s="981"/>
      <c r="P1145" s="981"/>
      <c r="Q1145" s="92"/>
    </row>
    <row r="1146" spans="1:17" ht="15" customHeight="1">
      <c r="A1146" s="981"/>
      <c r="B1146" s="981"/>
      <c r="C1146" s="1016"/>
      <c r="D1146" s="952"/>
      <c r="E1146" s="981"/>
      <c r="F1146" s="952"/>
      <c r="G1146" s="981"/>
      <c r="H1146" s="981"/>
      <c r="I1146" s="981"/>
      <c r="J1146" s="981"/>
      <c r="K1146" s="981"/>
      <c r="O1146" s="981"/>
      <c r="P1146" s="981"/>
      <c r="Q1146" s="92"/>
    </row>
    <row r="1147" spans="1:17" ht="15" customHeight="1">
      <c r="A1147" s="981"/>
      <c r="B1147" s="981"/>
      <c r="C1147" s="1016"/>
      <c r="D1147" s="952"/>
      <c r="E1147" s="981"/>
      <c r="F1147" s="952"/>
      <c r="G1147" s="981"/>
      <c r="H1147" s="981"/>
      <c r="I1147" s="981"/>
      <c r="J1147" s="981"/>
      <c r="K1147" s="981"/>
      <c r="O1147" s="981"/>
      <c r="P1147" s="981"/>
      <c r="Q1147" s="92"/>
    </row>
    <row r="1148" spans="1:17" ht="15" customHeight="1">
      <c r="A1148" s="981"/>
      <c r="B1148" s="981"/>
      <c r="C1148" s="1016"/>
      <c r="D1148" s="952"/>
      <c r="E1148" s="981"/>
      <c r="F1148" s="952"/>
      <c r="G1148" s="981"/>
      <c r="H1148" s="981"/>
      <c r="I1148" s="981"/>
      <c r="J1148" s="981"/>
      <c r="K1148" s="981"/>
      <c r="O1148" s="981"/>
      <c r="P1148" s="981"/>
      <c r="Q1148" s="92"/>
    </row>
    <row r="1149" spans="1:17" ht="15" customHeight="1">
      <c r="A1149" s="981"/>
      <c r="B1149" s="981"/>
      <c r="C1149" s="1016"/>
      <c r="D1149" s="952"/>
      <c r="E1149" s="981"/>
      <c r="F1149" s="952"/>
      <c r="G1149" s="981"/>
      <c r="H1149" s="981"/>
      <c r="I1149" s="981"/>
      <c r="J1149" s="981"/>
      <c r="K1149" s="981"/>
      <c r="O1149" s="981"/>
      <c r="P1149" s="981"/>
      <c r="Q1149" s="92"/>
    </row>
    <row r="1150" spans="1:17" ht="15" customHeight="1">
      <c r="A1150" s="981"/>
      <c r="B1150" s="981"/>
      <c r="C1150" s="1016"/>
      <c r="D1150" s="952"/>
      <c r="E1150" s="981"/>
      <c r="F1150" s="952"/>
      <c r="G1150" s="981"/>
      <c r="H1150" s="981"/>
      <c r="I1150" s="981"/>
      <c r="J1150" s="981"/>
      <c r="K1150" s="981"/>
      <c r="O1150" s="981"/>
      <c r="P1150" s="981"/>
      <c r="Q1150" s="92"/>
    </row>
    <row r="1151" spans="1:17" ht="15" customHeight="1">
      <c r="A1151" s="981"/>
      <c r="B1151" s="981"/>
      <c r="C1151" s="1016"/>
      <c r="D1151" s="952"/>
      <c r="E1151" s="981"/>
      <c r="F1151" s="952"/>
      <c r="G1151" s="981"/>
      <c r="H1151" s="981"/>
      <c r="I1151" s="981"/>
      <c r="J1151" s="981"/>
      <c r="K1151" s="981"/>
      <c r="O1151" s="981"/>
      <c r="P1151" s="981"/>
      <c r="Q1151" s="92"/>
    </row>
    <row r="1152" spans="1:17" ht="15" customHeight="1">
      <c r="A1152" s="981"/>
      <c r="B1152" s="981"/>
      <c r="C1152" s="1016"/>
      <c r="D1152" s="952"/>
      <c r="E1152" s="981"/>
      <c r="F1152" s="952"/>
      <c r="G1152" s="981"/>
      <c r="H1152" s="981"/>
      <c r="I1152" s="981"/>
      <c r="J1152" s="981"/>
      <c r="K1152" s="981"/>
      <c r="O1152" s="981"/>
      <c r="P1152" s="981"/>
      <c r="Q1152" s="92"/>
    </row>
    <row r="1153" spans="1:17" ht="15" customHeight="1">
      <c r="A1153" s="981"/>
      <c r="B1153" s="981"/>
      <c r="C1153" s="1016"/>
      <c r="D1153" s="952"/>
      <c r="E1153" s="981"/>
      <c r="F1153" s="952"/>
      <c r="G1153" s="981"/>
      <c r="H1153" s="981"/>
      <c r="I1153" s="981"/>
      <c r="J1153" s="981"/>
      <c r="K1153" s="981"/>
      <c r="O1153" s="981"/>
      <c r="P1153" s="981"/>
      <c r="Q1153" s="92"/>
    </row>
    <row r="1154" spans="1:17" ht="15" customHeight="1">
      <c r="A1154" s="981"/>
      <c r="B1154" s="981"/>
      <c r="C1154" s="1016"/>
      <c r="D1154" s="952"/>
      <c r="E1154" s="981"/>
      <c r="F1154" s="952"/>
      <c r="G1154" s="981"/>
      <c r="H1154" s="981"/>
      <c r="I1154" s="981"/>
      <c r="J1154" s="981"/>
      <c r="K1154" s="981"/>
      <c r="O1154" s="981"/>
      <c r="P1154" s="981"/>
      <c r="Q1154" s="92"/>
    </row>
    <row r="1155" spans="1:17" ht="15" customHeight="1">
      <c r="A1155" s="981"/>
      <c r="B1155" s="981"/>
      <c r="C1155" s="1016"/>
      <c r="D1155" s="952"/>
      <c r="E1155" s="981"/>
      <c r="F1155" s="952"/>
      <c r="G1155" s="981"/>
      <c r="H1155" s="981"/>
      <c r="I1155" s="981"/>
      <c r="J1155" s="981"/>
      <c r="K1155" s="981"/>
      <c r="O1155" s="981"/>
      <c r="P1155" s="981"/>
      <c r="Q1155" s="92"/>
    </row>
    <row r="1156" spans="1:17" ht="15" customHeight="1">
      <c r="A1156" s="981"/>
      <c r="B1156" s="981"/>
      <c r="C1156" s="1016"/>
      <c r="D1156" s="952"/>
      <c r="E1156" s="981"/>
      <c r="F1156" s="952"/>
      <c r="G1156" s="981"/>
      <c r="H1156" s="981"/>
      <c r="I1156" s="981"/>
      <c r="J1156" s="981"/>
      <c r="K1156" s="981"/>
      <c r="O1156" s="981"/>
      <c r="P1156" s="981"/>
      <c r="Q1156" s="92"/>
    </row>
    <row r="1157" spans="1:17" ht="15" customHeight="1">
      <c r="A1157" s="981"/>
      <c r="B1157" s="981"/>
      <c r="C1157" s="1016"/>
      <c r="D1157" s="952"/>
      <c r="E1157" s="981"/>
      <c r="F1157" s="952"/>
      <c r="G1157" s="981"/>
      <c r="H1157" s="981"/>
      <c r="I1157" s="981"/>
      <c r="J1157" s="981"/>
      <c r="K1157" s="981"/>
      <c r="O1157" s="981"/>
      <c r="P1157" s="981"/>
      <c r="Q1157" s="92"/>
    </row>
    <row r="1158" spans="1:17" ht="15" customHeight="1">
      <c r="A1158" s="981"/>
      <c r="B1158" s="981"/>
      <c r="C1158" s="1016"/>
      <c r="D1158" s="952"/>
      <c r="E1158" s="981"/>
      <c r="F1158" s="952"/>
      <c r="G1158" s="981"/>
      <c r="H1158" s="981"/>
      <c r="I1158" s="981"/>
      <c r="J1158" s="981"/>
      <c r="K1158" s="981"/>
      <c r="O1158" s="981"/>
      <c r="P1158" s="981"/>
      <c r="Q1158" s="92"/>
    </row>
    <row r="1159" spans="1:17" ht="15" customHeight="1">
      <c r="A1159" s="981"/>
      <c r="B1159" s="981"/>
      <c r="C1159" s="1016"/>
      <c r="D1159" s="952"/>
      <c r="E1159" s="981"/>
      <c r="F1159" s="952"/>
      <c r="G1159" s="981"/>
      <c r="H1159" s="981"/>
      <c r="I1159" s="981"/>
      <c r="J1159" s="981"/>
      <c r="K1159" s="981"/>
      <c r="O1159" s="981"/>
      <c r="P1159" s="981"/>
      <c r="Q1159" s="92"/>
    </row>
    <row r="1160" spans="1:17" ht="15" customHeight="1">
      <c r="A1160" s="981"/>
      <c r="B1160" s="981"/>
      <c r="C1160" s="1016"/>
      <c r="D1160" s="952"/>
      <c r="E1160" s="981"/>
      <c r="F1160" s="952"/>
      <c r="G1160" s="981"/>
      <c r="H1160" s="981"/>
      <c r="I1160" s="981"/>
      <c r="J1160" s="981"/>
      <c r="K1160" s="981"/>
      <c r="O1160" s="981"/>
      <c r="P1160" s="981"/>
      <c r="Q1160" s="92"/>
    </row>
    <row r="1161" spans="1:17" ht="15" customHeight="1">
      <c r="A1161" s="981"/>
      <c r="B1161" s="981"/>
      <c r="C1161" s="1016"/>
      <c r="D1161" s="952"/>
      <c r="E1161" s="981"/>
      <c r="F1161" s="952"/>
      <c r="G1161" s="981"/>
      <c r="H1161" s="981"/>
      <c r="I1161" s="981"/>
      <c r="J1161" s="981"/>
      <c r="K1161" s="981"/>
      <c r="O1161" s="981"/>
      <c r="P1161" s="981"/>
      <c r="Q1161" s="92"/>
    </row>
    <row r="1162" spans="1:17" ht="15" customHeight="1">
      <c r="A1162" s="981"/>
      <c r="B1162" s="981"/>
      <c r="C1162" s="1016"/>
      <c r="D1162" s="952"/>
      <c r="E1162" s="981"/>
      <c r="F1162" s="952"/>
      <c r="G1162" s="981"/>
      <c r="H1162" s="981"/>
      <c r="I1162" s="981"/>
      <c r="J1162" s="981"/>
      <c r="K1162" s="981"/>
      <c r="O1162" s="981"/>
      <c r="P1162" s="981"/>
      <c r="Q1162" s="92"/>
    </row>
    <row r="1163" spans="1:17" ht="15" customHeight="1">
      <c r="A1163" s="981"/>
      <c r="B1163" s="981"/>
      <c r="C1163" s="1016"/>
      <c r="D1163" s="952"/>
      <c r="E1163" s="981"/>
      <c r="F1163" s="952"/>
      <c r="G1163" s="981"/>
      <c r="H1163" s="981"/>
      <c r="I1163" s="981"/>
      <c r="J1163" s="981"/>
      <c r="K1163" s="981"/>
      <c r="O1163" s="981"/>
      <c r="P1163" s="981"/>
      <c r="Q1163" s="92"/>
    </row>
    <row r="1164" spans="1:17" ht="15" customHeight="1">
      <c r="A1164" s="981"/>
      <c r="B1164" s="981"/>
      <c r="C1164" s="1016"/>
      <c r="D1164" s="952"/>
      <c r="E1164" s="981"/>
      <c r="F1164" s="952"/>
      <c r="G1164" s="981"/>
      <c r="H1164" s="981"/>
      <c r="I1164" s="981"/>
      <c r="J1164" s="981"/>
      <c r="K1164" s="981"/>
      <c r="O1164" s="981"/>
      <c r="P1164" s="981"/>
      <c r="Q1164" s="92"/>
    </row>
    <row r="1165" spans="1:17" ht="15" customHeight="1">
      <c r="A1165" s="981"/>
      <c r="B1165" s="981"/>
      <c r="C1165" s="1016"/>
      <c r="D1165" s="952"/>
      <c r="E1165" s="981"/>
      <c r="F1165" s="952"/>
      <c r="G1165" s="981"/>
      <c r="H1165" s="981"/>
      <c r="I1165" s="981"/>
      <c r="J1165" s="981"/>
      <c r="K1165" s="981"/>
      <c r="O1165" s="981"/>
      <c r="P1165" s="981"/>
      <c r="Q1165" s="92"/>
    </row>
    <row r="1166" spans="1:17" ht="15" customHeight="1">
      <c r="A1166" s="981"/>
      <c r="B1166" s="981"/>
      <c r="C1166" s="1016"/>
      <c r="D1166" s="952"/>
      <c r="E1166" s="981"/>
      <c r="F1166" s="952"/>
      <c r="G1166" s="981"/>
      <c r="H1166" s="981"/>
      <c r="I1166" s="981"/>
      <c r="J1166" s="981"/>
      <c r="K1166" s="981"/>
      <c r="O1166" s="981"/>
      <c r="P1166" s="981"/>
      <c r="Q1166" s="92"/>
    </row>
    <row r="1167" spans="1:17" ht="15" customHeight="1">
      <c r="A1167" s="981"/>
      <c r="B1167" s="981"/>
      <c r="C1167" s="1016"/>
      <c r="D1167" s="952"/>
      <c r="E1167" s="981"/>
      <c r="F1167" s="952"/>
      <c r="G1167" s="981"/>
      <c r="H1167" s="981"/>
      <c r="I1167" s="981"/>
      <c r="J1167" s="981"/>
      <c r="K1167" s="981"/>
      <c r="O1167" s="981"/>
      <c r="P1167" s="981"/>
      <c r="Q1167" s="92"/>
    </row>
    <row r="1168" spans="1:17" ht="15" customHeight="1">
      <c r="A1168" s="981"/>
      <c r="B1168" s="981"/>
      <c r="C1168" s="1016"/>
      <c r="D1168" s="952"/>
      <c r="E1168" s="981"/>
      <c r="F1168" s="952"/>
      <c r="G1168" s="981"/>
      <c r="H1168" s="981"/>
      <c r="I1168" s="981"/>
      <c r="J1168" s="981"/>
      <c r="K1168" s="981"/>
      <c r="O1168" s="981"/>
      <c r="P1168" s="981"/>
      <c r="Q1168" s="92"/>
    </row>
    <row r="1169" spans="1:17" ht="15" customHeight="1">
      <c r="A1169" s="981"/>
      <c r="B1169" s="981"/>
      <c r="C1169" s="1016"/>
      <c r="D1169" s="952"/>
      <c r="E1169" s="981"/>
      <c r="F1169" s="952"/>
      <c r="G1169" s="981"/>
      <c r="H1169" s="981"/>
      <c r="I1169" s="981"/>
      <c r="J1169" s="981"/>
      <c r="K1169" s="981"/>
      <c r="O1169" s="981"/>
      <c r="P1169" s="981"/>
      <c r="Q1169" s="92"/>
    </row>
    <row r="1170" spans="1:17" ht="15" customHeight="1">
      <c r="A1170" s="981"/>
      <c r="B1170" s="981"/>
      <c r="C1170" s="1016"/>
      <c r="D1170" s="952"/>
      <c r="E1170" s="981"/>
      <c r="F1170" s="952"/>
      <c r="G1170" s="981"/>
      <c r="H1170" s="981"/>
      <c r="I1170" s="981"/>
      <c r="J1170" s="981"/>
      <c r="K1170" s="981"/>
      <c r="O1170" s="981"/>
      <c r="P1170" s="981"/>
      <c r="Q1170" s="92"/>
    </row>
    <row r="1171" spans="1:17" ht="15" customHeight="1">
      <c r="A1171" s="981"/>
      <c r="B1171" s="981"/>
      <c r="C1171" s="1016"/>
      <c r="D1171" s="952"/>
      <c r="E1171" s="981"/>
      <c r="F1171" s="952"/>
      <c r="G1171" s="981"/>
      <c r="H1171" s="981"/>
      <c r="I1171" s="981"/>
      <c r="J1171" s="981"/>
      <c r="K1171" s="981"/>
      <c r="O1171" s="981"/>
      <c r="P1171" s="981"/>
      <c r="Q1171" s="92"/>
    </row>
    <row r="1172" spans="1:17" ht="15" customHeight="1">
      <c r="A1172" s="981"/>
      <c r="B1172" s="981"/>
      <c r="C1172" s="1016"/>
      <c r="D1172" s="952"/>
      <c r="E1172" s="981"/>
      <c r="F1172" s="952"/>
      <c r="G1172" s="981"/>
      <c r="H1172" s="981"/>
      <c r="I1172" s="981"/>
      <c r="J1172" s="981"/>
      <c r="K1172" s="981"/>
      <c r="O1172" s="981"/>
      <c r="P1172" s="981"/>
      <c r="Q1172" s="92"/>
    </row>
    <row r="1173" spans="1:17" ht="15" customHeight="1">
      <c r="A1173" s="981"/>
      <c r="B1173" s="981"/>
      <c r="C1173" s="1016"/>
      <c r="D1173" s="952"/>
      <c r="E1173" s="981"/>
      <c r="F1173" s="952"/>
      <c r="G1173" s="981"/>
      <c r="H1173" s="981"/>
      <c r="I1173" s="981"/>
      <c r="J1173" s="981"/>
      <c r="K1173" s="981"/>
      <c r="O1173" s="981"/>
      <c r="P1173" s="981"/>
      <c r="Q1173" s="92"/>
    </row>
    <row r="1174" spans="1:17" ht="15" customHeight="1">
      <c r="A1174" s="981"/>
      <c r="B1174" s="981"/>
      <c r="C1174" s="1016"/>
      <c r="D1174" s="952"/>
      <c r="E1174" s="981"/>
      <c r="F1174" s="952"/>
      <c r="G1174" s="981"/>
      <c r="H1174" s="981"/>
      <c r="I1174" s="981"/>
      <c r="J1174" s="981"/>
      <c r="K1174" s="981"/>
      <c r="O1174" s="981"/>
      <c r="P1174" s="981"/>
      <c r="Q1174" s="92"/>
    </row>
    <row r="1175" spans="1:17" ht="15" customHeight="1">
      <c r="A1175" s="981"/>
      <c r="B1175" s="981"/>
      <c r="C1175" s="1016"/>
      <c r="D1175" s="952"/>
      <c r="E1175" s="981"/>
      <c r="F1175" s="952"/>
      <c r="G1175" s="981"/>
      <c r="H1175" s="981"/>
      <c r="I1175" s="981"/>
      <c r="J1175" s="981"/>
      <c r="K1175" s="981"/>
      <c r="O1175" s="981"/>
      <c r="P1175" s="981"/>
      <c r="Q1175" s="92"/>
    </row>
    <row r="1176" spans="1:17" ht="15" customHeight="1">
      <c r="A1176" s="981"/>
      <c r="B1176" s="981"/>
      <c r="C1176" s="1016"/>
      <c r="D1176" s="952"/>
      <c r="E1176" s="981"/>
      <c r="F1176" s="952"/>
      <c r="G1176" s="981"/>
      <c r="H1176" s="981"/>
      <c r="I1176" s="981"/>
      <c r="J1176" s="981"/>
      <c r="K1176" s="981"/>
      <c r="O1176" s="981"/>
      <c r="P1176" s="981"/>
      <c r="Q1176" s="92"/>
    </row>
    <row r="1177" spans="1:17" ht="15" customHeight="1">
      <c r="A1177" s="981"/>
      <c r="B1177" s="981"/>
      <c r="C1177" s="1016"/>
      <c r="D1177" s="952"/>
      <c r="E1177" s="981"/>
      <c r="F1177" s="952"/>
      <c r="G1177" s="981"/>
      <c r="H1177" s="981"/>
      <c r="I1177" s="981"/>
      <c r="J1177" s="981"/>
      <c r="K1177" s="981"/>
      <c r="O1177" s="981"/>
      <c r="P1177" s="981"/>
      <c r="Q1177" s="92"/>
    </row>
    <row r="1178" spans="1:17" ht="15" customHeight="1">
      <c r="A1178" s="981"/>
      <c r="B1178" s="981"/>
      <c r="C1178" s="1016"/>
      <c r="D1178" s="952"/>
      <c r="E1178" s="981"/>
      <c r="F1178" s="952"/>
      <c r="G1178" s="981"/>
      <c r="H1178" s="981"/>
      <c r="I1178" s="981"/>
      <c r="J1178" s="981"/>
      <c r="K1178" s="981"/>
      <c r="O1178" s="981"/>
      <c r="P1178" s="981"/>
      <c r="Q1178" s="92"/>
    </row>
    <row r="1179" spans="1:17" ht="15" customHeight="1">
      <c r="A1179" s="981"/>
      <c r="B1179" s="981"/>
      <c r="C1179" s="1016"/>
      <c r="D1179" s="952"/>
      <c r="E1179" s="981"/>
      <c r="F1179" s="952"/>
      <c r="G1179" s="981"/>
      <c r="H1179" s="981"/>
      <c r="I1179" s="981"/>
      <c r="J1179" s="981"/>
      <c r="K1179" s="981"/>
      <c r="O1179" s="981"/>
      <c r="P1179" s="981"/>
      <c r="Q1179" s="92"/>
    </row>
    <row r="1180" spans="1:17" ht="15" customHeight="1">
      <c r="A1180" s="981"/>
      <c r="B1180" s="981"/>
      <c r="C1180" s="1016"/>
      <c r="D1180" s="952"/>
      <c r="E1180" s="981"/>
      <c r="F1180" s="952"/>
      <c r="G1180" s="981"/>
      <c r="H1180" s="981"/>
      <c r="I1180" s="981"/>
      <c r="J1180" s="981"/>
      <c r="K1180" s="981"/>
      <c r="O1180" s="981"/>
      <c r="P1180" s="981"/>
      <c r="Q1180" s="92"/>
    </row>
    <row r="1181" spans="1:17" ht="15" customHeight="1">
      <c r="A1181" s="981"/>
      <c r="B1181" s="981"/>
      <c r="C1181" s="1016"/>
      <c r="D1181" s="952"/>
      <c r="E1181" s="981"/>
      <c r="F1181" s="952"/>
      <c r="G1181" s="981"/>
      <c r="H1181" s="981"/>
      <c r="I1181" s="981"/>
      <c r="J1181" s="981"/>
      <c r="K1181" s="981"/>
      <c r="O1181" s="981"/>
      <c r="P1181" s="981"/>
      <c r="Q1181" s="92"/>
    </row>
    <row r="1182" spans="1:17" ht="15" customHeight="1">
      <c r="A1182" s="981"/>
      <c r="B1182" s="981"/>
      <c r="C1182" s="1016"/>
      <c r="D1182" s="952"/>
      <c r="E1182" s="981"/>
      <c r="F1182" s="952"/>
      <c r="G1182" s="981"/>
      <c r="H1182" s="981"/>
      <c r="I1182" s="981"/>
      <c r="J1182" s="981"/>
      <c r="K1182" s="981"/>
      <c r="O1182" s="981"/>
      <c r="P1182" s="981"/>
      <c r="Q1182" s="92"/>
    </row>
    <row r="1183" spans="1:17" ht="15" customHeight="1">
      <c r="A1183" s="981"/>
      <c r="B1183" s="981"/>
      <c r="C1183" s="1016"/>
      <c r="D1183" s="952"/>
      <c r="E1183" s="981"/>
      <c r="F1183" s="952"/>
      <c r="G1183" s="981"/>
      <c r="H1183" s="981"/>
      <c r="I1183" s="981"/>
      <c r="J1183" s="981"/>
      <c r="K1183" s="981"/>
      <c r="O1183" s="981"/>
      <c r="P1183" s="981"/>
      <c r="Q1183" s="92"/>
    </row>
    <row r="1184" spans="1:17" ht="15" customHeight="1">
      <c r="A1184" s="981"/>
      <c r="B1184" s="981"/>
      <c r="C1184" s="1016"/>
      <c r="D1184" s="952"/>
      <c r="E1184" s="981"/>
      <c r="F1184" s="952"/>
      <c r="G1184" s="981"/>
      <c r="H1184" s="981"/>
      <c r="I1184" s="981"/>
      <c r="J1184" s="981"/>
      <c r="K1184" s="981"/>
      <c r="O1184" s="981"/>
      <c r="P1184" s="981"/>
      <c r="Q1184" s="92"/>
    </row>
    <row r="1185" spans="1:17" ht="15" customHeight="1">
      <c r="A1185" s="981"/>
      <c r="B1185" s="981"/>
      <c r="C1185" s="1016"/>
      <c r="D1185" s="952"/>
      <c r="E1185" s="981"/>
      <c r="F1185" s="952"/>
      <c r="G1185" s="981"/>
      <c r="H1185" s="981"/>
      <c r="I1185" s="981"/>
      <c r="J1185" s="981"/>
      <c r="K1185" s="981"/>
      <c r="O1185" s="981"/>
      <c r="P1185" s="981"/>
      <c r="Q1185" s="92"/>
    </row>
    <row r="1186" spans="1:17" ht="15" customHeight="1">
      <c r="A1186" s="981"/>
      <c r="B1186" s="981"/>
      <c r="C1186" s="1016"/>
      <c r="D1186" s="952"/>
      <c r="E1186" s="981"/>
      <c r="F1186" s="952"/>
      <c r="G1186" s="981"/>
      <c r="H1186" s="981"/>
      <c r="I1186" s="981"/>
      <c r="J1186" s="981"/>
      <c r="K1186" s="981"/>
      <c r="O1186" s="981"/>
      <c r="P1186" s="981"/>
      <c r="Q1186" s="92"/>
    </row>
    <row r="1187" spans="1:17" ht="15" customHeight="1">
      <c r="A1187" s="981"/>
      <c r="B1187" s="981"/>
      <c r="C1187" s="1016"/>
      <c r="D1187" s="952"/>
      <c r="E1187" s="981"/>
      <c r="F1187" s="952"/>
      <c r="G1187" s="981"/>
      <c r="H1187" s="981"/>
      <c r="I1187" s="981"/>
      <c r="J1187" s="981"/>
      <c r="K1187" s="981"/>
      <c r="O1187" s="981"/>
      <c r="P1187" s="981"/>
      <c r="Q1187" s="92"/>
    </row>
    <row r="1188" spans="1:17" ht="15" customHeight="1">
      <c r="A1188" s="981"/>
      <c r="B1188" s="981"/>
      <c r="C1188" s="1016"/>
      <c r="D1188" s="952"/>
      <c r="E1188" s="981"/>
      <c r="F1188" s="952"/>
      <c r="G1188" s="981"/>
      <c r="H1188" s="981"/>
      <c r="I1188" s="981"/>
      <c r="J1188" s="981"/>
      <c r="K1188" s="981"/>
      <c r="O1188" s="981"/>
      <c r="P1188" s="981"/>
      <c r="Q1188" s="92"/>
    </row>
    <row r="1189" spans="1:17" ht="15" customHeight="1">
      <c r="A1189" s="981"/>
      <c r="B1189" s="981"/>
      <c r="C1189" s="1016"/>
      <c r="D1189" s="952"/>
      <c r="E1189" s="981"/>
      <c r="F1189" s="952"/>
      <c r="G1189" s="981"/>
      <c r="H1189" s="981"/>
      <c r="I1189" s="981"/>
      <c r="J1189" s="981"/>
      <c r="K1189" s="981"/>
      <c r="O1189" s="981"/>
      <c r="P1189" s="981"/>
      <c r="Q1189" s="92"/>
    </row>
    <row r="1190" spans="1:17" ht="15" customHeight="1">
      <c r="A1190" s="981"/>
      <c r="B1190" s="981"/>
      <c r="C1190" s="1016"/>
      <c r="D1190" s="952"/>
      <c r="E1190" s="981"/>
      <c r="F1190" s="952"/>
      <c r="G1190" s="981"/>
      <c r="H1190" s="981"/>
      <c r="I1190" s="981"/>
      <c r="J1190" s="981"/>
      <c r="K1190" s="981"/>
      <c r="O1190" s="981"/>
      <c r="P1190" s="981"/>
      <c r="Q1190" s="92"/>
    </row>
    <row r="1191" spans="1:17" ht="15" customHeight="1">
      <c r="A1191" s="981"/>
      <c r="B1191" s="981"/>
      <c r="C1191" s="1016"/>
      <c r="D1191" s="952"/>
      <c r="E1191" s="981"/>
      <c r="F1191" s="952"/>
      <c r="G1191" s="981"/>
      <c r="H1191" s="981"/>
      <c r="I1191" s="981"/>
      <c r="J1191" s="981"/>
      <c r="K1191" s="981"/>
      <c r="O1191" s="981"/>
      <c r="P1191" s="981"/>
      <c r="Q1191" s="92"/>
    </row>
    <row r="1192" spans="1:17" ht="15" customHeight="1">
      <c r="A1192" s="981"/>
      <c r="B1192" s="981"/>
      <c r="C1192" s="1016"/>
      <c r="D1192" s="952"/>
      <c r="E1192" s="981"/>
      <c r="F1192" s="952"/>
      <c r="G1192" s="981"/>
      <c r="H1192" s="981"/>
      <c r="I1192" s="981"/>
      <c r="J1192" s="981"/>
      <c r="K1192" s="981"/>
      <c r="O1192" s="981"/>
      <c r="P1192" s="981"/>
      <c r="Q1192" s="92"/>
    </row>
    <row r="1193" spans="1:17" ht="15" customHeight="1">
      <c r="A1193" s="981"/>
      <c r="B1193" s="981"/>
      <c r="C1193" s="1016"/>
      <c r="D1193" s="952"/>
      <c r="E1193" s="981"/>
      <c r="F1193" s="952"/>
      <c r="G1193" s="981"/>
      <c r="H1193" s="981"/>
      <c r="I1193" s="981"/>
      <c r="J1193" s="981"/>
      <c r="K1193" s="981"/>
      <c r="O1193" s="981"/>
      <c r="P1193" s="981"/>
      <c r="Q1193" s="92"/>
    </row>
    <row r="1194" spans="1:17" ht="15" customHeight="1">
      <c r="A1194" s="981"/>
      <c r="B1194" s="981"/>
      <c r="C1194" s="1016"/>
      <c r="D1194" s="952"/>
      <c r="E1194" s="981"/>
      <c r="F1194" s="952"/>
      <c r="G1194" s="981"/>
      <c r="H1194" s="981"/>
      <c r="I1194" s="981"/>
      <c r="J1194" s="981"/>
      <c r="K1194" s="981"/>
      <c r="O1194" s="981"/>
      <c r="P1194" s="981"/>
      <c r="Q1194" s="92"/>
    </row>
    <row r="1195" spans="1:17" ht="15" customHeight="1">
      <c r="A1195" s="981"/>
      <c r="B1195" s="981"/>
      <c r="C1195" s="1016"/>
      <c r="D1195" s="952"/>
      <c r="E1195" s="981"/>
      <c r="F1195" s="952"/>
      <c r="G1195" s="981"/>
      <c r="H1195" s="981"/>
      <c r="I1195" s="981"/>
      <c r="J1195" s="981"/>
      <c r="K1195" s="981"/>
      <c r="O1195" s="981"/>
      <c r="P1195" s="981"/>
      <c r="Q1195" s="92"/>
    </row>
    <row r="1196" spans="1:17" ht="15" customHeight="1">
      <c r="A1196" s="981"/>
      <c r="B1196" s="981"/>
      <c r="C1196" s="1016"/>
      <c r="D1196" s="952"/>
      <c r="E1196" s="981"/>
      <c r="F1196" s="952"/>
      <c r="G1196" s="981"/>
      <c r="H1196" s="981"/>
      <c r="I1196" s="981"/>
      <c r="J1196" s="981"/>
      <c r="K1196" s="981"/>
      <c r="O1196" s="981"/>
      <c r="P1196" s="981"/>
      <c r="Q1196" s="92"/>
    </row>
    <row r="1197" spans="1:17" ht="15" customHeight="1">
      <c r="A1197" s="981"/>
      <c r="B1197" s="981"/>
      <c r="C1197" s="1016"/>
      <c r="D1197" s="952"/>
      <c r="E1197" s="981"/>
      <c r="F1197" s="952"/>
      <c r="G1197" s="981"/>
      <c r="H1197" s="981"/>
      <c r="I1197" s="981"/>
      <c r="J1197" s="981"/>
      <c r="K1197" s="981"/>
      <c r="O1197" s="981"/>
      <c r="P1197" s="981"/>
      <c r="Q1197" s="92"/>
    </row>
    <row r="1198" spans="1:17" ht="15" customHeight="1">
      <c r="A1198" s="981"/>
      <c r="B1198" s="981"/>
      <c r="C1198" s="1016"/>
      <c r="D1198" s="952"/>
      <c r="E1198" s="981"/>
      <c r="F1198" s="952"/>
      <c r="G1198" s="981"/>
      <c r="H1198" s="981"/>
      <c r="I1198" s="981"/>
      <c r="J1198" s="981"/>
      <c r="K1198" s="981"/>
      <c r="O1198" s="981"/>
      <c r="P1198" s="981"/>
      <c r="Q1198" s="92"/>
    </row>
    <row r="1199" spans="1:17" ht="15" customHeight="1">
      <c r="A1199" s="981"/>
      <c r="B1199" s="981"/>
      <c r="C1199" s="1016"/>
      <c r="D1199" s="952"/>
      <c r="E1199" s="981"/>
      <c r="F1199" s="952"/>
      <c r="G1199" s="981"/>
      <c r="H1199" s="981"/>
      <c r="I1199" s="981"/>
      <c r="J1199" s="981"/>
      <c r="K1199" s="981"/>
      <c r="O1199" s="981"/>
      <c r="P1199" s="981"/>
      <c r="Q1199" s="92"/>
    </row>
    <row r="1200" spans="1:17" ht="15" customHeight="1">
      <c r="A1200" s="981"/>
      <c r="B1200" s="981"/>
      <c r="C1200" s="1016"/>
      <c r="D1200" s="952"/>
      <c r="E1200" s="981"/>
      <c r="F1200" s="952"/>
      <c r="G1200" s="981"/>
      <c r="H1200" s="981"/>
      <c r="I1200" s="981"/>
      <c r="J1200" s="981"/>
      <c r="K1200" s="981"/>
      <c r="O1200" s="981"/>
      <c r="P1200" s="981"/>
      <c r="Q1200" s="92"/>
    </row>
    <row r="1201" spans="1:17" ht="15" customHeight="1">
      <c r="A1201" s="981"/>
      <c r="B1201" s="981"/>
      <c r="C1201" s="1016"/>
      <c r="D1201" s="952"/>
      <c r="E1201" s="981"/>
      <c r="F1201" s="952"/>
      <c r="G1201" s="981"/>
      <c r="H1201" s="981"/>
      <c r="I1201" s="981"/>
      <c r="J1201" s="981"/>
      <c r="K1201" s="981"/>
      <c r="O1201" s="981"/>
      <c r="P1201" s="981"/>
      <c r="Q1201" s="92"/>
    </row>
    <row r="1202" spans="1:17" ht="15" customHeight="1">
      <c r="A1202" s="981"/>
      <c r="B1202" s="981"/>
      <c r="C1202" s="1016"/>
      <c r="D1202" s="952"/>
      <c r="E1202" s="981"/>
      <c r="F1202" s="952"/>
      <c r="G1202" s="981"/>
      <c r="H1202" s="981"/>
      <c r="I1202" s="981"/>
      <c r="J1202" s="981"/>
      <c r="K1202" s="981"/>
      <c r="O1202" s="981"/>
      <c r="P1202" s="981"/>
      <c r="Q1202" s="92"/>
    </row>
    <row r="1203" spans="1:17" ht="15" customHeight="1">
      <c r="A1203" s="981"/>
      <c r="B1203" s="981"/>
      <c r="C1203" s="1016"/>
      <c r="D1203" s="952"/>
      <c r="E1203" s="981"/>
      <c r="F1203" s="952"/>
      <c r="G1203" s="981"/>
      <c r="H1203" s="981"/>
      <c r="I1203" s="981"/>
      <c r="J1203" s="981"/>
      <c r="K1203" s="981"/>
      <c r="O1203" s="981"/>
      <c r="P1203" s="981"/>
      <c r="Q1203" s="92"/>
    </row>
    <row r="1204" spans="1:17" ht="15" customHeight="1">
      <c r="A1204" s="981"/>
      <c r="B1204" s="981"/>
      <c r="C1204" s="1016"/>
      <c r="D1204" s="952"/>
      <c r="E1204" s="981"/>
      <c r="F1204" s="952"/>
      <c r="G1204" s="981"/>
      <c r="H1204" s="981"/>
      <c r="I1204" s="981"/>
      <c r="J1204" s="981"/>
      <c r="K1204" s="981"/>
      <c r="O1204" s="981"/>
      <c r="P1204" s="981"/>
      <c r="Q1204" s="92"/>
    </row>
    <row r="1205" spans="1:17" ht="15" customHeight="1">
      <c r="A1205" s="981"/>
      <c r="B1205" s="981"/>
      <c r="C1205" s="1016"/>
      <c r="D1205" s="952"/>
      <c r="E1205" s="981"/>
      <c r="F1205" s="952"/>
      <c r="G1205" s="981"/>
      <c r="H1205" s="981"/>
      <c r="I1205" s="981"/>
      <c r="J1205" s="981"/>
      <c r="K1205" s="981"/>
      <c r="O1205" s="981"/>
      <c r="P1205" s="981"/>
      <c r="Q1205" s="92"/>
    </row>
    <row r="1206" spans="1:17" ht="15" customHeight="1">
      <c r="A1206" s="981"/>
      <c r="B1206" s="981"/>
      <c r="C1206" s="1016"/>
      <c r="D1206" s="952"/>
      <c r="E1206" s="981"/>
      <c r="F1206" s="952"/>
      <c r="G1206" s="981"/>
      <c r="H1206" s="981"/>
      <c r="I1206" s="981"/>
      <c r="J1206" s="981"/>
      <c r="K1206" s="981"/>
      <c r="O1206" s="981"/>
      <c r="P1206" s="981"/>
      <c r="Q1206" s="92"/>
    </row>
    <row r="1207" spans="1:17" ht="15" customHeight="1">
      <c r="A1207" s="981"/>
      <c r="B1207" s="981"/>
      <c r="C1207" s="1016"/>
      <c r="D1207" s="952"/>
      <c r="E1207" s="981"/>
      <c r="F1207" s="952"/>
      <c r="G1207" s="981"/>
      <c r="H1207" s="981"/>
      <c r="I1207" s="981"/>
      <c r="J1207" s="981"/>
      <c r="K1207" s="981"/>
      <c r="O1207" s="981"/>
      <c r="P1207" s="981"/>
      <c r="Q1207" s="92"/>
    </row>
    <row r="1208" spans="1:17" ht="15" customHeight="1">
      <c r="A1208" s="981"/>
      <c r="B1208" s="981"/>
      <c r="C1208" s="1016"/>
      <c r="D1208" s="952"/>
      <c r="E1208" s="981"/>
      <c r="F1208" s="952"/>
      <c r="G1208" s="981"/>
      <c r="H1208" s="981"/>
      <c r="I1208" s="981"/>
      <c r="J1208" s="981"/>
      <c r="K1208" s="981"/>
      <c r="O1208" s="981"/>
      <c r="P1208" s="981"/>
      <c r="Q1208" s="92"/>
    </row>
    <row r="1209" spans="1:17" ht="15" customHeight="1">
      <c r="A1209" s="981"/>
      <c r="B1209" s="981"/>
      <c r="C1209" s="1016"/>
      <c r="D1209" s="952"/>
      <c r="E1209" s="981"/>
      <c r="F1209" s="952"/>
      <c r="G1209" s="981"/>
      <c r="H1209" s="981"/>
      <c r="I1209" s="981"/>
      <c r="J1209" s="981"/>
      <c r="K1209" s="981"/>
      <c r="O1209" s="981"/>
      <c r="P1209" s="981"/>
      <c r="Q1209" s="92"/>
    </row>
    <row r="1210" spans="1:17" ht="15" customHeight="1">
      <c r="A1210" s="981"/>
      <c r="B1210" s="981"/>
      <c r="C1210" s="1016"/>
      <c r="D1210" s="952"/>
      <c r="E1210" s="981"/>
      <c r="F1210" s="952"/>
      <c r="G1210" s="981"/>
      <c r="H1210" s="981"/>
      <c r="I1210" s="981"/>
      <c r="J1210" s="981"/>
      <c r="K1210" s="981"/>
      <c r="O1210" s="981"/>
      <c r="P1210" s="981"/>
      <c r="Q1210" s="92"/>
    </row>
    <row r="1211" spans="1:17" ht="15" customHeight="1">
      <c r="A1211" s="981"/>
      <c r="B1211" s="981"/>
      <c r="C1211" s="1016"/>
      <c r="D1211" s="952"/>
      <c r="E1211" s="981"/>
      <c r="F1211" s="952"/>
      <c r="G1211" s="981"/>
      <c r="H1211" s="981"/>
      <c r="I1211" s="981"/>
      <c r="J1211" s="981"/>
      <c r="K1211" s="981"/>
      <c r="O1211" s="981"/>
      <c r="P1211" s="981"/>
      <c r="Q1211" s="92"/>
    </row>
    <row r="1212" spans="1:17" ht="15" customHeight="1">
      <c r="A1212" s="981"/>
      <c r="B1212" s="981"/>
      <c r="C1212" s="1016"/>
      <c r="D1212" s="952"/>
      <c r="E1212" s="981"/>
      <c r="F1212" s="952"/>
      <c r="G1212" s="981"/>
      <c r="H1212" s="981"/>
      <c r="I1212" s="981"/>
      <c r="J1212" s="981"/>
      <c r="K1212" s="981"/>
      <c r="O1212" s="981"/>
      <c r="P1212" s="981"/>
      <c r="Q1212" s="92"/>
    </row>
    <row r="1213" spans="1:17" ht="15" customHeight="1">
      <c r="A1213" s="981"/>
      <c r="B1213" s="981"/>
      <c r="C1213" s="1016"/>
      <c r="D1213" s="952"/>
      <c r="E1213" s="981"/>
      <c r="F1213" s="952"/>
      <c r="G1213" s="981"/>
      <c r="H1213" s="981"/>
      <c r="I1213" s="981"/>
      <c r="J1213" s="981"/>
      <c r="K1213" s="981"/>
      <c r="O1213" s="981"/>
      <c r="P1213" s="981"/>
      <c r="Q1213" s="92"/>
    </row>
    <row r="1214" spans="1:17" ht="15" customHeight="1">
      <c r="A1214" s="981"/>
      <c r="B1214" s="981"/>
      <c r="C1214" s="1016"/>
      <c r="D1214" s="952"/>
      <c r="E1214" s="981"/>
      <c r="F1214" s="952"/>
      <c r="G1214" s="981"/>
      <c r="H1214" s="981"/>
      <c r="I1214" s="981"/>
      <c r="J1214" s="981"/>
      <c r="K1214" s="981"/>
      <c r="O1214" s="981"/>
      <c r="P1214" s="981"/>
      <c r="Q1214" s="92"/>
    </row>
    <row r="1215" spans="1:17" ht="15" customHeight="1">
      <c r="A1215" s="981"/>
      <c r="B1215" s="981"/>
      <c r="C1215" s="1016"/>
      <c r="D1215" s="952"/>
      <c r="E1215" s="981"/>
      <c r="F1215" s="952"/>
      <c r="G1215" s="981"/>
      <c r="H1215" s="981"/>
      <c r="I1215" s="981"/>
      <c r="J1215" s="981"/>
      <c r="K1215" s="981"/>
      <c r="O1215" s="981"/>
      <c r="P1215" s="981"/>
      <c r="Q1215" s="92"/>
    </row>
    <row r="1216" spans="1:17" ht="15" customHeight="1">
      <c r="A1216" s="981"/>
      <c r="B1216" s="981"/>
      <c r="C1216" s="1016"/>
      <c r="D1216" s="952"/>
      <c r="E1216" s="981"/>
      <c r="F1216" s="952"/>
      <c r="G1216" s="981"/>
      <c r="H1216" s="981"/>
      <c r="I1216" s="981"/>
      <c r="J1216" s="981"/>
      <c r="K1216" s="981"/>
      <c r="O1216" s="981"/>
      <c r="P1216" s="981"/>
      <c r="Q1216" s="92"/>
    </row>
    <row r="1217" spans="1:17" ht="15" customHeight="1">
      <c r="A1217" s="981"/>
      <c r="B1217" s="981"/>
      <c r="C1217" s="1016"/>
      <c r="D1217" s="952"/>
      <c r="E1217" s="981"/>
      <c r="F1217" s="952"/>
      <c r="G1217" s="981"/>
      <c r="H1217" s="981"/>
      <c r="I1217" s="981"/>
      <c r="J1217" s="981"/>
      <c r="K1217" s="981"/>
      <c r="O1217" s="981"/>
      <c r="P1217" s="981"/>
      <c r="Q1217" s="92"/>
    </row>
    <row r="1218" spans="1:17" ht="15" customHeight="1">
      <c r="A1218" s="981"/>
      <c r="B1218" s="981"/>
      <c r="C1218" s="1016"/>
      <c r="D1218" s="952"/>
      <c r="E1218" s="981"/>
      <c r="F1218" s="952"/>
      <c r="G1218" s="981"/>
      <c r="H1218" s="981"/>
      <c r="I1218" s="981"/>
      <c r="J1218" s="981"/>
      <c r="K1218" s="981"/>
      <c r="O1218" s="981"/>
      <c r="P1218" s="981"/>
      <c r="Q1218" s="92"/>
    </row>
    <row r="1219" spans="1:17" ht="15" customHeight="1">
      <c r="A1219" s="981"/>
      <c r="B1219" s="981"/>
      <c r="C1219" s="1016"/>
      <c r="D1219" s="952"/>
      <c r="E1219" s="981"/>
      <c r="F1219" s="952"/>
      <c r="G1219" s="981"/>
      <c r="H1219" s="981"/>
      <c r="I1219" s="981"/>
      <c r="J1219" s="981"/>
      <c r="K1219" s="981"/>
      <c r="O1219" s="981"/>
      <c r="P1219" s="981"/>
      <c r="Q1219" s="92"/>
    </row>
    <row r="1220" spans="1:17" ht="15" customHeight="1">
      <c r="A1220" s="981"/>
      <c r="B1220" s="981"/>
      <c r="C1220" s="1016"/>
      <c r="D1220" s="952"/>
      <c r="E1220" s="981"/>
      <c r="F1220" s="952"/>
      <c r="G1220" s="981"/>
      <c r="H1220" s="981"/>
      <c r="I1220" s="981"/>
      <c r="J1220" s="981"/>
      <c r="K1220" s="981"/>
      <c r="O1220" s="981"/>
      <c r="P1220" s="981"/>
      <c r="Q1220" s="92"/>
    </row>
    <row r="1221" spans="1:17" ht="15" customHeight="1">
      <c r="A1221" s="981"/>
      <c r="B1221" s="981"/>
      <c r="C1221" s="1016"/>
      <c r="D1221" s="952"/>
      <c r="E1221" s="981"/>
      <c r="F1221" s="952"/>
      <c r="G1221" s="981"/>
      <c r="H1221" s="981"/>
      <c r="I1221" s="981"/>
      <c r="J1221" s="981"/>
      <c r="K1221" s="981"/>
      <c r="O1221" s="981"/>
      <c r="P1221" s="981"/>
      <c r="Q1221" s="92"/>
    </row>
    <row r="1222" spans="1:17" ht="15" customHeight="1">
      <c r="A1222" s="981"/>
      <c r="B1222" s="981"/>
      <c r="C1222" s="1016"/>
      <c r="D1222" s="952"/>
      <c r="E1222" s="981"/>
      <c r="F1222" s="952"/>
      <c r="G1222" s="981"/>
      <c r="H1222" s="981"/>
      <c r="I1222" s="981"/>
      <c r="J1222" s="981"/>
      <c r="K1222" s="981"/>
      <c r="O1222" s="981"/>
      <c r="P1222" s="981"/>
      <c r="Q1222" s="92"/>
    </row>
    <row r="1223" spans="1:17" ht="15" customHeight="1">
      <c r="A1223" s="981"/>
      <c r="B1223" s="981"/>
      <c r="C1223" s="1016"/>
      <c r="D1223" s="952"/>
      <c r="E1223" s="981"/>
      <c r="F1223" s="952"/>
      <c r="G1223" s="981"/>
      <c r="H1223" s="981"/>
      <c r="I1223" s="981"/>
      <c r="J1223" s="981"/>
      <c r="K1223" s="981"/>
      <c r="O1223" s="981"/>
      <c r="P1223" s="981"/>
      <c r="Q1223" s="92"/>
    </row>
    <row r="1224" spans="1:17" ht="15" customHeight="1">
      <c r="A1224" s="981"/>
      <c r="B1224" s="981"/>
      <c r="C1224" s="1016"/>
      <c r="D1224" s="952"/>
      <c r="E1224" s="981"/>
      <c r="F1224" s="952"/>
      <c r="G1224" s="981"/>
      <c r="H1224" s="981"/>
      <c r="I1224" s="981"/>
      <c r="J1224" s="981"/>
      <c r="K1224" s="981"/>
      <c r="O1224" s="981"/>
      <c r="P1224" s="981"/>
      <c r="Q1224" s="92"/>
    </row>
    <row r="1225" spans="1:17" ht="15" customHeight="1">
      <c r="A1225" s="981"/>
      <c r="B1225" s="981"/>
      <c r="C1225" s="1016"/>
      <c r="D1225" s="952"/>
      <c r="E1225" s="981"/>
      <c r="F1225" s="952"/>
      <c r="G1225" s="981"/>
      <c r="H1225" s="981"/>
      <c r="I1225" s="981"/>
      <c r="J1225" s="981"/>
      <c r="K1225" s="981"/>
      <c r="O1225" s="981"/>
      <c r="P1225" s="981"/>
      <c r="Q1225" s="92"/>
    </row>
    <row r="1226" spans="1:17" ht="15" customHeight="1">
      <c r="A1226" s="981"/>
      <c r="B1226" s="981"/>
      <c r="C1226" s="1016"/>
      <c r="D1226" s="952"/>
      <c r="E1226" s="981"/>
      <c r="F1226" s="952"/>
      <c r="G1226" s="981"/>
      <c r="H1226" s="981"/>
      <c r="I1226" s="981"/>
      <c r="J1226" s="981"/>
      <c r="K1226" s="981"/>
      <c r="O1226" s="981"/>
      <c r="P1226" s="981"/>
      <c r="Q1226" s="92"/>
    </row>
    <row r="1227" spans="1:17" ht="15" customHeight="1">
      <c r="A1227" s="981"/>
      <c r="B1227" s="981"/>
      <c r="C1227" s="1016"/>
      <c r="D1227" s="952"/>
      <c r="E1227" s="981"/>
      <c r="F1227" s="952"/>
      <c r="G1227" s="981"/>
      <c r="H1227" s="981"/>
      <c r="I1227" s="981"/>
      <c r="J1227" s="981"/>
      <c r="K1227" s="981"/>
      <c r="O1227" s="981"/>
      <c r="P1227" s="981"/>
      <c r="Q1227" s="92"/>
    </row>
    <row r="1228" spans="1:17" ht="15" customHeight="1">
      <c r="A1228" s="981"/>
      <c r="B1228" s="981"/>
      <c r="C1228" s="1016"/>
      <c r="D1228" s="952"/>
      <c r="E1228" s="981"/>
      <c r="F1228" s="952"/>
      <c r="G1228" s="981"/>
      <c r="H1228" s="981"/>
      <c r="I1228" s="981"/>
      <c r="J1228" s="981"/>
      <c r="K1228" s="981"/>
      <c r="O1228" s="981"/>
      <c r="P1228" s="981"/>
      <c r="Q1228" s="92"/>
    </row>
    <row r="1229" spans="1:17" ht="15" customHeight="1">
      <c r="A1229" s="981"/>
      <c r="B1229" s="981"/>
      <c r="C1229" s="1016"/>
      <c r="D1229" s="952"/>
      <c r="E1229" s="981"/>
      <c r="F1229" s="952"/>
      <c r="G1229" s="981"/>
      <c r="H1229" s="981"/>
      <c r="I1229" s="981"/>
      <c r="J1229" s="981"/>
      <c r="K1229" s="981"/>
      <c r="O1229" s="981"/>
      <c r="P1229" s="981"/>
      <c r="Q1229" s="92"/>
    </row>
    <row r="1230" spans="1:17" ht="15" customHeight="1">
      <c r="A1230" s="981"/>
      <c r="B1230" s="981"/>
      <c r="C1230" s="1016"/>
      <c r="D1230" s="952"/>
      <c r="E1230" s="981"/>
      <c r="F1230" s="952"/>
      <c r="G1230" s="981"/>
      <c r="H1230" s="981"/>
      <c r="I1230" s="981"/>
      <c r="J1230" s="981"/>
      <c r="K1230" s="981"/>
      <c r="O1230" s="981"/>
      <c r="P1230" s="981"/>
      <c r="Q1230" s="92"/>
    </row>
    <row r="1231" spans="1:17" ht="15" customHeight="1">
      <c r="A1231" s="981"/>
      <c r="B1231" s="981"/>
      <c r="C1231" s="1016"/>
      <c r="D1231" s="952"/>
      <c r="E1231" s="981"/>
      <c r="F1231" s="952"/>
      <c r="G1231" s="981"/>
      <c r="H1231" s="981"/>
      <c r="I1231" s="981"/>
      <c r="J1231" s="981"/>
      <c r="K1231" s="981"/>
      <c r="O1231" s="981"/>
      <c r="P1231" s="981"/>
      <c r="Q1231" s="92"/>
    </row>
    <row r="1232" spans="1:17" ht="15" customHeight="1">
      <c r="A1232" s="981"/>
      <c r="B1232" s="981"/>
      <c r="C1232" s="1016"/>
      <c r="D1232" s="952"/>
      <c r="E1232" s="981"/>
      <c r="F1232" s="952"/>
      <c r="G1232" s="981"/>
      <c r="H1232" s="981"/>
      <c r="I1232" s="981"/>
      <c r="J1232" s="981"/>
      <c r="K1232" s="981"/>
      <c r="O1232" s="981"/>
      <c r="P1232" s="981"/>
      <c r="Q1232" s="92"/>
    </row>
    <row r="1233" spans="1:17" ht="15" customHeight="1">
      <c r="A1233" s="981"/>
      <c r="B1233" s="981"/>
      <c r="C1233" s="1016"/>
      <c r="D1233" s="952"/>
      <c r="E1233" s="981"/>
      <c r="F1233" s="952"/>
      <c r="G1233" s="981"/>
      <c r="H1233" s="981"/>
      <c r="I1233" s="981"/>
      <c r="J1233" s="981"/>
      <c r="K1233" s="981"/>
      <c r="O1233" s="981"/>
      <c r="P1233" s="981"/>
      <c r="Q1233" s="92"/>
    </row>
    <row r="1234" spans="1:17" ht="15" customHeight="1">
      <c r="A1234" s="981"/>
      <c r="B1234" s="981"/>
      <c r="C1234" s="1016"/>
      <c r="D1234" s="952"/>
      <c r="E1234" s="981"/>
      <c r="F1234" s="952"/>
      <c r="G1234" s="981"/>
      <c r="H1234" s="981"/>
      <c r="I1234" s="981"/>
      <c r="J1234" s="981"/>
      <c r="K1234" s="981"/>
      <c r="O1234" s="981"/>
      <c r="P1234" s="981"/>
      <c r="Q1234" s="92"/>
    </row>
    <row r="1235" spans="1:17" ht="15" customHeight="1">
      <c r="A1235" s="981"/>
      <c r="B1235" s="981"/>
      <c r="C1235" s="1016"/>
      <c r="D1235" s="952"/>
      <c r="E1235" s="981"/>
      <c r="F1235" s="952"/>
      <c r="G1235" s="981"/>
      <c r="H1235" s="981"/>
      <c r="I1235" s="981"/>
      <c r="J1235" s="981"/>
      <c r="K1235" s="981"/>
      <c r="O1235" s="981"/>
      <c r="P1235" s="981"/>
      <c r="Q1235" s="92"/>
    </row>
    <row r="1236" spans="1:17" ht="15" customHeight="1">
      <c r="A1236" s="981"/>
      <c r="B1236" s="981"/>
      <c r="C1236" s="1016"/>
      <c r="D1236" s="952"/>
      <c r="E1236" s="981"/>
      <c r="F1236" s="952"/>
      <c r="G1236" s="981"/>
      <c r="H1236" s="981"/>
      <c r="I1236" s="981"/>
      <c r="J1236" s="981"/>
      <c r="K1236" s="981"/>
      <c r="O1236" s="981"/>
      <c r="P1236" s="981"/>
      <c r="Q1236" s="92"/>
    </row>
    <row r="1237" spans="1:17" ht="15" customHeight="1">
      <c r="A1237" s="981"/>
      <c r="B1237" s="981"/>
      <c r="C1237" s="1016"/>
      <c r="D1237" s="952"/>
      <c r="E1237" s="981"/>
      <c r="F1237" s="952"/>
      <c r="G1237" s="981"/>
      <c r="H1237" s="981"/>
      <c r="I1237" s="981"/>
      <c r="J1237" s="981"/>
      <c r="K1237" s="981"/>
      <c r="O1237" s="981"/>
      <c r="P1237" s="981"/>
      <c r="Q1237" s="92"/>
    </row>
    <row r="1238" spans="1:17" ht="15" customHeight="1">
      <c r="A1238" s="981"/>
      <c r="B1238" s="981"/>
      <c r="C1238" s="1016"/>
      <c r="D1238" s="952"/>
      <c r="E1238" s="981"/>
      <c r="F1238" s="952"/>
      <c r="G1238" s="981"/>
      <c r="H1238" s="981"/>
      <c r="I1238" s="981"/>
      <c r="J1238" s="981"/>
      <c r="K1238" s="981"/>
      <c r="O1238" s="981"/>
      <c r="P1238" s="981"/>
      <c r="Q1238" s="92"/>
    </row>
    <row r="1239" spans="1:17" ht="15" customHeight="1">
      <c r="A1239" s="981"/>
      <c r="B1239" s="981"/>
      <c r="C1239" s="1016"/>
      <c r="D1239" s="952"/>
      <c r="E1239" s="981"/>
      <c r="F1239" s="952"/>
      <c r="G1239" s="981"/>
      <c r="H1239" s="981"/>
      <c r="I1239" s="981"/>
      <c r="J1239" s="981"/>
      <c r="K1239" s="981"/>
      <c r="O1239" s="981"/>
      <c r="P1239" s="981"/>
      <c r="Q1239" s="92"/>
    </row>
    <row r="1240" spans="1:17" ht="15" customHeight="1">
      <c r="A1240" s="981"/>
      <c r="B1240" s="981"/>
      <c r="C1240" s="1016"/>
      <c r="D1240" s="952"/>
      <c r="E1240" s="981"/>
      <c r="F1240" s="952"/>
      <c r="G1240" s="981"/>
      <c r="H1240" s="981"/>
      <c r="I1240" s="981"/>
      <c r="J1240" s="981"/>
      <c r="K1240" s="981"/>
      <c r="O1240" s="981"/>
      <c r="P1240" s="981"/>
      <c r="Q1240" s="92"/>
    </row>
    <row r="1241" spans="1:17" ht="15" customHeight="1">
      <c r="A1241" s="981"/>
      <c r="B1241" s="981"/>
      <c r="C1241" s="1016"/>
      <c r="D1241" s="952"/>
      <c r="E1241" s="981"/>
      <c r="F1241" s="952"/>
      <c r="G1241" s="981"/>
      <c r="H1241" s="981"/>
      <c r="I1241" s="981"/>
      <c r="J1241" s="981"/>
      <c r="K1241" s="981"/>
      <c r="O1241" s="981"/>
      <c r="P1241" s="981"/>
      <c r="Q1241" s="92"/>
    </row>
    <row r="1242" spans="1:17" ht="15" customHeight="1">
      <c r="A1242" s="981"/>
      <c r="B1242" s="981"/>
      <c r="C1242" s="1016"/>
      <c r="D1242" s="952"/>
      <c r="E1242" s="981"/>
      <c r="F1242" s="952"/>
      <c r="G1242" s="981"/>
      <c r="H1242" s="981"/>
      <c r="I1242" s="981"/>
      <c r="J1242" s="981"/>
      <c r="K1242" s="981"/>
      <c r="O1242" s="981"/>
      <c r="P1242" s="981"/>
      <c r="Q1242" s="92"/>
    </row>
    <row r="1243" spans="1:17" ht="15" customHeight="1">
      <c r="A1243" s="981"/>
      <c r="B1243" s="981"/>
      <c r="C1243" s="1016"/>
      <c r="D1243" s="952"/>
      <c r="E1243" s="981"/>
      <c r="F1243" s="952"/>
      <c r="G1243" s="981"/>
      <c r="H1243" s="981"/>
      <c r="I1243" s="981"/>
      <c r="J1243" s="981"/>
      <c r="K1243" s="981"/>
      <c r="O1243" s="981"/>
      <c r="P1243" s="981"/>
      <c r="Q1243" s="92"/>
    </row>
    <row r="1244" spans="1:17" ht="15" customHeight="1">
      <c r="A1244" s="981"/>
      <c r="B1244" s="981"/>
      <c r="C1244" s="1016"/>
      <c r="D1244" s="952"/>
      <c r="E1244" s="981"/>
      <c r="F1244" s="952"/>
      <c r="G1244" s="981"/>
      <c r="H1244" s="981"/>
      <c r="I1244" s="981"/>
      <c r="J1244" s="981"/>
      <c r="K1244" s="981"/>
      <c r="O1244" s="981"/>
      <c r="P1244" s="981"/>
      <c r="Q1244" s="92"/>
    </row>
    <row r="1245" spans="1:17" ht="15" customHeight="1">
      <c r="A1245" s="981"/>
      <c r="B1245" s="981"/>
      <c r="C1245" s="1016"/>
      <c r="D1245" s="952"/>
      <c r="E1245" s="981"/>
      <c r="F1245" s="952"/>
      <c r="G1245" s="981"/>
      <c r="H1245" s="981"/>
      <c r="I1245" s="981"/>
      <c r="J1245" s="981"/>
      <c r="K1245" s="981"/>
      <c r="O1245" s="981"/>
      <c r="P1245" s="981"/>
      <c r="Q1245" s="92"/>
    </row>
    <row r="1246" spans="1:17" ht="15" customHeight="1">
      <c r="A1246" s="981"/>
      <c r="B1246" s="981"/>
      <c r="C1246" s="1016"/>
      <c r="D1246" s="952"/>
      <c r="E1246" s="981"/>
      <c r="F1246" s="952"/>
      <c r="G1246" s="981"/>
      <c r="H1246" s="981"/>
      <c r="I1246" s="981"/>
      <c r="J1246" s="981"/>
      <c r="K1246" s="981"/>
      <c r="O1246" s="981"/>
      <c r="P1246" s="981"/>
      <c r="Q1246" s="92"/>
    </row>
    <row r="1247" spans="1:17" ht="15" customHeight="1">
      <c r="A1247" s="981"/>
      <c r="B1247" s="981"/>
      <c r="C1247" s="1016"/>
      <c r="D1247" s="952"/>
      <c r="E1247" s="981"/>
      <c r="F1247" s="952"/>
      <c r="G1247" s="981"/>
      <c r="H1247" s="981"/>
      <c r="I1247" s="981"/>
      <c r="J1247" s="981"/>
      <c r="K1247" s="981"/>
      <c r="O1247" s="981"/>
      <c r="P1247" s="981"/>
      <c r="Q1247" s="92"/>
    </row>
    <row r="1248" spans="1:17" ht="15" customHeight="1">
      <c r="A1248" s="981"/>
      <c r="B1248" s="981"/>
      <c r="C1248" s="1016"/>
      <c r="D1248" s="952"/>
      <c r="E1248" s="981"/>
      <c r="F1248" s="952"/>
      <c r="G1248" s="981"/>
      <c r="H1248" s="981"/>
      <c r="I1248" s="981"/>
      <c r="J1248" s="981"/>
      <c r="K1248" s="981"/>
      <c r="O1248" s="981"/>
      <c r="P1248" s="981"/>
      <c r="Q1248" s="92"/>
    </row>
    <row r="1249" spans="1:17" ht="15" customHeight="1">
      <c r="A1249" s="981"/>
      <c r="B1249" s="981"/>
      <c r="C1249" s="1016"/>
      <c r="D1249" s="952"/>
      <c r="E1249" s="981"/>
      <c r="F1249" s="952"/>
      <c r="G1249" s="981"/>
      <c r="H1249" s="981"/>
      <c r="I1249" s="981"/>
      <c r="J1249" s="981"/>
      <c r="K1249" s="981"/>
      <c r="O1249" s="981"/>
      <c r="P1249" s="981"/>
      <c r="Q1249" s="92"/>
    </row>
    <row r="1250" spans="1:17" ht="15" customHeight="1">
      <c r="A1250" s="981"/>
      <c r="B1250" s="981"/>
      <c r="C1250" s="1016"/>
      <c r="D1250" s="952"/>
      <c r="E1250" s="981"/>
      <c r="F1250" s="952"/>
      <c r="G1250" s="981"/>
      <c r="H1250" s="981"/>
      <c r="I1250" s="981"/>
      <c r="J1250" s="981"/>
      <c r="K1250" s="981"/>
      <c r="O1250" s="981"/>
      <c r="P1250" s="981"/>
      <c r="Q1250" s="92"/>
    </row>
    <row r="1251" spans="1:17" ht="15" customHeight="1">
      <c r="A1251" s="981"/>
      <c r="B1251" s="981"/>
      <c r="C1251" s="1016"/>
      <c r="D1251" s="952"/>
      <c r="E1251" s="981"/>
      <c r="F1251" s="952"/>
      <c r="G1251" s="981"/>
      <c r="H1251" s="981"/>
      <c r="I1251" s="981"/>
      <c r="J1251" s="981"/>
      <c r="K1251" s="981"/>
      <c r="O1251" s="981"/>
      <c r="P1251" s="981"/>
      <c r="Q1251" s="92"/>
    </row>
    <row r="1252" spans="1:17" ht="15" customHeight="1">
      <c r="A1252" s="981"/>
      <c r="B1252" s="981"/>
      <c r="C1252" s="1016"/>
      <c r="D1252" s="952"/>
      <c r="E1252" s="981"/>
      <c r="F1252" s="952"/>
      <c r="G1252" s="981"/>
      <c r="H1252" s="981"/>
      <c r="I1252" s="981"/>
      <c r="J1252" s="981"/>
      <c r="K1252" s="981"/>
      <c r="O1252" s="981"/>
      <c r="P1252" s="981"/>
      <c r="Q1252" s="92"/>
    </row>
    <row r="1253" spans="1:17" ht="15" customHeight="1">
      <c r="A1253" s="981"/>
      <c r="B1253" s="981"/>
      <c r="C1253" s="1016"/>
      <c r="D1253" s="952"/>
      <c r="E1253" s="981"/>
      <c r="F1253" s="952"/>
      <c r="G1253" s="981"/>
      <c r="H1253" s="981"/>
      <c r="I1253" s="981"/>
      <c r="J1253" s="981"/>
      <c r="K1253" s="981"/>
      <c r="O1253" s="981"/>
      <c r="P1253" s="981"/>
      <c r="Q1253" s="92"/>
    </row>
    <row r="1254" spans="1:17" ht="15" customHeight="1">
      <c r="A1254" s="981"/>
      <c r="B1254" s="981"/>
      <c r="C1254" s="1016"/>
      <c r="D1254" s="952"/>
      <c r="E1254" s="981"/>
      <c r="F1254" s="952"/>
      <c r="G1254" s="981"/>
      <c r="H1254" s="981"/>
      <c r="I1254" s="981"/>
      <c r="J1254" s="981"/>
      <c r="K1254" s="981"/>
      <c r="O1254" s="981"/>
      <c r="P1254" s="981"/>
      <c r="Q1254" s="92"/>
    </row>
    <row r="1255" spans="1:17" ht="15" customHeight="1">
      <c r="A1255" s="981"/>
      <c r="B1255" s="981"/>
      <c r="C1255" s="1016"/>
      <c r="D1255" s="952"/>
      <c r="E1255" s="981"/>
      <c r="F1255" s="952"/>
      <c r="G1255" s="981"/>
      <c r="H1255" s="981"/>
      <c r="I1255" s="981"/>
      <c r="J1255" s="981"/>
      <c r="K1255" s="981"/>
      <c r="O1255" s="981"/>
      <c r="P1255" s="981"/>
      <c r="Q1255" s="92"/>
    </row>
    <row r="1256" spans="1:17" ht="15" customHeight="1">
      <c r="A1256" s="981"/>
      <c r="B1256" s="981"/>
      <c r="C1256" s="1016"/>
      <c r="D1256" s="952"/>
      <c r="E1256" s="981"/>
      <c r="F1256" s="952"/>
      <c r="G1256" s="981"/>
      <c r="H1256" s="981"/>
      <c r="I1256" s="981"/>
      <c r="J1256" s="981"/>
      <c r="K1256" s="981"/>
      <c r="O1256" s="981"/>
      <c r="P1256" s="981"/>
      <c r="Q1256" s="92"/>
    </row>
    <row r="1257" spans="1:17" ht="15" customHeight="1">
      <c r="A1257" s="981"/>
      <c r="B1257" s="981"/>
      <c r="C1257" s="1016"/>
      <c r="D1257" s="952"/>
      <c r="E1257" s="981"/>
      <c r="F1257" s="952"/>
      <c r="G1257" s="981"/>
      <c r="H1257" s="981"/>
      <c r="I1257" s="981"/>
      <c r="J1257" s="981"/>
      <c r="K1257" s="981"/>
      <c r="O1257" s="981"/>
      <c r="P1257" s="981"/>
      <c r="Q1257" s="92"/>
    </row>
    <row r="1258" spans="1:17" ht="15" customHeight="1">
      <c r="A1258" s="981"/>
      <c r="B1258" s="981"/>
      <c r="C1258" s="1016"/>
      <c r="D1258" s="952"/>
      <c r="E1258" s="981"/>
      <c r="F1258" s="952"/>
      <c r="G1258" s="981"/>
      <c r="H1258" s="981"/>
      <c r="I1258" s="981"/>
      <c r="J1258" s="981"/>
      <c r="K1258" s="981"/>
      <c r="O1258" s="981"/>
      <c r="P1258" s="981"/>
      <c r="Q1258" s="92"/>
    </row>
    <row r="1259" spans="1:17" ht="15" customHeight="1">
      <c r="A1259" s="981"/>
      <c r="B1259" s="981"/>
      <c r="C1259" s="1016"/>
      <c r="D1259" s="952"/>
      <c r="E1259" s="981"/>
      <c r="F1259" s="952"/>
      <c r="G1259" s="981"/>
      <c r="H1259" s="981"/>
      <c r="I1259" s="981"/>
      <c r="J1259" s="981"/>
      <c r="K1259" s="981"/>
      <c r="O1259" s="981"/>
      <c r="P1259" s="981"/>
      <c r="Q1259" s="92"/>
    </row>
    <row r="1260" spans="1:17" ht="15" customHeight="1">
      <c r="A1260" s="981"/>
      <c r="B1260" s="981"/>
      <c r="C1260" s="1016"/>
      <c r="D1260" s="952"/>
      <c r="E1260" s="981"/>
      <c r="F1260" s="952"/>
      <c r="G1260" s="981"/>
      <c r="H1260" s="981"/>
      <c r="I1260" s="981"/>
      <c r="J1260" s="981"/>
      <c r="K1260" s="981"/>
      <c r="O1260" s="981"/>
      <c r="P1260" s="981"/>
      <c r="Q1260" s="92"/>
    </row>
    <row r="1261" spans="1:17" ht="15" customHeight="1">
      <c r="A1261" s="981"/>
      <c r="B1261" s="981"/>
      <c r="C1261" s="1016"/>
      <c r="D1261" s="952"/>
      <c r="E1261" s="981"/>
      <c r="F1261" s="952"/>
      <c r="G1261" s="981"/>
      <c r="H1261" s="981"/>
      <c r="I1261" s="981"/>
      <c r="J1261" s="981"/>
      <c r="K1261" s="981"/>
      <c r="O1261" s="981"/>
      <c r="P1261" s="981"/>
      <c r="Q1261" s="92"/>
    </row>
    <row r="1262" spans="1:17" ht="15" customHeight="1">
      <c r="A1262" s="981"/>
      <c r="B1262" s="981"/>
      <c r="C1262" s="1016"/>
      <c r="D1262" s="952"/>
      <c r="E1262" s="981"/>
      <c r="F1262" s="952"/>
      <c r="G1262" s="981"/>
      <c r="H1262" s="981"/>
      <c r="I1262" s="981"/>
      <c r="J1262" s="981"/>
      <c r="K1262" s="981"/>
      <c r="O1262" s="981"/>
      <c r="P1262" s="981"/>
      <c r="Q1262" s="92"/>
    </row>
    <row r="1263" spans="1:17" ht="15" customHeight="1">
      <c r="A1263" s="981"/>
      <c r="B1263" s="981"/>
      <c r="C1263" s="1016"/>
      <c r="D1263" s="952"/>
      <c r="E1263" s="981"/>
      <c r="F1263" s="952"/>
      <c r="G1263" s="981"/>
      <c r="H1263" s="981"/>
      <c r="I1263" s="981"/>
      <c r="J1263" s="981"/>
      <c r="K1263" s="981"/>
      <c r="O1263" s="981"/>
      <c r="P1263" s="981"/>
      <c r="Q1263" s="92"/>
    </row>
    <row r="1264" spans="1:17" ht="15" customHeight="1">
      <c r="A1264" s="981"/>
      <c r="B1264" s="981"/>
      <c r="C1264" s="1016"/>
      <c r="D1264" s="952"/>
      <c r="E1264" s="981"/>
      <c r="F1264" s="952"/>
      <c r="G1264" s="981"/>
      <c r="H1264" s="981"/>
      <c r="I1264" s="981"/>
      <c r="J1264" s="981"/>
      <c r="K1264" s="981"/>
      <c r="O1264" s="981"/>
      <c r="P1264" s="981"/>
      <c r="Q1264" s="92"/>
    </row>
    <row r="1265" spans="1:17" ht="15" customHeight="1">
      <c r="A1265" s="981"/>
      <c r="B1265" s="981"/>
      <c r="C1265" s="1016"/>
      <c r="D1265" s="952"/>
      <c r="E1265" s="981"/>
      <c r="F1265" s="952"/>
      <c r="G1265" s="981"/>
      <c r="H1265" s="981"/>
      <c r="I1265" s="981"/>
      <c r="J1265" s="981"/>
      <c r="K1265" s="981"/>
      <c r="O1265" s="981"/>
      <c r="P1265" s="981"/>
      <c r="Q1265" s="92"/>
    </row>
    <row r="1266" spans="1:17" ht="15" customHeight="1">
      <c r="A1266" s="981"/>
      <c r="B1266" s="981"/>
      <c r="C1266" s="1016"/>
      <c r="D1266" s="952"/>
      <c r="E1266" s="981"/>
      <c r="F1266" s="952"/>
      <c r="G1266" s="981"/>
      <c r="H1266" s="981"/>
      <c r="I1266" s="981"/>
      <c r="J1266" s="981"/>
      <c r="K1266" s="981"/>
      <c r="O1266" s="981"/>
      <c r="P1266" s="981"/>
      <c r="Q1266" s="92"/>
    </row>
    <row r="1267" spans="1:17" ht="15" customHeight="1">
      <c r="A1267" s="981"/>
      <c r="B1267" s="981"/>
      <c r="C1267" s="1016"/>
      <c r="D1267" s="952"/>
      <c r="E1267" s="981"/>
      <c r="F1267" s="952"/>
      <c r="G1267" s="981"/>
      <c r="H1267" s="981"/>
      <c r="I1267" s="981"/>
      <c r="J1267" s="981"/>
      <c r="K1267" s="981"/>
      <c r="O1267" s="981"/>
      <c r="P1267" s="981"/>
      <c r="Q1267" s="92"/>
    </row>
    <row r="1268" spans="1:17" ht="15" customHeight="1">
      <c r="A1268" s="981"/>
      <c r="B1268" s="981"/>
      <c r="C1268" s="1016"/>
      <c r="D1268" s="952"/>
      <c r="E1268" s="981"/>
      <c r="F1268" s="952"/>
      <c r="G1268" s="981"/>
      <c r="H1268" s="981"/>
      <c r="I1268" s="981"/>
      <c r="J1268" s="981"/>
      <c r="K1268" s="981"/>
      <c r="O1268" s="981"/>
      <c r="P1268" s="981"/>
      <c r="Q1268" s="92"/>
    </row>
    <row r="1269" spans="1:17" ht="15" customHeight="1">
      <c r="A1269" s="981"/>
      <c r="B1269" s="981"/>
      <c r="C1269" s="1016"/>
      <c r="D1269" s="952"/>
      <c r="E1269" s="981"/>
      <c r="F1269" s="952"/>
      <c r="G1269" s="981"/>
      <c r="H1269" s="981"/>
      <c r="I1269" s="981"/>
      <c r="J1269" s="981"/>
      <c r="K1269" s="981"/>
      <c r="O1269" s="981"/>
      <c r="P1269" s="981"/>
      <c r="Q1269" s="92"/>
    </row>
    <row r="1270" spans="1:17" ht="15" customHeight="1">
      <c r="A1270" s="981"/>
      <c r="B1270" s="981"/>
      <c r="C1270" s="1016"/>
      <c r="D1270" s="952"/>
      <c r="E1270" s="981"/>
      <c r="F1270" s="952"/>
      <c r="G1270" s="981"/>
      <c r="H1270" s="981"/>
      <c r="I1270" s="981"/>
      <c r="J1270" s="981"/>
      <c r="K1270" s="981"/>
      <c r="O1270" s="981"/>
      <c r="P1270" s="981"/>
      <c r="Q1270" s="92"/>
    </row>
    <row r="1271" spans="1:17" ht="15" customHeight="1">
      <c r="A1271" s="981"/>
      <c r="B1271" s="981"/>
      <c r="C1271" s="1016"/>
      <c r="D1271" s="952"/>
      <c r="E1271" s="981"/>
      <c r="F1271" s="952"/>
      <c r="G1271" s="981"/>
      <c r="H1271" s="981"/>
      <c r="I1271" s="981"/>
      <c r="J1271" s="981"/>
      <c r="K1271" s="981"/>
      <c r="O1271" s="981"/>
      <c r="P1271" s="981"/>
      <c r="Q1271" s="92"/>
    </row>
    <row r="1272" spans="1:17" ht="15" customHeight="1">
      <c r="A1272" s="981"/>
      <c r="B1272" s="981"/>
      <c r="C1272" s="1016"/>
      <c r="D1272" s="952"/>
      <c r="E1272" s="981"/>
      <c r="F1272" s="952"/>
      <c r="G1272" s="981"/>
      <c r="H1272" s="981"/>
      <c r="I1272" s="981"/>
      <c r="J1272" s="981"/>
      <c r="K1272" s="981"/>
      <c r="O1272" s="981"/>
      <c r="P1272" s="981"/>
      <c r="Q1272" s="92"/>
    </row>
    <row r="1273" spans="1:17" ht="15" customHeight="1">
      <c r="A1273" s="981"/>
      <c r="B1273" s="981"/>
      <c r="C1273" s="1016"/>
      <c r="D1273" s="952"/>
      <c r="E1273" s="981"/>
      <c r="F1273" s="952"/>
      <c r="G1273" s="981"/>
      <c r="H1273" s="981"/>
      <c r="I1273" s="981"/>
      <c r="J1273" s="981"/>
      <c r="K1273" s="981"/>
      <c r="O1273" s="981"/>
      <c r="P1273" s="981"/>
      <c r="Q1273" s="92"/>
    </row>
    <row r="1274" spans="1:17" ht="15" customHeight="1">
      <c r="A1274" s="981"/>
      <c r="B1274" s="981"/>
      <c r="C1274" s="1016"/>
      <c r="D1274" s="952"/>
      <c r="E1274" s="981"/>
      <c r="F1274" s="952"/>
      <c r="G1274" s="981"/>
      <c r="H1274" s="981"/>
      <c r="I1274" s="981"/>
      <c r="J1274" s="981"/>
      <c r="K1274" s="981"/>
      <c r="O1274" s="981"/>
      <c r="P1274" s="981"/>
      <c r="Q1274" s="92"/>
    </row>
    <row r="1275" spans="1:17" ht="15" customHeight="1">
      <c r="A1275" s="981"/>
      <c r="B1275" s="981"/>
      <c r="C1275" s="1016"/>
      <c r="D1275" s="952"/>
      <c r="E1275" s="981"/>
      <c r="F1275" s="952"/>
      <c r="G1275" s="981"/>
      <c r="H1275" s="981"/>
      <c r="I1275" s="981"/>
      <c r="J1275" s="981"/>
      <c r="K1275" s="981"/>
      <c r="O1275" s="981"/>
      <c r="P1275" s="981"/>
      <c r="Q1275" s="92"/>
    </row>
    <row r="1276" spans="1:17" ht="15" customHeight="1">
      <c r="A1276" s="981"/>
      <c r="B1276" s="981"/>
      <c r="C1276" s="1016"/>
      <c r="D1276" s="952"/>
      <c r="E1276" s="981"/>
      <c r="F1276" s="952"/>
      <c r="G1276" s="981"/>
      <c r="H1276" s="981"/>
      <c r="I1276" s="981"/>
      <c r="J1276" s="981"/>
      <c r="K1276" s="981"/>
      <c r="O1276" s="981"/>
      <c r="P1276" s="981"/>
      <c r="Q1276" s="92"/>
    </row>
    <row r="1277" spans="1:17" ht="15" customHeight="1">
      <c r="A1277" s="981"/>
      <c r="B1277" s="981"/>
      <c r="C1277" s="1016"/>
      <c r="D1277" s="952"/>
      <c r="E1277" s="981"/>
      <c r="F1277" s="952"/>
      <c r="G1277" s="981"/>
      <c r="H1277" s="981"/>
      <c r="I1277" s="981"/>
      <c r="J1277" s="981"/>
      <c r="K1277" s="981"/>
      <c r="O1277" s="981"/>
      <c r="P1277" s="981"/>
      <c r="Q1277" s="92"/>
    </row>
    <row r="1278" spans="1:17" ht="15" customHeight="1">
      <c r="A1278" s="981"/>
      <c r="B1278" s="981"/>
      <c r="C1278" s="1016"/>
      <c r="D1278" s="952"/>
      <c r="E1278" s="981"/>
      <c r="F1278" s="952"/>
      <c r="G1278" s="981"/>
      <c r="H1278" s="981"/>
      <c r="I1278" s="981"/>
      <c r="J1278" s="981"/>
      <c r="K1278" s="981"/>
      <c r="O1278" s="981"/>
      <c r="P1278" s="981"/>
      <c r="Q1278" s="92"/>
    </row>
    <row r="1279" spans="1:17" ht="15" customHeight="1">
      <c r="A1279" s="981"/>
      <c r="B1279" s="981"/>
      <c r="C1279" s="1016"/>
      <c r="D1279" s="952"/>
      <c r="E1279" s="981"/>
      <c r="F1279" s="952"/>
      <c r="G1279" s="981"/>
      <c r="H1279" s="981"/>
      <c r="I1279" s="981"/>
      <c r="J1279" s="981"/>
      <c r="K1279" s="981"/>
      <c r="O1279" s="981"/>
      <c r="P1279" s="981"/>
      <c r="Q1279" s="92"/>
    </row>
    <row r="1280" spans="1:17" ht="15" customHeight="1">
      <c r="A1280" s="981"/>
      <c r="B1280" s="981"/>
      <c r="C1280" s="1016"/>
      <c r="D1280" s="952"/>
      <c r="E1280" s="981"/>
      <c r="F1280" s="952"/>
      <c r="G1280" s="981"/>
      <c r="H1280" s="981"/>
      <c r="I1280" s="981"/>
      <c r="J1280" s="981"/>
      <c r="K1280" s="981"/>
      <c r="O1280" s="981"/>
      <c r="P1280" s="981"/>
      <c r="Q1280" s="92"/>
    </row>
    <row r="1281" spans="1:17" ht="15" customHeight="1">
      <c r="A1281" s="981"/>
      <c r="B1281" s="981"/>
      <c r="C1281" s="1016"/>
      <c r="D1281" s="952"/>
      <c r="E1281" s="981"/>
      <c r="F1281" s="952"/>
      <c r="G1281" s="981"/>
      <c r="H1281" s="981"/>
      <c r="I1281" s="981"/>
      <c r="J1281" s="981"/>
      <c r="K1281" s="981"/>
      <c r="O1281" s="981"/>
      <c r="P1281" s="981"/>
      <c r="Q1281" s="92"/>
    </row>
    <row r="1282" spans="1:17" ht="15" customHeight="1">
      <c r="A1282" s="981"/>
      <c r="B1282" s="981"/>
      <c r="C1282" s="1016"/>
      <c r="D1282" s="952"/>
      <c r="E1282" s="981"/>
      <c r="F1282" s="952"/>
      <c r="G1282" s="981"/>
      <c r="H1282" s="981"/>
      <c r="I1282" s="981"/>
      <c r="J1282" s="981"/>
      <c r="K1282" s="981"/>
      <c r="O1282" s="981"/>
      <c r="P1282" s="981"/>
      <c r="Q1282" s="92"/>
    </row>
    <row r="1283" spans="1:17" ht="15" customHeight="1">
      <c r="A1283" s="981"/>
      <c r="B1283" s="981"/>
      <c r="C1283" s="1016"/>
      <c r="D1283" s="952"/>
      <c r="E1283" s="981"/>
      <c r="F1283" s="952"/>
      <c r="G1283" s="981"/>
      <c r="H1283" s="981"/>
      <c r="I1283" s="981"/>
      <c r="J1283" s="981"/>
      <c r="K1283" s="981"/>
      <c r="O1283" s="981"/>
      <c r="P1283" s="981"/>
      <c r="Q1283" s="92"/>
    </row>
    <row r="1284" spans="1:17" ht="15" customHeight="1">
      <c r="A1284" s="981"/>
      <c r="B1284" s="981"/>
      <c r="C1284" s="1016"/>
      <c r="D1284" s="952"/>
      <c r="E1284" s="981"/>
      <c r="F1284" s="952"/>
      <c r="G1284" s="981"/>
      <c r="H1284" s="981"/>
      <c r="I1284" s="981"/>
      <c r="J1284" s="981"/>
      <c r="K1284" s="981"/>
      <c r="O1284" s="981"/>
      <c r="P1284" s="981"/>
      <c r="Q1284" s="92"/>
    </row>
    <row r="1285" spans="1:17" ht="15" customHeight="1">
      <c r="A1285" s="981"/>
      <c r="B1285" s="981"/>
      <c r="C1285" s="1016"/>
      <c r="D1285" s="952"/>
      <c r="E1285" s="981"/>
      <c r="F1285" s="952"/>
      <c r="G1285" s="981"/>
      <c r="H1285" s="981"/>
      <c r="I1285" s="981"/>
      <c r="J1285" s="981"/>
      <c r="K1285" s="981"/>
      <c r="O1285" s="981"/>
      <c r="P1285" s="981"/>
      <c r="Q1285" s="92"/>
    </row>
    <row r="1286" spans="1:17" ht="15" customHeight="1">
      <c r="A1286" s="981"/>
      <c r="B1286" s="981"/>
      <c r="C1286" s="1016"/>
      <c r="D1286" s="952"/>
      <c r="E1286" s="981"/>
      <c r="F1286" s="952"/>
      <c r="G1286" s="981"/>
      <c r="H1286" s="981"/>
      <c r="I1286" s="981"/>
      <c r="J1286" s="981"/>
      <c r="K1286" s="981"/>
      <c r="O1286" s="981"/>
      <c r="P1286" s="981"/>
      <c r="Q1286" s="92"/>
    </row>
    <row r="1287" spans="1:17" ht="15" customHeight="1">
      <c r="A1287" s="981"/>
      <c r="B1287" s="981"/>
      <c r="C1287" s="1016"/>
      <c r="D1287" s="952"/>
      <c r="E1287" s="981"/>
      <c r="F1287" s="952"/>
      <c r="G1287" s="981"/>
      <c r="H1287" s="981"/>
      <c r="I1287" s="981"/>
      <c r="J1287" s="981"/>
      <c r="K1287" s="981"/>
      <c r="O1287" s="981"/>
      <c r="P1287" s="981"/>
      <c r="Q1287" s="92"/>
    </row>
    <row r="1288" spans="1:17" ht="15" customHeight="1">
      <c r="A1288" s="981"/>
      <c r="B1288" s="981"/>
      <c r="C1288" s="1016"/>
      <c r="D1288" s="952"/>
      <c r="E1288" s="981"/>
      <c r="F1288" s="952"/>
      <c r="G1288" s="981"/>
      <c r="H1288" s="981"/>
      <c r="I1288" s="981"/>
      <c r="J1288" s="981"/>
      <c r="K1288" s="981"/>
      <c r="O1288" s="981"/>
      <c r="P1288" s="981"/>
      <c r="Q1288" s="92"/>
    </row>
    <row r="1289" spans="1:17" ht="15" customHeight="1">
      <c r="A1289" s="981"/>
      <c r="B1289" s="981"/>
      <c r="C1289" s="1016"/>
      <c r="D1289" s="952"/>
      <c r="E1289" s="981"/>
      <c r="F1289" s="952"/>
      <c r="G1289" s="981"/>
      <c r="H1289" s="981"/>
      <c r="I1289" s="981"/>
      <c r="J1289" s="981"/>
      <c r="K1289" s="981"/>
      <c r="O1289" s="981"/>
      <c r="P1289" s="981"/>
      <c r="Q1289" s="92"/>
    </row>
    <row r="1290" spans="1:17" ht="15" customHeight="1">
      <c r="A1290" s="981"/>
      <c r="B1290" s="981"/>
      <c r="C1290" s="1016"/>
      <c r="D1290" s="952"/>
      <c r="E1290" s="981"/>
      <c r="F1290" s="952"/>
      <c r="G1290" s="981"/>
      <c r="H1290" s="981"/>
      <c r="I1290" s="981"/>
      <c r="J1290" s="981"/>
      <c r="K1290" s="981"/>
      <c r="O1290" s="981"/>
      <c r="P1290" s="981"/>
      <c r="Q1290" s="92"/>
    </row>
    <row r="1291" spans="1:17" ht="15" customHeight="1">
      <c r="A1291" s="981"/>
      <c r="B1291" s="981"/>
      <c r="C1291" s="1016"/>
      <c r="D1291" s="952"/>
      <c r="E1291" s="981"/>
      <c r="F1291" s="952"/>
      <c r="G1291" s="981"/>
      <c r="H1291" s="981"/>
      <c r="I1291" s="981"/>
      <c r="J1291" s="981"/>
      <c r="K1291" s="981"/>
      <c r="O1291" s="981"/>
      <c r="P1291" s="981"/>
      <c r="Q1291" s="92"/>
    </row>
    <row r="1292" spans="1:17" ht="15" customHeight="1">
      <c r="A1292" s="981"/>
      <c r="B1292" s="981"/>
      <c r="C1292" s="1016"/>
      <c r="D1292" s="952"/>
      <c r="E1292" s="981"/>
      <c r="F1292" s="952"/>
      <c r="G1292" s="981"/>
      <c r="H1292" s="981"/>
      <c r="I1292" s="981"/>
      <c r="J1292" s="981"/>
      <c r="K1292" s="981"/>
      <c r="O1292" s="981"/>
      <c r="P1292" s="981"/>
      <c r="Q1292" s="92"/>
    </row>
    <row r="1293" spans="1:17" ht="15" customHeight="1">
      <c r="A1293" s="981"/>
      <c r="B1293" s="981"/>
      <c r="C1293" s="1016"/>
      <c r="D1293" s="952"/>
      <c r="E1293" s="981"/>
      <c r="F1293" s="952"/>
      <c r="G1293" s="981"/>
      <c r="H1293" s="981"/>
      <c r="I1293" s="981"/>
      <c r="J1293" s="981"/>
      <c r="K1293" s="981"/>
      <c r="O1293" s="981"/>
      <c r="P1293" s="981"/>
      <c r="Q1293" s="92"/>
    </row>
    <row r="1294" spans="1:17" ht="15" customHeight="1">
      <c r="A1294" s="981"/>
      <c r="B1294" s="981"/>
      <c r="C1294" s="1016"/>
      <c r="D1294" s="952"/>
      <c r="E1294" s="981"/>
      <c r="F1294" s="952"/>
      <c r="G1294" s="981"/>
      <c r="H1294" s="981"/>
      <c r="I1294" s="981"/>
      <c r="J1294" s="981"/>
      <c r="K1294" s="981"/>
      <c r="O1294" s="981"/>
      <c r="P1294" s="981"/>
      <c r="Q1294" s="92"/>
    </row>
    <row r="1295" spans="1:17" ht="15" customHeight="1">
      <c r="A1295" s="981"/>
      <c r="B1295" s="981"/>
      <c r="C1295" s="1016"/>
      <c r="D1295" s="952"/>
      <c r="E1295" s="981"/>
      <c r="F1295" s="952"/>
      <c r="G1295" s="981"/>
      <c r="H1295" s="981"/>
      <c r="I1295" s="981"/>
      <c r="J1295" s="981"/>
      <c r="K1295" s="981"/>
      <c r="O1295" s="981"/>
      <c r="P1295" s="981"/>
      <c r="Q1295" s="92"/>
    </row>
    <row r="1296" spans="1:17" ht="15" customHeight="1">
      <c r="A1296" s="981"/>
      <c r="B1296" s="981"/>
      <c r="C1296" s="1016"/>
      <c r="D1296" s="952"/>
      <c r="E1296" s="981"/>
      <c r="F1296" s="952"/>
      <c r="G1296" s="981"/>
      <c r="H1296" s="981"/>
      <c r="I1296" s="981"/>
      <c r="J1296" s="981"/>
      <c r="K1296" s="981"/>
      <c r="O1296" s="981"/>
      <c r="P1296" s="981"/>
      <c r="Q1296" s="92"/>
    </row>
    <row r="1297" spans="1:17" ht="15" customHeight="1">
      <c r="A1297" s="981"/>
      <c r="B1297" s="981"/>
      <c r="C1297" s="1016"/>
      <c r="D1297" s="952"/>
      <c r="E1297" s="981"/>
      <c r="F1297" s="952"/>
      <c r="G1297" s="981"/>
      <c r="H1297" s="981"/>
      <c r="I1297" s="981"/>
      <c r="J1297" s="981"/>
      <c r="K1297" s="981"/>
      <c r="O1297" s="981"/>
      <c r="P1297" s="981"/>
      <c r="Q1297" s="92"/>
    </row>
    <row r="1298" spans="1:17" ht="15" customHeight="1">
      <c r="A1298" s="981"/>
      <c r="B1298" s="981"/>
      <c r="C1298" s="1016"/>
      <c r="D1298" s="952"/>
      <c r="E1298" s="981"/>
      <c r="F1298" s="952"/>
      <c r="G1298" s="981"/>
      <c r="H1298" s="981"/>
      <c r="I1298" s="981"/>
      <c r="J1298" s="981"/>
      <c r="K1298" s="981"/>
      <c r="O1298" s="981"/>
      <c r="P1298" s="981"/>
      <c r="Q1298" s="92"/>
    </row>
    <row r="1299" spans="1:17" ht="15" customHeight="1">
      <c r="A1299" s="981"/>
      <c r="B1299" s="981"/>
      <c r="C1299" s="1016"/>
      <c r="D1299" s="952"/>
      <c r="E1299" s="981"/>
      <c r="F1299" s="952"/>
      <c r="G1299" s="981"/>
      <c r="H1299" s="981"/>
      <c r="I1299" s="981"/>
      <c r="J1299" s="981"/>
      <c r="K1299" s="981"/>
      <c r="O1299" s="981"/>
      <c r="P1299" s="981"/>
      <c r="Q1299" s="92"/>
    </row>
    <row r="1300" spans="1:17" ht="15" customHeight="1">
      <c r="A1300" s="981"/>
      <c r="B1300" s="981"/>
      <c r="C1300" s="1016"/>
      <c r="D1300" s="952"/>
      <c r="E1300" s="981"/>
      <c r="F1300" s="952"/>
      <c r="G1300" s="981"/>
      <c r="H1300" s="981"/>
      <c r="I1300" s="981"/>
      <c r="J1300" s="981"/>
      <c r="K1300" s="981"/>
      <c r="O1300" s="981"/>
      <c r="P1300" s="981"/>
      <c r="Q1300" s="92"/>
    </row>
    <row r="1301" spans="1:17" ht="15" customHeight="1">
      <c r="A1301" s="981"/>
      <c r="B1301" s="981"/>
      <c r="C1301" s="1016"/>
      <c r="D1301" s="952"/>
      <c r="E1301" s="981"/>
      <c r="F1301" s="952"/>
      <c r="G1301" s="981"/>
      <c r="H1301" s="981"/>
      <c r="I1301" s="981"/>
      <c r="J1301" s="981"/>
      <c r="K1301" s="981"/>
      <c r="O1301" s="981"/>
      <c r="P1301" s="981"/>
      <c r="Q1301" s="92"/>
    </row>
    <row r="1302" spans="1:17" ht="15" customHeight="1">
      <c r="A1302" s="981"/>
      <c r="B1302" s="981"/>
      <c r="C1302" s="1016"/>
      <c r="D1302" s="952"/>
      <c r="E1302" s="981"/>
      <c r="F1302" s="952"/>
      <c r="G1302" s="981"/>
      <c r="H1302" s="981"/>
      <c r="I1302" s="981"/>
      <c r="J1302" s="981"/>
      <c r="K1302" s="981"/>
      <c r="O1302" s="981"/>
      <c r="P1302" s="981"/>
      <c r="Q1302" s="92"/>
    </row>
    <row r="1303" spans="1:17" ht="15" customHeight="1">
      <c r="A1303" s="981"/>
      <c r="B1303" s="981"/>
      <c r="C1303" s="1016"/>
      <c r="D1303" s="952"/>
      <c r="E1303" s="981"/>
      <c r="F1303" s="952"/>
      <c r="G1303" s="981"/>
      <c r="H1303" s="981"/>
      <c r="I1303" s="981"/>
      <c r="J1303" s="981"/>
      <c r="K1303" s="981"/>
      <c r="O1303" s="981"/>
      <c r="P1303" s="981"/>
      <c r="Q1303" s="92"/>
    </row>
    <row r="1304" spans="1:17" ht="15" customHeight="1">
      <c r="A1304" s="981"/>
      <c r="B1304" s="981"/>
      <c r="C1304" s="1016"/>
      <c r="D1304" s="952"/>
      <c r="E1304" s="981"/>
      <c r="F1304" s="952"/>
      <c r="G1304" s="981"/>
      <c r="H1304" s="981"/>
      <c r="I1304" s="981"/>
      <c r="J1304" s="981"/>
      <c r="K1304" s="981"/>
      <c r="O1304" s="981"/>
      <c r="P1304" s="981"/>
      <c r="Q1304" s="92"/>
    </row>
    <row r="1305" spans="1:17" ht="15" customHeight="1">
      <c r="A1305" s="981"/>
      <c r="B1305" s="981"/>
      <c r="C1305" s="1016"/>
      <c r="D1305" s="952"/>
      <c r="E1305" s="981"/>
      <c r="F1305" s="952"/>
      <c r="G1305" s="981"/>
      <c r="H1305" s="981"/>
      <c r="I1305" s="981"/>
      <c r="J1305" s="981"/>
      <c r="K1305" s="981"/>
      <c r="O1305" s="981"/>
      <c r="P1305" s="981"/>
      <c r="Q1305" s="92"/>
    </row>
    <row r="1306" spans="1:17" ht="15" customHeight="1">
      <c r="A1306" s="981"/>
      <c r="B1306" s="981"/>
      <c r="C1306" s="1016"/>
      <c r="D1306" s="952"/>
      <c r="E1306" s="981"/>
      <c r="F1306" s="952"/>
      <c r="G1306" s="981"/>
      <c r="H1306" s="981"/>
      <c r="I1306" s="981"/>
      <c r="J1306" s="981"/>
      <c r="K1306" s="981"/>
      <c r="O1306" s="981"/>
      <c r="P1306" s="981"/>
      <c r="Q1306" s="92"/>
    </row>
    <row r="1307" spans="1:17" ht="15" customHeight="1">
      <c r="A1307" s="981"/>
      <c r="B1307" s="981"/>
      <c r="C1307" s="1016"/>
      <c r="D1307" s="952"/>
      <c r="E1307" s="981"/>
      <c r="F1307" s="952"/>
      <c r="G1307" s="981"/>
      <c r="H1307" s="981"/>
      <c r="I1307" s="981"/>
      <c r="J1307" s="981"/>
      <c r="K1307" s="981"/>
      <c r="O1307" s="981"/>
      <c r="P1307" s="981"/>
      <c r="Q1307" s="92"/>
    </row>
    <row r="1308" spans="1:17" ht="15" customHeight="1">
      <c r="A1308" s="981"/>
      <c r="B1308" s="981"/>
      <c r="C1308" s="1016"/>
      <c r="D1308" s="952"/>
      <c r="E1308" s="981"/>
      <c r="F1308" s="952"/>
      <c r="G1308" s="981"/>
      <c r="H1308" s="981"/>
      <c r="I1308" s="981"/>
      <c r="J1308" s="981"/>
      <c r="K1308" s="981"/>
      <c r="O1308" s="981"/>
      <c r="P1308" s="981"/>
      <c r="Q1308" s="92"/>
    </row>
    <row r="1309" spans="1:17" ht="15" customHeight="1">
      <c r="A1309" s="981"/>
      <c r="B1309" s="981"/>
      <c r="C1309" s="1016"/>
      <c r="D1309" s="952"/>
      <c r="E1309" s="981"/>
      <c r="F1309" s="952"/>
      <c r="G1309" s="981"/>
      <c r="H1309" s="981"/>
      <c r="I1309" s="981"/>
      <c r="J1309" s="981"/>
      <c r="K1309" s="981"/>
      <c r="O1309" s="981"/>
      <c r="P1309" s="981"/>
      <c r="Q1309" s="92"/>
    </row>
    <row r="1310" spans="1:17" ht="15" customHeight="1">
      <c r="A1310" s="981"/>
      <c r="B1310" s="981"/>
      <c r="C1310" s="1016"/>
      <c r="D1310" s="952"/>
      <c r="E1310" s="981"/>
      <c r="F1310" s="952"/>
      <c r="G1310" s="981"/>
      <c r="H1310" s="981"/>
      <c r="I1310" s="981"/>
      <c r="J1310" s="981"/>
      <c r="K1310" s="981"/>
      <c r="O1310" s="981"/>
      <c r="P1310" s="981"/>
      <c r="Q1310" s="92"/>
    </row>
    <row r="1311" spans="1:17" ht="15" customHeight="1">
      <c r="A1311" s="981"/>
      <c r="B1311" s="981"/>
      <c r="C1311" s="1016"/>
      <c r="D1311" s="952"/>
      <c r="E1311" s="981"/>
      <c r="F1311" s="952"/>
      <c r="G1311" s="981"/>
      <c r="H1311" s="981"/>
      <c r="I1311" s="981"/>
      <c r="J1311" s="981"/>
      <c r="K1311" s="981"/>
      <c r="O1311" s="981"/>
      <c r="P1311" s="981"/>
      <c r="Q1311" s="92"/>
    </row>
    <row r="1312" spans="1:17" ht="15" customHeight="1">
      <c r="A1312" s="981"/>
      <c r="B1312" s="981"/>
      <c r="C1312" s="1016"/>
      <c r="D1312" s="952"/>
      <c r="E1312" s="981"/>
      <c r="F1312" s="952"/>
      <c r="G1312" s="981"/>
      <c r="H1312" s="981"/>
      <c r="I1312" s="981"/>
      <c r="J1312" s="981"/>
      <c r="K1312" s="981"/>
      <c r="O1312" s="981"/>
      <c r="P1312" s="981"/>
      <c r="Q1312" s="92"/>
    </row>
    <row r="1313" spans="1:17" ht="15" customHeight="1">
      <c r="A1313" s="981"/>
      <c r="B1313" s="981"/>
      <c r="C1313" s="1016"/>
      <c r="D1313" s="952"/>
      <c r="E1313" s="981"/>
      <c r="F1313" s="952"/>
      <c r="G1313" s="981"/>
      <c r="H1313" s="981"/>
      <c r="I1313" s="981"/>
      <c r="J1313" s="981"/>
      <c r="K1313" s="981"/>
      <c r="O1313" s="981"/>
      <c r="P1313" s="981"/>
      <c r="Q1313" s="92"/>
    </row>
    <row r="1314" spans="1:17" ht="15" customHeight="1">
      <c r="A1314" s="981"/>
      <c r="B1314" s="981"/>
      <c r="C1314" s="1016"/>
      <c r="D1314" s="952"/>
      <c r="E1314" s="981"/>
      <c r="F1314" s="952"/>
      <c r="G1314" s="981"/>
      <c r="H1314" s="981"/>
      <c r="I1314" s="981"/>
      <c r="J1314" s="981"/>
      <c r="K1314" s="981"/>
      <c r="O1314" s="981"/>
      <c r="P1314" s="981"/>
      <c r="Q1314" s="92"/>
    </row>
    <row r="1315" spans="1:17" ht="15" customHeight="1">
      <c r="A1315" s="981"/>
      <c r="B1315" s="981"/>
      <c r="C1315" s="1016"/>
      <c r="D1315" s="952"/>
      <c r="E1315" s="981"/>
      <c r="F1315" s="952"/>
      <c r="G1315" s="981"/>
      <c r="H1315" s="981"/>
      <c r="I1315" s="981"/>
      <c r="J1315" s="981"/>
      <c r="K1315" s="981"/>
      <c r="O1315" s="981"/>
      <c r="P1315" s="981"/>
      <c r="Q1315" s="92"/>
    </row>
    <row r="1316" spans="1:17" ht="15" customHeight="1">
      <c r="A1316" s="981"/>
      <c r="B1316" s="981"/>
      <c r="C1316" s="1016"/>
      <c r="D1316" s="952"/>
      <c r="E1316" s="981"/>
      <c r="F1316" s="952"/>
      <c r="G1316" s="981"/>
      <c r="H1316" s="981"/>
      <c r="I1316" s="981"/>
      <c r="J1316" s="981"/>
      <c r="K1316" s="981"/>
      <c r="O1316" s="981"/>
      <c r="P1316" s="981"/>
      <c r="Q1316" s="92"/>
    </row>
    <row r="1317" spans="1:17" ht="15" customHeight="1">
      <c r="A1317" s="981"/>
      <c r="B1317" s="981"/>
      <c r="C1317" s="1016"/>
      <c r="D1317" s="952"/>
      <c r="E1317" s="981"/>
      <c r="F1317" s="952"/>
      <c r="G1317" s="981"/>
      <c r="H1317" s="981"/>
      <c r="I1317" s="981"/>
      <c r="J1317" s="981"/>
      <c r="K1317" s="981"/>
      <c r="O1317" s="981"/>
      <c r="P1317" s="981"/>
      <c r="Q1317" s="92"/>
    </row>
    <row r="1318" spans="1:17" ht="15" customHeight="1">
      <c r="A1318" s="981"/>
      <c r="B1318" s="981"/>
      <c r="C1318" s="1016"/>
      <c r="D1318" s="952"/>
      <c r="E1318" s="981"/>
      <c r="F1318" s="952"/>
      <c r="G1318" s="981"/>
      <c r="H1318" s="981"/>
      <c r="I1318" s="981"/>
      <c r="J1318" s="981"/>
      <c r="K1318" s="981"/>
      <c r="O1318" s="981"/>
      <c r="P1318" s="981"/>
      <c r="Q1318" s="92"/>
    </row>
    <row r="1319" spans="1:17" ht="15" customHeight="1">
      <c r="A1319" s="981"/>
      <c r="B1319" s="981"/>
      <c r="C1319" s="1016"/>
      <c r="D1319" s="952"/>
      <c r="E1319" s="981"/>
      <c r="F1319" s="952"/>
      <c r="G1319" s="981"/>
      <c r="H1319" s="981"/>
      <c r="I1319" s="981"/>
      <c r="J1319" s="981"/>
      <c r="K1319" s="981"/>
      <c r="O1319" s="981"/>
      <c r="P1319" s="981"/>
      <c r="Q1319" s="92"/>
    </row>
    <row r="1320" spans="1:17" ht="15" customHeight="1">
      <c r="A1320" s="981"/>
      <c r="B1320" s="981"/>
      <c r="C1320" s="1016"/>
      <c r="D1320" s="952"/>
      <c r="E1320" s="981"/>
      <c r="F1320" s="952"/>
      <c r="G1320" s="981"/>
      <c r="H1320" s="981"/>
      <c r="I1320" s="981"/>
      <c r="J1320" s="981"/>
      <c r="K1320" s="981"/>
      <c r="O1320" s="981"/>
      <c r="P1320" s="981"/>
      <c r="Q1320" s="92"/>
    </row>
    <row r="1321" spans="1:17" ht="15" customHeight="1">
      <c r="A1321" s="981"/>
      <c r="B1321" s="981"/>
      <c r="C1321" s="1016"/>
      <c r="D1321" s="952"/>
      <c r="E1321" s="981"/>
      <c r="F1321" s="952"/>
      <c r="G1321" s="981"/>
      <c r="H1321" s="981"/>
      <c r="I1321" s="981"/>
      <c r="J1321" s="981"/>
      <c r="K1321" s="981"/>
      <c r="O1321" s="981"/>
      <c r="P1321" s="981"/>
      <c r="Q1321" s="92"/>
    </row>
    <row r="1322" spans="1:17" ht="15" customHeight="1">
      <c r="A1322" s="981"/>
      <c r="B1322" s="981"/>
      <c r="C1322" s="1016"/>
      <c r="D1322" s="952"/>
      <c r="E1322" s="981"/>
      <c r="F1322" s="952"/>
      <c r="G1322" s="981"/>
      <c r="H1322" s="981"/>
      <c r="I1322" s="981"/>
      <c r="J1322" s="981"/>
      <c r="K1322" s="981"/>
      <c r="O1322" s="981"/>
      <c r="P1322" s="981"/>
      <c r="Q1322" s="92"/>
    </row>
    <row r="1323" spans="1:17" ht="15" customHeight="1">
      <c r="A1323" s="981"/>
      <c r="B1323" s="981"/>
      <c r="C1323" s="1016"/>
      <c r="D1323" s="952"/>
      <c r="E1323" s="981"/>
      <c r="F1323" s="952"/>
      <c r="G1323" s="981"/>
      <c r="H1323" s="981"/>
      <c r="I1323" s="981"/>
      <c r="J1323" s="981"/>
      <c r="K1323" s="981"/>
      <c r="O1323" s="981"/>
      <c r="P1323" s="981"/>
      <c r="Q1323" s="92"/>
    </row>
    <row r="1324" spans="1:17" ht="15" customHeight="1">
      <c r="A1324" s="981"/>
      <c r="B1324" s="981"/>
      <c r="C1324" s="1016"/>
      <c r="D1324" s="952"/>
      <c r="E1324" s="981"/>
      <c r="F1324" s="952"/>
      <c r="G1324" s="981"/>
      <c r="H1324" s="981"/>
      <c r="I1324" s="981"/>
      <c r="J1324" s="981"/>
      <c r="K1324" s="981"/>
      <c r="O1324" s="981"/>
      <c r="P1324" s="981"/>
      <c r="Q1324" s="92"/>
    </row>
    <row r="1325" spans="1:17" ht="15" customHeight="1">
      <c r="A1325" s="981"/>
      <c r="B1325" s="981"/>
      <c r="C1325" s="1016"/>
      <c r="D1325" s="952"/>
      <c r="E1325" s="981"/>
      <c r="F1325" s="952"/>
      <c r="G1325" s="981"/>
      <c r="H1325" s="981"/>
      <c r="I1325" s="981"/>
      <c r="J1325" s="981"/>
      <c r="K1325" s="981"/>
      <c r="O1325" s="981"/>
      <c r="P1325" s="981"/>
      <c r="Q1325" s="92"/>
    </row>
    <row r="1326" spans="1:17" ht="15" customHeight="1">
      <c r="A1326" s="981"/>
      <c r="B1326" s="981"/>
      <c r="C1326" s="1016"/>
      <c r="D1326" s="952"/>
      <c r="E1326" s="981"/>
      <c r="F1326" s="952"/>
      <c r="G1326" s="981"/>
      <c r="H1326" s="981"/>
      <c r="I1326" s="981"/>
      <c r="J1326" s="981"/>
      <c r="K1326" s="981"/>
      <c r="O1326" s="981"/>
      <c r="P1326" s="981"/>
      <c r="Q1326" s="92"/>
    </row>
    <row r="1327" spans="1:17" ht="15" customHeight="1">
      <c r="A1327" s="981"/>
      <c r="B1327" s="981"/>
      <c r="C1327" s="1016"/>
      <c r="D1327" s="952"/>
      <c r="E1327" s="981"/>
      <c r="F1327" s="952"/>
      <c r="G1327" s="981"/>
      <c r="H1327" s="981"/>
      <c r="I1327" s="981"/>
      <c r="J1327" s="981"/>
      <c r="K1327" s="981"/>
      <c r="O1327" s="981"/>
      <c r="P1327" s="981"/>
      <c r="Q1327" s="92"/>
    </row>
    <row r="1328" spans="1:17" ht="15" customHeight="1">
      <c r="A1328" s="981"/>
      <c r="B1328" s="981"/>
      <c r="C1328" s="1016"/>
      <c r="D1328" s="952"/>
      <c r="E1328" s="981"/>
      <c r="F1328" s="952"/>
      <c r="G1328" s="981"/>
      <c r="H1328" s="981"/>
      <c r="I1328" s="981"/>
      <c r="J1328" s="981"/>
      <c r="K1328" s="981"/>
      <c r="O1328" s="981"/>
      <c r="P1328" s="981"/>
      <c r="Q1328" s="92"/>
    </row>
    <row r="1329" spans="1:17" ht="15" customHeight="1">
      <c r="A1329" s="981"/>
      <c r="B1329" s="981"/>
      <c r="C1329" s="1016"/>
      <c r="D1329" s="952"/>
      <c r="E1329" s="981"/>
      <c r="F1329" s="952"/>
      <c r="G1329" s="981"/>
      <c r="H1329" s="981"/>
      <c r="I1329" s="981"/>
      <c r="J1329" s="981"/>
      <c r="K1329" s="981"/>
      <c r="O1329" s="981"/>
      <c r="P1329" s="981"/>
      <c r="Q1329" s="92"/>
    </row>
    <row r="1330" spans="1:17" ht="15" customHeight="1">
      <c r="A1330" s="981"/>
      <c r="B1330" s="981"/>
      <c r="C1330" s="1016"/>
      <c r="D1330" s="952"/>
      <c r="E1330" s="981"/>
      <c r="F1330" s="952"/>
      <c r="G1330" s="981"/>
      <c r="H1330" s="981"/>
      <c r="I1330" s="981"/>
      <c r="J1330" s="981"/>
      <c r="K1330" s="981"/>
      <c r="O1330" s="981"/>
      <c r="P1330" s="981"/>
      <c r="Q1330" s="92"/>
    </row>
    <row r="1331" spans="1:17" ht="15" customHeight="1">
      <c r="A1331" s="981"/>
      <c r="B1331" s="981"/>
      <c r="C1331" s="1016"/>
      <c r="D1331" s="952"/>
      <c r="E1331" s="981"/>
      <c r="F1331" s="952"/>
      <c r="G1331" s="981"/>
      <c r="H1331" s="981"/>
      <c r="I1331" s="981"/>
      <c r="J1331" s="981"/>
      <c r="K1331" s="981"/>
      <c r="O1331" s="981"/>
      <c r="P1331" s="981"/>
      <c r="Q1331" s="92"/>
    </row>
    <row r="1332" spans="1:17" ht="15" customHeight="1">
      <c r="A1332" s="981"/>
      <c r="B1332" s="981"/>
      <c r="C1332" s="1016"/>
      <c r="D1332" s="952"/>
      <c r="E1332" s="981"/>
      <c r="F1332" s="952"/>
      <c r="G1332" s="981"/>
      <c r="H1332" s="981"/>
      <c r="I1332" s="981"/>
      <c r="J1332" s="981"/>
      <c r="K1332" s="981"/>
      <c r="O1332" s="981"/>
      <c r="P1332" s="981"/>
      <c r="Q1332" s="92"/>
    </row>
    <row r="1333" spans="1:17" ht="15" customHeight="1">
      <c r="A1333" s="981"/>
      <c r="B1333" s="981"/>
      <c r="C1333" s="1016"/>
      <c r="D1333" s="952"/>
      <c r="E1333" s="981"/>
      <c r="F1333" s="952"/>
      <c r="G1333" s="981"/>
      <c r="H1333" s="981"/>
      <c r="I1333" s="981"/>
      <c r="J1333" s="981"/>
      <c r="K1333" s="981"/>
      <c r="O1333" s="981"/>
      <c r="P1333" s="981"/>
      <c r="Q1333" s="92"/>
    </row>
    <row r="1334" spans="1:17" ht="15" customHeight="1">
      <c r="A1334" s="981"/>
      <c r="B1334" s="981"/>
      <c r="C1334" s="1016"/>
      <c r="D1334" s="952"/>
      <c r="E1334" s="981"/>
      <c r="F1334" s="952"/>
      <c r="G1334" s="981"/>
      <c r="H1334" s="981"/>
      <c r="I1334" s="981"/>
      <c r="J1334" s="981"/>
      <c r="K1334" s="981"/>
      <c r="O1334" s="981"/>
      <c r="P1334" s="981"/>
      <c r="Q1334" s="92"/>
    </row>
    <row r="1335" spans="1:17" ht="15" customHeight="1">
      <c r="A1335" s="981"/>
      <c r="B1335" s="981"/>
      <c r="C1335" s="1016"/>
      <c r="D1335" s="952"/>
      <c r="E1335" s="981"/>
      <c r="F1335" s="952"/>
      <c r="G1335" s="981"/>
      <c r="H1335" s="981"/>
      <c r="I1335" s="981"/>
      <c r="J1335" s="981"/>
      <c r="K1335" s="981"/>
      <c r="O1335" s="981"/>
      <c r="P1335" s="981"/>
      <c r="Q1335" s="92"/>
    </row>
    <row r="1336" spans="1:17" ht="15" customHeight="1">
      <c r="A1336" s="981"/>
      <c r="B1336" s="981"/>
      <c r="C1336" s="1016"/>
      <c r="D1336" s="952"/>
      <c r="E1336" s="981"/>
      <c r="F1336" s="952"/>
      <c r="G1336" s="981"/>
      <c r="H1336" s="981"/>
      <c r="I1336" s="981"/>
      <c r="J1336" s="981"/>
      <c r="K1336" s="981"/>
      <c r="O1336" s="981"/>
      <c r="P1336" s="981"/>
      <c r="Q1336" s="92"/>
    </row>
    <row r="1337" spans="1:17" ht="15" customHeight="1">
      <c r="A1337" s="981"/>
      <c r="B1337" s="981"/>
      <c r="C1337" s="1016"/>
      <c r="D1337" s="952"/>
      <c r="E1337" s="981"/>
      <c r="F1337" s="952"/>
      <c r="G1337" s="981"/>
      <c r="H1337" s="981"/>
      <c r="I1337" s="981"/>
      <c r="J1337" s="981"/>
      <c r="K1337" s="981"/>
      <c r="O1337" s="981"/>
      <c r="P1337" s="981"/>
      <c r="Q1337" s="92"/>
    </row>
    <row r="1338" spans="1:17" ht="15" customHeight="1">
      <c r="A1338" s="981"/>
      <c r="B1338" s="981"/>
      <c r="C1338" s="1016"/>
      <c r="D1338" s="952"/>
      <c r="E1338" s="981"/>
      <c r="F1338" s="952"/>
      <c r="G1338" s="981"/>
      <c r="H1338" s="981"/>
      <c r="I1338" s="981"/>
      <c r="J1338" s="981"/>
      <c r="K1338" s="981"/>
      <c r="O1338" s="981"/>
      <c r="P1338" s="981"/>
      <c r="Q1338" s="92"/>
    </row>
    <row r="1339" spans="1:17" ht="15" customHeight="1">
      <c r="A1339" s="981"/>
      <c r="B1339" s="981"/>
      <c r="C1339" s="1016"/>
      <c r="D1339" s="952"/>
      <c r="E1339" s="981"/>
      <c r="F1339" s="952"/>
      <c r="G1339" s="981"/>
      <c r="H1339" s="981"/>
      <c r="I1339" s="981"/>
      <c r="J1339" s="981"/>
      <c r="K1339" s="981"/>
      <c r="O1339" s="981"/>
      <c r="P1339" s="981"/>
      <c r="Q1339" s="92"/>
    </row>
    <row r="1340" spans="1:17" ht="15" customHeight="1">
      <c r="A1340" s="981"/>
      <c r="B1340" s="981"/>
      <c r="C1340" s="1016"/>
      <c r="D1340" s="952"/>
      <c r="E1340" s="981"/>
      <c r="F1340" s="952"/>
      <c r="G1340" s="981"/>
      <c r="H1340" s="981"/>
      <c r="I1340" s="981"/>
      <c r="J1340" s="981"/>
      <c r="K1340" s="981"/>
      <c r="O1340" s="981"/>
      <c r="P1340" s="981"/>
      <c r="Q1340" s="92"/>
    </row>
    <row r="1341" spans="1:17" ht="15" customHeight="1">
      <c r="A1341" s="981"/>
      <c r="B1341" s="981"/>
      <c r="C1341" s="1016"/>
      <c r="D1341" s="952"/>
      <c r="E1341" s="981"/>
      <c r="F1341" s="952"/>
      <c r="G1341" s="981"/>
      <c r="H1341" s="981"/>
      <c r="I1341" s="981"/>
      <c r="J1341" s="981"/>
      <c r="K1341" s="981"/>
      <c r="O1341" s="981"/>
      <c r="P1341" s="981"/>
      <c r="Q1341" s="92"/>
    </row>
    <row r="1342" spans="1:17" ht="15" customHeight="1">
      <c r="A1342" s="981"/>
      <c r="B1342" s="981"/>
      <c r="C1342" s="1016"/>
      <c r="D1342" s="952"/>
      <c r="E1342" s="981"/>
      <c r="F1342" s="952"/>
      <c r="G1342" s="981"/>
      <c r="H1342" s="981"/>
      <c r="I1342" s="981"/>
      <c r="J1342" s="981"/>
      <c r="K1342" s="981"/>
      <c r="O1342" s="981"/>
      <c r="P1342" s="981"/>
      <c r="Q1342" s="92"/>
    </row>
    <row r="1343" spans="1:17" ht="15" customHeight="1">
      <c r="A1343" s="981"/>
      <c r="B1343" s="981"/>
      <c r="C1343" s="1016"/>
      <c r="D1343" s="952"/>
      <c r="E1343" s="981"/>
      <c r="F1343" s="952"/>
      <c r="G1343" s="981"/>
      <c r="H1343" s="981"/>
      <c r="I1343" s="981"/>
      <c r="J1343" s="981"/>
      <c r="K1343" s="981"/>
      <c r="O1343" s="981"/>
      <c r="P1343" s="981"/>
      <c r="Q1343" s="92"/>
    </row>
    <row r="1344" spans="1:17" ht="15" customHeight="1">
      <c r="A1344" s="981"/>
      <c r="B1344" s="981"/>
      <c r="C1344" s="1016"/>
      <c r="D1344" s="952"/>
      <c r="E1344" s="981"/>
      <c r="F1344" s="952"/>
      <c r="G1344" s="981"/>
      <c r="H1344" s="981"/>
      <c r="I1344" s="981"/>
      <c r="J1344" s="981"/>
      <c r="K1344" s="981"/>
      <c r="O1344" s="981"/>
      <c r="P1344" s="981"/>
      <c r="Q1344" s="92"/>
    </row>
    <row r="1345" spans="1:17" ht="15" customHeight="1">
      <c r="A1345" s="981"/>
      <c r="B1345" s="981"/>
      <c r="C1345" s="1016"/>
      <c r="D1345" s="952"/>
      <c r="E1345" s="981"/>
      <c r="F1345" s="952"/>
      <c r="G1345" s="981"/>
      <c r="H1345" s="981"/>
      <c r="I1345" s="981"/>
      <c r="J1345" s="981"/>
      <c r="K1345" s="981"/>
      <c r="O1345" s="981"/>
      <c r="P1345" s="981"/>
      <c r="Q1345" s="92"/>
    </row>
    <row r="1346" spans="1:17" ht="15" customHeight="1">
      <c r="A1346" s="981"/>
      <c r="B1346" s="981"/>
      <c r="C1346" s="1016"/>
      <c r="D1346" s="952"/>
      <c r="E1346" s="981"/>
      <c r="F1346" s="952"/>
      <c r="G1346" s="981"/>
      <c r="H1346" s="981"/>
      <c r="I1346" s="981"/>
      <c r="J1346" s="981"/>
      <c r="K1346" s="981"/>
      <c r="O1346" s="981"/>
      <c r="P1346" s="981"/>
      <c r="Q1346" s="92"/>
    </row>
    <row r="1347" spans="1:17" ht="15" customHeight="1">
      <c r="A1347" s="981"/>
      <c r="B1347" s="981"/>
      <c r="C1347" s="1016"/>
      <c r="D1347" s="952"/>
      <c r="E1347" s="981"/>
      <c r="F1347" s="952"/>
      <c r="G1347" s="981"/>
      <c r="H1347" s="981"/>
      <c r="I1347" s="981"/>
      <c r="J1347" s="981"/>
      <c r="K1347" s="981"/>
      <c r="O1347" s="981"/>
      <c r="P1347" s="981"/>
      <c r="Q1347" s="92"/>
    </row>
    <row r="1348" spans="1:17" ht="15" customHeight="1">
      <c r="A1348" s="981"/>
      <c r="B1348" s="981"/>
      <c r="C1348" s="1016"/>
      <c r="D1348" s="952"/>
      <c r="E1348" s="981"/>
      <c r="F1348" s="952"/>
      <c r="G1348" s="981"/>
      <c r="H1348" s="981"/>
      <c r="I1348" s="981"/>
      <c r="J1348" s="981"/>
      <c r="K1348" s="981"/>
      <c r="O1348" s="981"/>
      <c r="P1348" s="981"/>
      <c r="Q1348" s="92"/>
    </row>
    <row r="1349" spans="1:17" ht="15" customHeight="1">
      <c r="A1349" s="981"/>
      <c r="B1349" s="981"/>
      <c r="C1349" s="1016"/>
      <c r="D1349" s="952"/>
      <c r="E1349" s="981"/>
      <c r="F1349" s="952"/>
      <c r="G1349" s="981"/>
      <c r="H1349" s="981"/>
      <c r="I1349" s="981"/>
      <c r="J1349" s="981"/>
      <c r="K1349" s="981"/>
      <c r="O1349" s="981"/>
      <c r="P1349" s="981"/>
      <c r="Q1349" s="92"/>
    </row>
    <row r="1350" spans="1:17" ht="15" customHeight="1">
      <c r="A1350" s="981"/>
      <c r="B1350" s="981"/>
      <c r="C1350" s="1016"/>
      <c r="D1350" s="952"/>
      <c r="E1350" s="981"/>
      <c r="F1350" s="952"/>
      <c r="G1350" s="981"/>
      <c r="H1350" s="981"/>
      <c r="I1350" s="981"/>
      <c r="J1350" s="981"/>
      <c r="K1350" s="981"/>
      <c r="O1350" s="981"/>
      <c r="P1350" s="981"/>
      <c r="Q1350" s="92"/>
    </row>
    <row r="1351" spans="1:17" ht="15" customHeight="1">
      <c r="A1351" s="981"/>
      <c r="B1351" s="981"/>
      <c r="C1351" s="1016"/>
      <c r="D1351" s="952"/>
      <c r="E1351" s="981"/>
      <c r="F1351" s="952"/>
      <c r="G1351" s="981"/>
      <c r="H1351" s="981"/>
      <c r="I1351" s="981"/>
      <c r="J1351" s="981"/>
      <c r="K1351" s="981"/>
      <c r="O1351" s="981"/>
      <c r="P1351" s="981"/>
      <c r="Q1351" s="92"/>
    </row>
    <row r="1352" spans="1:17" ht="15" customHeight="1">
      <c r="A1352" s="981"/>
      <c r="B1352" s="981"/>
      <c r="C1352" s="1016"/>
      <c r="D1352" s="952"/>
      <c r="E1352" s="981"/>
      <c r="F1352" s="952"/>
      <c r="G1352" s="981"/>
      <c r="H1352" s="981"/>
      <c r="I1352" s="981"/>
      <c r="J1352" s="981"/>
      <c r="K1352" s="981"/>
      <c r="O1352" s="981"/>
      <c r="P1352" s="981"/>
      <c r="Q1352" s="92"/>
    </row>
    <row r="1353" spans="1:17" ht="15" customHeight="1">
      <c r="A1353" s="981"/>
      <c r="B1353" s="981"/>
      <c r="C1353" s="1016"/>
      <c r="D1353" s="952"/>
      <c r="E1353" s="981"/>
      <c r="F1353" s="952"/>
      <c r="G1353" s="981"/>
      <c r="H1353" s="981"/>
      <c r="I1353" s="981"/>
      <c r="J1353" s="981"/>
      <c r="K1353" s="981"/>
      <c r="O1353" s="981"/>
      <c r="P1353" s="981"/>
      <c r="Q1353" s="92"/>
    </row>
    <row r="1354" spans="1:17" ht="15" customHeight="1">
      <c r="A1354" s="981"/>
      <c r="B1354" s="981"/>
      <c r="C1354" s="1016"/>
      <c r="D1354" s="952"/>
      <c r="E1354" s="981"/>
      <c r="F1354" s="952"/>
      <c r="G1354" s="981"/>
      <c r="H1354" s="981"/>
      <c r="I1354" s="981"/>
      <c r="J1354" s="981"/>
      <c r="K1354" s="981"/>
      <c r="O1354" s="981"/>
      <c r="P1354" s="981"/>
      <c r="Q1354" s="92"/>
    </row>
    <row r="1355" spans="1:17" ht="15" customHeight="1">
      <c r="A1355" s="981"/>
      <c r="B1355" s="981"/>
      <c r="C1355" s="1016"/>
      <c r="D1355" s="952"/>
      <c r="E1355" s="981"/>
      <c r="F1355" s="952"/>
      <c r="G1355" s="981"/>
      <c r="H1355" s="981"/>
      <c r="I1355" s="981"/>
      <c r="J1355" s="981"/>
      <c r="K1355" s="981"/>
      <c r="O1355" s="981"/>
      <c r="P1355" s="981"/>
      <c r="Q1355" s="92"/>
    </row>
    <row r="1356" spans="1:17" ht="15" customHeight="1">
      <c r="A1356" s="981"/>
      <c r="B1356" s="981"/>
      <c r="C1356" s="1016"/>
      <c r="D1356" s="952"/>
      <c r="E1356" s="981"/>
      <c r="F1356" s="952"/>
      <c r="G1356" s="981"/>
      <c r="H1356" s="981"/>
      <c r="I1356" s="981"/>
      <c r="J1356" s="981"/>
      <c r="K1356" s="981"/>
      <c r="O1356" s="981"/>
      <c r="P1356" s="981"/>
      <c r="Q1356" s="92"/>
    </row>
    <row r="1357" spans="1:17" ht="15" customHeight="1">
      <c r="A1357" s="981"/>
      <c r="B1357" s="981"/>
      <c r="C1357" s="1016"/>
      <c r="D1357" s="952"/>
      <c r="E1357" s="981"/>
      <c r="F1357" s="952"/>
      <c r="G1357" s="981"/>
      <c r="H1357" s="981"/>
      <c r="I1357" s="981"/>
      <c r="J1357" s="981"/>
      <c r="K1357" s="981"/>
      <c r="O1357" s="981"/>
      <c r="P1357" s="981"/>
      <c r="Q1357" s="92"/>
    </row>
    <row r="1358" spans="1:17" ht="15" customHeight="1">
      <c r="A1358" s="981"/>
      <c r="B1358" s="981"/>
      <c r="C1358" s="1016"/>
      <c r="D1358" s="952"/>
      <c r="E1358" s="981"/>
      <c r="F1358" s="952"/>
      <c r="G1358" s="981"/>
      <c r="H1358" s="981"/>
      <c r="I1358" s="981"/>
      <c r="J1358" s="981"/>
      <c r="K1358" s="981"/>
      <c r="O1358" s="981"/>
      <c r="P1358" s="981"/>
      <c r="Q1358" s="92"/>
    </row>
    <row r="1359" spans="1:17" ht="15" customHeight="1">
      <c r="A1359" s="981"/>
      <c r="B1359" s="981"/>
      <c r="C1359" s="1016"/>
      <c r="D1359" s="952"/>
      <c r="E1359" s="981"/>
      <c r="F1359" s="952"/>
      <c r="G1359" s="981"/>
      <c r="H1359" s="981"/>
      <c r="I1359" s="981"/>
      <c r="J1359" s="981"/>
      <c r="K1359" s="981"/>
      <c r="O1359" s="981"/>
      <c r="P1359" s="981"/>
      <c r="Q1359" s="92"/>
    </row>
    <row r="1360" spans="1:17" ht="15" customHeight="1">
      <c r="A1360" s="981"/>
      <c r="B1360" s="981"/>
      <c r="C1360" s="1016"/>
      <c r="D1360" s="952"/>
      <c r="E1360" s="981"/>
      <c r="F1360" s="952"/>
      <c r="G1360" s="981"/>
      <c r="H1360" s="981"/>
      <c r="I1360" s="981"/>
      <c r="J1360" s="981"/>
      <c r="K1360" s="981"/>
      <c r="O1360" s="981"/>
      <c r="P1360" s="981"/>
      <c r="Q1360" s="92"/>
    </row>
    <row r="1361" spans="1:17" ht="15" customHeight="1">
      <c r="A1361" s="981"/>
      <c r="B1361" s="981"/>
      <c r="C1361" s="1016"/>
      <c r="D1361" s="952"/>
      <c r="E1361" s="981"/>
      <c r="F1361" s="952"/>
      <c r="G1361" s="981"/>
      <c r="H1361" s="981"/>
      <c r="I1361" s="981"/>
      <c r="J1361" s="981"/>
      <c r="K1361" s="981"/>
      <c r="O1361" s="981"/>
      <c r="P1361" s="981"/>
      <c r="Q1361" s="92"/>
    </row>
    <row r="1362" spans="1:17" ht="15" customHeight="1">
      <c r="A1362" s="981"/>
      <c r="B1362" s="981"/>
      <c r="C1362" s="1016"/>
      <c r="D1362" s="952"/>
      <c r="E1362" s="981"/>
      <c r="F1362" s="952"/>
      <c r="G1362" s="981"/>
      <c r="H1362" s="981"/>
      <c r="I1362" s="981"/>
      <c r="J1362" s="981"/>
      <c r="K1362" s="981"/>
      <c r="O1362" s="981"/>
      <c r="P1362" s="981"/>
      <c r="Q1362" s="92"/>
    </row>
    <row r="1363" spans="1:17" ht="15" customHeight="1">
      <c r="A1363" s="981"/>
      <c r="B1363" s="981"/>
      <c r="C1363" s="1016"/>
      <c r="D1363" s="952"/>
      <c r="E1363" s="981"/>
      <c r="F1363" s="952"/>
      <c r="G1363" s="981"/>
      <c r="H1363" s="981"/>
      <c r="I1363" s="981"/>
      <c r="J1363" s="981"/>
      <c r="K1363" s="981"/>
      <c r="O1363" s="981"/>
      <c r="P1363" s="981"/>
      <c r="Q1363" s="92"/>
    </row>
    <row r="1364" spans="1:17" ht="15" customHeight="1">
      <c r="A1364" s="981"/>
      <c r="B1364" s="981"/>
      <c r="C1364" s="1016"/>
      <c r="D1364" s="952"/>
      <c r="E1364" s="981"/>
      <c r="F1364" s="952"/>
      <c r="G1364" s="981"/>
      <c r="H1364" s="981"/>
      <c r="I1364" s="981"/>
      <c r="J1364" s="981"/>
      <c r="K1364" s="981"/>
      <c r="O1364" s="981"/>
      <c r="P1364" s="981"/>
      <c r="Q1364" s="92"/>
    </row>
    <row r="1365" spans="1:17" ht="15" customHeight="1">
      <c r="A1365" s="981"/>
      <c r="B1365" s="981"/>
      <c r="C1365" s="1016"/>
      <c r="D1365" s="952"/>
      <c r="E1365" s="981"/>
      <c r="F1365" s="952"/>
      <c r="G1365" s="981"/>
      <c r="H1365" s="981"/>
      <c r="I1365" s="981"/>
      <c r="J1365" s="981"/>
      <c r="K1365" s="981"/>
      <c r="O1365" s="981"/>
      <c r="P1365" s="981"/>
      <c r="Q1365" s="92"/>
    </row>
    <row r="1366" spans="1:17" ht="15" customHeight="1">
      <c r="A1366" s="981"/>
      <c r="B1366" s="981"/>
      <c r="C1366" s="1016"/>
      <c r="D1366" s="952"/>
      <c r="E1366" s="981"/>
      <c r="F1366" s="952"/>
      <c r="G1366" s="981"/>
      <c r="H1366" s="981"/>
      <c r="I1366" s="981"/>
      <c r="J1366" s="981"/>
      <c r="K1366" s="981"/>
      <c r="O1366" s="981"/>
      <c r="P1366" s="981"/>
      <c r="Q1366" s="92"/>
    </row>
    <row r="1367" spans="1:17" ht="15" customHeight="1">
      <c r="A1367" s="981"/>
      <c r="B1367" s="981"/>
      <c r="C1367" s="1016"/>
      <c r="D1367" s="952"/>
      <c r="E1367" s="981"/>
      <c r="F1367" s="952"/>
      <c r="G1367" s="981"/>
      <c r="H1367" s="981"/>
      <c r="I1367" s="981"/>
      <c r="J1367" s="981"/>
      <c r="K1367" s="981"/>
      <c r="O1367" s="981"/>
      <c r="P1367" s="981"/>
      <c r="Q1367" s="92"/>
    </row>
    <row r="1368" spans="1:17" ht="15" customHeight="1">
      <c r="A1368" s="981"/>
      <c r="B1368" s="981"/>
      <c r="C1368" s="1016"/>
      <c r="D1368" s="952"/>
      <c r="E1368" s="981"/>
      <c r="F1368" s="952"/>
      <c r="G1368" s="981"/>
      <c r="H1368" s="981"/>
      <c r="I1368" s="981"/>
      <c r="J1368" s="981"/>
      <c r="K1368" s="981"/>
      <c r="O1368" s="981"/>
      <c r="P1368" s="981"/>
      <c r="Q1368" s="92"/>
    </row>
    <row r="1369" spans="1:17" ht="15" customHeight="1">
      <c r="A1369" s="981"/>
      <c r="B1369" s="981"/>
      <c r="C1369" s="1016"/>
      <c r="D1369" s="952"/>
      <c r="E1369" s="981"/>
      <c r="F1369" s="952"/>
      <c r="G1369" s="981"/>
      <c r="H1369" s="981"/>
      <c r="I1369" s="981"/>
      <c r="J1369" s="981"/>
      <c r="K1369" s="981"/>
      <c r="O1369" s="981"/>
      <c r="P1369" s="981"/>
      <c r="Q1369" s="92"/>
    </row>
    <row r="1370" spans="1:17" ht="15" customHeight="1">
      <c r="A1370" s="981"/>
      <c r="B1370" s="981"/>
      <c r="C1370" s="1016"/>
      <c r="D1370" s="952"/>
      <c r="E1370" s="981"/>
      <c r="F1370" s="952"/>
      <c r="G1370" s="981"/>
      <c r="H1370" s="981"/>
      <c r="I1370" s="981"/>
      <c r="J1370" s="981"/>
      <c r="K1370" s="981"/>
      <c r="O1370" s="981"/>
      <c r="P1370" s="981"/>
      <c r="Q1370" s="92"/>
    </row>
    <row r="1371" spans="1:17" ht="15" customHeight="1">
      <c r="A1371" s="981"/>
      <c r="B1371" s="981"/>
      <c r="C1371" s="1016"/>
      <c r="D1371" s="952"/>
      <c r="E1371" s="981"/>
      <c r="F1371" s="952"/>
      <c r="G1371" s="981"/>
      <c r="H1371" s="981"/>
      <c r="I1371" s="981"/>
      <c r="J1371" s="981"/>
      <c r="K1371" s="981"/>
      <c r="O1371" s="981"/>
      <c r="P1371" s="981"/>
      <c r="Q1371" s="92"/>
    </row>
    <row r="1372" spans="1:17" ht="15" customHeight="1">
      <c r="A1372" s="981"/>
      <c r="B1372" s="981"/>
      <c r="C1372" s="1016"/>
      <c r="D1372" s="952"/>
      <c r="E1372" s="981"/>
      <c r="F1372" s="952"/>
      <c r="G1372" s="981"/>
      <c r="H1372" s="981"/>
      <c r="I1372" s="981"/>
      <c r="J1372" s="981"/>
      <c r="K1372" s="981"/>
      <c r="O1372" s="981"/>
      <c r="P1372" s="981"/>
      <c r="Q1372" s="92"/>
    </row>
    <row r="1373" spans="1:17" ht="15" customHeight="1">
      <c r="A1373" s="981"/>
      <c r="B1373" s="981"/>
      <c r="C1373" s="1016"/>
      <c r="D1373" s="952"/>
      <c r="E1373" s="981"/>
      <c r="F1373" s="952"/>
      <c r="G1373" s="981"/>
      <c r="H1373" s="981"/>
      <c r="I1373" s="981"/>
      <c r="J1373" s="981"/>
      <c r="K1373" s="981"/>
      <c r="O1373" s="981"/>
      <c r="P1373" s="981"/>
      <c r="Q1373" s="92"/>
    </row>
    <row r="1374" spans="1:17" ht="15" customHeight="1">
      <c r="A1374" s="981"/>
      <c r="B1374" s="981"/>
      <c r="C1374" s="1016"/>
      <c r="D1374" s="952"/>
      <c r="E1374" s="981"/>
      <c r="F1374" s="952"/>
      <c r="G1374" s="981"/>
      <c r="H1374" s="981"/>
      <c r="I1374" s="981"/>
      <c r="J1374" s="981"/>
      <c r="K1374" s="981"/>
      <c r="O1374" s="981"/>
      <c r="P1374" s="981"/>
      <c r="Q1374" s="92"/>
    </row>
    <row r="1375" spans="1:17" ht="15" customHeight="1">
      <c r="A1375" s="981"/>
      <c r="B1375" s="981"/>
      <c r="C1375" s="1016"/>
      <c r="D1375" s="952"/>
      <c r="E1375" s="981"/>
      <c r="F1375" s="952"/>
      <c r="G1375" s="981"/>
      <c r="H1375" s="981"/>
      <c r="I1375" s="981"/>
      <c r="J1375" s="981"/>
      <c r="K1375" s="981"/>
      <c r="O1375" s="981"/>
      <c r="P1375" s="981"/>
      <c r="Q1375" s="92"/>
    </row>
    <row r="1376" spans="1:17" ht="15" customHeight="1">
      <c r="A1376" s="981"/>
      <c r="B1376" s="981"/>
      <c r="C1376" s="1016"/>
      <c r="D1376" s="952"/>
      <c r="E1376" s="981"/>
      <c r="F1376" s="952"/>
      <c r="G1376" s="981"/>
      <c r="H1376" s="981"/>
      <c r="I1376" s="981"/>
      <c r="J1376" s="981"/>
      <c r="K1376" s="981"/>
      <c r="O1376" s="981"/>
      <c r="P1376" s="981"/>
      <c r="Q1376" s="92"/>
    </row>
    <row r="1377" spans="1:17" ht="15" customHeight="1">
      <c r="A1377" s="981"/>
      <c r="B1377" s="981"/>
      <c r="C1377" s="1016"/>
      <c r="D1377" s="952"/>
      <c r="E1377" s="981"/>
      <c r="F1377" s="952"/>
      <c r="G1377" s="981"/>
      <c r="H1377" s="981"/>
      <c r="I1377" s="981"/>
      <c r="J1377" s="981"/>
      <c r="K1377" s="981"/>
      <c r="O1377" s="981"/>
      <c r="P1377" s="981"/>
      <c r="Q1377" s="92"/>
    </row>
    <row r="1378" spans="1:17" ht="15" customHeight="1">
      <c r="A1378" s="981"/>
      <c r="B1378" s="981"/>
      <c r="C1378" s="1016"/>
      <c r="D1378" s="952"/>
      <c r="E1378" s="981"/>
      <c r="F1378" s="952"/>
      <c r="G1378" s="981"/>
      <c r="H1378" s="981"/>
      <c r="I1378" s="981"/>
      <c r="J1378" s="981"/>
      <c r="K1378" s="981"/>
      <c r="O1378" s="981"/>
      <c r="P1378" s="981"/>
      <c r="Q1378" s="92"/>
    </row>
    <row r="1379" spans="1:17" ht="15" customHeight="1">
      <c r="A1379" s="981"/>
      <c r="B1379" s="981"/>
      <c r="C1379" s="1016"/>
      <c r="D1379" s="952"/>
      <c r="E1379" s="981"/>
      <c r="F1379" s="952"/>
      <c r="G1379" s="981"/>
      <c r="H1379" s="981"/>
      <c r="I1379" s="981"/>
      <c r="J1379" s="981"/>
      <c r="K1379" s="981"/>
      <c r="O1379" s="981"/>
      <c r="P1379" s="981"/>
      <c r="Q1379" s="92"/>
    </row>
    <row r="1380" spans="1:17" ht="15" customHeight="1">
      <c r="A1380" s="981"/>
      <c r="B1380" s="981"/>
      <c r="C1380" s="1016"/>
      <c r="D1380" s="952"/>
      <c r="E1380" s="981"/>
      <c r="F1380" s="952"/>
      <c r="G1380" s="981"/>
      <c r="H1380" s="981"/>
      <c r="I1380" s="981"/>
      <c r="J1380" s="981"/>
      <c r="K1380" s="981"/>
      <c r="O1380" s="981"/>
      <c r="P1380" s="981"/>
      <c r="Q1380" s="92"/>
    </row>
    <row r="1381" spans="1:17" ht="15" customHeight="1">
      <c r="A1381" s="981"/>
      <c r="B1381" s="981"/>
      <c r="C1381" s="1016"/>
      <c r="D1381" s="952"/>
      <c r="E1381" s="981"/>
      <c r="F1381" s="952"/>
      <c r="G1381" s="981"/>
      <c r="H1381" s="981"/>
      <c r="I1381" s="981"/>
      <c r="J1381" s="981"/>
      <c r="K1381" s="981"/>
      <c r="O1381" s="981"/>
      <c r="P1381" s="981"/>
      <c r="Q1381" s="92"/>
    </row>
    <row r="1382" spans="1:17" ht="15" customHeight="1">
      <c r="A1382" s="981"/>
      <c r="B1382" s="981"/>
      <c r="C1382" s="1016"/>
      <c r="D1382" s="952"/>
      <c r="E1382" s="981"/>
      <c r="F1382" s="952"/>
      <c r="G1382" s="981"/>
      <c r="H1382" s="981"/>
      <c r="I1382" s="981"/>
      <c r="J1382" s="981"/>
      <c r="K1382" s="981"/>
      <c r="O1382" s="981"/>
      <c r="P1382" s="981"/>
      <c r="Q1382" s="92"/>
    </row>
    <row r="1383" spans="1:17" ht="15" customHeight="1">
      <c r="A1383" s="981"/>
      <c r="B1383" s="981"/>
      <c r="C1383" s="1016"/>
      <c r="D1383" s="952"/>
      <c r="E1383" s="981"/>
      <c r="F1383" s="952"/>
      <c r="G1383" s="981"/>
      <c r="H1383" s="981"/>
      <c r="I1383" s="981"/>
      <c r="J1383" s="981"/>
      <c r="K1383" s="981"/>
      <c r="O1383" s="981"/>
      <c r="P1383" s="981"/>
      <c r="Q1383" s="92"/>
    </row>
    <row r="1384" spans="1:17" ht="15" customHeight="1">
      <c r="A1384" s="981"/>
      <c r="B1384" s="981"/>
      <c r="C1384" s="1016"/>
      <c r="D1384" s="952"/>
      <c r="E1384" s="981"/>
      <c r="F1384" s="952"/>
      <c r="G1384" s="981"/>
      <c r="H1384" s="981"/>
      <c r="I1384" s="981"/>
      <c r="J1384" s="981"/>
      <c r="K1384" s="981"/>
      <c r="O1384" s="981"/>
      <c r="P1384" s="981"/>
      <c r="Q1384" s="92"/>
    </row>
    <row r="1385" spans="1:17" ht="15" customHeight="1">
      <c r="A1385" s="981"/>
      <c r="B1385" s="981"/>
      <c r="C1385" s="1016"/>
      <c r="D1385" s="952"/>
      <c r="E1385" s="981"/>
      <c r="F1385" s="952"/>
      <c r="G1385" s="981"/>
      <c r="H1385" s="981"/>
      <c r="I1385" s="981"/>
      <c r="J1385" s="981"/>
      <c r="K1385" s="981"/>
      <c r="O1385" s="981"/>
      <c r="P1385" s="981"/>
      <c r="Q1385" s="92"/>
    </row>
    <row r="1386" spans="1:17" ht="15" customHeight="1">
      <c r="A1386" s="981"/>
      <c r="B1386" s="981"/>
      <c r="C1386" s="1016"/>
      <c r="D1386" s="952"/>
      <c r="E1386" s="981"/>
      <c r="F1386" s="952"/>
      <c r="G1386" s="981"/>
      <c r="H1386" s="981"/>
      <c r="I1386" s="981"/>
      <c r="J1386" s="981"/>
      <c r="K1386" s="981"/>
      <c r="O1386" s="981"/>
      <c r="P1386" s="981"/>
      <c r="Q1386" s="92"/>
    </row>
    <row r="1387" spans="1:17" ht="15" customHeight="1">
      <c r="A1387" s="981"/>
      <c r="B1387" s="981"/>
      <c r="C1387" s="1016"/>
      <c r="D1387" s="952"/>
      <c r="E1387" s="981"/>
      <c r="F1387" s="952"/>
      <c r="G1387" s="981"/>
      <c r="H1387" s="981"/>
      <c r="I1387" s="981"/>
      <c r="J1387" s="981"/>
      <c r="K1387" s="981"/>
      <c r="O1387" s="981"/>
      <c r="P1387" s="981"/>
      <c r="Q1387" s="92"/>
    </row>
    <row r="1388" spans="1:17" ht="15" customHeight="1">
      <c r="A1388" s="981"/>
      <c r="B1388" s="981"/>
      <c r="C1388" s="1016"/>
      <c r="D1388" s="952"/>
      <c r="E1388" s="981"/>
      <c r="F1388" s="952"/>
      <c r="G1388" s="981"/>
      <c r="H1388" s="981"/>
      <c r="I1388" s="981"/>
      <c r="J1388" s="981"/>
      <c r="K1388" s="981"/>
      <c r="O1388" s="981"/>
      <c r="P1388" s="981"/>
      <c r="Q1388" s="92"/>
    </row>
    <row r="1389" spans="1:17" ht="15" customHeight="1">
      <c r="A1389" s="981"/>
      <c r="B1389" s="981"/>
      <c r="C1389" s="1016"/>
      <c r="D1389" s="952"/>
      <c r="E1389" s="981"/>
      <c r="F1389" s="952"/>
      <c r="G1389" s="981"/>
      <c r="H1389" s="981"/>
      <c r="I1389" s="981"/>
      <c r="J1389" s="981"/>
      <c r="K1389" s="981"/>
      <c r="O1389" s="981"/>
      <c r="P1389" s="981"/>
      <c r="Q1389" s="92"/>
    </row>
    <row r="1390" spans="1:17" ht="15" customHeight="1">
      <c r="A1390" s="981"/>
      <c r="B1390" s="981"/>
      <c r="C1390" s="1016"/>
      <c r="D1390" s="952"/>
      <c r="E1390" s="981"/>
      <c r="F1390" s="952"/>
      <c r="G1390" s="981"/>
      <c r="H1390" s="981"/>
      <c r="I1390" s="981"/>
      <c r="J1390" s="981"/>
      <c r="K1390" s="981"/>
      <c r="O1390" s="981"/>
      <c r="P1390" s="981"/>
      <c r="Q1390" s="92"/>
    </row>
    <row r="1391" spans="1:17" ht="15" customHeight="1">
      <c r="A1391" s="981"/>
      <c r="B1391" s="981"/>
      <c r="C1391" s="1016"/>
      <c r="D1391" s="952"/>
      <c r="E1391" s="981"/>
      <c r="F1391" s="952"/>
      <c r="G1391" s="981"/>
      <c r="H1391" s="981"/>
      <c r="I1391" s="981"/>
      <c r="J1391" s="981"/>
      <c r="K1391" s="981"/>
      <c r="O1391" s="981"/>
      <c r="P1391" s="981"/>
      <c r="Q1391" s="92"/>
    </row>
    <row r="1392" spans="1:17" ht="15" customHeight="1">
      <c r="A1392" s="981"/>
      <c r="B1392" s="981"/>
      <c r="C1392" s="1016"/>
      <c r="D1392" s="952"/>
      <c r="E1392" s="981"/>
      <c r="F1392" s="952"/>
      <c r="G1392" s="981"/>
      <c r="H1392" s="981"/>
      <c r="I1392" s="981"/>
      <c r="J1392" s="981"/>
      <c r="K1392" s="981"/>
      <c r="O1392" s="981"/>
      <c r="P1392" s="981"/>
      <c r="Q1392" s="92"/>
    </row>
    <row r="1393" spans="1:17" ht="15" customHeight="1">
      <c r="A1393" s="981"/>
      <c r="B1393" s="981"/>
      <c r="C1393" s="1016"/>
      <c r="D1393" s="952"/>
      <c r="E1393" s="981"/>
      <c r="F1393" s="952"/>
      <c r="G1393" s="981"/>
      <c r="H1393" s="981"/>
      <c r="I1393" s="981"/>
      <c r="J1393" s="981"/>
      <c r="K1393" s="981"/>
      <c r="O1393" s="981"/>
      <c r="P1393" s="981"/>
      <c r="Q1393" s="92"/>
    </row>
    <row r="1394" spans="1:17" ht="15" customHeight="1">
      <c r="A1394" s="981"/>
      <c r="B1394" s="981"/>
      <c r="C1394" s="1016"/>
      <c r="D1394" s="952"/>
      <c r="E1394" s="981"/>
      <c r="F1394" s="952"/>
      <c r="G1394" s="981"/>
      <c r="H1394" s="981"/>
      <c r="I1394" s="981"/>
      <c r="J1394" s="981"/>
      <c r="K1394" s="981"/>
      <c r="O1394" s="981"/>
      <c r="P1394" s="981"/>
      <c r="Q1394" s="92"/>
    </row>
    <row r="1395" spans="1:17" ht="15" customHeight="1">
      <c r="A1395" s="981"/>
      <c r="B1395" s="981"/>
      <c r="C1395" s="1016"/>
      <c r="D1395" s="952"/>
      <c r="E1395" s="981"/>
      <c r="F1395" s="952"/>
      <c r="G1395" s="981"/>
      <c r="H1395" s="981"/>
      <c r="I1395" s="981"/>
      <c r="J1395" s="981"/>
      <c r="K1395" s="981"/>
      <c r="O1395" s="981"/>
      <c r="P1395" s="981"/>
      <c r="Q1395" s="92"/>
    </row>
    <row r="1396" spans="1:17" ht="15" customHeight="1">
      <c r="A1396" s="981"/>
      <c r="B1396" s="981"/>
      <c r="C1396" s="1016"/>
      <c r="D1396" s="952"/>
      <c r="E1396" s="981"/>
      <c r="F1396" s="952"/>
      <c r="G1396" s="981"/>
      <c r="H1396" s="981"/>
      <c r="I1396" s="981"/>
      <c r="J1396" s="981"/>
      <c r="K1396" s="981"/>
      <c r="O1396" s="981"/>
      <c r="P1396" s="981"/>
      <c r="Q1396" s="92"/>
    </row>
    <row r="1397" spans="1:17" ht="15" customHeight="1">
      <c r="A1397" s="981"/>
      <c r="B1397" s="981"/>
      <c r="C1397" s="1016"/>
      <c r="D1397" s="952"/>
      <c r="E1397" s="981"/>
      <c r="F1397" s="952"/>
      <c r="G1397" s="981"/>
      <c r="H1397" s="981"/>
      <c r="I1397" s="981"/>
      <c r="J1397" s="981"/>
      <c r="K1397" s="981"/>
      <c r="O1397" s="981"/>
      <c r="P1397" s="981"/>
      <c r="Q1397" s="92"/>
    </row>
    <row r="1398" spans="1:17" ht="15" customHeight="1">
      <c r="A1398" s="981"/>
      <c r="B1398" s="981"/>
      <c r="C1398" s="1016"/>
      <c r="D1398" s="952"/>
      <c r="E1398" s="981"/>
      <c r="F1398" s="952"/>
      <c r="G1398" s="981"/>
      <c r="H1398" s="981"/>
      <c r="I1398" s="981"/>
      <c r="J1398" s="981"/>
      <c r="K1398" s="981"/>
      <c r="O1398" s="981"/>
      <c r="P1398" s="981"/>
      <c r="Q1398" s="92"/>
    </row>
    <row r="1399" spans="1:17" ht="15" customHeight="1">
      <c r="A1399" s="981"/>
      <c r="B1399" s="981"/>
      <c r="C1399" s="1016"/>
      <c r="D1399" s="952"/>
      <c r="E1399" s="981"/>
      <c r="F1399" s="952"/>
      <c r="G1399" s="981"/>
      <c r="H1399" s="981"/>
      <c r="I1399" s="981"/>
      <c r="J1399" s="981"/>
      <c r="K1399" s="981"/>
      <c r="O1399" s="981"/>
      <c r="P1399" s="981"/>
      <c r="Q1399" s="92"/>
    </row>
    <row r="1400" spans="1:17" ht="15" customHeight="1">
      <c r="A1400" s="981"/>
      <c r="B1400" s="981"/>
      <c r="C1400" s="1016"/>
      <c r="D1400" s="952"/>
      <c r="E1400" s="981"/>
      <c r="F1400" s="952"/>
      <c r="G1400" s="981"/>
      <c r="H1400" s="981"/>
      <c r="I1400" s="981"/>
      <c r="J1400" s="981"/>
      <c r="K1400" s="981"/>
      <c r="O1400" s="981"/>
      <c r="P1400" s="981"/>
      <c r="Q1400" s="92"/>
    </row>
    <row r="1401" spans="1:17" ht="15" customHeight="1">
      <c r="A1401" s="981"/>
      <c r="B1401" s="981"/>
      <c r="C1401" s="1016"/>
      <c r="D1401" s="952"/>
      <c r="E1401" s="981"/>
      <c r="F1401" s="952"/>
      <c r="G1401" s="981"/>
      <c r="H1401" s="981"/>
      <c r="I1401" s="981"/>
      <c r="J1401" s="981"/>
      <c r="K1401" s="981"/>
      <c r="O1401" s="981"/>
      <c r="P1401" s="981"/>
      <c r="Q1401" s="92"/>
    </row>
    <row r="1402" spans="1:17" ht="15" customHeight="1">
      <c r="A1402" s="981"/>
      <c r="B1402" s="981"/>
      <c r="C1402" s="1016"/>
      <c r="D1402" s="952"/>
      <c r="E1402" s="981"/>
      <c r="F1402" s="952"/>
      <c r="G1402" s="981"/>
      <c r="H1402" s="981"/>
      <c r="I1402" s="981"/>
      <c r="J1402" s="981"/>
      <c r="K1402" s="981"/>
      <c r="O1402" s="981"/>
      <c r="P1402" s="981"/>
      <c r="Q1402" s="92"/>
    </row>
    <row r="1403" spans="1:17" ht="15" customHeight="1">
      <c r="A1403" s="981"/>
      <c r="B1403" s="981"/>
      <c r="C1403" s="1016"/>
      <c r="D1403" s="952"/>
      <c r="E1403" s="981"/>
      <c r="F1403" s="952"/>
      <c r="G1403" s="981"/>
      <c r="H1403" s="981"/>
      <c r="I1403" s="981"/>
      <c r="J1403" s="981"/>
      <c r="K1403" s="981"/>
      <c r="O1403" s="981"/>
      <c r="P1403" s="981"/>
      <c r="Q1403" s="92"/>
    </row>
    <row r="1404" spans="1:17" ht="15" customHeight="1">
      <c r="A1404" s="981"/>
      <c r="B1404" s="981"/>
      <c r="C1404" s="1016"/>
      <c r="D1404" s="952"/>
      <c r="E1404" s="981"/>
      <c r="F1404" s="952"/>
      <c r="G1404" s="981"/>
      <c r="H1404" s="981"/>
      <c r="I1404" s="981"/>
      <c r="J1404" s="981"/>
      <c r="K1404" s="981"/>
      <c r="O1404" s="981"/>
      <c r="P1404" s="981"/>
      <c r="Q1404" s="92"/>
    </row>
    <row r="1405" spans="1:17" ht="15" customHeight="1">
      <c r="A1405" s="981"/>
      <c r="B1405" s="981"/>
      <c r="C1405" s="1016"/>
      <c r="D1405" s="952"/>
      <c r="E1405" s="981"/>
      <c r="F1405" s="952"/>
      <c r="G1405" s="981"/>
      <c r="H1405" s="981"/>
      <c r="I1405" s="981"/>
      <c r="J1405" s="981"/>
      <c r="K1405" s="981"/>
      <c r="O1405" s="981"/>
      <c r="P1405" s="981"/>
      <c r="Q1405" s="92"/>
    </row>
    <row r="1406" spans="1:17" ht="15" customHeight="1">
      <c r="A1406" s="981"/>
      <c r="B1406" s="981"/>
      <c r="C1406" s="1016"/>
      <c r="D1406" s="952"/>
      <c r="E1406" s="981"/>
      <c r="F1406" s="952"/>
      <c r="G1406" s="981"/>
      <c r="H1406" s="981"/>
      <c r="I1406" s="981"/>
      <c r="J1406" s="981"/>
      <c r="K1406" s="981"/>
      <c r="O1406" s="981"/>
      <c r="P1406" s="981"/>
      <c r="Q1406" s="92"/>
    </row>
    <row r="1407" spans="1:17" ht="15" customHeight="1">
      <c r="A1407" s="981"/>
      <c r="B1407" s="981"/>
      <c r="C1407" s="1016"/>
      <c r="D1407" s="952"/>
      <c r="E1407" s="981"/>
      <c r="F1407" s="952"/>
      <c r="G1407" s="981"/>
      <c r="H1407" s="981"/>
      <c r="I1407" s="981"/>
      <c r="J1407" s="981"/>
      <c r="K1407" s="981"/>
      <c r="O1407" s="981"/>
      <c r="P1407" s="981"/>
      <c r="Q1407" s="92"/>
    </row>
    <row r="1408" spans="1:17" ht="15" customHeight="1">
      <c r="A1408" s="981"/>
      <c r="B1408" s="981"/>
      <c r="C1408" s="1016"/>
      <c r="D1408" s="952"/>
      <c r="E1408" s="981"/>
      <c r="F1408" s="952"/>
      <c r="G1408" s="981"/>
      <c r="H1408" s="981"/>
      <c r="I1408" s="981"/>
      <c r="J1408" s="981"/>
      <c r="K1408" s="981"/>
      <c r="O1408" s="981"/>
      <c r="P1408" s="981"/>
      <c r="Q1408" s="92"/>
    </row>
    <row r="1409" spans="1:17" ht="15" customHeight="1">
      <c r="A1409" s="981"/>
      <c r="B1409" s="981"/>
      <c r="C1409" s="1016"/>
      <c r="D1409" s="952"/>
      <c r="E1409" s="981"/>
      <c r="F1409" s="952"/>
      <c r="G1409" s="981"/>
      <c r="H1409" s="981"/>
      <c r="I1409" s="981"/>
      <c r="J1409" s="981"/>
      <c r="K1409" s="981"/>
      <c r="O1409" s="981"/>
      <c r="P1409" s="981"/>
      <c r="Q1409" s="92"/>
    </row>
    <row r="1410" spans="1:17" ht="15" customHeight="1">
      <c r="A1410" s="981"/>
      <c r="B1410" s="981"/>
      <c r="C1410" s="1016"/>
      <c r="D1410" s="952"/>
      <c r="E1410" s="981"/>
      <c r="F1410" s="952"/>
      <c r="G1410" s="981"/>
      <c r="H1410" s="981"/>
      <c r="I1410" s="981"/>
      <c r="J1410" s="981"/>
      <c r="K1410" s="981"/>
      <c r="O1410" s="981"/>
      <c r="P1410" s="981"/>
      <c r="Q1410" s="92"/>
    </row>
    <row r="1411" spans="1:17" ht="15" customHeight="1">
      <c r="A1411" s="981"/>
      <c r="B1411" s="981"/>
      <c r="C1411" s="1016"/>
      <c r="D1411" s="952"/>
      <c r="E1411" s="981"/>
      <c r="F1411" s="952"/>
      <c r="G1411" s="981"/>
      <c r="H1411" s="981"/>
      <c r="I1411" s="981"/>
      <c r="J1411" s="981"/>
      <c r="K1411" s="981"/>
      <c r="O1411" s="981"/>
      <c r="P1411" s="981"/>
      <c r="Q1411" s="92"/>
    </row>
    <row r="1412" spans="1:17" ht="15" customHeight="1">
      <c r="A1412" s="981"/>
      <c r="B1412" s="981"/>
      <c r="C1412" s="1016"/>
      <c r="D1412" s="952"/>
      <c r="E1412" s="981"/>
      <c r="F1412" s="952"/>
      <c r="G1412" s="981"/>
      <c r="H1412" s="981"/>
      <c r="I1412" s="981"/>
      <c r="J1412" s="981"/>
      <c r="K1412" s="981"/>
      <c r="O1412" s="981"/>
      <c r="P1412" s="981"/>
      <c r="Q1412" s="92"/>
    </row>
    <row r="1413" spans="1:17" ht="15" customHeight="1">
      <c r="A1413" s="981"/>
      <c r="B1413" s="981"/>
      <c r="C1413" s="1016"/>
      <c r="D1413" s="952"/>
      <c r="E1413" s="981"/>
      <c r="F1413" s="952"/>
      <c r="G1413" s="981"/>
      <c r="H1413" s="981"/>
      <c r="I1413" s="981"/>
      <c r="J1413" s="981"/>
      <c r="K1413" s="981"/>
      <c r="O1413" s="981"/>
      <c r="P1413" s="981"/>
      <c r="Q1413" s="92"/>
    </row>
    <row r="1414" spans="1:17" ht="15" customHeight="1">
      <c r="A1414" s="981"/>
      <c r="B1414" s="981"/>
      <c r="C1414" s="1016"/>
      <c r="D1414" s="952"/>
      <c r="E1414" s="981"/>
      <c r="F1414" s="952"/>
      <c r="G1414" s="981"/>
      <c r="H1414" s="981"/>
      <c r="I1414" s="981"/>
      <c r="J1414" s="981"/>
      <c r="K1414" s="981"/>
      <c r="O1414" s="981"/>
      <c r="P1414" s="981"/>
      <c r="Q1414" s="92"/>
    </row>
    <row r="1415" spans="1:17" ht="15" customHeight="1">
      <c r="A1415" s="981"/>
      <c r="B1415" s="981"/>
      <c r="C1415" s="1016"/>
      <c r="D1415" s="952"/>
      <c r="E1415" s="981"/>
      <c r="F1415" s="952"/>
      <c r="G1415" s="981"/>
      <c r="H1415" s="981"/>
      <c r="I1415" s="981"/>
      <c r="J1415" s="981"/>
      <c r="K1415" s="981"/>
      <c r="O1415" s="981"/>
      <c r="P1415" s="981"/>
      <c r="Q1415" s="92"/>
    </row>
    <row r="1416" spans="1:17" ht="15" customHeight="1">
      <c r="A1416" s="981"/>
      <c r="B1416" s="981"/>
      <c r="C1416" s="1016"/>
      <c r="D1416" s="952"/>
      <c r="E1416" s="981"/>
      <c r="F1416" s="952"/>
      <c r="G1416" s="981"/>
      <c r="H1416" s="981"/>
      <c r="I1416" s="981"/>
      <c r="J1416" s="981"/>
      <c r="K1416" s="981"/>
      <c r="O1416" s="981"/>
      <c r="P1416" s="981"/>
      <c r="Q1416" s="92"/>
    </row>
    <row r="1417" spans="1:17" ht="15" customHeight="1">
      <c r="A1417" s="981"/>
      <c r="B1417" s="981"/>
      <c r="C1417" s="1016"/>
      <c r="D1417" s="952"/>
      <c r="E1417" s="981"/>
      <c r="F1417" s="952"/>
      <c r="G1417" s="981"/>
      <c r="H1417" s="981"/>
      <c r="I1417" s="981"/>
      <c r="J1417" s="981"/>
      <c r="K1417" s="981"/>
      <c r="O1417" s="981"/>
      <c r="P1417" s="981"/>
      <c r="Q1417" s="92"/>
    </row>
    <row r="1418" spans="1:17" ht="15" customHeight="1">
      <c r="A1418" s="981"/>
      <c r="B1418" s="981"/>
      <c r="C1418" s="1016"/>
      <c r="D1418" s="952"/>
      <c r="E1418" s="981"/>
      <c r="F1418" s="952"/>
      <c r="G1418" s="981"/>
      <c r="H1418" s="981"/>
      <c r="I1418" s="981"/>
      <c r="J1418" s="981"/>
      <c r="K1418" s="981"/>
      <c r="O1418" s="981"/>
      <c r="P1418" s="981"/>
      <c r="Q1418" s="92"/>
    </row>
    <row r="1419" spans="1:17" ht="15" customHeight="1">
      <c r="A1419" s="981"/>
      <c r="B1419" s="981"/>
      <c r="C1419" s="1016"/>
      <c r="D1419" s="952"/>
      <c r="E1419" s="981"/>
      <c r="F1419" s="952"/>
      <c r="G1419" s="981"/>
      <c r="H1419" s="981"/>
      <c r="I1419" s="981"/>
      <c r="J1419" s="981"/>
      <c r="K1419" s="981"/>
      <c r="O1419" s="981"/>
      <c r="P1419" s="981"/>
      <c r="Q1419" s="92"/>
    </row>
    <row r="1420" spans="1:17" ht="15" customHeight="1">
      <c r="A1420" s="981"/>
      <c r="B1420" s="981"/>
      <c r="C1420" s="1016"/>
      <c r="D1420" s="952"/>
      <c r="E1420" s="981"/>
      <c r="F1420" s="952"/>
      <c r="G1420" s="981"/>
      <c r="H1420" s="981"/>
      <c r="I1420" s="981"/>
      <c r="J1420" s="981"/>
      <c r="K1420" s="981"/>
      <c r="O1420" s="981"/>
      <c r="P1420" s="981"/>
      <c r="Q1420" s="92"/>
    </row>
    <row r="1421" spans="1:17" ht="15" customHeight="1">
      <c r="A1421" s="981"/>
      <c r="B1421" s="981"/>
      <c r="C1421" s="1016"/>
      <c r="D1421" s="952"/>
      <c r="E1421" s="981"/>
      <c r="F1421" s="952"/>
      <c r="G1421" s="981"/>
      <c r="H1421" s="981"/>
      <c r="I1421" s="981"/>
      <c r="J1421" s="981"/>
      <c r="K1421" s="981"/>
      <c r="O1421" s="981"/>
      <c r="P1421" s="981"/>
      <c r="Q1421" s="92"/>
    </row>
    <row r="1422" spans="1:17" ht="15" customHeight="1">
      <c r="A1422" s="981"/>
      <c r="B1422" s="981"/>
      <c r="C1422" s="1016"/>
      <c r="D1422" s="952"/>
      <c r="E1422" s="981"/>
      <c r="F1422" s="952"/>
      <c r="G1422" s="981"/>
      <c r="H1422" s="981"/>
      <c r="I1422" s="981"/>
      <c r="J1422" s="981"/>
      <c r="K1422" s="981"/>
      <c r="O1422" s="981"/>
      <c r="P1422" s="981"/>
      <c r="Q1422" s="92"/>
    </row>
    <row r="1423" spans="1:17" ht="15" customHeight="1">
      <c r="A1423" s="981"/>
      <c r="B1423" s="981"/>
      <c r="C1423" s="1016"/>
      <c r="D1423" s="952"/>
      <c r="E1423" s="981"/>
      <c r="F1423" s="952"/>
      <c r="G1423" s="981"/>
      <c r="H1423" s="981"/>
      <c r="I1423" s="981"/>
      <c r="J1423" s="981"/>
      <c r="K1423" s="981"/>
      <c r="O1423" s="981"/>
      <c r="P1423" s="981"/>
      <c r="Q1423" s="92"/>
    </row>
    <row r="1424" spans="1:17" ht="15" customHeight="1">
      <c r="A1424" s="981"/>
      <c r="B1424" s="981"/>
      <c r="C1424" s="1016"/>
      <c r="D1424" s="952"/>
      <c r="E1424" s="981"/>
      <c r="F1424" s="952"/>
      <c r="G1424" s="981"/>
      <c r="H1424" s="981"/>
      <c r="I1424" s="981"/>
      <c r="J1424" s="981"/>
      <c r="K1424" s="981"/>
      <c r="O1424" s="981"/>
      <c r="P1424" s="981"/>
      <c r="Q1424" s="92"/>
    </row>
    <row r="1425" spans="1:17" ht="15" customHeight="1">
      <c r="A1425" s="981"/>
      <c r="B1425" s="981"/>
      <c r="C1425" s="1016"/>
      <c r="D1425" s="952"/>
      <c r="E1425" s="981"/>
      <c r="F1425" s="952"/>
      <c r="G1425" s="981"/>
      <c r="H1425" s="981"/>
      <c r="I1425" s="981"/>
      <c r="J1425" s="981"/>
      <c r="K1425" s="981"/>
      <c r="O1425" s="981"/>
      <c r="P1425" s="981"/>
      <c r="Q1425" s="92"/>
    </row>
    <row r="1426" spans="1:17" ht="15" customHeight="1">
      <c r="A1426" s="981"/>
      <c r="B1426" s="981"/>
      <c r="C1426" s="1016"/>
      <c r="D1426" s="952"/>
      <c r="E1426" s="981"/>
      <c r="F1426" s="952"/>
      <c r="G1426" s="981"/>
      <c r="H1426" s="981"/>
      <c r="I1426" s="981"/>
      <c r="J1426" s="981"/>
      <c r="K1426" s="981"/>
      <c r="O1426" s="981"/>
      <c r="P1426" s="981"/>
      <c r="Q1426" s="92"/>
    </row>
    <row r="1427" spans="1:17" ht="15" customHeight="1">
      <c r="A1427" s="981"/>
      <c r="B1427" s="981"/>
      <c r="C1427" s="1016"/>
      <c r="D1427" s="952"/>
      <c r="E1427" s="981"/>
      <c r="F1427" s="952"/>
      <c r="G1427" s="981"/>
      <c r="H1427" s="981"/>
      <c r="I1427" s="981"/>
      <c r="J1427" s="981"/>
      <c r="K1427" s="981"/>
      <c r="O1427" s="981"/>
      <c r="P1427" s="981"/>
      <c r="Q1427" s="92"/>
    </row>
    <row r="1428" spans="1:17" ht="15" customHeight="1">
      <c r="A1428" s="981"/>
      <c r="B1428" s="981"/>
      <c r="C1428" s="1016"/>
      <c r="D1428" s="952"/>
      <c r="E1428" s="981"/>
      <c r="F1428" s="952"/>
      <c r="G1428" s="981"/>
      <c r="H1428" s="981"/>
      <c r="I1428" s="981"/>
      <c r="J1428" s="981"/>
      <c r="K1428" s="981"/>
      <c r="O1428" s="981"/>
      <c r="P1428" s="981"/>
      <c r="Q1428" s="92"/>
    </row>
    <row r="1429" spans="1:17" ht="15" customHeight="1">
      <c r="A1429" s="981"/>
      <c r="B1429" s="981"/>
      <c r="C1429" s="1016"/>
      <c r="D1429" s="952"/>
      <c r="E1429" s="981"/>
      <c r="F1429" s="952"/>
      <c r="G1429" s="981"/>
      <c r="H1429" s="981"/>
      <c r="I1429" s="981"/>
      <c r="J1429" s="981"/>
      <c r="K1429" s="981"/>
      <c r="O1429" s="981"/>
      <c r="P1429" s="981"/>
      <c r="Q1429" s="92"/>
    </row>
    <row r="1430" spans="1:17" ht="15" customHeight="1">
      <c r="A1430" s="981"/>
      <c r="B1430" s="981"/>
      <c r="C1430" s="1016"/>
      <c r="D1430" s="952"/>
      <c r="E1430" s="981"/>
      <c r="F1430" s="952"/>
      <c r="G1430" s="981"/>
      <c r="H1430" s="981"/>
      <c r="I1430" s="981"/>
      <c r="J1430" s="981"/>
      <c r="K1430" s="981"/>
      <c r="O1430" s="981"/>
      <c r="P1430" s="981"/>
      <c r="Q1430" s="92"/>
    </row>
    <row r="1431" spans="1:17" ht="15" customHeight="1">
      <c r="A1431" s="981"/>
      <c r="B1431" s="981"/>
      <c r="C1431" s="1016"/>
      <c r="D1431" s="952"/>
      <c r="E1431" s="981"/>
      <c r="F1431" s="952"/>
      <c r="G1431" s="981"/>
      <c r="H1431" s="981"/>
      <c r="I1431" s="981"/>
      <c r="J1431" s="981"/>
      <c r="K1431" s="981"/>
      <c r="O1431" s="981"/>
      <c r="P1431" s="981"/>
      <c r="Q1431" s="92"/>
    </row>
    <row r="1432" spans="1:17" ht="15" customHeight="1">
      <c r="A1432" s="981"/>
      <c r="B1432" s="981"/>
      <c r="C1432" s="1016"/>
      <c r="D1432" s="952"/>
      <c r="E1432" s="981"/>
      <c r="F1432" s="952"/>
      <c r="G1432" s="981"/>
      <c r="H1432" s="981"/>
      <c r="I1432" s="981"/>
      <c r="J1432" s="981"/>
      <c r="K1432" s="981"/>
      <c r="O1432" s="981"/>
      <c r="P1432" s="981"/>
      <c r="Q1432" s="92"/>
    </row>
    <row r="1433" spans="1:17" ht="15" customHeight="1">
      <c r="A1433" s="981"/>
      <c r="B1433" s="981"/>
      <c r="C1433" s="1016"/>
      <c r="D1433" s="952"/>
      <c r="E1433" s="981"/>
      <c r="F1433" s="952"/>
      <c r="G1433" s="981"/>
      <c r="H1433" s="981"/>
      <c r="I1433" s="981"/>
      <c r="J1433" s="981"/>
      <c r="K1433" s="981"/>
      <c r="O1433" s="981"/>
      <c r="P1433" s="981"/>
      <c r="Q1433" s="92"/>
    </row>
    <row r="1434" spans="1:17" ht="15" customHeight="1">
      <c r="A1434" s="981"/>
      <c r="B1434" s="981"/>
      <c r="C1434" s="1016"/>
      <c r="D1434" s="952"/>
      <c r="E1434" s="981"/>
      <c r="F1434" s="952"/>
      <c r="G1434" s="981"/>
      <c r="H1434" s="981"/>
      <c r="I1434" s="981"/>
      <c r="J1434" s="981"/>
      <c r="K1434" s="981"/>
      <c r="O1434" s="981"/>
      <c r="P1434" s="981"/>
      <c r="Q1434" s="92"/>
    </row>
    <row r="1435" spans="1:17" ht="15" customHeight="1">
      <c r="A1435" s="981"/>
      <c r="B1435" s="981"/>
      <c r="C1435" s="1016"/>
      <c r="D1435" s="952"/>
      <c r="E1435" s="981"/>
      <c r="F1435" s="952"/>
      <c r="G1435" s="981"/>
      <c r="H1435" s="981"/>
      <c r="I1435" s="981"/>
      <c r="J1435" s="981"/>
      <c r="K1435" s="981"/>
      <c r="O1435" s="981"/>
      <c r="P1435" s="981"/>
      <c r="Q1435" s="92"/>
    </row>
    <row r="1436" spans="1:17" ht="15" customHeight="1">
      <c r="A1436" s="981"/>
      <c r="B1436" s="981"/>
      <c r="C1436" s="1016"/>
      <c r="D1436" s="952"/>
      <c r="E1436" s="981"/>
      <c r="F1436" s="952"/>
      <c r="G1436" s="981"/>
      <c r="H1436" s="981"/>
      <c r="I1436" s="981"/>
      <c r="J1436" s="981"/>
      <c r="K1436" s="981"/>
      <c r="O1436" s="981"/>
      <c r="P1436" s="981"/>
      <c r="Q1436" s="92"/>
    </row>
    <row r="1437" spans="1:17" ht="15" customHeight="1">
      <c r="A1437" s="981"/>
      <c r="B1437" s="981"/>
      <c r="C1437" s="1016"/>
      <c r="D1437" s="952"/>
      <c r="E1437" s="981"/>
      <c r="F1437" s="952"/>
      <c r="G1437" s="981"/>
      <c r="H1437" s="981"/>
      <c r="I1437" s="981"/>
      <c r="J1437" s="981"/>
      <c r="K1437" s="981"/>
      <c r="O1437" s="981"/>
      <c r="P1437" s="981"/>
      <c r="Q1437" s="92"/>
    </row>
    <row r="1438" spans="1:17" ht="15" customHeight="1">
      <c r="A1438" s="981"/>
      <c r="B1438" s="981"/>
      <c r="C1438" s="1016"/>
      <c r="D1438" s="952"/>
      <c r="E1438" s="981"/>
      <c r="F1438" s="952"/>
      <c r="G1438" s="981"/>
      <c r="H1438" s="981"/>
      <c r="I1438" s="981"/>
      <c r="J1438" s="981"/>
      <c r="K1438" s="981"/>
      <c r="O1438" s="981"/>
      <c r="P1438" s="981"/>
      <c r="Q1438" s="92"/>
    </row>
    <row r="1439" spans="1:17" ht="15" customHeight="1">
      <c r="A1439" s="981"/>
      <c r="B1439" s="981"/>
      <c r="C1439" s="1016"/>
      <c r="D1439" s="952"/>
      <c r="E1439" s="981"/>
      <c r="F1439" s="952"/>
      <c r="G1439" s="981"/>
      <c r="H1439" s="981"/>
      <c r="I1439" s="981"/>
      <c r="J1439" s="981"/>
      <c r="K1439" s="981"/>
      <c r="O1439" s="981"/>
      <c r="P1439" s="981"/>
      <c r="Q1439" s="92"/>
    </row>
    <row r="1440" spans="1:17" ht="15" customHeight="1">
      <c r="A1440" s="981"/>
      <c r="B1440" s="981"/>
      <c r="C1440" s="1016"/>
      <c r="D1440" s="952"/>
      <c r="E1440" s="981"/>
      <c r="F1440" s="952"/>
      <c r="G1440" s="981"/>
      <c r="H1440" s="981"/>
      <c r="I1440" s="981"/>
      <c r="J1440" s="981"/>
      <c r="K1440" s="981"/>
      <c r="O1440" s="981"/>
      <c r="P1440" s="981"/>
      <c r="Q1440" s="92"/>
    </row>
    <row r="1441" spans="1:17" ht="15" customHeight="1">
      <c r="A1441" s="981"/>
      <c r="B1441" s="981"/>
      <c r="C1441" s="1016"/>
      <c r="D1441" s="952"/>
      <c r="E1441" s="981"/>
      <c r="F1441" s="952"/>
      <c r="G1441" s="981"/>
      <c r="H1441" s="981"/>
      <c r="I1441" s="981"/>
      <c r="J1441" s="981"/>
      <c r="K1441" s="981"/>
      <c r="O1441" s="981"/>
      <c r="P1441" s="981"/>
      <c r="Q1441" s="92"/>
    </row>
    <row r="1442" spans="1:17" ht="15" customHeight="1">
      <c r="A1442" s="981"/>
      <c r="B1442" s="981"/>
      <c r="C1442" s="1016"/>
      <c r="D1442" s="952"/>
      <c r="E1442" s="981"/>
      <c r="F1442" s="952"/>
      <c r="G1442" s="981"/>
      <c r="H1442" s="981"/>
      <c r="I1442" s="981"/>
      <c r="J1442" s="981"/>
      <c r="K1442" s="981"/>
      <c r="O1442" s="981"/>
      <c r="P1442" s="981"/>
      <c r="Q1442" s="92"/>
    </row>
    <row r="1443" spans="1:17" ht="15" customHeight="1">
      <c r="A1443" s="981"/>
      <c r="B1443" s="981"/>
      <c r="C1443" s="1016"/>
      <c r="D1443" s="952"/>
      <c r="E1443" s="981"/>
      <c r="F1443" s="952"/>
      <c r="G1443" s="981"/>
      <c r="H1443" s="981"/>
      <c r="I1443" s="981"/>
      <c r="J1443" s="981"/>
      <c r="K1443" s="981"/>
      <c r="O1443" s="981"/>
      <c r="P1443" s="981"/>
      <c r="Q1443" s="92"/>
    </row>
    <row r="1444" spans="1:17" ht="15" customHeight="1">
      <c r="A1444" s="981"/>
      <c r="B1444" s="981"/>
      <c r="C1444" s="1016"/>
      <c r="D1444" s="952"/>
      <c r="E1444" s="981"/>
      <c r="F1444" s="952"/>
      <c r="G1444" s="981"/>
      <c r="H1444" s="981"/>
      <c r="I1444" s="981"/>
      <c r="J1444" s="981"/>
      <c r="K1444" s="981"/>
      <c r="O1444" s="981"/>
      <c r="P1444" s="981"/>
      <c r="Q1444" s="92"/>
    </row>
    <row r="1445" spans="1:17" ht="15" customHeight="1">
      <c r="A1445" s="981"/>
      <c r="B1445" s="981"/>
      <c r="C1445" s="1016"/>
      <c r="D1445" s="952"/>
      <c r="E1445" s="981"/>
      <c r="F1445" s="952"/>
      <c r="G1445" s="981"/>
      <c r="H1445" s="981"/>
      <c r="I1445" s="981"/>
      <c r="J1445" s="981"/>
      <c r="K1445" s="981"/>
      <c r="O1445" s="981"/>
      <c r="P1445" s="981"/>
      <c r="Q1445" s="92"/>
    </row>
    <row r="1446" spans="1:17" ht="15" customHeight="1">
      <c r="A1446" s="981"/>
      <c r="B1446" s="981"/>
      <c r="C1446" s="1016"/>
      <c r="D1446" s="952"/>
      <c r="E1446" s="981"/>
      <c r="F1446" s="952"/>
      <c r="G1446" s="981"/>
      <c r="H1446" s="981"/>
      <c r="I1446" s="981"/>
      <c r="J1446" s="981"/>
      <c r="K1446" s="981"/>
      <c r="O1446" s="981"/>
      <c r="P1446" s="981"/>
      <c r="Q1446" s="92"/>
    </row>
    <row r="1447" spans="1:17" ht="15" customHeight="1">
      <c r="A1447" s="981"/>
      <c r="B1447" s="981"/>
      <c r="C1447" s="1016"/>
      <c r="D1447" s="952"/>
      <c r="E1447" s="981"/>
      <c r="F1447" s="952"/>
      <c r="G1447" s="981"/>
      <c r="H1447" s="981"/>
      <c r="I1447" s="981"/>
      <c r="J1447" s="981"/>
      <c r="K1447" s="981"/>
      <c r="O1447" s="981"/>
      <c r="P1447" s="981"/>
      <c r="Q1447" s="92"/>
    </row>
    <row r="1448" spans="1:17" ht="15" customHeight="1">
      <c r="A1448" s="981"/>
      <c r="B1448" s="981"/>
      <c r="C1448" s="1016"/>
      <c r="D1448" s="952"/>
      <c r="E1448" s="981"/>
      <c r="F1448" s="952"/>
      <c r="G1448" s="981"/>
      <c r="H1448" s="981"/>
      <c r="I1448" s="981"/>
      <c r="J1448" s="981"/>
      <c r="K1448" s="981"/>
      <c r="O1448" s="981"/>
      <c r="P1448" s="981"/>
      <c r="Q1448" s="92"/>
    </row>
    <row r="1449" spans="1:17" ht="15" customHeight="1">
      <c r="A1449" s="981"/>
      <c r="B1449" s="981"/>
      <c r="C1449" s="1016"/>
      <c r="D1449" s="952"/>
      <c r="E1449" s="981"/>
      <c r="F1449" s="952"/>
      <c r="G1449" s="981"/>
      <c r="H1449" s="981"/>
      <c r="I1449" s="981"/>
      <c r="J1449" s="981"/>
      <c r="K1449" s="981"/>
      <c r="O1449" s="981"/>
      <c r="P1449" s="981"/>
      <c r="Q1449" s="92"/>
    </row>
    <row r="1450" spans="1:17" ht="15" customHeight="1">
      <c r="A1450" s="981"/>
      <c r="B1450" s="981"/>
      <c r="C1450" s="1016"/>
      <c r="D1450" s="952"/>
      <c r="E1450" s="981"/>
      <c r="F1450" s="952"/>
      <c r="G1450" s="981"/>
      <c r="H1450" s="981"/>
      <c r="I1450" s="981"/>
      <c r="J1450" s="981"/>
      <c r="K1450" s="981"/>
      <c r="O1450" s="981"/>
      <c r="P1450" s="981"/>
      <c r="Q1450" s="92"/>
    </row>
    <row r="1451" spans="1:17" ht="15" customHeight="1">
      <c r="A1451" s="981"/>
      <c r="B1451" s="981"/>
      <c r="C1451" s="1016"/>
      <c r="D1451" s="952"/>
      <c r="E1451" s="981"/>
      <c r="F1451" s="952"/>
      <c r="G1451" s="981"/>
      <c r="H1451" s="981"/>
      <c r="I1451" s="981"/>
      <c r="J1451" s="981"/>
      <c r="K1451" s="981"/>
      <c r="O1451" s="981"/>
      <c r="P1451" s="981"/>
      <c r="Q1451" s="92"/>
    </row>
    <row r="1452" spans="1:17" ht="15" customHeight="1">
      <c r="A1452" s="981"/>
      <c r="B1452" s="981"/>
      <c r="C1452" s="1016"/>
      <c r="D1452" s="952"/>
      <c r="E1452" s="981"/>
      <c r="F1452" s="952"/>
      <c r="G1452" s="981"/>
      <c r="H1452" s="981"/>
      <c r="I1452" s="981"/>
      <c r="J1452" s="981"/>
      <c r="K1452" s="981"/>
      <c r="O1452" s="981"/>
      <c r="P1452" s="981"/>
      <c r="Q1452" s="92"/>
    </row>
    <row r="1453" spans="1:17" ht="15" customHeight="1">
      <c r="A1453" s="981"/>
      <c r="B1453" s="981"/>
      <c r="C1453" s="1016"/>
      <c r="D1453" s="952"/>
      <c r="E1453" s="981"/>
      <c r="F1453" s="952"/>
      <c r="G1453" s="981"/>
      <c r="H1453" s="981"/>
      <c r="I1453" s="981"/>
      <c r="J1453" s="981"/>
      <c r="K1453" s="981"/>
      <c r="O1453" s="981"/>
      <c r="P1453" s="981"/>
      <c r="Q1453" s="92"/>
    </row>
    <row r="1454" spans="1:17" ht="15" customHeight="1">
      <c r="A1454" s="981"/>
      <c r="B1454" s="981"/>
      <c r="C1454" s="1016"/>
      <c r="D1454" s="952"/>
      <c r="E1454" s="981"/>
      <c r="F1454" s="952"/>
      <c r="G1454" s="981"/>
      <c r="H1454" s="981"/>
      <c r="I1454" s="981"/>
      <c r="J1454" s="981"/>
      <c r="K1454" s="981"/>
      <c r="O1454" s="981"/>
      <c r="P1454" s="981"/>
      <c r="Q1454" s="92"/>
    </row>
    <row r="1455" spans="1:17" ht="15" customHeight="1">
      <c r="A1455" s="981"/>
      <c r="B1455" s="981"/>
      <c r="C1455" s="1016"/>
      <c r="D1455" s="952"/>
      <c r="E1455" s="981"/>
      <c r="F1455" s="952"/>
      <c r="G1455" s="981"/>
      <c r="H1455" s="981"/>
      <c r="I1455" s="981"/>
      <c r="J1455" s="981"/>
      <c r="K1455" s="981"/>
      <c r="O1455" s="981"/>
      <c r="P1455" s="981"/>
      <c r="Q1455" s="92"/>
    </row>
    <row r="1456" spans="1:17" ht="15" customHeight="1">
      <c r="A1456" s="981"/>
      <c r="B1456" s="981"/>
      <c r="C1456" s="1016"/>
      <c r="D1456" s="952"/>
      <c r="E1456" s="981"/>
      <c r="F1456" s="952"/>
      <c r="G1456" s="981"/>
      <c r="H1456" s="981"/>
      <c r="I1456" s="981"/>
      <c r="J1456" s="981"/>
      <c r="K1456" s="981"/>
      <c r="O1456" s="981"/>
      <c r="P1456" s="981"/>
      <c r="Q1456" s="92"/>
    </row>
    <row r="1457" spans="1:17" ht="15" customHeight="1">
      <c r="A1457" s="981"/>
      <c r="B1457" s="981"/>
      <c r="C1457" s="1016"/>
      <c r="D1457" s="952"/>
      <c r="E1457" s="981"/>
      <c r="F1457" s="952"/>
      <c r="G1457" s="981"/>
      <c r="H1457" s="981"/>
      <c r="I1457" s="981"/>
      <c r="J1457" s="981"/>
      <c r="K1457" s="981"/>
      <c r="O1457" s="981"/>
      <c r="P1457" s="981"/>
      <c r="Q1457" s="92"/>
    </row>
    <row r="1458" spans="1:17" ht="15" customHeight="1">
      <c r="A1458" s="981"/>
      <c r="B1458" s="981"/>
      <c r="C1458" s="1016"/>
      <c r="D1458" s="952"/>
      <c r="E1458" s="981"/>
      <c r="F1458" s="952"/>
      <c r="G1458" s="981"/>
      <c r="H1458" s="981"/>
      <c r="I1458" s="981"/>
      <c r="J1458" s="981"/>
      <c r="K1458" s="981"/>
      <c r="O1458" s="981"/>
      <c r="P1458" s="981"/>
      <c r="Q1458" s="92"/>
    </row>
    <row r="1459" spans="1:17" ht="15" customHeight="1">
      <c r="A1459" s="981"/>
      <c r="B1459" s="981"/>
      <c r="C1459" s="1016"/>
      <c r="D1459" s="952"/>
      <c r="E1459" s="981"/>
      <c r="F1459" s="952"/>
      <c r="G1459" s="981"/>
      <c r="H1459" s="981"/>
      <c r="I1459" s="981"/>
      <c r="J1459" s="981"/>
      <c r="K1459" s="981"/>
      <c r="O1459" s="981"/>
      <c r="P1459" s="981"/>
      <c r="Q1459" s="92"/>
    </row>
    <row r="1460" spans="1:17" ht="15" customHeight="1">
      <c r="A1460" s="981"/>
      <c r="B1460" s="981"/>
      <c r="C1460" s="1016"/>
      <c r="D1460" s="952"/>
      <c r="E1460" s="981"/>
      <c r="F1460" s="952"/>
      <c r="G1460" s="981"/>
      <c r="H1460" s="981"/>
      <c r="I1460" s="981"/>
      <c r="J1460" s="981"/>
      <c r="K1460" s="981"/>
      <c r="O1460" s="981"/>
      <c r="P1460" s="981"/>
      <c r="Q1460" s="92"/>
    </row>
    <row r="1461" spans="1:17" ht="15" customHeight="1">
      <c r="A1461" s="981"/>
      <c r="B1461" s="981"/>
      <c r="C1461" s="1016"/>
      <c r="D1461" s="952"/>
      <c r="E1461" s="981"/>
      <c r="F1461" s="952"/>
      <c r="G1461" s="981"/>
      <c r="H1461" s="981"/>
      <c r="I1461" s="981"/>
      <c r="J1461" s="981"/>
      <c r="K1461" s="981"/>
      <c r="O1461" s="981"/>
      <c r="P1461" s="981"/>
      <c r="Q1461" s="92"/>
    </row>
    <row r="1462" spans="1:17" ht="15" customHeight="1">
      <c r="A1462" s="981"/>
      <c r="B1462" s="981"/>
      <c r="C1462" s="1016"/>
      <c r="D1462" s="952"/>
      <c r="E1462" s="981"/>
      <c r="F1462" s="952"/>
      <c r="G1462" s="981"/>
      <c r="H1462" s="981"/>
      <c r="I1462" s="981"/>
      <c r="J1462" s="981"/>
      <c r="K1462" s="981"/>
      <c r="O1462" s="981"/>
      <c r="P1462" s="981"/>
      <c r="Q1462" s="92"/>
    </row>
    <row r="1463" spans="1:17" ht="15" customHeight="1">
      <c r="A1463" s="981"/>
      <c r="B1463" s="981"/>
      <c r="C1463" s="1016"/>
      <c r="D1463" s="952"/>
      <c r="E1463" s="981"/>
      <c r="F1463" s="952"/>
      <c r="G1463" s="981"/>
      <c r="H1463" s="981"/>
      <c r="I1463" s="981"/>
      <c r="J1463" s="981"/>
      <c r="K1463" s="981"/>
      <c r="O1463" s="981"/>
      <c r="P1463" s="981"/>
      <c r="Q1463" s="92"/>
    </row>
    <row r="1464" spans="1:17" ht="15" customHeight="1">
      <c r="A1464" s="981"/>
      <c r="B1464" s="981"/>
      <c r="C1464" s="1016"/>
      <c r="D1464" s="952"/>
      <c r="E1464" s="981"/>
      <c r="F1464" s="952"/>
      <c r="G1464" s="981"/>
      <c r="H1464" s="981"/>
      <c r="I1464" s="981"/>
      <c r="J1464" s="981"/>
      <c r="K1464" s="981"/>
      <c r="O1464" s="981"/>
      <c r="P1464" s="981"/>
      <c r="Q1464" s="92"/>
    </row>
    <row r="1465" spans="1:17" ht="15" customHeight="1">
      <c r="A1465" s="981"/>
      <c r="B1465" s="981"/>
      <c r="C1465" s="1016"/>
      <c r="D1465" s="952"/>
      <c r="E1465" s="981"/>
      <c r="F1465" s="952"/>
      <c r="G1465" s="981"/>
      <c r="H1465" s="981"/>
      <c r="I1465" s="981"/>
      <c r="J1465" s="981"/>
      <c r="K1465" s="981"/>
      <c r="O1465" s="981"/>
      <c r="P1465" s="981"/>
      <c r="Q1465" s="92"/>
    </row>
    <row r="1466" spans="1:17" ht="15" customHeight="1">
      <c r="A1466" s="981"/>
      <c r="B1466" s="981"/>
      <c r="C1466" s="1016"/>
      <c r="D1466" s="952"/>
      <c r="E1466" s="981"/>
      <c r="F1466" s="952"/>
      <c r="G1466" s="981"/>
      <c r="H1466" s="981"/>
      <c r="I1466" s="981"/>
      <c r="J1466" s="981"/>
      <c r="K1466" s="981"/>
      <c r="O1466" s="981"/>
      <c r="P1466" s="981"/>
      <c r="Q1466" s="92"/>
    </row>
    <row r="1467" spans="1:17" ht="15" customHeight="1">
      <c r="A1467" s="981"/>
      <c r="B1467" s="981"/>
      <c r="C1467" s="1016"/>
      <c r="D1467" s="952"/>
      <c r="E1467" s="981"/>
      <c r="F1467" s="952"/>
      <c r="G1467" s="981"/>
      <c r="H1467" s="981"/>
      <c r="I1467" s="981"/>
      <c r="J1467" s="981"/>
      <c r="K1467" s="981"/>
      <c r="O1467" s="981"/>
      <c r="P1467" s="981"/>
      <c r="Q1467" s="92"/>
    </row>
    <row r="1468" spans="1:17" ht="15" customHeight="1">
      <c r="A1468" s="981"/>
      <c r="B1468" s="981"/>
      <c r="C1468" s="1016"/>
      <c r="D1468" s="952"/>
      <c r="E1468" s="981"/>
      <c r="F1468" s="952"/>
      <c r="G1468" s="981"/>
      <c r="H1468" s="981"/>
      <c r="I1468" s="981"/>
      <c r="J1468" s="981"/>
      <c r="K1468" s="981"/>
      <c r="O1468" s="981"/>
      <c r="P1468" s="981"/>
      <c r="Q1468" s="92"/>
    </row>
    <row r="1469" spans="1:17" ht="15" customHeight="1">
      <c r="A1469" s="981"/>
      <c r="B1469" s="981"/>
      <c r="C1469" s="1016"/>
      <c r="D1469" s="952"/>
      <c r="E1469" s="981"/>
      <c r="F1469" s="952"/>
      <c r="G1469" s="981"/>
      <c r="H1469" s="981"/>
      <c r="I1469" s="981"/>
      <c r="J1469" s="981"/>
      <c r="K1469" s="981"/>
      <c r="O1469" s="981"/>
      <c r="P1469" s="981"/>
      <c r="Q1469" s="92"/>
    </row>
    <row r="1470" spans="1:17" ht="15" customHeight="1">
      <c r="A1470" s="981"/>
      <c r="B1470" s="981"/>
      <c r="C1470" s="1016"/>
      <c r="D1470" s="952"/>
      <c r="E1470" s="981"/>
      <c r="F1470" s="952"/>
      <c r="G1470" s="981"/>
      <c r="H1470" s="981"/>
      <c r="I1470" s="981"/>
      <c r="J1470" s="981"/>
      <c r="K1470" s="981"/>
      <c r="O1470" s="981"/>
      <c r="P1470" s="981"/>
      <c r="Q1470" s="92"/>
    </row>
    <row r="1471" spans="1:17" ht="15" customHeight="1">
      <c r="A1471" s="981"/>
      <c r="B1471" s="981"/>
      <c r="C1471" s="1016"/>
      <c r="D1471" s="952"/>
      <c r="E1471" s="981"/>
      <c r="F1471" s="952"/>
      <c r="G1471" s="981"/>
      <c r="H1471" s="981"/>
      <c r="I1471" s="981"/>
      <c r="J1471" s="981"/>
      <c r="K1471" s="981"/>
      <c r="O1471" s="981"/>
      <c r="P1471" s="981"/>
      <c r="Q1471" s="92"/>
    </row>
    <row r="1472" spans="1:17" ht="15" customHeight="1">
      <c r="A1472" s="981"/>
      <c r="B1472" s="981"/>
      <c r="C1472" s="1016"/>
      <c r="D1472" s="952"/>
      <c r="E1472" s="981"/>
      <c r="F1472" s="952"/>
      <c r="G1472" s="981"/>
      <c r="H1472" s="981"/>
      <c r="I1472" s="981"/>
      <c r="J1472" s="981"/>
      <c r="K1472" s="981"/>
      <c r="O1472" s="981"/>
      <c r="P1472" s="981"/>
      <c r="Q1472" s="92"/>
    </row>
    <row r="1473" spans="1:17" ht="15" customHeight="1">
      <c r="A1473" s="981"/>
      <c r="B1473" s="981"/>
      <c r="C1473" s="1016"/>
      <c r="D1473" s="952"/>
      <c r="E1473" s="981"/>
      <c r="F1473" s="952"/>
      <c r="G1473" s="981"/>
      <c r="H1473" s="981"/>
      <c r="I1473" s="981"/>
      <c r="J1473" s="981"/>
      <c r="K1473" s="981"/>
      <c r="O1473" s="981"/>
      <c r="P1473" s="981"/>
      <c r="Q1473" s="92"/>
    </row>
    <row r="1474" spans="1:17" ht="15" customHeight="1">
      <c r="A1474" s="981"/>
      <c r="B1474" s="981"/>
      <c r="C1474" s="1016"/>
      <c r="D1474" s="952"/>
      <c r="E1474" s="981"/>
      <c r="F1474" s="952"/>
      <c r="G1474" s="981"/>
      <c r="H1474" s="981"/>
      <c r="I1474" s="981"/>
      <c r="J1474" s="981"/>
      <c r="K1474" s="981"/>
      <c r="O1474" s="981"/>
      <c r="P1474" s="981"/>
      <c r="Q1474" s="92"/>
    </row>
    <row r="1475" spans="1:17" ht="15" customHeight="1">
      <c r="A1475" s="981"/>
      <c r="B1475" s="981"/>
      <c r="C1475" s="1016"/>
      <c r="D1475" s="952"/>
      <c r="E1475" s="981"/>
      <c r="F1475" s="952"/>
      <c r="G1475" s="981"/>
      <c r="H1475" s="981"/>
      <c r="I1475" s="981"/>
      <c r="J1475" s="981"/>
      <c r="K1475" s="981"/>
      <c r="O1475" s="981"/>
      <c r="P1475" s="981"/>
      <c r="Q1475" s="92"/>
    </row>
    <row r="1476" spans="1:17" ht="15" customHeight="1">
      <c r="A1476" s="981"/>
      <c r="B1476" s="981"/>
      <c r="C1476" s="1016"/>
      <c r="D1476" s="952"/>
      <c r="E1476" s="981"/>
      <c r="F1476" s="952"/>
      <c r="G1476" s="981"/>
      <c r="H1476" s="981"/>
      <c r="I1476" s="981"/>
      <c r="J1476" s="981"/>
      <c r="K1476" s="981"/>
      <c r="O1476" s="981"/>
      <c r="P1476" s="981"/>
      <c r="Q1476" s="92"/>
    </row>
    <row r="1477" spans="1:17" ht="15" customHeight="1">
      <c r="A1477" s="981"/>
      <c r="B1477" s="981"/>
      <c r="C1477" s="1016"/>
      <c r="D1477" s="952"/>
      <c r="E1477" s="981"/>
      <c r="F1477" s="952"/>
      <c r="G1477" s="981"/>
      <c r="H1477" s="981"/>
      <c r="I1477" s="981"/>
      <c r="J1477" s="981"/>
      <c r="K1477" s="981"/>
      <c r="O1477" s="981"/>
      <c r="P1477" s="981"/>
      <c r="Q1477" s="92"/>
    </row>
    <row r="1478" spans="1:17" ht="15" customHeight="1">
      <c r="A1478" s="981"/>
      <c r="B1478" s="981"/>
      <c r="C1478" s="1016"/>
      <c r="D1478" s="952"/>
      <c r="E1478" s="981"/>
      <c r="F1478" s="952"/>
      <c r="G1478" s="981"/>
      <c r="H1478" s="981"/>
      <c r="I1478" s="981"/>
      <c r="J1478" s="981"/>
      <c r="K1478" s="981"/>
      <c r="O1478" s="981"/>
      <c r="P1478" s="981"/>
      <c r="Q1478" s="92"/>
    </row>
    <row r="1479" spans="1:17" ht="15" customHeight="1">
      <c r="A1479" s="981"/>
      <c r="B1479" s="981"/>
      <c r="C1479" s="1016"/>
      <c r="D1479" s="952"/>
      <c r="E1479" s="981"/>
      <c r="F1479" s="952"/>
      <c r="G1479" s="981"/>
      <c r="H1479" s="981"/>
      <c r="I1479" s="981"/>
      <c r="J1479" s="981"/>
      <c r="K1479" s="981"/>
      <c r="O1479" s="981"/>
      <c r="P1479" s="981"/>
      <c r="Q1479" s="92"/>
    </row>
    <row r="1480" spans="1:17" ht="15" customHeight="1">
      <c r="A1480" s="981"/>
      <c r="B1480" s="981"/>
      <c r="C1480" s="1016"/>
      <c r="D1480" s="952"/>
      <c r="E1480" s="981"/>
      <c r="F1480" s="952"/>
      <c r="G1480" s="981"/>
      <c r="H1480" s="981"/>
      <c r="I1480" s="981"/>
      <c r="J1480" s="981"/>
      <c r="K1480" s="981"/>
      <c r="O1480" s="981"/>
      <c r="P1480" s="981"/>
      <c r="Q1480" s="92"/>
    </row>
    <row r="1481" spans="1:17" ht="15" customHeight="1">
      <c r="A1481" s="981"/>
      <c r="B1481" s="981"/>
      <c r="C1481" s="1016"/>
      <c r="D1481" s="952"/>
      <c r="E1481" s="981"/>
      <c r="F1481" s="952"/>
      <c r="G1481" s="981"/>
      <c r="H1481" s="981"/>
      <c r="I1481" s="981"/>
      <c r="J1481" s="981"/>
      <c r="K1481" s="981"/>
      <c r="O1481" s="981"/>
      <c r="P1481" s="981"/>
      <c r="Q1481" s="92"/>
    </row>
    <row r="1482" spans="1:17" ht="15" customHeight="1">
      <c r="A1482" s="981"/>
      <c r="B1482" s="981"/>
      <c r="C1482" s="1016"/>
      <c r="D1482" s="952"/>
      <c r="E1482" s="981"/>
      <c r="F1482" s="952"/>
      <c r="G1482" s="981"/>
      <c r="H1482" s="981"/>
      <c r="I1482" s="981"/>
      <c r="J1482" s="981"/>
      <c r="K1482" s="981"/>
      <c r="O1482" s="981"/>
      <c r="P1482" s="981"/>
      <c r="Q1482" s="92"/>
    </row>
    <row r="1483" spans="1:17" ht="15" customHeight="1">
      <c r="A1483" s="981"/>
      <c r="B1483" s="981"/>
      <c r="C1483" s="1016"/>
      <c r="D1483" s="952"/>
      <c r="E1483" s="981"/>
      <c r="F1483" s="952"/>
      <c r="G1483" s="981"/>
      <c r="H1483" s="981"/>
      <c r="I1483" s="981"/>
      <c r="J1483" s="981"/>
      <c r="K1483" s="981"/>
      <c r="O1483" s="981"/>
      <c r="P1483" s="981"/>
      <c r="Q1483" s="92"/>
    </row>
    <row r="1484" spans="1:17" ht="15" customHeight="1">
      <c r="A1484" s="981"/>
      <c r="B1484" s="981"/>
      <c r="C1484" s="1016"/>
      <c r="D1484" s="952"/>
      <c r="E1484" s="981"/>
      <c r="F1484" s="952"/>
      <c r="G1484" s="981"/>
      <c r="H1484" s="981"/>
      <c r="I1484" s="981"/>
      <c r="J1484" s="981"/>
      <c r="K1484" s="981"/>
      <c r="O1484" s="981"/>
      <c r="P1484" s="981"/>
      <c r="Q1484" s="92"/>
    </row>
    <row r="1485" spans="1:17" ht="15" customHeight="1">
      <c r="A1485" s="981"/>
      <c r="B1485" s="981"/>
      <c r="C1485" s="1016"/>
      <c r="D1485" s="952"/>
      <c r="E1485" s="981"/>
      <c r="F1485" s="952"/>
      <c r="G1485" s="981"/>
      <c r="H1485" s="981"/>
      <c r="I1485" s="981"/>
      <c r="J1485" s="981"/>
      <c r="K1485" s="981"/>
      <c r="O1485" s="981"/>
      <c r="P1485" s="981"/>
      <c r="Q1485" s="92"/>
    </row>
    <row r="1486" spans="1:17" ht="15" customHeight="1">
      <c r="A1486" s="981"/>
      <c r="B1486" s="981"/>
      <c r="C1486" s="1016"/>
      <c r="D1486" s="952"/>
      <c r="E1486" s="981"/>
      <c r="F1486" s="952"/>
      <c r="G1486" s="981"/>
      <c r="H1486" s="981"/>
      <c r="I1486" s="981"/>
      <c r="J1486" s="981"/>
      <c r="K1486" s="981"/>
      <c r="O1486" s="981"/>
      <c r="P1486" s="981"/>
      <c r="Q1486" s="92"/>
    </row>
    <row r="1487" spans="1:17" ht="15" customHeight="1">
      <c r="A1487" s="981"/>
      <c r="B1487" s="981"/>
      <c r="C1487" s="1016"/>
      <c r="D1487" s="952"/>
      <c r="E1487" s="981"/>
      <c r="F1487" s="952"/>
      <c r="G1487" s="981"/>
      <c r="H1487" s="981"/>
      <c r="I1487" s="981"/>
      <c r="J1487" s="981"/>
      <c r="K1487" s="981"/>
      <c r="O1487" s="981"/>
      <c r="P1487" s="981"/>
      <c r="Q1487" s="92"/>
    </row>
    <row r="1488" spans="1:17" ht="15" customHeight="1">
      <c r="A1488" s="981"/>
      <c r="B1488" s="981"/>
      <c r="C1488" s="1016"/>
      <c r="D1488" s="952"/>
      <c r="E1488" s="981"/>
      <c r="F1488" s="952"/>
      <c r="G1488" s="981"/>
      <c r="H1488" s="981"/>
      <c r="I1488" s="981"/>
      <c r="J1488" s="981"/>
      <c r="K1488" s="981"/>
      <c r="O1488" s="981"/>
      <c r="P1488" s="981"/>
      <c r="Q1488" s="92"/>
    </row>
    <row r="1489" spans="1:17" ht="15" customHeight="1">
      <c r="A1489" s="981"/>
      <c r="B1489" s="981"/>
      <c r="C1489" s="1016"/>
      <c r="D1489" s="952"/>
      <c r="E1489" s="981"/>
      <c r="F1489" s="952"/>
      <c r="G1489" s="981"/>
      <c r="H1489" s="981"/>
      <c r="I1489" s="981"/>
      <c r="J1489" s="981"/>
      <c r="K1489" s="981"/>
      <c r="O1489" s="981"/>
      <c r="P1489" s="981"/>
      <c r="Q1489" s="92"/>
    </row>
    <row r="1490" spans="1:17" ht="15" customHeight="1">
      <c r="A1490" s="981"/>
      <c r="B1490" s="981"/>
      <c r="C1490" s="1016"/>
      <c r="D1490" s="952"/>
      <c r="E1490" s="981"/>
      <c r="F1490" s="952"/>
      <c r="G1490" s="981"/>
      <c r="H1490" s="981"/>
      <c r="I1490" s="981"/>
      <c r="J1490" s="981"/>
      <c r="K1490" s="981"/>
      <c r="O1490" s="981"/>
      <c r="P1490" s="981"/>
      <c r="Q1490" s="92"/>
    </row>
    <row r="1491" spans="1:17" ht="15" customHeight="1">
      <c r="A1491" s="981"/>
      <c r="B1491" s="981"/>
      <c r="C1491" s="1016"/>
      <c r="D1491" s="952"/>
      <c r="E1491" s="981"/>
      <c r="F1491" s="952"/>
      <c r="G1491" s="981"/>
      <c r="H1491" s="981"/>
      <c r="I1491" s="981"/>
      <c r="J1491" s="981"/>
      <c r="K1491" s="981"/>
      <c r="O1491" s="981"/>
      <c r="P1491" s="981"/>
      <c r="Q1491" s="92"/>
    </row>
    <row r="1492" spans="1:17" ht="15" customHeight="1">
      <c r="A1492" s="981"/>
      <c r="B1492" s="981"/>
      <c r="C1492" s="1016"/>
      <c r="D1492" s="952"/>
      <c r="E1492" s="981"/>
      <c r="F1492" s="952"/>
      <c r="G1492" s="981"/>
      <c r="H1492" s="981"/>
      <c r="I1492" s="981"/>
      <c r="J1492" s="981"/>
      <c r="K1492" s="981"/>
      <c r="O1492" s="981"/>
      <c r="P1492" s="981"/>
      <c r="Q1492" s="92"/>
    </row>
    <row r="1493" spans="1:17" ht="15" customHeight="1">
      <c r="A1493" s="981"/>
      <c r="B1493" s="981"/>
      <c r="C1493" s="1016"/>
      <c r="D1493" s="952"/>
      <c r="E1493" s="981"/>
      <c r="F1493" s="952"/>
      <c r="G1493" s="981"/>
      <c r="H1493" s="981"/>
      <c r="I1493" s="981"/>
      <c r="J1493" s="981"/>
      <c r="K1493" s="981"/>
      <c r="O1493" s="981"/>
      <c r="P1493" s="981"/>
      <c r="Q1493" s="92"/>
    </row>
    <row r="1494" spans="1:17" ht="15" customHeight="1">
      <c r="A1494" s="981"/>
      <c r="B1494" s="981"/>
      <c r="C1494" s="1016"/>
      <c r="D1494" s="952"/>
      <c r="E1494" s="981"/>
      <c r="F1494" s="952"/>
      <c r="G1494" s="981"/>
      <c r="H1494" s="981"/>
      <c r="I1494" s="981"/>
      <c r="J1494" s="981"/>
      <c r="K1494" s="981"/>
      <c r="O1494" s="981"/>
      <c r="P1494" s="981"/>
      <c r="Q1494" s="92"/>
    </row>
    <row r="1495" spans="1:17" ht="15" customHeight="1">
      <c r="A1495" s="981"/>
      <c r="B1495" s="981"/>
      <c r="C1495" s="1016"/>
      <c r="D1495" s="952"/>
      <c r="E1495" s="981"/>
      <c r="F1495" s="952"/>
      <c r="G1495" s="981"/>
      <c r="H1495" s="981"/>
      <c r="I1495" s="981"/>
      <c r="J1495" s="981"/>
      <c r="K1495" s="981"/>
      <c r="O1495" s="981"/>
      <c r="P1495" s="981"/>
      <c r="Q1495" s="92"/>
    </row>
    <row r="1496" spans="1:17" ht="15" customHeight="1">
      <c r="A1496" s="981"/>
      <c r="B1496" s="981"/>
      <c r="C1496" s="1016"/>
      <c r="D1496" s="952"/>
      <c r="E1496" s="981"/>
      <c r="F1496" s="952"/>
      <c r="G1496" s="981"/>
      <c r="H1496" s="981"/>
      <c r="I1496" s="981"/>
      <c r="J1496" s="981"/>
      <c r="K1496" s="981"/>
      <c r="O1496" s="981"/>
      <c r="P1496" s="981"/>
      <c r="Q1496" s="92"/>
    </row>
    <row r="1497" spans="1:17" ht="15" customHeight="1">
      <c r="A1497" s="981"/>
      <c r="B1497" s="981"/>
      <c r="C1497" s="1016"/>
      <c r="D1497" s="952"/>
      <c r="E1497" s="981"/>
      <c r="F1497" s="952"/>
      <c r="G1497" s="981"/>
      <c r="H1497" s="981"/>
      <c r="I1497" s="981"/>
      <c r="J1497" s="981"/>
      <c r="K1497" s="981"/>
      <c r="O1497" s="981"/>
      <c r="P1497" s="981"/>
      <c r="Q1497" s="92"/>
    </row>
    <row r="1498" spans="1:17" ht="15" customHeight="1">
      <c r="A1498" s="981"/>
      <c r="B1498" s="981"/>
      <c r="C1498" s="1016"/>
      <c r="D1498" s="952"/>
      <c r="E1498" s="981"/>
      <c r="F1498" s="952"/>
      <c r="G1498" s="981"/>
      <c r="H1498" s="981"/>
      <c r="I1498" s="981"/>
      <c r="J1498" s="981"/>
      <c r="K1498" s="981"/>
      <c r="O1498" s="981"/>
      <c r="P1498" s="981"/>
      <c r="Q1498" s="92"/>
    </row>
    <row r="1499" spans="1:17" ht="15" customHeight="1">
      <c r="A1499" s="981"/>
      <c r="B1499" s="981"/>
      <c r="C1499" s="1016"/>
      <c r="D1499" s="952"/>
      <c r="E1499" s="981"/>
      <c r="F1499" s="952"/>
      <c r="G1499" s="981"/>
      <c r="H1499" s="981"/>
      <c r="I1499" s="981"/>
      <c r="J1499" s="981"/>
      <c r="K1499" s="981"/>
      <c r="O1499" s="981"/>
      <c r="P1499" s="981"/>
      <c r="Q1499" s="92"/>
    </row>
    <row r="1500" spans="1:17" ht="15" customHeight="1">
      <c r="A1500" s="981"/>
      <c r="B1500" s="981"/>
      <c r="C1500" s="1016"/>
      <c r="D1500" s="952"/>
      <c r="E1500" s="981"/>
      <c r="F1500" s="952"/>
      <c r="G1500" s="981"/>
      <c r="H1500" s="981"/>
      <c r="I1500" s="981"/>
      <c r="J1500" s="981"/>
      <c r="K1500" s="981"/>
      <c r="O1500" s="981"/>
      <c r="P1500" s="981"/>
      <c r="Q1500" s="92"/>
    </row>
    <row r="1501" spans="1:17" ht="15" customHeight="1">
      <c r="A1501" s="981"/>
      <c r="B1501" s="981"/>
      <c r="C1501" s="1016"/>
      <c r="D1501" s="952"/>
      <c r="E1501" s="981"/>
      <c r="F1501" s="952"/>
      <c r="G1501" s="981"/>
      <c r="H1501" s="981"/>
      <c r="I1501" s="981"/>
      <c r="J1501" s="981"/>
      <c r="K1501" s="981"/>
      <c r="O1501" s="981"/>
      <c r="P1501" s="981"/>
      <c r="Q1501" s="92"/>
    </row>
    <row r="1502" spans="1:17" ht="15" customHeight="1">
      <c r="A1502" s="981"/>
      <c r="B1502" s="981"/>
      <c r="C1502" s="1016"/>
      <c r="D1502" s="952"/>
      <c r="E1502" s="981"/>
      <c r="F1502" s="952"/>
      <c r="G1502" s="981"/>
      <c r="H1502" s="981"/>
      <c r="I1502" s="981"/>
      <c r="J1502" s="981"/>
      <c r="K1502" s="981"/>
      <c r="O1502" s="981"/>
      <c r="P1502" s="981"/>
      <c r="Q1502" s="92"/>
    </row>
    <row r="1503" spans="1:17" ht="15" customHeight="1">
      <c r="A1503" s="981"/>
      <c r="B1503" s="981"/>
      <c r="C1503" s="1016"/>
      <c r="D1503" s="952"/>
      <c r="E1503" s="981"/>
      <c r="F1503" s="952"/>
      <c r="G1503" s="981"/>
      <c r="H1503" s="981"/>
      <c r="I1503" s="981"/>
      <c r="J1503" s="981"/>
      <c r="K1503" s="981"/>
      <c r="O1503" s="981"/>
      <c r="P1503" s="981"/>
      <c r="Q1503" s="92"/>
    </row>
    <row r="1504" spans="1:17" ht="15" customHeight="1">
      <c r="A1504" s="981"/>
      <c r="B1504" s="981"/>
      <c r="C1504" s="1016"/>
      <c r="D1504" s="952"/>
      <c r="E1504" s="981"/>
      <c r="F1504" s="952"/>
      <c r="G1504" s="981"/>
      <c r="H1504" s="981"/>
      <c r="I1504" s="981"/>
      <c r="J1504" s="981"/>
      <c r="K1504" s="981"/>
      <c r="O1504" s="981"/>
      <c r="P1504" s="981"/>
      <c r="Q1504" s="92"/>
    </row>
    <row r="1505" spans="1:17" ht="15" customHeight="1">
      <c r="A1505" s="981"/>
      <c r="B1505" s="981"/>
      <c r="C1505" s="1016"/>
      <c r="D1505" s="952"/>
      <c r="E1505" s="981"/>
      <c r="F1505" s="952"/>
      <c r="G1505" s="981"/>
      <c r="H1505" s="981"/>
      <c r="I1505" s="981"/>
      <c r="J1505" s="981"/>
      <c r="K1505" s="981"/>
      <c r="O1505" s="981"/>
      <c r="P1505" s="981"/>
      <c r="Q1505" s="92"/>
    </row>
    <row r="1506" spans="1:17" ht="15" customHeight="1">
      <c r="A1506" s="981"/>
      <c r="B1506" s="981"/>
      <c r="C1506" s="1016"/>
      <c r="D1506" s="952"/>
      <c r="E1506" s="981"/>
      <c r="F1506" s="952"/>
      <c r="G1506" s="981"/>
      <c r="H1506" s="981"/>
      <c r="I1506" s="981"/>
      <c r="J1506" s="981"/>
      <c r="K1506" s="981"/>
      <c r="O1506" s="981"/>
      <c r="P1506" s="981"/>
      <c r="Q1506" s="92"/>
    </row>
    <row r="1507" spans="1:17" ht="15" customHeight="1">
      <c r="A1507" s="981"/>
      <c r="B1507" s="981"/>
      <c r="C1507" s="1016"/>
      <c r="D1507" s="952"/>
      <c r="E1507" s="981"/>
      <c r="F1507" s="952"/>
      <c r="G1507" s="981"/>
      <c r="H1507" s="981"/>
      <c r="I1507" s="981"/>
      <c r="J1507" s="981"/>
      <c r="K1507" s="981"/>
      <c r="O1507" s="981"/>
      <c r="P1507" s="981"/>
      <c r="Q1507" s="92"/>
    </row>
    <row r="1508" spans="1:17" ht="15" customHeight="1">
      <c r="A1508" s="981"/>
      <c r="B1508" s="981"/>
      <c r="C1508" s="1016"/>
      <c r="D1508" s="952"/>
      <c r="E1508" s="981"/>
      <c r="F1508" s="952"/>
      <c r="G1508" s="981"/>
      <c r="H1508" s="981"/>
      <c r="I1508" s="981"/>
      <c r="J1508" s="981"/>
      <c r="K1508" s="981"/>
      <c r="O1508" s="981"/>
      <c r="P1508" s="981"/>
      <c r="Q1508" s="92"/>
    </row>
    <row r="1509" spans="1:17" ht="15" customHeight="1">
      <c r="A1509" s="981"/>
      <c r="B1509" s="981"/>
      <c r="C1509" s="1016"/>
      <c r="D1509" s="952"/>
      <c r="E1509" s="981"/>
      <c r="F1509" s="952"/>
      <c r="G1509" s="981"/>
      <c r="H1509" s="981"/>
      <c r="I1509" s="981"/>
      <c r="J1509" s="981"/>
      <c r="K1509" s="981"/>
      <c r="O1509" s="981"/>
      <c r="P1509" s="981"/>
      <c r="Q1509" s="92"/>
    </row>
    <row r="1510" spans="1:17" ht="15" customHeight="1">
      <c r="A1510" s="981"/>
      <c r="B1510" s="981"/>
      <c r="C1510" s="1016"/>
      <c r="D1510" s="952"/>
      <c r="E1510" s="981"/>
      <c r="F1510" s="952"/>
      <c r="G1510" s="981"/>
      <c r="H1510" s="981"/>
      <c r="I1510" s="981"/>
      <c r="J1510" s="981"/>
      <c r="K1510" s="981"/>
      <c r="O1510" s="981"/>
      <c r="P1510" s="981"/>
      <c r="Q1510" s="92"/>
    </row>
    <row r="1511" spans="1:17" ht="15" customHeight="1">
      <c r="A1511" s="981"/>
      <c r="B1511" s="981"/>
      <c r="C1511" s="1016"/>
      <c r="D1511" s="952"/>
      <c r="E1511" s="981"/>
      <c r="F1511" s="952"/>
      <c r="G1511" s="981"/>
      <c r="H1511" s="981"/>
      <c r="I1511" s="981"/>
      <c r="J1511" s="981"/>
      <c r="K1511" s="981"/>
      <c r="O1511" s="981"/>
      <c r="P1511" s="981"/>
      <c r="Q1511" s="92"/>
    </row>
    <row r="1512" spans="1:17" ht="15" customHeight="1">
      <c r="A1512" s="981"/>
      <c r="B1512" s="981"/>
      <c r="C1512" s="1016"/>
      <c r="D1512" s="952"/>
      <c r="E1512" s="981"/>
      <c r="F1512" s="952"/>
      <c r="G1512" s="981"/>
      <c r="H1512" s="981"/>
      <c r="I1512" s="981"/>
      <c r="J1512" s="981"/>
      <c r="K1512" s="981"/>
      <c r="O1512" s="981"/>
      <c r="P1512" s="981"/>
      <c r="Q1512" s="92"/>
    </row>
    <row r="1513" spans="1:17" ht="15" customHeight="1">
      <c r="A1513" s="981"/>
      <c r="B1513" s="981"/>
      <c r="C1513" s="1016"/>
      <c r="D1513" s="952"/>
      <c r="E1513" s="981"/>
      <c r="F1513" s="952"/>
      <c r="G1513" s="981"/>
      <c r="H1513" s="981"/>
      <c r="I1513" s="981"/>
      <c r="J1513" s="981"/>
      <c r="K1513" s="981"/>
      <c r="O1513" s="981"/>
      <c r="P1513" s="981"/>
      <c r="Q1513" s="92"/>
    </row>
    <row r="1514" spans="1:17" ht="15" customHeight="1">
      <c r="A1514" s="981"/>
      <c r="B1514" s="981"/>
      <c r="C1514" s="1016"/>
      <c r="D1514" s="952"/>
      <c r="E1514" s="981"/>
      <c r="F1514" s="952"/>
      <c r="G1514" s="981"/>
      <c r="H1514" s="981"/>
      <c r="I1514" s="981"/>
      <c r="J1514" s="981"/>
      <c r="K1514" s="981"/>
      <c r="O1514" s="981"/>
      <c r="P1514" s="981"/>
      <c r="Q1514" s="92"/>
    </row>
    <row r="1515" spans="1:17" ht="15" customHeight="1">
      <c r="A1515" s="981"/>
      <c r="B1515" s="981"/>
      <c r="C1515" s="1016"/>
      <c r="D1515" s="952"/>
      <c r="E1515" s="981"/>
      <c r="F1515" s="952"/>
      <c r="G1515" s="981"/>
      <c r="H1515" s="981"/>
      <c r="I1515" s="981"/>
      <c r="J1515" s="981"/>
      <c r="K1515" s="981"/>
      <c r="O1515" s="981"/>
      <c r="P1515" s="981"/>
      <c r="Q1515" s="92"/>
    </row>
    <row r="1516" spans="1:17" ht="15" customHeight="1">
      <c r="A1516" s="981"/>
      <c r="B1516" s="981"/>
      <c r="C1516" s="1016"/>
      <c r="D1516" s="952"/>
      <c r="E1516" s="981"/>
      <c r="F1516" s="952"/>
      <c r="G1516" s="981"/>
      <c r="H1516" s="981"/>
      <c r="I1516" s="981"/>
      <c r="J1516" s="981"/>
      <c r="K1516" s="981"/>
      <c r="O1516" s="981"/>
      <c r="P1516" s="981"/>
      <c r="Q1516" s="92"/>
    </row>
    <row r="1517" spans="1:17" ht="15" customHeight="1">
      <c r="A1517" s="981"/>
      <c r="B1517" s="981"/>
      <c r="C1517" s="1016"/>
      <c r="D1517" s="952"/>
      <c r="E1517" s="981"/>
      <c r="F1517" s="952"/>
      <c r="G1517" s="981"/>
      <c r="H1517" s="981"/>
      <c r="I1517" s="981"/>
      <c r="J1517" s="981"/>
      <c r="K1517" s="981"/>
      <c r="O1517" s="981"/>
      <c r="P1517" s="981"/>
      <c r="Q1517" s="92"/>
    </row>
    <row r="1518" spans="1:17" ht="15" customHeight="1">
      <c r="A1518" s="981"/>
      <c r="B1518" s="981"/>
      <c r="C1518" s="1016"/>
      <c r="D1518" s="952"/>
      <c r="E1518" s="981"/>
      <c r="F1518" s="952"/>
      <c r="G1518" s="981"/>
      <c r="H1518" s="981"/>
      <c r="I1518" s="981"/>
      <c r="J1518" s="981"/>
      <c r="K1518" s="981"/>
      <c r="O1518" s="981"/>
      <c r="P1518" s="981"/>
      <c r="Q1518" s="92"/>
    </row>
    <row r="1519" spans="1:17" ht="15" customHeight="1">
      <c r="A1519" s="981"/>
      <c r="B1519" s="981"/>
      <c r="C1519" s="1016"/>
      <c r="D1519" s="952"/>
      <c r="E1519" s="981"/>
      <c r="F1519" s="952"/>
      <c r="G1519" s="981"/>
      <c r="H1519" s="981"/>
      <c r="I1519" s="981"/>
      <c r="J1519" s="981"/>
      <c r="K1519" s="981"/>
      <c r="O1519" s="981"/>
      <c r="P1519" s="981"/>
      <c r="Q1519" s="92"/>
    </row>
    <row r="1520" spans="1:17" ht="15" customHeight="1">
      <c r="A1520" s="981"/>
      <c r="B1520" s="981"/>
      <c r="C1520" s="1016"/>
      <c r="D1520" s="952"/>
      <c r="E1520" s="981"/>
      <c r="F1520" s="952"/>
      <c r="G1520" s="981"/>
      <c r="H1520" s="981"/>
      <c r="I1520" s="981"/>
      <c r="J1520" s="981"/>
      <c r="K1520" s="981"/>
      <c r="O1520" s="981"/>
      <c r="P1520" s="981"/>
      <c r="Q1520" s="92"/>
    </row>
    <row r="1521" spans="1:17" ht="15" customHeight="1">
      <c r="A1521" s="981"/>
      <c r="B1521" s="981"/>
      <c r="C1521" s="1016"/>
      <c r="D1521" s="952"/>
      <c r="E1521" s="981"/>
      <c r="F1521" s="952"/>
      <c r="G1521" s="981"/>
      <c r="H1521" s="981"/>
      <c r="I1521" s="981"/>
      <c r="J1521" s="981"/>
      <c r="K1521" s="981"/>
      <c r="O1521" s="981"/>
      <c r="P1521" s="981"/>
      <c r="Q1521" s="92"/>
    </row>
    <row r="1522" spans="1:17" ht="15" customHeight="1">
      <c r="A1522" s="981"/>
      <c r="B1522" s="981"/>
      <c r="C1522" s="1016"/>
      <c r="D1522" s="952"/>
      <c r="E1522" s="981"/>
      <c r="F1522" s="952"/>
      <c r="G1522" s="981"/>
      <c r="H1522" s="981"/>
      <c r="I1522" s="981"/>
      <c r="J1522" s="981"/>
      <c r="K1522" s="981"/>
      <c r="O1522" s="981"/>
      <c r="P1522" s="981"/>
      <c r="Q1522" s="92"/>
    </row>
    <row r="1523" spans="1:17" ht="15" customHeight="1">
      <c r="A1523" s="981"/>
      <c r="B1523" s="981"/>
      <c r="C1523" s="1016"/>
      <c r="D1523" s="952"/>
      <c r="E1523" s="981"/>
      <c r="F1523" s="952"/>
      <c r="G1523" s="981"/>
      <c r="H1523" s="981"/>
      <c r="I1523" s="981"/>
      <c r="J1523" s="981"/>
      <c r="K1523" s="981"/>
      <c r="O1523" s="981"/>
      <c r="P1523" s="981"/>
      <c r="Q1523" s="92"/>
    </row>
    <row r="1524" spans="1:17" ht="15" customHeight="1">
      <c r="A1524" s="981"/>
      <c r="B1524" s="981"/>
      <c r="C1524" s="1016"/>
      <c r="D1524" s="952"/>
      <c r="E1524" s="981"/>
      <c r="F1524" s="952"/>
      <c r="G1524" s="981"/>
      <c r="H1524" s="981"/>
      <c r="I1524" s="981"/>
      <c r="J1524" s="981"/>
      <c r="K1524" s="981"/>
      <c r="O1524" s="981"/>
      <c r="P1524" s="981"/>
      <c r="Q1524" s="92"/>
    </row>
    <row r="1525" spans="1:17" ht="15" customHeight="1">
      <c r="A1525" s="981"/>
      <c r="B1525" s="981"/>
      <c r="C1525" s="1016"/>
      <c r="D1525" s="952"/>
      <c r="E1525" s="981"/>
      <c r="F1525" s="952"/>
      <c r="G1525" s="981"/>
      <c r="H1525" s="981"/>
      <c r="I1525" s="981"/>
      <c r="J1525" s="981"/>
      <c r="K1525" s="981"/>
      <c r="O1525" s="981"/>
      <c r="P1525" s="981"/>
      <c r="Q1525" s="92"/>
    </row>
    <row r="1526" spans="1:17" ht="15" customHeight="1">
      <c r="A1526" s="981"/>
      <c r="B1526" s="981"/>
      <c r="C1526" s="1016"/>
      <c r="D1526" s="952"/>
      <c r="E1526" s="981"/>
      <c r="F1526" s="952"/>
      <c r="G1526" s="981"/>
      <c r="H1526" s="981"/>
      <c r="I1526" s="981"/>
      <c r="J1526" s="981"/>
      <c r="K1526" s="981"/>
      <c r="O1526" s="981"/>
      <c r="P1526" s="981"/>
      <c r="Q1526" s="92"/>
    </row>
    <row r="1527" spans="1:17" ht="15" customHeight="1">
      <c r="A1527" s="981"/>
      <c r="B1527" s="981"/>
      <c r="C1527" s="1016"/>
      <c r="D1527" s="952"/>
      <c r="E1527" s="981"/>
      <c r="F1527" s="952"/>
      <c r="G1527" s="981"/>
      <c r="H1527" s="981"/>
      <c r="I1527" s="981"/>
      <c r="J1527" s="981"/>
      <c r="K1527" s="981"/>
      <c r="O1527" s="981"/>
      <c r="P1527" s="981"/>
      <c r="Q1527" s="92"/>
    </row>
    <row r="1528" spans="1:17" ht="15" customHeight="1">
      <c r="A1528" s="981"/>
      <c r="B1528" s="981"/>
      <c r="C1528" s="1016"/>
      <c r="D1528" s="952"/>
      <c r="E1528" s="981"/>
      <c r="F1528" s="952"/>
      <c r="G1528" s="981"/>
      <c r="H1528" s="981"/>
      <c r="I1528" s="981"/>
      <c r="J1528" s="981"/>
      <c r="K1528" s="981"/>
      <c r="O1528" s="981"/>
      <c r="P1528" s="981"/>
      <c r="Q1528" s="92"/>
    </row>
    <row r="1529" spans="1:17" ht="15" customHeight="1">
      <c r="A1529" s="981"/>
      <c r="B1529" s="981"/>
      <c r="C1529" s="1016"/>
      <c r="D1529" s="952"/>
      <c r="E1529" s="981"/>
      <c r="F1529" s="952"/>
      <c r="G1529" s="981"/>
      <c r="H1529" s="981"/>
      <c r="I1529" s="981"/>
      <c r="J1529" s="981"/>
      <c r="K1529" s="981"/>
      <c r="O1529" s="981"/>
      <c r="P1529" s="981"/>
      <c r="Q1529" s="92"/>
    </row>
    <row r="1530" spans="1:17" ht="15" customHeight="1">
      <c r="A1530" s="981"/>
      <c r="B1530" s="981"/>
      <c r="C1530" s="1016"/>
      <c r="D1530" s="952"/>
      <c r="E1530" s="981"/>
      <c r="F1530" s="952"/>
      <c r="G1530" s="981"/>
      <c r="H1530" s="981"/>
      <c r="I1530" s="981"/>
      <c r="J1530" s="981"/>
      <c r="K1530" s="981"/>
      <c r="O1530" s="981"/>
      <c r="P1530" s="981"/>
      <c r="Q1530" s="92"/>
    </row>
    <row r="1531" spans="1:17" ht="15" customHeight="1">
      <c r="A1531" s="981"/>
      <c r="B1531" s="981"/>
      <c r="C1531" s="1016"/>
      <c r="D1531" s="952"/>
      <c r="E1531" s="981"/>
      <c r="F1531" s="952"/>
      <c r="G1531" s="981"/>
      <c r="H1531" s="981"/>
      <c r="I1531" s="981"/>
      <c r="J1531" s="981"/>
      <c r="K1531" s="981"/>
      <c r="O1531" s="981"/>
      <c r="P1531" s="981"/>
      <c r="Q1531" s="92"/>
    </row>
    <row r="1532" spans="1:17" ht="15" customHeight="1">
      <c r="A1532" s="981"/>
      <c r="B1532" s="981"/>
      <c r="C1532" s="1016"/>
      <c r="D1532" s="952"/>
      <c r="E1532" s="981"/>
      <c r="F1532" s="952"/>
      <c r="G1532" s="981"/>
      <c r="H1532" s="981"/>
      <c r="I1532" s="981"/>
      <c r="J1532" s="981"/>
      <c r="K1532" s="981"/>
      <c r="O1532" s="981"/>
      <c r="P1532" s="981"/>
      <c r="Q1532" s="92"/>
    </row>
    <row r="1533" spans="1:17" ht="15" customHeight="1">
      <c r="A1533" s="981"/>
      <c r="B1533" s="981"/>
      <c r="C1533" s="1016"/>
      <c r="D1533" s="952"/>
      <c r="E1533" s="981"/>
      <c r="F1533" s="952"/>
      <c r="G1533" s="981"/>
      <c r="H1533" s="981"/>
      <c r="I1533" s="981"/>
      <c r="J1533" s="981"/>
      <c r="K1533" s="981"/>
      <c r="O1533" s="981"/>
      <c r="P1533" s="981"/>
      <c r="Q1533" s="92"/>
    </row>
    <row r="1534" spans="1:17" ht="15" customHeight="1">
      <c r="A1534" s="981"/>
      <c r="B1534" s="981"/>
      <c r="C1534" s="1016"/>
      <c r="D1534" s="952"/>
      <c r="E1534" s="981"/>
      <c r="F1534" s="952"/>
      <c r="G1534" s="981"/>
      <c r="H1534" s="981"/>
      <c r="I1534" s="981"/>
      <c r="J1534" s="981"/>
      <c r="K1534" s="981"/>
      <c r="O1534" s="981"/>
      <c r="P1534" s="981"/>
      <c r="Q1534" s="92"/>
    </row>
    <row r="1535" spans="1:17" ht="15" customHeight="1">
      <c r="A1535" s="981"/>
      <c r="B1535" s="981"/>
      <c r="C1535" s="1016"/>
      <c r="D1535" s="952"/>
      <c r="E1535" s="981"/>
      <c r="F1535" s="952"/>
      <c r="G1535" s="981"/>
      <c r="H1535" s="981"/>
      <c r="I1535" s="981"/>
      <c r="J1535" s="981"/>
      <c r="K1535" s="981"/>
      <c r="O1535" s="981"/>
      <c r="P1535" s="981"/>
      <c r="Q1535" s="92"/>
    </row>
    <row r="1536" spans="1:17" ht="15" customHeight="1">
      <c r="A1536" s="981"/>
      <c r="B1536" s="981"/>
      <c r="C1536" s="1016"/>
      <c r="D1536" s="952"/>
      <c r="E1536" s="981"/>
      <c r="F1536" s="952"/>
      <c r="G1536" s="981"/>
      <c r="H1536" s="981"/>
      <c r="I1536" s="981"/>
      <c r="J1536" s="981"/>
      <c r="K1536" s="981"/>
      <c r="O1536" s="981"/>
      <c r="P1536" s="981"/>
      <c r="Q1536" s="92"/>
    </row>
    <row r="1537" spans="1:17" ht="15" customHeight="1">
      <c r="A1537" s="981"/>
      <c r="B1537" s="981"/>
      <c r="C1537" s="1016"/>
      <c r="D1537" s="952"/>
      <c r="E1537" s="981"/>
      <c r="F1537" s="952"/>
      <c r="G1537" s="981"/>
      <c r="H1537" s="981"/>
      <c r="I1537" s="981"/>
      <c r="J1537" s="981"/>
      <c r="K1537" s="981"/>
      <c r="O1537" s="981"/>
      <c r="P1537" s="981"/>
      <c r="Q1537" s="92"/>
    </row>
    <row r="1538" spans="1:17" ht="15" customHeight="1">
      <c r="A1538" s="981"/>
      <c r="B1538" s="981"/>
      <c r="C1538" s="1016"/>
      <c r="D1538" s="952"/>
      <c r="E1538" s="981"/>
      <c r="F1538" s="952"/>
      <c r="G1538" s="981"/>
      <c r="H1538" s="981"/>
      <c r="I1538" s="981"/>
      <c r="J1538" s="981"/>
      <c r="K1538" s="981"/>
      <c r="O1538" s="981"/>
      <c r="P1538" s="981"/>
      <c r="Q1538" s="92"/>
    </row>
    <row r="1539" spans="1:17" ht="15" customHeight="1">
      <c r="A1539" s="981"/>
      <c r="B1539" s="981"/>
      <c r="C1539" s="1016"/>
      <c r="D1539" s="952"/>
      <c r="E1539" s="981"/>
      <c r="F1539" s="952"/>
      <c r="G1539" s="981"/>
      <c r="H1539" s="981"/>
      <c r="I1539" s="981"/>
      <c r="J1539" s="981"/>
      <c r="K1539" s="981"/>
      <c r="O1539" s="981"/>
      <c r="P1539" s="981"/>
      <c r="Q1539" s="92"/>
    </row>
    <row r="1540" spans="1:17" ht="15" customHeight="1">
      <c r="A1540" s="981"/>
      <c r="B1540" s="981"/>
      <c r="C1540" s="1016"/>
      <c r="D1540" s="952"/>
      <c r="E1540" s="981"/>
      <c r="F1540" s="952"/>
      <c r="G1540" s="981"/>
      <c r="H1540" s="981"/>
      <c r="I1540" s="981"/>
      <c r="J1540" s="981"/>
      <c r="K1540" s="981"/>
      <c r="O1540" s="981"/>
      <c r="P1540" s="981"/>
      <c r="Q1540" s="92"/>
    </row>
    <row r="1541" spans="1:17" ht="15" customHeight="1">
      <c r="A1541" s="981"/>
      <c r="B1541" s="981"/>
      <c r="C1541" s="1016"/>
      <c r="D1541" s="952"/>
      <c r="E1541" s="981"/>
      <c r="F1541" s="952"/>
      <c r="G1541" s="981"/>
      <c r="H1541" s="981"/>
      <c r="I1541" s="981"/>
      <c r="J1541" s="981"/>
      <c r="K1541" s="981"/>
      <c r="O1541" s="981"/>
      <c r="P1541" s="981"/>
      <c r="Q1541" s="92"/>
    </row>
    <row r="1542" spans="1:17" ht="15" customHeight="1">
      <c r="A1542" s="981"/>
      <c r="B1542" s="981"/>
      <c r="C1542" s="1016"/>
      <c r="D1542" s="952"/>
      <c r="E1542" s="981"/>
      <c r="F1542" s="952"/>
      <c r="G1542" s="981"/>
      <c r="H1542" s="981"/>
      <c r="I1542" s="981"/>
      <c r="J1542" s="981"/>
      <c r="K1542" s="981"/>
      <c r="O1542" s="981"/>
      <c r="P1542" s="981"/>
      <c r="Q1542" s="92"/>
    </row>
    <row r="1543" spans="1:17" ht="15" customHeight="1">
      <c r="A1543" s="981"/>
      <c r="B1543" s="981"/>
      <c r="C1543" s="1016"/>
      <c r="D1543" s="952"/>
      <c r="E1543" s="981"/>
      <c r="F1543" s="952"/>
      <c r="G1543" s="981"/>
      <c r="H1543" s="981"/>
      <c r="I1543" s="981"/>
      <c r="J1543" s="981"/>
      <c r="K1543" s="981"/>
      <c r="O1543" s="981"/>
      <c r="P1543" s="981"/>
    </row>
  </sheetData>
  <autoFilter ref="A3:K3"/>
  <dataConsolidate/>
  <mergeCells count="2">
    <mergeCell ref="O1:Q2"/>
    <mergeCell ref="A1:K1"/>
  </mergeCells>
  <phoneticPr fontId="6" type="noConversion"/>
  <conditionalFormatting sqref="A3:J3">
    <cfRule type="expression" dxfId="103" priority="6">
      <formula>AND(#REF!&lt;&gt;0,#REF!&lt;&gt;"",#REF!&gt;=$J3)</formula>
    </cfRule>
    <cfRule type="expression" dxfId="102" priority="7">
      <formula>FIND("OK",#REF!)</formula>
    </cfRule>
    <cfRule type="expression" dxfId="101" priority="8">
      <formula>AND($D3="寶嘉誠",$G3&lt;&gt;"",OR(#REF!="",#REF!&lt;=0))</formula>
    </cfRule>
    <cfRule type="expression" dxfId="100" priority="9">
      <formula>AND(A3&lt;&gt;"",A3=#REF!)</formula>
    </cfRule>
  </conditionalFormatting>
  <pageMargins left="0.23622047244094491" right="0.23622047244094491" top="0.15748031496062992" bottom="0.15748031496062992" header="0.31496062992125984" footer="0.31496062992125984"/>
  <pageSetup paperSize="9" scale="5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機台清單!$B$2:$B$8</xm:f>
          </x14:formula1>
          <xm:sqref>B4:B27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320"/>
  <sheetViews>
    <sheetView zoomScale="70" zoomScaleNormal="70" workbookViewId="0">
      <pane ySplit="3" topLeftCell="A306" activePane="bottomLeft" state="frozen"/>
      <selection pane="bottomLeft" activeCell="M311" sqref="M311"/>
    </sheetView>
  </sheetViews>
  <sheetFormatPr defaultColWidth="9" defaultRowHeight="19.8"/>
  <cols>
    <col min="1" max="1" width="15.77734375" style="1056" customWidth="1"/>
    <col min="2" max="2" width="13.21875" style="281" customWidth="1"/>
    <col min="3" max="3" width="9.44140625" style="281" customWidth="1"/>
    <col min="4" max="4" width="10.6640625" style="281" customWidth="1"/>
    <col min="5" max="5" width="19.109375" style="281" customWidth="1"/>
    <col min="6" max="6" width="25.44140625" style="281" customWidth="1"/>
    <col min="7" max="7" width="23.77734375" style="281" customWidth="1"/>
    <col min="8" max="8" width="11.33203125" style="281" bestFit="1" customWidth="1"/>
    <col min="9" max="9" width="6.44140625" style="281" bestFit="1" customWidth="1"/>
    <col min="10" max="10" width="44.21875" style="281" bestFit="1" customWidth="1"/>
    <col min="11" max="11" width="13.33203125" style="282" customWidth="1"/>
    <col min="12" max="12" width="16.6640625" style="281" bestFit="1" customWidth="1"/>
    <col min="13" max="13" width="24.44140625" style="281" bestFit="1" customWidth="1"/>
    <col min="14" max="14" width="11.33203125" style="281" bestFit="1" customWidth="1"/>
    <col min="15" max="15" width="6.44140625" style="281" bestFit="1" customWidth="1"/>
    <col min="16" max="16" width="16.6640625" style="281" bestFit="1" customWidth="1"/>
    <col min="17" max="17" width="20.88671875" style="281" customWidth="1"/>
    <col min="18" max="16384" width="9" style="281"/>
  </cols>
  <sheetData>
    <row r="1" spans="1:17" s="238" customFormat="1" ht="39.75" customHeight="1" thickBot="1">
      <c r="A1" s="1394" t="s">
        <v>243</v>
      </c>
      <c r="B1" s="1395"/>
      <c r="C1" s="1395"/>
      <c r="D1" s="1395"/>
      <c r="E1" s="1395"/>
      <c r="F1" s="1395"/>
      <c r="G1" s="1395"/>
      <c r="H1" s="1395"/>
      <c r="I1" s="1395"/>
      <c r="J1" s="1395"/>
      <c r="K1" s="1396"/>
      <c r="L1" s="236"/>
      <c r="M1" s="237"/>
      <c r="N1" s="237"/>
      <c r="O1" s="1397" t="s">
        <v>480</v>
      </c>
      <c r="P1" s="1397"/>
      <c r="Q1" s="1398"/>
    </row>
    <row r="2" spans="1:17" s="246" customFormat="1" ht="31.95" customHeight="1" thickBot="1">
      <c r="A2" s="1054"/>
      <c r="B2" s="239"/>
      <c r="C2" s="239"/>
      <c r="D2" s="96" t="s">
        <v>163</v>
      </c>
      <c r="E2" s="240" t="s">
        <v>164</v>
      </c>
      <c r="F2" s="122" t="s">
        <v>375</v>
      </c>
      <c r="G2" s="241" t="s">
        <v>165</v>
      </c>
      <c r="H2" s="242" t="s">
        <v>481</v>
      </c>
      <c r="I2" s="242"/>
      <c r="J2" s="243"/>
      <c r="K2" s="234">
        <f ca="1">TODAY()</f>
        <v>45320</v>
      </c>
      <c r="L2" s="244"/>
      <c r="M2" s="245"/>
      <c r="N2" s="245"/>
      <c r="O2" s="1399"/>
      <c r="P2" s="1399"/>
      <c r="Q2" s="1400"/>
    </row>
    <row r="3" spans="1:17" s="252" customFormat="1" ht="28.5" customHeight="1">
      <c r="A3" s="107" t="s">
        <v>1794</v>
      </c>
      <c r="B3" s="86" t="str">
        <f>機台清單!B1</f>
        <v>齒研機</v>
      </c>
      <c r="C3" s="108" t="s">
        <v>195</v>
      </c>
      <c r="D3" s="86" t="s">
        <v>196</v>
      </c>
      <c r="E3" s="86" t="s">
        <v>379</v>
      </c>
      <c r="F3" s="86" t="s">
        <v>197</v>
      </c>
      <c r="G3" s="86" t="s">
        <v>381</v>
      </c>
      <c r="H3" s="86" t="s">
        <v>482</v>
      </c>
      <c r="I3" s="86" t="s">
        <v>198</v>
      </c>
      <c r="J3" s="86" t="s">
        <v>483</v>
      </c>
      <c r="K3" s="247" t="s">
        <v>1180</v>
      </c>
      <c r="L3" s="248" t="s">
        <v>484</v>
      </c>
      <c r="M3" s="249" t="s">
        <v>485</v>
      </c>
      <c r="N3" s="250" t="s">
        <v>486</v>
      </c>
      <c r="O3" s="109" t="s">
        <v>487</v>
      </c>
      <c r="P3" s="109" t="s">
        <v>488</v>
      </c>
      <c r="Q3" s="251" t="s">
        <v>489</v>
      </c>
    </row>
    <row r="4" spans="1:17" s="132" customFormat="1" ht="31.95" customHeight="1">
      <c r="A4" s="150">
        <v>20231115</v>
      </c>
      <c r="B4" s="150" t="s">
        <v>170</v>
      </c>
      <c r="C4" s="150">
        <v>3</v>
      </c>
      <c r="D4" s="151" t="s">
        <v>490</v>
      </c>
      <c r="E4" s="151" t="s">
        <v>261</v>
      </c>
      <c r="F4" s="151" t="s">
        <v>263</v>
      </c>
      <c r="G4" s="151" t="s">
        <v>463</v>
      </c>
      <c r="H4" s="151" t="s">
        <v>232</v>
      </c>
      <c r="I4" s="152" t="s">
        <v>491</v>
      </c>
      <c r="J4" s="151"/>
      <c r="K4" s="153" t="s">
        <v>233</v>
      </c>
      <c r="L4" s="180"/>
      <c r="M4" s="180"/>
      <c r="N4" s="180"/>
      <c r="O4" s="148" t="s">
        <v>464</v>
      </c>
      <c r="P4" s="233"/>
      <c r="Q4" s="148"/>
    </row>
    <row r="5" spans="1:17" s="132" customFormat="1" ht="30" customHeight="1">
      <c r="A5" s="145">
        <v>20231117</v>
      </c>
      <c r="B5" s="145" t="s">
        <v>181</v>
      </c>
      <c r="C5" s="145">
        <v>2</v>
      </c>
      <c r="D5" s="146" t="s">
        <v>492</v>
      </c>
      <c r="E5" s="146" t="s">
        <v>190</v>
      </c>
      <c r="F5" s="146" t="s">
        <v>191</v>
      </c>
      <c r="G5" s="146" t="s">
        <v>193</v>
      </c>
      <c r="H5" s="146">
        <v>10</v>
      </c>
      <c r="I5" s="146" t="s">
        <v>493</v>
      </c>
      <c r="J5" s="146"/>
      <c r="K5" s="147">
        <v>20231114</v>
      </c>
      <c r="L5" s="180"/>
      <c r="M5" s="180"/>
      <c r="N5" s="180"/>
      <c r="O5" s="148" t="s">
        <v>189</v>
      </c>
      <c r="P5" s="233"/>
      <c r="Q5" s="148"/>
    </row>
    <row r="6" spans="1:17" s="132" customFormat="1" ht="29.4" customHeight="1">
      <c r="A6" s="149">
        <v>20231118</v>
      </c>
      <c r="B6" s="149" t="s">
        <v>169</v>
      </c>
      <c r="C6" s="253">
        <v>1</v>
      </c>
      <c r="D6" s="254" t="s">
        <v>200</v>
      </c>
      <c r="E6" s="253" t="s">
        <v>212</v>
      </c>
      <c r="F6" s="255" t="s">
        <v>210</v>
      </c>
      <c r="G6" s="253" t="s">
        <v>211</v>
      </c>
      <c r="H6" s="253">
        <v>209</v>
      </c>
      <c r="I6" s="254" t="s">
        <v>209</v>
      </c>
      <c r="J6" s="253"/>
      <c r="K6" s="253">
        <v>20231116</v>
      </c>
      <c r="L6" s="180"/>
      <c r="M6" s="180"/>
      <c r="N6" s="180"/>
      <c r="O6" s="148" t="s">
        <v>167</v>
      </c>
      <c r="P6" s="233"/>
      <c r="Q6" s="148"/>
    </row>
    <row r="7" spans="1:17" s="132" customFormat="1" ht="29.4" customHeight="1">
      <c r="A7" s="149">
        <v>20231118</v>
      </c>
      <c r="B7" s="149" t="s">
        <v>169</v>
      </c>
      <c r="C7" s="253">
        <v>2</v>
      </c>
      <c r="D7" s="254" t="s">
        <v>234</v>
      </c>
      <c r="E7" s="253" t="s">
        <v>235</v>
      </c>
      <c r="F7" s="255" t="s">
        <v>236</v>
      </c>
      <c r="G7" s="253" t="s">
        <v>237</v>
      </c>
      <c r="H7" s="253">
        <v>55</v>
      </c>
      <c r="I7" s="254" t="s">
        <v>209</v>
      </c>
      <c r="J7" s="253"/>
      <c r="K7" s="253">
        <v>20231117</v>
      </c>
      <c r="L7" s="180"/>
      <c r="M7" s="180"/>
      <c r="N7" s="180"/>
      <c r="O7" s="148" t="s">
        <v>426</v>
      </c>
      <c r="P7" s="233"/>
      <c r="Q7" s="148"/>
    </row>
    <row r="8" spans="1:17" s="132" customFormat="1" ht="31.95" customHeight="1">
      <c r="A8" s="150">
        <v>20231118</v>
      </c>
      <c r="B8" s="150" t="s">
        <v>170</v>
      </c>
      <c r="C8" s="150">
        <v>1</v>
      </c>
      <c r="D8" s="151" t="s">
        <v>199</v>
      </c>
      <c r="E8" s="151" t="s">
        <v>178</v>
      </c>
      <c r="F8" s="151" t="s">
        <v>179</v>
      </c>
      <c r="G8" s="151" t="s">
        <v>180</v>
      </c>
      <c r="H8" s="151">
        <v>155</v>
      </c>
      <c r="I8" s="152" t="s">
        <v>222</v>
      </c>
      <c r="J8" s="151" t="s">
        <v>494</v>
      </c>
      <c r="K8" s="153">
        <v>20231109</v>
      </c>
      <c r="L8" s="180"/>
      <c r="M8" s="180"/>
      <c r="N8" s="180"/>
      <c r="O8" s="148" t="s">
        <v>177</v>
      </c>
      <c r="P8" s="233">
        <v>16</v>
      </c>
      <c r="Q8" s="148"/>
    </row>
    <row r="9" spans="1:17" s="132" customFormat="1" ht="31.95" customHeight="1">
      <c r="A9" s="150">
        <v>20231118</v>
      </c>
      <c r="B9" s="150" t="s">
        <v>170</v>
      </c>
      <c r="C9" s="150">
        <v>2</v>
      </c>
      <c r="D9" s="151" t="s">
        <v>465</v>
      </c>
      <c r="E9" s="151" t="s">
        <v>466</v>
      </c>
      <c r="F9" s="151" t="s">
        <v>467</v>
      </c>
      <c r="G9" s="151" t="s">
        <v>468</v>
      </c>
      <c r="H9" s="151">
        <v>4</v>
      </c>
      <c r="I9" s="152" t="s">
        <v>446</v>
      </c>
      <c r="J9" s="151" t="s">
        <v>495</v>
      </c>
      <c r="K9" s="153">
        <v>20231117</v>
      </c>
      <c r="L9" s="180"/>
      <c r="M9" s="180"/>
      <c r="N9" s="180"/>
      <c r="O9" s="148" t="s">
        <v>426</v>
      </c>
      <c r="P9" s="233"/>
      <c r="Q9" s="148"/>
    </row>
    <row r="10" spans="1:17" s="132" customFormat="1" ht="30" customHeight="1">
      <c r="A10" s="145">
        <v>20231118</v>
      </c>
      <c r="B10" s="145" t="s">
        <v>181</v>
      </c>
      <c r="C10" s="145">
        <v>1</v>
      </c>
      <c r="D10" s="146" t="s">
        <v>492</v>
      </c>
      <c r="E10" s="146" t="s">
        <v>188</v>
      </c>
      <c r="F10" s="146" t="s">
        <v>187</v>
      </c>
      <c r="G10" s="146" t="s">
        <v>192</v>
      </c>
      <c r="H10" s="146">
        <v>10</v>
      </c>
      <c r="I10" s="146" t="s">
        <v>496</v>
      </c>
      <c r="J10" s="146"/>
      <c r="K10" s="147">
        <v>20231114</v>
      </c>
      <c r="L10" s="180"/>
      <c r="M10" s="180"/>
      <c r="N10" s="180"/>
      <c r="O10" s="148" t="s">
        <v>189</v>
      </c>
      <c r="P10" s="233"/>
      <c r="Q10" s="148"/>
    </row>
    <row r="11" spans="1:17" s="190" customFormat="1" ht="27.75" customHeight="1">
      <c r="A11" s="212">
        <v>20231118</v>
      </c>
      <c r="B11" s="212" t="s">
        <v>182</v>
      </c>
      <c r="C11" s="212">
        <v>1</v>
      </c>
      <c r="D11" s="214" t="s">
        <v>457</v>
      </c>
      <c r="E11" s="212" t="s">
        <v>458</v>
      </c>
      <c r="F11" s="212" t="s">
        <v>459</v>
      </c>
      <c r="G11" s="212" t="s">
        <v>203</v>
      </c>
      <c r="H11" s="212">
        <v>14</v>
      </c>
      <c r="I11" s="209" t="s">
        <v>446</v>
      </c>
      <c r="J11" s="212"/>
      <c r="K11" s="212">
        <v>20231116</v>
      </c>
      <c r="L11" s="164"/>
      <c r="M11" s="164"/>
      <c r="N11" s="164"/>
      <c r="O11" s="213" t="s">
        <v>426</v>
      </c>
      <c r="P11" s="210"/>
      <c r="Q11" s="211"/>
    </row>
    <row r="12" spans="1:17" s="190" customFormat="1" ht="27.75" customHeight="1">
      <c r="A12" s="212">
        <v>20231118</v>
      </c>
      <c r="B12" s="212" t="s">
        <v>182</v>
      </c>
      <c r="C12" s="212">
        <v>3</v>
      </c>
      <c r="D12" s="214" t="s">
        <v>460</v>
      </c>
      <c r="E12" s="212" t="s">
        <v>461</v>
      </c>
      <c r="F12" s="212" t="s">
        <v>28</v>
      </c>
      <c r="G12" s="212" t="s">
        <v>223</v>
      </c>
      <c r="H12" s="212">
        <v>2</v>
      </c>
      <c r="I12" s="209" t="s">
        <v>462</v>
      </c>
      <c r="J12" s="212"/>
      <c r="K12" s="212">
        <v>20231117</v>
      </c>
      <c r="L12" s="164"/>
      <c r="M12" s="164"/>
      <c r="N12" s="164"/>
      <c r="O12" s="213" t="s">
        <v>168</v>
      </c>
      <c r="P12" s="210"/>
      <c r="Q12" s="211"/>
    </row>
    <row r="13" spans="1:17" s="132" customFormat="1" ht="29.4" customHeight="1">
      <c r="A13" s="149">
        <v>20231120</v>
      </c>
      <c r="B13" s="149" t="s">
        <v>169</v>
      </c>
      <c r="C13" s="253">
        <v>1</v>
      </c>
      <c r="D13" s="254" t="s">
        <v>427</v>
      </c>
      <c r="E13" s="253" t="s">
        <v>428</v>
      </c>
      <c r="F13" s="255" t="s">
        <v>230</v>
      </c>
      <c r="G13" s="253" t="s">
        <v>231</v>
      </c>
      <c r="H13" s="253">
        <v>51</v>
      </c>
      <c r="I13" s="254" t="s">
        <v>221</v>
      </c>
      <c r="J13" s="253"/>
      <c r="K13" s="253">
        <v>20231117</v>
      </c>
      <c r="L13" s="180"/>
      <c r="M13" s="180"/>
      <c r="N13" s="180"/>
      <c r="O13" s="148" t="s">
        <v>426</v>
      </c>
      <c r="P13" s="233"/>
      <c r="Q13" s="148"/>
    </row>
    <row r="14" spans="1:17" s="132" customFormat="1" ht="29.4" customHeight="1">
      <c r="A14" s="149">
        <v>20231120</v>
      </c>
      <c r="B14" s="149" t="s">
        <v>169</v>
      </c>
      <c r="C14" s="253">
        <v>2</v>
      </c>
      <c r="D14" s="254" t="s">
        <v>427</v>
      </c>
      <c r="E14" s="253" t="s">
        <v>429</v>
      </c>
      <c r="F14" s="255" t="s">
        <v>215</v>
      </c>
      <c r="G14" s="253" t="s">
        <v>202</v>
      </c>
      <c r="H14" s="253">
        <v>51</v>
      </c>
      <c r="I14" s="254" t="s">
        <v>496</v>
      </c>
      <c r="J14" s="253" t="s">
        <v>495</v>
      </c>
      <c r="K14" s="253">
        <v>20231115</v>
      </c>
      <c r="L14" s="180"/>
      <c r="M14" s="180"/>
      <c r="N14" s="180"/>
      <c r="O14" s="148" t="s">
        <v>430</v>
      </c>
      <c r="P14" s="233"/>
      <c r="Q14" s="148"/>
    </row>
    <row r="15" spans="1:17" s="132" customFormat="1" ht="30" customHeight="1">
      <c r="A15" s="156">
        <v>20231120</v>
      </c>
      <c r="B15" s="156" t="s">
        <v>181</v>
      </c>
      <c r="C15" s="156">
        <v>1</v>
      </c>
      <c r="D15" s="157" t="s">
        <v>497</v>
      </c>
      <c r="E15" s="157" t="s">
        <v>183</v>
      </c>
      <c r="F15" s="157" t="s">
        <v>184</v>
      </c>
      <c r="G15" s="157" t="s">
        <v>186</v>
      </c>
      <c r="H15" s="157">
        <v>12</v>
      </c>
      <c r="I15" s="157" t="s">
        <v>496</v>
      </c>
      <c r="J15" s="157" t="s">
        <v>498</v>
      </c>
      <c r="K15" s="158">
        <v>20231113</v>
      </c>
      <c r="L15" s="181"/>
      <c r="M15" s="181"/>
      <c r="N15" s="181"/>
      <c r="O15" s="155" t="s">
        <v>185</v>
      </c>
      <c r="P15" s="256"/>
      <c r="Q15" s="155"/>
    </row>
    <row r="16" spans="1:17" s="252" customFormat="1" ht="28.5" customHeight="1">
      <c r="A16" s="122">
        <v>20231120</v>
      </c>
      <c r="B16" s="142" t="s">
        <v>216</v>
      </c>
      <c r="C16" s="122">
        <v>1</v>
      </c>
      <c r="D16" s="122" t="s">
        <v>478</v>
      </c>
      <c r="E16" s="122" t="s">
        <v>228</v>
      </c>
      <c r="F16" s="122" t="s">
        <v>239</v>
      </c>
      <c r="G16" s="122" t="s">
        <v>229</v>
      </c>
      <c r="H16" s="122">
        <v>6</v>
      </c>
      <c r="I16" s="122" t="s">
        <v>222</v>
      </c>
      <c r="J16" s="122" t="s">
        <v>499</v>
      </c>
      <c r="K16" s="122">
        <v>20231117</v>
      </c>
      <c r="L16" s="164"/>
      <c r="M16" s="164"/>
      <c r="N16" s="164"/>
      <c r="O16" s="141" t="s">
        <v>500</v>
      </c>
      <c r="P16" s="141"/>
      <c r="Q16" s="257"/>
    </row>
    <row r="17" spans="1:18" s="132" customFormat="1" ht="31.95" customHeight="1">
      <c r="A17" s="150">
        <v>20231120</v>
      </c>
      <c r="B17" s="150" t="s">
        <v>170</v>
      </c>
      <c r="C17" s="150">
        <v>1</v>
      </c>
      <c r="D17" s="151" t="s">
        <v>501</v>
      </c>
      <c r="E17" s="151" t="s">
        <v>469</v>
      </c>
      <c r="F17" s="151" t="s">
        <v>470</v>
      </c>
      <c r="G17" s="151" t="s">
        <v>471</v>
      </c>
      <c r="H17" s="151">
        <v>33</v>
      </c>
      <c r="I17" s="152" t="s">
        <v>479</v>
      </c>
      <c r="J17" s="151" t="s">
        <v>502</v>
      </c>
      <c r="K17" s="153">
        <v>20231115</v>
      </c>
      <c r="L17" s="180"/>
      <c r="M17" s="180"/>
      <c r="N17" s="180"/>
      <c r="O17" s="148" t="s">
        <v>426</v>
      </c>
      <c r="P17" s="233"/>
      <c r="Q17" s="148"/>
    </row>
    <row r="18" spans="1:18" s="132" customFormat="1" ht="31.95" customHeight="1">
      <c r="A18" s="150">
        <v>20231120</v>
      </c>
      <c r="B18" s="150" t="s">
        <v>170</v>
      </c>
      <c r="C18" s="150">
        <v>2</v>
      </c>
      <c r="D18" s="151" t="s">
        <v>503</v>
      </c>
      <c r="E18" s="151" t="s">
        <v>472</v>
      </c>
      <c r="F18" s="151" t="s">
        <v>473</v>
      </c>
      <c r="G18" s="151" t="s">
        <v>474</v>
      </c>
      <c r="H18" s="151">
        <v>30</v>
      </c>
      <c r="I18" s="152" t="s">
        <v>456</v>
      </c>
      <c r="J18" s="151"/>
      <c r="K18" s="153">
        <v>20231117</v>
      </c>
      <c r="L18" s="180"/>
      <c r="M18" s="180"/>
      <c r="N18" s="180"/>
      <c r="O18" s="148" t="s">
        <v>426</v>
      </c>
      <c r="P18" s="233"/>
      <c r="Q18" s="148"/>
    </row>
    <row r="19" spans="1:18" s="132" customFormat="1" ht="31.95" customHeight="1">
      <c r="A19" s="150" t="s">
        <v>267</v>
      </c>
      <c r="B19" s="150" t="s">
        <v>170</v>
      </c>
      <c r="C19" s="150">
        <v>1</v>
      </c>
      <c r="D19" s="151" t="s">
        <v>504</v>
      </c>
      <c r="E19" s="151" t="s">
        <v>475</v>
      </c>
      <c r="F19" s="151" t="s">
        <v>476</v>
      </c>
      <c r="G19" s="151" t="s">
        <v>477</v>
      </c>
      <c r="H19" s="151">
        <v>2</v>
      </c>
      <c r="I19" s="152" t="s">
        <v>479</v>
      </c>
      <c r="J19" s="151" t="s">
        <v>505</v>
      </c>
      <c r="K19" s="153">
        <v>20231117</v>
      </c>
      <c r="L19" s="180"/>
      <c r="M19" s="180"/>
      <c r="N19" s="180"/>
      <c r="O19" s="148" t="s">
        <v>426</v>
      </c>
      <c r="P19" s="233"/>
      <c r="Q19" s="148"/>
    </row>
    <row r="20" spans="1:18" s="132" customFormat="1" ht="30" customHeight="1">
      <c r="A20" s="164" t="s">
        <v>267</v>
      </c>
      <c r="B20" s="161" t="s">
        <v>181</v>
      </c>
      <c r="C20" s="161">
        <v>1</v>
      </c>
      <c r="D20" s="165" t="s">
        <v>256</v>
      </c>
      <c r="E20" s="165" t="s">
        <v>214</v>
      </c>
      <c r="F20" s="165" t="s">
        <v>264</v>
      </c>
      <c r="G20" s="165" t="s">
        <v>213</v>
      </c>
      <c r="H20" s="165">
        <v>10</v>
      </c>
      <c r="I20" s="165" t="s">
        <v>257</v>
      </c>
      <c r="J20" s="165"/>
      <c r="K20" s="166">
        <v>20231117</v>
      </c>
      <c r="L20" s="164"/>
      <c r="M20" s="164"/>
      <c r="N20" s="164"/>
      <c r="O20" s="162" t="s">
        <v>166</v>
      </c>
      <c r="P20" s="258"/>
      <c r="Q20" s="162"/>
      <c r="R20" s="163"/>
    </row>
    <row r="21" spans="1:18" s="132" customFormat="1" ht="29.4" customHeight="1">
      <c r="A21" s="149" t="s">
        <v>283</v>
      </c>
      <c r="B21" s="149" t="s">
        <v>169</v>
      </c>
      <c r="C21" s="253">
        <v>2</v>
      </c>
      <c r="D21" s="254" t="s">
        <v>506</v>
      </c>
      <c r="E21" s="253" t="s">
        <v>431</v>
      </c>
      <c r="F21" s="255" t="s">
        <v>259</v>
      </c>
      <c r="G21" s="253" t="s">
        <v>260</v>
      </c>
      <c r="H21" s="253">
        <v>125</v>
      </c>
      <c r="I21" s="254" t="s">
        <v>238</v>
      </c>
      <c r="J21" s="253"/>
      <c r="K21" s="253">
        <v>20231120</v>
      </c>
      <c r="L21" s="180"/>
      <c r="M21" s="180"/>
      <c r="N21" s="180"/>
      <c r="O21" s="148" t="s">
        <v>507</v>
      </c>
      <c r="P21" s="233"/>
      <c r="Q21" s="148"/>
    </row>
    <row r="22" spans="1:18" s="132" customFormat="1" ht="29.4" customHeight="1">
      <c r="A22" s="149" t="s">
        <v>284</v>
      </c>
      <c r="B22" s="149" t="s">
        <v>169</v>
      </c>
      <c r="C22" s="253">
        <v>3</v>
      </c>
      <c r="D22" s="254" t="s">
        <v>506</v>
      </c>
      <c r="E22" s="253" t="s">
        <v>432</v>
      </c>
      <c r="F22" s="255" t="s">
        <v>433</v>
      </c>
      <c r="G22" s="253" t="s">
        <v>434</v>
      </c>
      <c r="H22" s="253">
        <v>120</v>
      </c>
      <c r="I22" s="254" t="s">
        <v>238</v>
      </c>
      <c r="J22" s="253"/>
      <c r="K22" s="253">
        <v>20231120</v>
      </c>
      <c r="L22" s="180"/>
      <c r="M22" s="180"/>
      <c r="N22" s="180"/>
      <c r="O22" s="148" t="s">
        <v>507</v>
      </c>
      <c r="P22" s="233"/>
      <c r="Q22" s="148"/>
    </row>
    <row r="23" spans="1:18" s="132" customFormat="1" ht="29.4" customHeight="1">
      <c r="A23" s="149" t="s">
        <v>296</v>
      </c>
      <c r="B23" s="149" t="s">
        <v>169</v>
      </c>
      <c r="C23" s="253">
        <v>1</v>
      </c>
      <c r="D23" s="254" t="s">
        <v>201</v>
      </c>
      <c r="E23" s="253" t="s">
        <v>435</v>
      </c>
      <c r="F23" s="255" t="s">
        <v>252</v>
      </c>
      <c r="G23" s="253" t="s">
        <v>253</v>
      </c>
      <c r="H23" s="253">
        <v>51</v>
      </c>
      <c r="I23" s="254" t="s">
        <v>238</v>
      </c>
      <c r="J23" s="253"/>
      <c r="K23" s="253">
        <v>20231120</v>
      </c>
      <c r="L23" s="180"/>
      <c r="M23" s="180"/>
      <c r="N23" s="180"/>
      <c r="O23" s="148" t="s">
        <v>430</v>
      </c>
      <c r="P23" s="233"/>
      <c r="Q23" s="148"/>
    </row>
    <row r="24" spans="1:18" s="132" customFormat="1" ht="30" customHeight="1">
      <c r="A24" s="174" t="s">
        <v>296</v>
      </c>
      <c r="B24" s="171" t="s">
        <v>181</v>
      </c>
      <c r="C24" s="171">
        <v>1</v>
      </c>
      <c r="D24" s="172" t="s">
        <v>258</v>
      </c>
      <c r="E24" s="172" t="s">
        <v>249</v>
      </c>
      <c r="F24" s="172">
        <v>3038002520</v>
      </c>
      <c r="G24" s="172" t="s">
        <v>250</v>
      </c>
      <c r="H24" s="172">
        <v>20</v>
      </c>
      <c r="I24" s="172" t="s">
        <v>238</v>
      </c>
      <c r="J24" s="173"/>
      <c r="K24" s="173">
        <v>20231120</v>
      </c>
      <c r="L24" s="174"/>
      <c r="M24" s="174"/>
      <c r="N24" s="174"/>
      <c r="O24" s="171" t="s">
        <v>251</v>
      </c>
      <c r="P24" s="259"/>
      <c r="Q24" s="168"/>
    </row>
    <row r="25" spans="1:18" s="190" customFormat="1" ht="30.75" customHeight="1">
      <c r="A25" s="175" t="s">
        <v>310</v>
      </c>
      <c r="B25" s="175" t="s">
        <v>181</v>
      </c>
      <c r="C25" s="175" t="s">
        <v>295</v>
      </c>
      <c r="D25" s="176" t="s">
        <v>275</v>
      </c>
      <c r="E25" s="175" t="s">
        <v>276</v>
      </c>
      <c r="F25" s="175" t="s">
        <v>277</v>
      </c>
      <c r="G25" s="175" t="s">
        <v>278</v>
      </c>
      <c r="H25" s="175" t="s">
        <v>279</v>
      </c>
      <c r="I25" s="175" t="s">
        <v>238</v>
      </c>
      <c r="J25" s="175"/>
      <c r="K25" s="175" t="s">
        <v>274</v>
      </c>
      <c r="L25" s="260"/>
      <c r="M25" s="260"/>
      <c r="N25" s="260"/>
      <c r="O25" s="177" t="s">
        <v>272</v>
      </c>
      <c r="P25" s="261"/>
      <c r="Q25" s="177"/>
    </row>
    <row r="26" spans="1:18" s="190" customFormat="1" ht="30.75" customHeight="1">
      <c r="A26" s="178" t="s">
        <v>310</v>
      </c>
      <c r="B26" s="178" t="s">
        <v>170</v>
      </c>
      <c r="C26" s="178" t="s">
        <v>247</v>
      </c>
      <c r="D26" s="179" t="s">
        <v>292</v>
      </c>
      <c r="E26" s="178" t="s">
        <v>293</v>
      </c>
      <c r="F26" s="178" t="s">
        <v>270</v>
      </c>
      <c r="G26" s="178" t="s">
        <v>271</v>
      </c>
      <c r="H26" s="178" t="s">
        <v>294</v>
      </c>
      <c r="I26" s="178" t="s">
        <v>238</v>
      </c>
      <c r="J26" s="178"/>
      <c r="K26" s="178" t="s">
        <v>273</v>
      </c>
      <c r="L26" s="260"/>
      <c r="M26" s="260"/>
      <c r="N26" s="260"/>
      <c r="O26" s="177" t="s">
        <v>272</v>
      </c>
      <c r="P26" s="261"/>
      <c r="Q26" s="177"/>
    </row>
    <row r="27" spans="1:18" s="190" customFormat="1" ht="27" customHeight="1">
      <c r="A27" s="178" t="s">
        <v>310</v>
      </c>
      <c r="B27" s="159" t="s">
        <v>170</v>
      </c>
      <c r="C27" s="159" t="s">
        <v>333</v>
      </c>
      <c r="D27" s="160" t="s">
        <v>269</v>
      </c>
      <c r="E27" s="159" t="s">
        <v>280</v>
      </c>
      <c r="F27" s="159" t="s">
        <v>281</v>
      </c>
      <c r="G27" s="159" t="s">
        <v>282</v>
      </c>
      <c r="H27" s="159" t="s">
        <v>268</v>
      </c>
      <c r="I27" s="167" t="s">
        <v>238</v>
      </c>
      <c r="J27" s="159"/>
      <c r="K27" s="159" t="s">
        <v>319</v>
      </c>
      <c r="L27" s="260"/>
      <c r="M27" s="260"/>
      <c r="N27" s="260"/>
      <c r="O27" s="154" t="s">
        <v>272</v>
      </c>
      <c r="P27" s="169"/>
      <c r="Q27" s="154"/>
    </row>
    <row r="28" spans="1:18" s="190" customFormat="1" ht="27.75" customHeight="1">
      <c r="A28" s="212" t="s">
        <v>332</v>
      </c>
      <c r="B28" s="212" t="s">
        <v>182</v>
      </c>
      <c r="C28" s="212">
        <v>1</v>
      </c>
      <c r="D28" s="214" t="s">
        <v>508</v>
      </c>
      <c r="E28" s="212" t="s">
        <v>454</v>
      </c>
      <c r="F28" s="212" t="s">
        <v>455</v>
      </c>
      <c r="G28" s="212" t="s">
        <v>262</v>
      </c>
      <c r="H28" s="212">
        <v>11</v>
      </c>
      <c r="I28" s="209" t="s">
        <v>254</v>
      </c>
      <c r="J28" s="212"/>
      <c r="K28" s="212">
        <v>20231120</v>
      </c>
      <c r="L28" s="260"/>
      <c r="M28" s="260"/>
      <c r="N28" s="260"/>
      <c r="O28" s="213" t="s">
        <v>266</v>
      </c>
      <c r="P28" s="210"/>
      <c r="Q28" s="211"/>
    </row>
    <row r="29" spans="1:18" s="132" customFormat="1" ht="30" customHeight="1">
      <c r="A29" s="185" t="s">
        <v>332</v>
      </c>
      <c r="B29" s="186" t="s">
        <v>170</v>
      </c>
      <c r="C29" s="186">
        <v>2</v>
      </c>
      <c r="D29" s="187" t="s">
        <v>298</v>
      </c>
      <c r="E29" s="188" t="s">
        <v>297</v>
      </c>
      <c r="F29" s="188" t="s">
        <v>299</v>
      </c>
      <c r="G29" s="188" t="s">
        <v>300</v>
      </c>
      <c r="H29" s="188">
        <v>15</v>
      </c>
      <c r="I29" s="189" t="s">
        <v>254</v>
      </c>
      <c r="J29" s="188"/>
      <c r="K29" s="235">
        <v>20231122</v>
      </c>
      <c r="L29" s="164"/>
      <c r="M29" s="164"/>
      <c r="N29" s="164"/>
      <c r="O29" s="168" t="s">
        <v>301</v>
      </c>
      <c r="P29" s="169"/>
      <c r="Q29" s="168"/>
    </row>
    <row r="30" spans="1:18" s="190" customFormat="1" ht="30.75" customHeight="1">
      <c r="A30" s="185" t="s">
        <v>331</v>
      </c>
      <c r="B30" s="159" t="s">
        <v>170</v>
      </c>
      <c r="C30" s="159" t="s">
        <v>295</v>
      </c>
      <c r="D30" s="160" t="s">
        <v>289</v>
      </c>
      <c r="E30" s="159" t="s">
        <v>290</v>
      </c>
      <c r="F30" s="159" t="s">
        <v>285</v>
      </c>
      <c r="G30" s="159" t="s">
        <v>286</v>
      </c>
      <c r="H30" s="159" t="s">
        <v>291</v>
      </c>
      <c r="I30" s="167" t="s">
        <v>393</v>
      </c>
      <c r="J30" s="159" t="s">
        <v>509</v>
      </c>
      <c r="K30" s="159" t="s">
        <v>287</v>
      </c>
      <c r="L30" s="164"/>
      <c r="M30" s="164"/>
      <c r="N30" s="164"/>
      <c r="O30" s="154" t="s">
        <v>288</v>
      </c>
      <c r="P30" s="262"/>
      <c r="Q30" s="144"/>
    </row>
    <row r="31" spans="1:18" s="132" customFormat="1" ht="29.4" customHeight="1">
      <c r="A31" s="191" t="s">
        <v>331</v>
      </c>
      <c r="B31" s="127" t="s">
        <v>169</v>
      </c>
      <c r="C31" s="263">
        <v>1</v>
      </c>
      <c r="D31" s="264" t="s">
        <v>510</v>
      </c>
      <c r="E31" s="264" t="s">
        <v>240</v>
      </c>
      <c r="F31" s="265" t="s">
        <v>241</v>
      </c>
      <c r="G31" s="264" t="s">
        <v>242</v>
      </c>
      <c r="H31" s="264">
        <v>260</v>
      </c>
      <c r="I31" s="143" t="s">
        <v>257</v>
      </c>
      <c r="J31" s="264"/>
      <c r="K31" s="264">
        <v>20231117</v>
      </c>
      <c r="L31" s="266"/>
      <c r="M31" s="266"/>
      <c r="N31" s="266"/>
      <c r="O31" s="113" t="s">
        <v>166</v>
      </c>
      <c r="P31" s="267"/>
      <c r="Q31" s="144"/>
    </row>
    <row r="32" spans="1:18" s="190" customFormat="1" ht="27.75" customHeight="1">
      <c r="A32" s="212" t="s">
        <v>332</v>
      </c>
      <c r="B32" s="212" t="s">
        <v>182</v>
      </c>
      <c r="C32" s="212" t="s">
        <v>333</v>
      </c>
      <c r="D32" s="214" t="s">
        <v>448</v>
      </c>
      <c r="E32" s="212" t="s">
        <v>449</v>
      </c>
      <c r="F32" s="212" t="s">
        <v>450</v>
      </c>
      <c r="G32" s="212" t="s">
        <v>248</v>
      </c>
      <c r="H32" s="212" t="s">
        <v>451</v>
      </c>
      <c r="I32" s="209" t="s">
        <v>238</v>
      </c>
      <c r="J32" s="212"/>
      <c r="K32" s="212" t="s">
        <v>452</v>
      </c>
      <c r="L32" s="164"/>
      <c r="M32" s="164"/>
      <c r="N32" s="164"/>
      <c r="O32" s="213" t="s">
        <v>453</v>
      </c>
      <c r="P32" s="210"/>
      <c r="Q32" s="211"/>
    </row>
    <row r="33" spans="1:17" s="132" customFormat="1" ht="30" customHeight="1">
      <c r="A33" s="268" t="s">
        <v>332</v>
      </c>
      <c r="B33" s="269" t="s">
        <v>576</v>
      </c>
      <c r="C33" s="269">
        <v>1</v>
      </c>
      <c r="D33" s="269" t="s">
        <v>511</v>
      </c>
      <c r="E33" s="269" t="s">
        <v>244</v>
      </c>
      <c r="F33" s="269" t="s">
        <v>246</v>
      </c>
      <c r="G33" s="269" t="s">
        <v>245</v>
      </c>
      <c r="H33" s="269">
        <v>98</v>
      </c>
      <c r="I33" s="269" t="s">
        <v>238</v>
      </c>
      <c r="J33" s="269"/>
      <c r="K33" s="269">
        <v>20231120</v>
      </c>
      <c r="L33" s="164"/>
      <c r="M33" s="164"/>
      <c r="N33" s="164"/>
      <c r="O33" s="227" t="s">
        <v>464</v>
      </c>
      <c r="P33" s="270"/>
      <c r="Q33" s="140"/>
    </row>
    <row r="34" spans="1:17" s="132" customFormat="1" ht="29.4" customHeight="1">
      <c r="A34" s="191" t="s">
        <v>342</v>
      </c>
      <c r="B34" s="170" t="s">
        <v>169</v>
      </c>
      <c r="C34" s="263">
        <v>1</v>
      </c>
      <c r="D34" s="271" t="s">
        <v>306</v>
      </c>
      <c r="E34" s="272" t="s">
        <v>305</v>
      </c>
      <c r="F34" s="273" t="s">
        <v>307</v>
      </c>
      <c r="G34" s="272" t="s">
        <v>308</v>
      </c>
      <c r="H34" s="272">
        <v>51</v>
      </c>
      <c r="I34" s="143" t="s">
        <v>238</v>
      </c>
      <c r="J34" s="272"/>
      <c r="K34" s="272">
        <v>20231122</v>
      </c>
      <c r="L34" s="164"/>
      <c r="M34" s="164"/>
      <c r="N34" s="164"/>
      <c r="O34" s="168" t="s">
        <v>309</v>
      </c>
      <c r="P34" s="259"/>
      <c r="Q34" s="168"/>
    </row>
    <row r="35" spans="1:17" s="132" customFormat="1" ht="30" customHeight="1">
      <c r="A35" s="274" t="s">
        <v>343</v>
      </c>
      <c r="B35" s="134" t="s">
        <v>181</v>
      </c>
      <c r="C35" s="135">
        <v>1</v>
      </c>
      <c r="D35" s="182" t="s">
        <v>313</v>
      </c>
      <c r="E35" s="136" t="s">
        <v>312</v>
      </c>
      <c r="F35" s="136" t="s">
        <v>311</v>
      </c>
      <c r="G35" s="136" t="s">
        <v>314</v>
      </c>
      <c r="H35" s="136">
        <v>10</v>
      </c>
      <c r="I35" s="183" t="s">
        <v>209</v>
      </c>
      <c r="J35" s="138"/>
      <c r="K35" s="138">
        <v>20231122</v>
      </c>
      <c r="L35" s="164"/>
      <c r="M35" s="164"/>
      <c r="N35" s="164"/>
      <c r="O35" s="168" t="s">
        <v>166</v>
      </c>
      <c r="P35" s="270"/>
      <c r="Q35" s="140"/>
    </row>
    <row r="36" spans="1:17" s="132" customFormat="1" ht="29.4" customHeight="1">
      <c r="A36" s="170" t="s">
        <v>348</v>
      </c>
      <c r="B36" s="170" t="s">
        <v>169</v>
      </c>
      <c r="C36" s="263">
        <v>2</v>
      </c>
      <c r="D36" s="264" t="s">
        <v>510</v>
      </c>
      <c r="E36" s="275" t="s">
        <v>329</v>
      </c>
      <c r="F36" s="276" t="s">
        <v>327</v>
      </c>
      <c r="G36" s="275" t="s">
        <v>328</v>
      </c>
      <c r="H36" s="275">
        <v>155</v>
      </c>
      <c r="I36" s="143" t="s">
        <v>257</v>
      </c>
      <c r="J36" s="277" t="s">
        <v>330</v>
      </c>
      <c r="K36" s="272">
        <v>20231122</v>
      </c>
      <c r="L36" s="266"/>
      <c r="M36" s="266"/>
      <c r="N36" s="266"/>
      <c r="O36" s="113" t="s">
        <v>166</v>
      </c>
      <c r="P36" s="278"/>
      <c r="Q36" s="184"/>
    </row>
    <row r="37" spans="1:17" s="132" customFormat="1" ht="30" customHeight="1">
      <c r="A37" s="185" t="s">
        <v>348</v>
      </c>
      <c r="B37" s="186" t="s">
        <v>170</v>
      </c>
      <c r="C37" s="186">
        <v>1</v>
      </c>
      <c r="D37" s="187" t="s">
        <v>298</v>
      </c>
      <c r="E37" s="188" t="s">
        <v>302</v>
      </c>
      <c r="F37" s="188" t="s">
        <v>303</v>
      </c>
      <c r="G37" s="188" t="s">
        <v>304</v>
      </c>
      <c r="H37" s="188">
        <v>23</v>
      </c>
      <c r="I37" s="189" t="s">
        <v>254</v>
      </c>
      <c r="J37" s="188"/>
      <c r="K37" s="235">
        <v>20231122</v>
      </c>
      <c r="L37" s="174"/>
      <c r="M37" s="174"/>
      <c r="N37" s="174"/>
      <c r="O37" s="168" t="s">
        <v>301</v>
      </c>
      <c r="P37" s="169"/>
      <c r="Q37" s="168"/>
    </row>
    <row r="38" spans="1:17" s="190" customFormat="1" ht="27.75" customHeight="1">
      <c r="A38" s="212" t="s">
        <v>441</v>
      </c>
      <c r="B38" s="212" t="s">
        <v>182</v>
      </c>
      <c r="C38" s="212" t="s">
        <v>437</v>
      </c>
      <c r="D38" s="214" t="s">
        <v>442</v>
      </c>
      <c r="E38" s="212" t="s">
        <v>443</v>
      </c>
      <c r="F38" s="212" t="s">
        <v>444</v>
      </c>
      <c r="G38" s="212" t="s">
        <v>318</v>
      </c>
      <c r="H38" s="212" t="s">
        <v>445</v>
      </c>
      <c r="I38" s="209" t="s">
        <v>446</v>
      </c>
      <c r="J38" s="212" t="s">
        <v>320</v>
      </c>
      <c r="K38" s="212" t="s">
        <v>447</v>
      </c>
      <c r="L38" s="164"/>
      <c r="M38" s="164"/>
      <c r="N38" s="164"/>
      <c r="O38" s="213" t="s">
        <v>426</v>
      </c>
      <c r="P38" s="210"/>
      <c r="Q38" s="211"/>
    </row>
    <row r="39" spans="1:17" s="190" customFormat="1" ht="27.75" customHeight="1">
      <c r="A39" s="192" t="s">
        <v>366</v>
      </c>
      <c r="B39" s="192" t="s">
        <v>170</v>
      </c>
      <c r="C39" s="192" t="s">
        <v>268</v>
      </c>
      <c r="D39" s="193" t="s">
        <v>340</v>
      </c>
      <c r="E39" s="192" t="s">
        <v>341</v>
      </c>
      <c r="F39" s="192" t="s">
        <v>339</v>
      </c>
      <c r="G39" s="192" t="s">
        <v>347</v>
      </c>
      <c r="H39" s="192" t="s">
        <v>232</v>
      </c>
      <c r="I39" s="167" t="s">
        <v>238</v>
      </c>
      <c r="J39" s="193" t="s">
        <v>320</v>
      </c>
      <c r="K39" s="192" t="s">
        <v>331</v>
      </c>
      <c r="L39" s="164"/>
      <c r="M39" s="164"/>
      <c r="N39" s="164"/>
      <c r="O39" s="93" t="s">
        <v>166</v>
      </c>
      <c r="P39" s="194"/>
      <c r="Q39" s="195"/>
    </row>
    <row r="40" spans="1:17" s="190" customFormat="1" ht="27.75" customHeight="1">
      <c r="A40" s="196" t="s">
        <v>367</v>
      </c>
      <c r="B40" s="196" t="s">
        <v>170</v>
      </c>
      <c r="C40" s="196" t="s">
        <v>352</v>
      </c>
      <c r="D40" s="197" t="s">
        <v>353</v>
      </c>
      <c r="E40" s="196" t="s">
        <v>354</v>
      </c>
      <c r="F40" s="196" t="s">
        <v>355</v>
      </c>
      <c r="G40" s="197" t="s">
        <v>356</v>
      </c>
      <c r="H40" s="196" t="s">
        <v>357</v>
      </c>
      <c r="I40" s="167" t="s">
        <v>238</v>
      </c>
      <c r="J40" s="193" t="s">
        <v>320</v>
      </c>
      <c r="K40" s="196" t="s">
        <v>358</v>
      </c>
      <c r="L40" s="164"/>
      <c r="M40" s="164"/>
      <c r="N40" s="164"/>
      <c r="O40" s="93" t="s">
        <v>359</v>
      </c>
      <c r="P40" s="198"/>
      <c r="Q40" s="199"/>
    </row>
    <row r="41" spans="1:17" s="190" customFormat="1" ht="27.75" customHeight="1">
      <c r="A41" s="212" t="s">
        <v>436</v>
      </c>
      <c r="B41" s="212" t="s">
        <v>182</v>
      </c>
      <c r="C41" s="212" t="s">
        <v>437</v>
      </c>
      <c r="D41" s="214" t="s">
        <v>438</v>
      </c>
      <c r="E41" s="212" t="s">
        <v>344</v>
      </c>
      <c r="F41" s="212" t="s">
        <v>345</v>
      </c>
      <c r="G41" s="212" t="s">
        <v>335</v>
      </c>
      <c r="H41" s="212" t="s">
        <v>439</v>
      </c>
      <c r="I41" s="209" t="s">
        <v>346</v>
      </c>
      <c r="J41" s="212"/>
      <c r="K41" s="212" t="s">
        <v>440</v>
      </c>
      <c r="L41" s="164"/>
      <c r="M41" s="164"/>
      <c r="N41" s="164"/>
      <c r="O41" s="213" t="s">
        <v>426</v>
      </c>
      <c r="P41" s="210"/>
      <c r="Q41" s="211"/>
    </row>
    <row r="42" spans="1:17" s="132" customFormat="1" ht="29.4" customHeight="1">
      <c r="A42" s="122">
        <v>20231127</v>
      </c>
      <c r="B42" s="142" t="s">
        <v>216</v>
      </c>
      <c r="C42" s="122">
        <v>1</v>
      </c>
      <c r="D42" s="122" t="s">
        <v>265</v>
      </c>
      <c r="E42" s="122" t="s">
        <v>218</v>
      </c>
      <c r="F42" s="122" t="s">
        <v>220</v>
      </c>
      <c r="G42" s="122" t="s">
        <v>219</v>
      </c>
      <c r="H42" s="122">
        <v>28</v>
      </c>
      <c r="I42" s="122" t="s">
        <v>254</v>
      </c>
      <c r="J42" s="122" t="s">
        <v>512</v>
      </c>
      <c r="K42" s="122">
        <v>20231117</v>
      </c>
      <c r="L42" s="164"/>
      <c r="M42" s="164"/>
      <c r="N42" s="164"/>
      <c r="O42" s="141" t="s">
        <v>217</v>
      </c>
      <c r="P42" s="141"/>
      <c r="Q42" s="128"/>
    </row>
    <row r="43" spans="1:17" s="190" customFormat="1" ht="27.75" customHeight="1">
      <c r="A43" s="212" t="s">
        <v>414</v>
      </c>
      <c r="B43" s="212" t="s">
        <v>182</v>
      </c>
      <c r="C43" s="212" t="s">
        <v>403</v>
      </c>
      <c r="D43" s="214" t="s">
        <v>405</v>
      </c>
      <c r="E43" s="212" t="s">
        <v>406</v>
      </c>
      <c r="F43" s="212" t="s">
        <v>408</v>
      </c>
      <c r="G43" s="212" t="s">
        <v>409</v>
      </c>
      <c r="H43" s="212" t="s">
        <v>410</v>
      </c>
      <c r="I43" s="209" t="s">
        <v>394</v>
      </c>
      <c r="J43" s="212"/>
      <c r="K43" s="212" t="s">
        <v>412</v>
      </c>
      <c r="L43" s="164"/>
      <c r="M43" s="164"/>
      <c r="N43" s="164"/>
      <c r="O43" s="213" t="s">
        <v>166</v>
      </c>
      <c r="P43" s="210"/>
      <c r="Q43" s="211"/>
    </row>
    <row r="44" spans="1:17" s="190" customFormat="1" ht="27.75" customHeight="1">
      <c r="A44" s="212" t="s">
        <v>414</v>
      </c>
      <c r="B44" s="212" t="s">
        <v>182</v>
      </c>
      <c r="C44" s="212" t="s">
        <v>404</v>
      </c>
      <c r="D44" s="214" t="s">
        <v>405</v>
      </c>
      <c r="E44" s="212" t="s">
        <v>407</v>
      </c>
      <c r="F44" s="212" t="s">
        <v>411</v>
      </c>
      <c r="G44" s="212" t="s">
        <v>409</v>
      </c>
      <c r="H44" s="212" t="s">
        <v>410</v>
      </c>
      <c r="I44" s="209" t="s">
        <v>394</v>
      </c>
      <c r="J44" s="212"/>
      <c r="K44" s="212" t="s">
        <v>412</v>
      </c>
      <c r="L44" s="164"/>
      <c r="M44" s="164"/>
      <c r="N44" s="164"/>
      <c r="O44" s="213" t="s">
        <v>166</v>
      </c>
      <c r="P44" s="210"/>
      <c r="Q44" s="211"/>
    </row>
    <row r="45" spans="1:17" s="252" customFormat="1" ht="28.5" customHeight="1">
      <c r="A45" s="122" t="s">
        <v>413</v>
      </c>
      <c r="B45" s="142" t="s">
        <v>216</v>
      </c>
      <c r="C45" s="122">
        <v>2</v>
      </c>
      <c r="D45" s="122" t="s">
        <v>265</v>
      </c>
      <c r="E45" s="122" t="s">
        <v>224</v>
      </c>
      <c r="F45" s="122" t="s">
        <v>225</v>
      </c>
      <c r="G45" s="122" t="s">
        <v>226</v>
      </c>
      <c r="H45" s="122">
        <v>2</v>
      </c>
      <c r="I45" s="122" t="s">
        <v>254</v>
      </c>
      <c r="J45" s="122"/>
      <c r="K45" s="122">
        <v>20231117</v>
      </c>
      <c r="L45" s="164"/>
      <c r="M45" s="164"/>
      <c r="N45" s="164"/>
      <c r="O45" s="141" t="s">
        <v>227</v>
      </c>
      <c r="P45" s="141"/>
      <c r="Q45" s="257"/>
    </row>
    <row r="46" spans="1:17" s="132" customFormat="1" ht="30" customHeight="1">
      <c r="A46" s="279" t="s">
        <v>425</v>
      </c>
      <c r="B46" s="228" t="s">
        <v>181</v>
      </c>
      <c r="C46" s="228">
        <v>1</v>
      </c>
      <c r="D46" s="229" t="s">
        <v>395</v>
      </c>
      <c r="E46" s="229" t="s">
        <v>321</v>
      </c>
      <c r="F46" s="229" t="s">
        <v>322</v>
      </c>
      <c r="G46" s="229" t="s">
        <v>323</v>
      </c>
      <c r="H46" s="229" t="s">
        <v>324</v>
      </c>
      <c r="I46" s="229" t="s">
        <v>393</v>
      </c>
      <c r="J46" s="230" t="s">
        <v>402</v>
      </c>
      <c r="K46" s="230" t="s">
        <v>325</v>
      </c>
      <c r="L46" s="266"/>
      <c r="M46" s="266"/>
      <c r="N46" s="266"/>
      <c r="O46" s="231" t="s">
        <v>326</v>
      </c>
      <c r="P46" s="280"/>
      <c r="Q46" s="232"/>
    </row>
    <row r="47" spans="1:17" s="95" customFormat="1" ht="29.4" customHeight="1">
      <c r="A47" s="308">
        <v>20231129</v>
      </c>
      <c r="B47" s="219" t="s">
        <v>169</v>
      </c>
      <c r="C47" s="295">
        <v>4</v>
      </c>
      <c r="D47" s="224" t="s">
        <v>420</v>
      </c>
      <c r="E47" s="295" t="s">
        <v>526</v>
      </c>
      <c r="F47" s="296" t="s">
        <v>528</v>
      </c>
      <c r="G47" s="295" t="s">
        <v>527</v>
      </c>
      <c r="H47" s="295">
        <v>53</v>
      </c>
      <c r="I47" s="112" t="s">
        <v>194</v>
      </c>
      <c r="J47" s="299" t="s">
        <v>529</v>
      </c>
      <c r="K47" s="295">
        <v>20231128</v>
      </c>
      <c r="M47" s="164"/>
      <c r="N47" s="164"/>
      <c r="O47" s="226" t="s">
        <v>167</v>
      </c>
      <c r="P47" s="297"/>
      <c r="Q47" s="298"/>
    </row>
    <row r="48" spans="1:17" s="190" customFormat="1" ht="27.75" customHeight="1">
      <c r="A48" s="208" t="s">
        <v>538</v>
      </c>
      <c r="B48" s="208" t="s">
        <v>182</v>
      </c>
      <c r="C48" s="208" t="s">
        <v>333</v>
      </c>
      <c r="D48" s="208" t="s">
        <v>400</v>
      </c>
      <c r="E48" s="208" t="s">
        <v>368</v>
      </c>
      <c r="F48" s="208" t="s">
        <v>369</v>
      </c>
      <c r="G48" s="208" t="s">
        <v>370</v>
      </c>
      <c r="H48" s="208" t="s">
        <v>371</v>
      </c>
      <c r="I48" s="209" t="s">
        <v>394</v>
      </c>
      <c r="J48" s="208"/>
      <c r="K48" s="208" t="s">
        <v>372</v>
      </c>
      <c r="L48" s="164"/>
      <c r="M48" s="164"/>
      <c r="N48" s="164"/>
      <c r="O48" s="227" t="s">
        <v>168</v>
      </c>
      <c r="P48" s="206"/>
      <c r="Q48" s="205"/>
    </row>
    <row r="49" spans="1:17" s="95" customFormat="1" ht="29.4" customHeight="1">
      <c r="A49" s="200">
        <v>20231129</v>
      </c>
      <c r="B49" s="201" t="s">
        <v>216</v>
      </c>
      <c r="C49" s="200">
        <v>1</v>
      </c>
      <c r="D49" s="122" t="s">
        <v>265</v>
      </c>
      <c r="E49" s="200" t="s">
        <v>360</v>
      </c>
      <c r="F49" s="200" t="s">
        <v>361</v>
      </c>
      <c r="G49" s="200" t="s">
        <v>362</v>
      </c>
      <c r="H49" s="200">
        <v>1</v>
      </c>
      <c r="I49" s="122" t="s">
        <v>391</v>
      </c>
      <c r="J49" s="200"/>
      <c r="K49" s="200"/>
      <c r="L49" s="164"/>
      <c r="M49" s="164"/>
      <c r="N49" s="164"/>
      <c r="O49" s="202"/>
      <c r="P49" s="203"/>
      <c r="Q49" s="204"/>
    </row>
    <row r="50" spans="1:17" s="190" customFormat="1" ht="27.75" customHeight="1">
      <c r="A50" s="208" t="s">
        <v>537</v>
      </c>
      <c r="B50" s="208" t="s">
        <v>182</v>
      </c>
      <c r="C50" s="208">
        <v>1</v>
      </c>
      <c r="D50" s="208" t="s">
        <v>513</v>
      </c>
      <c r="E50" s="208" t="s">
        <v>349</v>
      </c>
      <c r="F50" s="208" t="s">
        <v>350</v>
      </c>
      <c r="G50" s="208" t="s">
        <v>351</v>
      </c>
      <c r="H50" s="208">
        <v>105</v>
      </c>
      <c r="I50" s="209" t="s">
        <v>399</v>
      </c>
      <c r="J50" s="208" t="s">
        <v>536</v>
      </c>
      <c r="K50" s="208">
        <v>20231124</v>
      </c>
      <c r="L50" s="164"/>
      <c r="M50" s="164"/>
      <c r="N50" s="164"/>
      <c r="O50" s="227" t="s">
        <v>426</v>
      </c>
      <c r="P50" s="206"/>
      <c r="Q50" s="205"/>
    </row>
    <row r="51" spans="1:17" s="95" customFormat="1" ht="29.4" customHeight="1">
      <c r="A51" s="308">
        <v>20231129</v>
      </c>
      <c r="B51" s="127" t="s">
        <v>169</v>
      </c>
      <c r="C51" s="121">
        <v>1</v>
      </c>
      <c r="D51" s="129" t="s">
        <v>255</v>
      </c>
      <c r="E51" s="129" t="s">
        <v>206</v>
      </c>
      <c r="F51" s="130" t="s">
        <v>204</v>
      </c>
      <c r="G51" s="129" t="s">
        <v>205</v>
      </c>
      <c r="H51" s="129" t="s">
        <v>207</v>
      </c>
      <c r="I51" s="112" t="s">
        <v>194</v>
      </c>
      <c r="J51" s="129" t="s">
        <v>396</v>
      </c>
      <c r="K51" s="129">
        <v>20231116</v>
      </c>
      <c r="L51" s="164"/>
      <c r="M51" s="164"/>
      <c r="N51" s="164"/>
      <c r="O51" s="225" t="s">
        <v>208</v>
      </c>
      <c r="P51" s="131"/>
      <c r="Q51" s="207"/>
    </row>
    <row r="52" spans="1:17" s="190" customFormat="1" ht="27.75" customHeight="1">
      <c r="A52" s="192">
        <v>20231129</v>
      </c>
      <c r="B52" s="192" t="s">
        <v>170</v>
      </c>
      <c r="C52" s="192" t="s">
        <v>334</v>
      </c>
      <c r="D52" s="192" t="s">
        <v>392</v>
      </c>
      <c r="E52" s="192" t="s">
        <v>337</v>
      </c>
      <c r="F52" s="192" t="s">
        <v>338</v>
      </c>
      <c r="G52" s="192" t="s">
        <v>336</v>
      </c>
      <c r="H52" s="192">
        <v>99</v>
      </c>
      <c r="I52" s="167" t="s">
        <v>397</v>
      </c>
      <c r="J52" s="192" t="s">
        <v>398</v>
      </c>
      <c r="K52" s="192">
        <v>20231123</v>
      </c>
      <c r="L52" s="164"/>
      <c r="M52" s="164"/>
      <c r="N52" s="164"/>
      <c r="O52" s="213" t="s">
        <v>166</v>
      </c>
      <c r="P52" s="194"/>
      <c r="Q52" s="195"/>
    </row>
    <row r="53" spans="1:17" s="95" customFormat="1" ht="29.4" customHeight="1">
      <c r="A53" s="323">
        <v>20231130</v>
      </c>
      <c r="B53" s="219" t="s">
        <v>169</v>
      </c>
      <c r="C53" s="220">
        <v>1</v>
      </c>
      <c r="D53" s="224" t="s">
        <v>420</v>
      </c>
      <c r="E53" s="220" t="s">
        <v>421</v>
      </c>
      <c r="F53" s="221" t="s">
        <v>422</v>
      </c>
      <c r="G53" s="220" t="s">
        <v>423</v>
      </c>
      <c r="H53" s="220">
        <v>420</v>
      </c>
      <c r="I53" s="112" t="s">
        <v>194</v>
      </c>
      <c r="J53" s="220"/>
      <c r="K53" s="220">
        <v>20231128</v>
      </c>
      <c r="L53" s="266"/>
      <c r="M53" s="266"/>
      <c r="N53" s="266"/>
      <c r="O53" s="226" t="s">
        <v>424</v>
      </c>
      <c r="P53" s="222"/>
      <c r="Q53" s="223"/>
    </row>
    <row r="54" spans="1:17" s="190" customFormat="1" ht="27.75" customHeight="1">
      <c r="A54" s="290" t="s">
        <v>573</v>
      </c>
      <c r="B54" s="291" t="s">
        <v>170</v>
      </c>
      <c r="C54" s="291" t="s">
        <v>352</v>
      </c>
      <c r="D54" s="293" t="s">
        <v>521</v>
      </c>
      <c r="E54" s="291" t="s">
        <v>518</v>
      </c>
      <c r="F54" s="291" t="s">
        <v>519</v>
      </c>
      <c r="G54" s="291" t="s">
        <v>520</v>
      </c>
      <c r="H54" s="291" t="s">
        <v>522</v>
      </c>
      <c r="I54" s="294" t="s">
        <v>523</v>
      </c>
      <c r="J54" s="291"/>
      <c r="K54" s="291" t="s">
        <v>524</v>
      </c>
      <c r="L54" s="95"/>
      <c r="M54" s="164"/>
      <c r="N54" s="164"/>
      <c r="O54" s="292" t="s">
        <v>525</v>
      </c>
      <c r="P54" s="288"/>
      <c r="Q54" s="289"/>
    </row>
    <row r="55" spans="1:17" s="190" customFormat="1" ht="27.75" customHeight="1">
      <c r="A55" s="283" t="s">
        <v>574</v>
      </c>
      <c r="B55" s="283" t="s">
        <v>182</v>
      </c>
      <c r="C55" s="283">
        <v>1</v>
      </c>
      <c r="D55" s="287" t="s">
        <v>401</v>
      </c>
      <c r="E55" s="283" t="s">
        <v>363</v>
      </c>
      <c r="F55" s="283">
        <v>5017002503</v>
      </c>
      <c r="G55" s="283" t="s">
        <v>364</v>
      </c>
      <c r="H55" s="283">
        <v>10</v>
      </c>
      <c r="I55" s="209" t="s">
        <v>394</v>
      </c>
      <c r="J55" s="283"/>
      <c r="K55" s="283">
        <v>20231127</v>
      </c>
      <c r="L55" s="164"/>
      <c r="M55" s="164"/>
      <c r="N55" s="164"/>
      <c r="O55" s="284" t="s">
        <v>365</v>
      </c>
      <c r="P55" s="285"/>
      <c r="Q55" s="286"/>
    </row>
    <row r="56" spans="1:17" s="190" customFormat="1" ht="27.75" customHeight="1">
      <c r="A56" s="311" t="s">
        <v>575</v>
      </c>
      <c r="B56" s="283" t="s">
        <v>182</v>
      </c>
      <c r="C56" s="311" t="s">
        <v>553</v>
      </c>
      <c r="D56" s="312" t="s">
        <v>545</v>
      </c>
      <c r="E56" s="311" t="s">
        <v>544</v>
      </c>
      <c r="F56" s="311" t="s">
        <v>542</v>
      </c>
      <c r="G56" s="311" t="s">
        <v>543</v>
      </c>
      <c r="H56" s="311" t="s">
        <v>546</v>
      </c>
      <c r="I56" s="316" t="s">
        <v>209</v>
      </c>
      <c r="J56" s="312" t="s">
        <v>550</v>
      </c>
      <c r="K56" s="311" t="s">
        <v>548</v>
      </c>
      <c r="L56" s="164"/>
      <c r="M56" s="164"/>
      <c r="N56" s="164"/>
      <c r="O56" s="313" t="s">
        <v>549</v>
      </c>
      <c r="P56" s="314"/>
      <c r="Q56" s="315"/>
    </row>
    <row r="57" spans="1:17" s="132" customFormat="1" ht="30" customHeight="1">
      <c r="A57" s="332">
        <v>20231201</v>
      </c>
      <c r="B57" s="310" t="s">
        <v>578</v>
      </c>
      <c r="C57" s="310">
        <v>1</v>
      </c>
      <c r="D57" s="310" t="s">
        <v>579</v>
      </c>
      <c r="E57" s="310" t="s">
        <v>580</v>
      </c>
      <c r="F57" s="310" t="s">
        <v>581</v>
      </c>
      <c r="G57" s="310" t="s">
        <v>582</v>
      </c>
      <c r="H57" s="310">
        <v>150</v>
      </c>
      <c r="I57" s="310" t="s">
        <v>583</v>
      </c>
      <c r="J57" s="331" t="s">
        <v>612</v>
      </c>
      <c r="K57" s="310">
        <v>20231129</v>
      </c>
      <c r="L57" s="266"/>
      <c r="M57" s="266"/>
      <c r="N57" s="266"/>
      <c r="O57" s="304" t="s">
        <v>535</v>
      </c>
      <c r="P57" s="270"/>
      <c r="Q57" s="140"/>
    </row>
    <row r="58" spans="1:17" s="95" customFormat="1" ht="29.4" customHeight="1">
      <c r="A58" s="300">
        <v>20231201</v>
      </c>
      <c r="B58" s="300" t="s">
        <v>169</v>
      </c>
      <c r="C58" s="301">
        <v>1</v>
      </c>
      <c r="D58" s="302" t="s">
        <v>585</v>
      </c>
      <c r="E58" s="301" t="s">
        <v>586</v>
      </c>
      <c r="F58" s="303" t="s">
        <v>540</v>
      </c>
      <c r="G58" s="301" t="s">
        <v>541</v>
      </c>
      <c r="H58" s="301">
        <v>50</v>
      </c>
      <c r="I58" s="307" t="s">
        <v>587</v>
      </c>
      <c r="J58" s="301"/>
      <c r="K58" s="301">
        <v>20231129</v>
      </c>
      <c r="M58" s="164"/>
      <c r="N58" s="164"/>
      <c r="O58" s="134" t="s">
        <v>584</v>
      </c>
      <c r="P58" s="305"/>
      <c r="Q58" s="306"/>
    </row>
    <row r="59" spans="1:17" s="95" customFormat="1" ht="29.4" customHeight="1">
      <c r="A59" s="300">
        <v>20231201</v>
      </c>
      <c r="B59" s="300" t="s">
        <v>169</v>
      </c>
      <c r="C59" s="301">
        <v>2</v>
      </c>
      <c r="D59" s="302" t="s">
        <v>530</v>
      </c>
      <c r="E59" s="301" t="s">
        <v>531</v>
      </c>
      <c r="F59" s="303" t="s">
        <v>532</v>
      </c>
      <c r="G59" s="301" t="s">
        <v>533</v>
      </c>
      <c r="H59" s="301">
        <v>120</v>
      </c>
      <c r="I59" s="307" t="s">
        <v>534</v>
      </c>
      <c r="J59" s="301"/>
      <c r="K59" s="301">
        <v>20231129</v>
      </c>
      <c r="L59" s="164"/>
      <c r="M59" s="164"/>
      <c r="N59" s="164"/>
      <c r="O59" s="304" t="s">
        <v>535</v>
      </c>
      <c r="P59" s="305"/>
      <c r="Q59" s="306"/>
    </row>
    <row r="60" spans="1:17" s="190" customFormat="1" ht="27.75" customHeight="1">
      <c r="A60" s="317">
        <v>20231201</v>
      </c>
      <c r="B60" s="215" t="s">
        <v>170</v>
      </c>
      <c r="C60" s="215" t="s">
        <v>555</v>
      </c>
      <c r="D60" s="192" t="s">
        <v>392</v>
      </c>
      <c r="E60" s="215" t="s">
        <v>415</v>
      </c>
      <c r="F60" s="215" t="s">
        <v>416</v>
      </c>
      <c r="G60" s="215" t="s">
        <v>417</v>
      </c>
      <c r="H60" s="215" t="s">
        <v>418</v>
      </c>
      <c r="I60" s="167" t="s">
        <v>393</v>
      </c>
      <c r="J60" s="215" t="s">
        <v>613</v>
      </c>
      <c r="K60" s="215" t="s">
        <v>514</v>
      </c>
      <c r="L60" s="266"/>
      <c r="M60" s="266"/>
      <c r="N60" s="266"/>
      <c r="O60" s="216" t="s">
        <v>419</v>
      </c>
      <c r="P60" s="217"/>
      <c r="Q60" s="218"/>
    </row>
    <row r="61" spans="1:17" s="190" customFormat="1" ht="27.75" customHeight="1">
      <c r="A61" s="317">
        <v>20231201</v>
      </c>
      <c r="B61" s="317" t="s">
        <v>170</v>
      </c>
      <c r="C61" s="317" t="s">
        <v>334</v>
      </c>
      <c r="D61" s="318" t="s">
        <v>561</v>
      </c>
      <c r="E61" s="317" t="s">
        <v>562</v>
      </c>
      <c r="F61" s="317" t="s">
        <v>560</v>
      </c>
      <c r="G61" s="318" t="s">
        <v>563</v>
      </c>
      <c r="H61" s="317" t="s">
        <v>564</v>
      </c>
      <c r="I61" s="294" t="s">
        <v>222</v>
      </c>
      <c r="J61" s="317"/>
      <c r="K61" s="317" t="s">
        <v>565</v>
      </c>
      <c r="L61" s="95"/>
      <c r="M61" s="164"/>
      <c r="N61" s="164"/>
      <c r="O61" s="319" t="s">
        <v>566</v>
      </c>
      <c r="P61" s="320"/>
      <c r="Q61" s="321"/>
    </row>
    <row r="62" spans="1:17" s="190" customFormat="1" ht="27.75" customHeight="1">
      <c r="A62" s="317">
        <v>20231201</v>
      </c>
      <c r="B62" s="317" t="s">
        <v>170</v>
      </c>
      <c r="C62" s="317" t="s">
        <v>333</v>
      </c>
      <c r="D62" s="318" t="s">
        <v>567</v>
      </c>
      <c r="E62" s="317" t="s">
        <v>568</v>
      </c>
      <c r="F62" s="317" t="s">
        <v>569</v>
      </c>
      <c r="G62" s="318" t="s">
        <v>570</v>
      </c>
      <c r="H62" s="317" t="s">
        <v>571</v>
      </c>
      <c r="I62" s="294" t="s">
        <v>222</v>
      </c>
      <c r="J62" s="322" t="s">
        <v>572</v>
      </c>
      <c r="K62" s="317" t="s">
        <v>607</v>
      </c>
      <c r="L62" s="164"/>
      <c r="M62" s="164"/>
      <c r="N62" s="164"/>
      <c r="O62" s="319" t="s">
        <v>608</v>
      </c>
      <c r="P62" s="320"/>
      <c r="Q62" s="321"/>
    </row>
    <row r="63" spans="1:17" s="190" customFormat="1" ht="27.75" customHeight="1">
      <c r="A63" s="283">
        <v>20231201</v>
      </c>
      <c r="B63" s="283" t="s">
        <v>182</v>
      </c>
      <c r="C63" s="311" t="s">
        <v>334</v>
      </c>
      <c r="D63" s="312" t="s">
        <v>545</v>
      </c>
      <c r="E63" s="311" t="s">
        <v>552</v>
      </c>
      <c r="F63" s="311" t="s">
        <v>551</v>
      </c>
      <c r="G63" s="311" t="s">
        <v>554</v>
      </c>
      <c r="H63" s="311" t="s">
        <v>547</v>
      </c>
      <c r="I63" s="316" t="s">
        <v>209</v>
      </c>
      <c r="J63" s="312" t="s">
        <v>550</v>
      </c>
      <c r="K63" s="311" t="s">
        <v>548</v>
      </c>
      <c r="L63" s="164"/>
      <c r="M63" s="164"/>
      <c r="N63" s="164"/>
      <c r="O63" s="313" t="s">
        <v>549</v>
      </c>
      <c r="P63" s="320"/>
      <c r="Q63" s="315"/>
    </row>
    <row r="64" spans="1:17" s="110" customFormat="1" ht="28.5" customHeight="1">
      <c r="A64" s="336">
        <v>20231204</v>
      </c>
      <c r="B64" s="310" t="s">
        <v>576</v>
      </c>
      <c r="C64" s="310">
        <v>1</v>
      </c>
      <c r="D64" s="331" t="s">
        <v>200</v>
      </c>
      <c r="E64" s="310" t="s">
        <v>616</v>
      </c>
      <c r="F64" s="310" t="s">
        <v>614</v>
      </c>
      <c r="G64" s="310" t="s">
        <v>615</v>
      </c>
      <c r="H64" s="310">
        <v>210</v>
      </c>
      <c r="I64" s="331" t="s">
        <v>617</v>
      </c>
      <c r="J64" s="331" t="s">
        <v>618</v>
      </c>
      <c r="K64" s="310">
        <v>20231201</v>
      </c>
      <c r="L64" s="266"/>
      <c r="M64" s="266"/>
      <c r="N64" s="266"/>
      <c r="O64" s="324" t="s">
        <v>309</v>
      </c>
      <c r="P64" s="333"/>
      <c r="Q64" s="334"/>
    </row>
    <row r="65" spans="1:17" s="190" customFormat="1" ht="27.75" customHeight="1">
      <c r="A65" s="215" t="s">
        <v>662</v>
      </c>
      <c r="B65" s="215" t="s">
        <v>170</v>
      </c>
      <c r="C65" s="215" t="s">
        <v>625</v>
      </c>
      <c r="D65" s="215" t="s">
        <v>593</v>
      </c>
      <c r="E65" s="215" t="s">
        <v>594</v>
      </c>
      <c r="F65" s="215" t="s">
        <v>595</v>
      </c>
      <c r="G65" s="215" t="s">
        <v>596</v>
      </c>
      <c r="H65" s="215">
        <v>2</v>
      </c>
      <c r="I65" s="215" t="s">
        <v>597</v>
      </c>
      <c r="J65" s="215"/>
      <c r="K65" s="215">
        <v>20231130</v>
      </c>
      <c r="L65" s="95"/>
      <c r="M65" s="164"/>
      <c r="N65" s="164"/>
      <c r="O65" s="134" t="s">
        <v>599</v>
      </c>
      <c r="P65" s="217"/>
      <c r="Q65" s="218"/>
    </row>
    <row r="66" spans="1:17" s="110" customFormat="1" ht="28.5" customHeight="1">
      <c r="A66" s="372">
        <v>20231204</v>
      </c>
      <c r="B66" s="310" t="s">
        <v>576</v>
      </c>
      <c r="C66" s="348">
        <v>2</v>
      </c>
      <c r="D66" s="349" t="s">
        <v>635</v>
      </c>
      <c r="E66" s="348" t="s">
        <v>639</v>
      </c>
      <c r="F66" s="347" t="s">
        <v>638</v>
      </c>
      <c r="G66" s="348" t="s">
        <v>640</v>
      </c>
      <c r="H66" s="348">
        <v>107</v>
      </c>
      <c r="I66" s="331" t="s">
        <v>346</v>
      </c>
      <c r="J66" s="349" t="s">
        <v>660</v>
      </c>
      <c r="K66" s="348">
        <v>20231201</v>
      </c>
      <c r="L66" s="164"/>
      <c r="M66" s="164"/>
      <c r="N66" s="164"/>
      <c r="O66" s="350" t="s">
        <v>641</v>
      </c>
      <c r="P66" s="351"/>
      <c r="Q66" s="371" t="s">
        <v>661</v>
      </c>
    </row>
    <row r="67" spans="1:17" s="190" customFormat="1" ht="27.75" customHeight="1">
      <c r="A67" s="283" t="s">
        <v>662</v>
      </c>
      <c r="B67" s="283" t="s">
        <v>182</v>
      </c>
      <c r="C67" s="283" t="s">
        <v>622</v>
      </c>
      <c r="D67" s="283" t="s">
        <v>601</v>
      </c>
      <c r="E67" s="283" t="s">
        <v>602</v>
      </c>
      <c r="F67" s="283" t="s">
        <v>600</v>
      </c>
      <c r="G67" s="283" t="s">
        <v>624</v>
      </c>
      <c r="H67" s="283" t="s">
        <v>603</v>
      </c>
      <c r="I67" s="283" t="s">
        <v>222</v>
      </c>
      <c r="J67" s="356" t="s">
        <v>642</v>
      </c>
      <c r="K67" s="283" t="s">
        <v>605</v>
      </c>
      <c r="L67" s="266"/>
      <c r="M67" s="266"/>
      <c r="N67" s="266"/>
      <c r="O67" s="328" t="s">
        <v>606</v>
      </c>
      <c r="P67" s="329"/>
      <c r="Q67" s="330"/>
    </row>
    <row r="68" spans="1:17" s="190" customFormat="1" ht="27.75" customHeight="1">
      <c r="A68" s="283" t="s">
        <v>662</v>
      </c>
      <c r="B68" s="283" t="s">
        <v>182</v>
      </c>
      <c r="C68" s="283" t="s">
        <v>352</v>
      </c>
      <c r="D68" s="283" t="s">
        <v>601</v>
      </c>
      <c r="E68" s="283" t="s">
        <v>609</v>
      </c>
      <c r="F68" s="283" t="s">
        <v>610</v>
      </c>
      <c r="G68" s="283" t="s">
        <v>623</v>
      </c>
      <c r="H68" s="283" t="s">
        <v>611</v>
      </c>
      <c r="I68" s="283" t="s">
        <v>222</v>
      </c>
      <c r="J68" s="337" t="s">
        <v>604</v>
      </c>
      <c r="K68" s="283" t="s">
        <v>573</v>
      </c>
      <c r="L68" s="266"/>
      <c r="M68" s="266"/>
      <c r="N68" s="266"/>
      <c r="O68" s="328" t="s">
        <v>166</v>
      </c>
      <c r="P68" s="329"/>
      <c r="Q68" s="330"/>
    </row>
    <row r="69" spans="1:17" s="110" customFormat="1" ht="28.5" customHeight="1">
      <c r="A69" s="395">
        <v>20231205</v>
      </c>
      <c r="B69" s="365" t="s">
        <v>576</v>
      </c>
      <c r="C69" s="365">
        <v>1</v>
      </c>
      <c r="D69" s="366" t="s">
        <v>669</v>
      </c>
      <c r="E69" s="365" t="s">
        <v>670</v>
      </c>
      <c r="F69" s="367" t="s">
        <v>644</v>
      </c>
      <c r="G69" s="365" t="s">
        <v>671</v>
      </c>
      <c r="H69" s="365">
        <v>264</v>
      </c>
      <c r="I69" s="366" t="s">
        <v>672</v>
      </c>
      <c r="J69" s="366" t="s">
        <v>703</v>
      </c>
      <c r="K69" s="365">
        <v>20231201</v>
      </c>
      <c r="L69" s="95"/>
      <c r="M69" s="164"/>
      <c r="N69" s="164"/>
      <c r="O69" s="368" t="s">
        <v>673</v>
      </c>
      <c r="P69" s="369"/>
      <c r="Q69" s="370"/>
    </row>
    <row r="70" spans="1:17" s="110" customFormat="1" ht="28.5" customHeight="1">
      <c r="A70" s="395">
        <v>20231205</v>
      </c>
      <c r="B70" s="96" t="s">
        <v>169</v>
      </c>
      <c r="C70" s="96">
        <v>1</v>
      </c>
      <c r="D70" s="335" t="s">
        <v>200</v>
      </c>
      <c r="E70" s="96" t="s">
        <v>620</v>
      </c>
      <c r="F70" s="96" t="s">
        <v>619</v>
      </c>
      <c r="G70" s="96" t="s">
        <v>621</v>
      </c>
      <c r="H70" s="96">
        <v>207</v>
      </c>
      <c r="I70" s="335" t="s">
        <v>617</v>
      </c>
      <c r="J70" s="96"/>
      <c r="K70" s="96">
        <v>20231201</v>
      </c>
      <c r="L70" s="164"/>
      <c r="M70" s="164"/>
      <c r="N70" s="164"/>
      <c r="O70" s="328" t="s">
        <v>168</v>
      </c>
      <c r="P70" s="333"/>
      <c r="Q70" s="334"/>
    </row>
    <row r="71" spans="1:17" s="190" customFormat="1" ht="27.75" customHeight="1">
      <c r="A71" s="395">
        <v>20231205</v>
      </c>
      <c r="B71" s="215" t="s">
        <v>170</v>
      </c>
      <c r="C71" s="352" t="s">
        <v>403</v>
      </c>
      <c r="D71" s="355" t="s">
        <v>635</v>
      </c>
      <c r="E71" s="352" t="s">
        <v>636</v>
      </c>
      <c r="F71" s="352" t="s">
        <v>632</v>
      </c>
      <c r="G71" s="352" t="s">
        <v>633</v>
      </c>
      <c r="H71" s="352" t="s">
        <v>634</v>
      </c>
      <c r="I71" s="355" t="s">
        <v>209</v>
      </c>
      <c r="J71" s="357" t="s">
        <v>643</v>
      </c>
      <c r="K71" s="352" t="s">
        <v>637</v>
      </c>
      <c r="L71" s="266"/>
      <c r="M71" s="266"/>
      <c r="N71" s="266"/>
      <c r="O71" s="134" t="s">
        <v>166</v>
      </c>
      <c r="P71" s="353"/>
      <c r="Q71" s="354"/>
    </row>
    <row r="72" spans="1:17" s="190" customFormat="1" ht="27.75" customHeight="1">
      <c r="A72" s="395">
        <v>20231205</v>
      </c>
      <c r="B72" s="215" t="s">
        <v>170</v>
      </c>
      <c r="C72" s="352" t="s">
        <v>404</v>
      </c>
      <c r="D72" s="355" t="s">
        <v>313</v>
      </c>
      <c r="E72" s="352" t="s">
        <v>649</v>
      </c>
      <c r="F72" s="352" t="s">
        <v>647</v>
      </c>
      <c r="G72" s="352" t="s">
        <v>648</v>
      </c>
      <c r="H72" s="352" t="s">
        <v>675</v>
      </c>
      <c r="I72" s="355" t="s">
        <v>209</v>
      </c>
      <c r="J72" s="357"/>
      <c r="K72" s="352" t="s">
        <v>676</v>
      </c>
      <c r="L72" s="95"/>
      <c r="M72" s="164"/>
      <c r="N72" s="164"/>
      <c r="O72" s="134" t="s">
        <v>677</v>
      </c>
      <c r="P72" s="353"/>
      <c r="Q72" s="354"/>
    </row>
    <row r="73" spans="1:17" s="95" customFormat="1" ht="30" customHeight="1">
      <c r="A73" s="395">
        <v>20231205</v>
      </c>
      <c r="B73" s="134" t="s">
        <v>181</v>
      </c>
      <c r="C73" s="135">
        <v>2</v>
      </c>
      <c r="D73" s="182" t="s">
        <v>663</v>
      </c>
      <c r="E73" s="137" t="s">
        <v>664</v>
      </c>
      <c r="F73" s="137" t="s">
        <v>665</v>
      </c>
      <c r="G73" s="137" t="s">
        <v>666</v>
      </c>
      <c r="H73" s="137">
        <v>13</v>
      </c>
      <c r="I73" s="183" t="s">
        <v>667</v>
      </c>
      <c r="J73" s="138"/>
      <c r="K73" s="680">
        <v>20231204</v>
      </c>
      <c r="L73" s="164"/>
      <c r="M73" s="164"/>
      <c r="N73" s="164"/>
      <c r="O73" s="134" t="s">
        <v>668</v>
      </c>
      <c r="P73" s="139"/>
      <c r="Q73" s="140"/>
    </row>
    <row r="74" spans="1:17" s="110" customFormat="1" ht="28.5" customHeight="1">
      <c r="A74" s="395">
        <v>20231205</v>
      </c>
      <c r="B74" s="365" t="s">
        <v>576</v>
      </c>
      <c r="C74" s="365">
        <v>2</v>
      </c>
      <c r="D74" s="366" t="s">
        <v>650</v>
      </c>
      <c r="E74" s="365" t="s">
        <v>651</v>
      </c>
      <c r="F74" s="367" t="s">
        <v>652</v>
      </c>
      <c r="G74" s="365" t="s">
        <v>656</v>
      </c>
      <c r="H74" s="365">
        <v>98</v>
      </c>
      <c r="I74" s="366" t="s">
        <v>653</v>
      </c>
      <c r="J74" s="366" t="s">
        <v>654</v>
      </c>
      <c r="K74" s="365">
        <v>20231201</v>
      </c>
      <c r="L74" s="164"/>
      <c r="M74" s="164"/>
      <c r="N74" s="164"/>
      <c r="O74" s="368" t="s">
        <v>655</v>
      </c>
      <c r="P74" s="369"/>
      <c r="Q74" s="370"/>
    </row>
    <row r="75" spans="1:17" s="110" customFormat="1" ht="28.5" customHeight="1">
      <c r="A75" s="122">
        <v>20231206</v>
      </c>
      <c r="B75" s="122" t="s">
        <v>588</v>
      </c>
      <c r="C75" s="122">
        <v>1</v>
      </c>
      <c r="D75" s="327" t="s">
        <v>589</v>
      </c>
      <c r="E75" s="122" t="s">
        <v>590</v>
      </c>
      <c r="F75" s="122">
        <v>6014002502</v>
      </c>
      <c r="G75" s="122" t="s">
        <v>591</v>
      </c>
      <c r="H75" s="122">
        <v>10</v>
      </c>
      <c r="I75" s="327" t="s">
        <v>645</v>
      </c>
      <c r="J75" s="122"/>
      <c r="K75" s="122">
        <v>20231130</v>
      </c>
      <c r="L75" s="266"/>
      <c r="M75" s="266"/>
      <c r="N75" s="266"/>
      <c r="O75" s="324" t="s">
        <v>592</v>
      </c>
      <c r="P75" s="325"/>
      <c r="Q75" s="326"/>
    </row>
    <row r="76" spans="1:17" s="110" customFormat="1" ht="28.5" customHeight="1">
      <c r="A76" s="338">
        <v>20231206</v>
      </c>
      <c r="B76" s="339" t="s">
        <v>169</v>
      </c>
      <c r="C76" s="339">
        <v>2</v>
      </c>
      <c r="D76" s="340" t="s">
        <v>629</v>
      </c>
      <c r="E76" s="339" t="s">
        <v>628</v>
      </c>
      <c r="F76" s="339" t="s">
        <v>626</v>
      </c>
      <c r="G76" s="339" t="s">
        <v>627</v>
      </c>
      <c r="H76" s="339" t="s">
        <v>630</v>
      </c>
      <c r="I76" s="335" t="s">
        <v>617</v>
      </c>
      <c r="J76" s="339" t="s">
        <v>646</v>
      </c>
      <c r="K76" s="96">
        <v>20231201</v>
      </c>
      <c r="L76" s="95"/>
      <c r="M76" s="164"/>
      <c r="N76" s="164"/>
      <c r="O76" s="341" t="s">
        <v>631</v>
      </c>
      <c r="P76" s="342"/>
      <c r="Q76" s="343"/>
    </row>
    <row r="77" spans="1:17" s="190" customFormat="1" ht="27.75" customHeight="1">
      <c r="A77" s="215" t="s">
        <v>720</v>
      </c>
      <c r="B77" s="215" t="s">
        <v>170</v>
      </c>
      <c r="C77" s="215" t="s">
        <v>403</v>
      </c>
      <c r="D77" s="215" t="s">
        <v>593</v>
      </c>
      <c r="E77" s="215" t="s">
        <v>598</v>
      </c>
      <c r="F77" s="215" t="s">
        <v>595</v>
      </c>
      <c r="G77" s="215" t="s">
        <v>596</v>
      </c>
      <c r="H77" s="215">
        <v>3</v>
      </c>
      <c r="I77" s="215" t="s">
        <v>523</v>
      </c>
      <c r="J77" s="215"/>
      <c r="K77" s="215">
        <v>20231130</v>
      </c>
      <c r="L77" s="266"/>
      <c r="M77" s="266"/>
      <c r="N77" s="266"/>
      <c r="O77" s="134" t="s">
        <v>168</v>
      </c>
      <c r="P77" s="217"/>
      <c r="Q77" s="218"/>
    </row>
    <row r="78" spans="1:17" s="190" customFormat="1" ht="27.75" customHeight="1">
      <c r="A78" s="389" t="s">
        <v>720</v>
      </c>
      <c r="B78" s="389" t="s">
        <v>170</v>
      </c>
      <c r="C78" s="389"/>
      <c r="D78" s="390" t="s">
        <v>695</v>
      </c>
      <c r="E78" s="389" t="s">
        <v>696</v>
      </c>
      <c r="F78" s="389" t="s">
        <v>697</v>
      </c>
      <c r="G78" s="390" t="s">
        <v>698</v>
      </c>
      <c r="H78" s="389" t="s">
        <v>699</v>
      </c>
      <c r="I78" s="215" t="s">
        <v>222</v>
      </c>
      <c r="J78" s="391" t="s">
        <v>702</v>
      </c>
      <c r="K78" s="389" t="s">
        <v>700</v>
      </c>
      <c r="L78" s="95"/>
      <c r="M78" s="164"/>
      <c r="N78" s="164"/>
      <c r="O78" s="392" t="s">
        <v>701</v>
      </c>
      <c r="P78" s="393"/>
      <c r="Q78" s="394"/>
    </row>
    <row r="79" spans="1:17" s="190" customFormat="1" ht="27.75" customHeight="1">
      <c r="A79" s="364" t="s">
        <v>720</v>
      </c>
      <c r="B79" s="283" t="s">
        <v>755</v>
      </c>
      <c r="C79" s="358" t="s">
        <v>674</v>
      </c>
      <c r="D79" s="362" t="s">
        <v>200</v>
      </c>
      <c r="E79" s="358" t="s">
        <v>658</v>
      </c>
      <c r="F79" s="358" t="s">
        <v>657</v>
      </c>
      <c r="G79" s="358" t="s">
        <v>659</v>
      </c>
      <c r="H79" s="358">
        <v>53</v>
      </c>
      <c r="I79" s="363" t="s">
        <v>446</v>
      </c>
      <c r="J79" s="359"/>
      <c r="K79" s="358">
        <v>20231201</v>
      </c>
      <c r="L79" s="164"/>
      <c r="M79" s="164"/>
      <c r="N79" s="164"/>
      <c r="O79" s="328" t="s">
        <v>673</v>
      </c>
      <c r="P79" s="360"/>
      <c r="Q79" s="361"/>
    </row>
    <row r="80" spans="1:17" s="190" customFormat="1" ht="27.75" customHeight="1">
      <c r="A80" s="381" t="s">
        <v>720</v>
      </c>
      <c r="B80" s="382" t="s">
        <v>182</v>
      </c>
      <c r="C80" s="382" t="s">
        <v>687</v>
      </c>
      <c r="D80" s="383" t="s">
        <v>688</v>
      </c>
      <c r="E80" s="382" t="s">
        <v>689</v>
      </c>
      <c r="F80" s="382" t="s">
        <v>690</v>
      </c>
      <c r="G80" s="382" t="s">
        <v>691</v>
      </c>
      <c r="H80" s="382" t="s">
        <v>687</v>
      </c>
      <c r="I80" s="384" t="s">
        <v>692</v>
      </c>
      <c r="J80" s="385"/>
      <c r="K80" s="382" t="s">
        <v>693</v>
      </c>
      <c r="L80" s="266"/>
      <c r="M80" s="266"/>
      <c r="N80" s="266"/>
      <c r="O80" s="386" t="s">
        <v>694</v>
      </c>
      <c r="P80" s="387"/>
      <c r="Q80" s="388"/>
    </row>
    <row r="81" spans="1:17" s="95" customFormat="1" ht="30" customHeight="1">
      <c r="A81" s="396" t="s">
        <v>720</v>
      </c>
      <c r="B81" s="397" t="s">
        <v>181</v>
      </c>
      <c r="C81" s="398">
        <v>3</v>
      </c>
      <c r="D81" s="375" t="s">
        <v>679</v>
      </c>
      <c r="E81" s="399" t="s">
        <v>708</v>
      </c>
      <c r="F81" s="399" t="s">
        <v>709</v>
      </c>
      <c r="G81" s="399" t="s">
        <v>710</v>
      </c>
      <c r="H81" s="399">
        <v>10</v>
      </c>
      <c r="I81" s="376" t="s">
        <v>684</v>
      </c>
      <c r="J81" s="400"/>
      <c r="K81" s="681">
        <v>20231205</v>
      </c>
      <c r="M81" s="164"/>
      <c r="N81" s="164"/>
      <c r="O81" s="397" t="s">
        <v>711</v>
      </c>
      <c r="P81" s="401"/>
      <c r="Q81" s="402"/>
    </row>
    <row r="82" spans="1:17" s="409" customFormat="1" ht="27.75" customHeight="1">
      <c r="A82" s="403" t="s">
        <v>812</v>
      </c>
      <c r="B82" s="403" t="s">
        <v>170</v>
      </c>
      <c r="C82" s="403"/>
      <c r="D82" s="404" t="s">
        <v>712</v>
      </c>
      <c r="E82" s="403" t="s">
        <v>713</v>
      </c>
      <c r="F82" s="403" t="s">
        <v>714</v>
      </c>
      <c r="G82" s="404" t="s">
        <v>719</v>
      </c>
      <c r="H82" s="403" t="s">
        <v>715</v>
      </c>
      <c r="I82" s="405" t="s">
        <v>222</v>
      </c>
      <c r="J82" s="404" t="s">
        <v>718</v>
      </c>
      <c r="K82" s="403" t="s">
        <v>716</v>
      </c>
      <c r="L82" s="164"/>
      <c r="M82" s="164"/>
      <c r="N82" s="164"/>
      <c r="O82" s="406" t="s">
        <v>717</v>
      </c>
      <c r="P82" s="407"/>
      <c r="Q82" s="408"/>
    </row>
    <row r="83" spans="1:17" s="87" customFormat="1" ht="30" customHeight="1">
      <c r="A83" s="310">
        <v>20231207</v>
      </c>
      <c r="B83" s="310" t="s">
        <v>577</v>
      </c>
      <c r="C83" s="422" t="s">
        <v>785</v>
      </c>
      <c r="D83" s="310" t="s">
        <v>663</v>
      </c>
      <c r="E83" s="310" t="s">
        <v>721</v>
      </c>
      <c r="F83" s="310" t="s">
        <v>722</v>
      </c>
      <c r="G83" s="310" t="s">
        <v>811</v>
      </c>
      <c r="H83" s="310">
        <v>300</v>
      </c>
      <c r="I83" s="310" t="s">
        <v>222</v>
      </c>
      <c r="J83" s="310"/>
      <c r="K83" s="310">
        <v>20231206</v>
      </c>
      <c r="L83" s="164"/>
      <c r="M83" s="164"/>
      <c r="N83" s="164"/>
      <c r="O83" s="418" t="s">
        <v>803</v>
      </c>
      <c r="P83" s="94"/>
      <c r="Q83" s="88"/>
    </row>
    <row r="84" spans="1:17" s="87" customFormat="1" ht="30" customHeight="1">
      <c r="A84" s="310">
        <v>20231207</v>
      </c>
      <c r="B84" s="310" t="s">
        <v>577</v>
      </c>
      <c r="C84" s="422" t="s">
        <v>784</v>
      </c>
      <c r="D84" s="310" t="s">
        <v>663</v>
      </c>
      <c r="E84" s="310" t="s">
        <v>723</v>
      </c>
      <c r="F84" s="310" t="s">
        <v>724</v>
      </c>
      <c r="G84" s="445" t="s">
        <v>810</v>
      </c>
      <c r="H84" s="310">
        <v>21</v>
      </c>
      <c r="I84" s="310" t="s">
        <v>222</v>
      </c>
      <c r="J84" s="310"/>
      <c r="K84" s="310">
        <v>20231206</v>
      </c>
      <c r="L84" s="266"/>
      <c r="M84" s="266"/>
      <c r="N84" s="266"/>
      <c r="O84" s="418" t="s">
        <v>804</v>
      </c>
      <c r="P84" s="89"/>
      <c r="Q84" s="88"/>
    </row>
    <row r="85" spans="1:17" s="87" customFormat="1" ht="30" customHeight="1">
      <c r="A85" s="439">
        <v>20231207</v>
      </c>
      <c r="B85" s="442" t="s">
        <v>576</v>
      </c>
      <c r="C85" s="423" t="s">
        <v>786</v>
      </c>
      <c r="D85" s="443" t="s">
        <v>750</v>
      </c>
      <c r="E85" s="439" t="s">
        <v>751</v>
      </c>
      <c r="F85" s="439" t="s">
        <v>752</v>
      </c>
      <c r="G85" s="439" t="s">
        <v>753</v>
      </c>
      <c r="H85" s="439">
        <v>100</v>
      </c>
      <c r="I85" s="444" t="s">
        <v>754</v>
      </c>
      <c r="J85" s="439"/>
      <c r="K85" s="439">
        <v>20231206</v>
      </c>
      <c r="L85" s="95"/>
      <c r="M85" s="164"/>
      <c r="N85" s="164"/>
      <c r="O85" s="418" t="s">
        <v>805</v>
      </c>
      <c r="P85" s="412"/>
      <c r="Q85" s="413"/>
    </row>
    <row r="86" spans="1:17" s="425" customFormat="1" ht="27.75" customHeight="1">
      <c r="A86" s="424" t="s">
        <v>813</v>
      </c>
      <c r="B86" s="424" t="s">
        <v>733</v>
      </c>
      <c r="C86" s="424" t="s">
        <v>247</v>
      </c>
      <c r="D86" s="424" t="s">
        <v>448</v>
      </c>
      <c r="E86" s="424" t="s">
        <v>734</v>
      </c>
      <c r="F86" s="424" t="s">
        <v>735</v>
      </c>
      <c r="G86" s="424" t="s">
        <v>736</v>
      </c>
      <c r="H86" s="424" t="s">
        <v>737</v>
      </c>
      <c r="I86" s="424" t="s">
        <v>738</v>
      </c>
      <c r="J86" s="357" t="s">
        <v>793</v>
      </c>
      <c r="K86" s="424" t="s">
        <v>739</v>
      </c>
      <c r="L86" s="164"/>
      <c r="M86" s="164"/>
      <c r="N86" s="164"/>
      <c r="O86" s="426" t="s">
        <v>166</v>
      </c>
      <c r="P86" s="429"/>
      <c r="Q86" s="430"/>
    </row>
    <row r="87" spans="1:17" s="425" customFormat="1" ht="27.75" customHeight="1">
      <c r="A87" s="424" t="s">
        <v>814</v>
      </c>
      <c r="B87" s="424" t="s">
        <v>733</v>
      </c>
      <c r="C87" s="424" t="s">
        <v>740</v>
      </c>
      <c r="D87" s="424" t="s">
        <v>448</v>
      </c>
      <c r="E87" s="424" t="s">
        <v>741</v>
      </c>
      <c r="F87" s="424" t="s">
        <v>742</v>
      </c>
      <c r="G87" s="424" t="s">
        <v>743</v>
      </c>
      <c r="H87" s="424" t="s">
        <v>737</v>
      </c>
      <c r="I87" s="424" t="s">
        <v>738</v>
      </c>
      <c r="J87" s="357" t="s">
        <v>793</v>
      </c>
      <c r="K87" s="424" t="s">
        <v>732</v>
      </c>
      <c r="L87" s="95"/>
      <c r="M87" s="164"/>
      <c r="N87" s="164"/>
      <c r="O87" s="426" t="s">
        <v>166</v>
      </c>
      <c r="P87" s="429"/>
      <c r="Q87" s="430"/>
    </row>
    <row r="88" spans="1:17" s="95" customFormat="1" ht="30" customHeight="1">
      <c r="A88" s="133" t="s">
        <v>812</v>
      </c>
      <c r="B88" s="134" t="s">
        <v>181</v>
      </c>
      <c r="C88" s="135">
        <v>2</v>
      </c>
      <c r="D88" s="375" t="s">
        <v>679</v>
      </c>
      <c r="E88" s="137" t="s">
        <v>704</v>
      </c>
      <c r="F88" s="137" t="s">
        <v>705</v>
      </c>
      <c r="G88" s="137" t="s">
        <v>706</v>
      </c>
      <c r="H88" s="137">
        <v>10</v>
      </c>
      <c r="I88" s="376" t="s">
        <v>684</v>
      </c>
      <c r="J88" s="138"/>
      <c r="K88" s="680">
        <v>20231205</v>
      </c>
      <c r="M88" s="164"/>
      <c r="N88" s="164"/>
      <c r="O88" s="134" t="s">
        <v>707</v>
      </c>
      <c r="P88" s="139"/>
      <c r="Q88" s="140"/>
    </row>
    <row r="89" spans="1:17" s="87" customFormat="1" ht="30" customHeight="1">
      <c r="A89" s="96">
        <v>20231207</v>
      </c>
      <c r="B89" s="96" t="s">
        <v>169</v>
      </c>
      <c r="C89" s="96">
        <v>1</v>
      </c>
      <c r="D89" s="335" t="s">
        <v>635</v>
      </c>
      <c r="E89" s="96" t="s">
        <v>639</v>
      </c>
      <c r="F89" s="438" t="s">
        <v>806</v>
      </c>
      <c r="G89" s="96" t="s">
        <v>640</v>
      </c>
      <c r="H89" s="96">
        <v>193</v>
      </c>
      <c r="I89" s="335" t="s">
        <v>807</v>
      </c>
      <c r="J89" s="96"/>
      <c r="K89" s="96">
        <v>20231206</v>
      </c>
      <c r="L89" s="164"/>
      <c r="M89" s="164"/>
      <c r="N89" s="164"/>
      <c r="O89" s="418" t="s">
        <v>808</v>
      </c>
      <c r="P89" s="436"/>
      <c r="Q89" s="437"/>
    </row>
    <row r="90" spans="1:17" s="87" customFormat="1" ht="30" customHeight="1">
      <c r="A90" s="310">
        <v>20231208</v>
      </c>
      <c r="B90" s="309" t="s">
        <v>577</v>
      </c>
      <c r="C90" s="309">
        <v>1</v>
      </c>
      <c r="D90" s="309" t="s">
        <v>201</v>
      </c>
      <c r="E90" s="309" t="s">
        <v>841</v>
      </c>
      <c r="F90" s="309" t="s">
        <v>838</v>
      </c>
      <c r="G90" s="309" t="s">
        <v>839</v>
      </c>
      <c r="H90" s="309">
        <v>102</v>
      </c>
      <c r="I90" s="309" t="s">
        <v>222</v>
      </c>
      <c r="J90" s="309"/>
      <c r="K90" s="310">
        <v>20231207</v>
      </c>
      <c r="L90" s="266"/>
      <c r="M90" s="266"/>
      <c r="N90" s="266"/>
      <c r="O90" s="468" t="s">
        <v>837</v>
      </c>
      <c r="P90" s="469"/>
      <c r="Q90" s="470"/>
    </row>
    <row r="91" spans="1:17" s="425" customFormat="1" ht="27.75" customHeight="1">
      <c r="A91" s="310">
        <v>20231208</v>
      </c>
      <c r="B91" s="424" t="s">
        <v>157</v>
      </c>
      <c r="C91" s="424" t="s">
        <v>726</v>
      </c>
      <c r="D91" s="424" t="s">
        <v>727</v>
      </c>
      <c r="E91" s="424" t="s">
        <v>728</v>
      </c>
      <c r="F91" s="424" t="s">
        <v>729</v>
      </c>
      <c r="G91" s="424" t="s">
        <v>794</v>
      </c>
      <c r="H91" s="424" t="s">
        <v>730</v>
      </c>
      <c r="I91" s="424" t="s">
        <v>731</v>
      </c>
      <c r="J91" s="357" t="s">
        <v>793</v>
      </c>
      <c r="K91" s="424" t="s">
        <v>732</v>
      </c>
      <c r="L91" s="95"/>
      <c r="M91" s="164"/>
      <c r="N91" s="164"/>
      <c r="O91" s="426" t="s">
        <v>166</v>
      </c>
      <c r="P91" s="427"/>
      <c r="Q91" s="428"/>
    </row>
    <row r="92" spans="1:17" s="378" customFormat="1" ht="27.75" customHeight="1">
      <c r="A92" s="310">
        <v>20231208</v>
      </c>
      <c r="B92" s="417" t="s">
        <v>170</v>
      </c>
      <c r="C92" s="417" t="s">
        <v>831</v>
      </c>
      <c r="D92" s="421" t="s">
        <v>767</v>
      </c>
      <c r="E92" s="417" t="s">
        <v>779</v>
      </c>
      <c r="F92" s="417" t="s">
        <v>776</v>
      </c>
      <c r="G92" s="421" t="s">
        <v>777</v>
      </c>
      <c r="H92" s="417" t="s">
        <v>778</v>
      </c>
      <c r="I92" s="352" t="s">
        <v>222</v>
      </c>
      <c r="J92" s="417"/>
      <c r="K92" s="417" t="s">
        <v>770</v>
      </c>
      <c r="L92" s="164"/>
      <c r="M92" s="164"/>
      <c r="N92" s="164"/>
      <c r="O92" s="418" t="s">
        <v>771</v>
      </c>
      <c r="P92" s="419"/>
      <c r="Q92" s="420"/>
    </row>
    <row r="93" spans="1:17" s="378" customFormat="1" ht="27.75" customHeight="1">
      <c r="A93" s="310">
        <v>20231208</v>
      </c>
      <c r="B93" s="417" t="s">
        <v>170</v>
      </c>
      <c r="C93" s="417" t="s">
        <v>832</v>
      </c>
      <c r="D93" s="421" t="s">
        <v>767</v>
      </c>
      <c r="E93" s="417" t="s">
        <v>783</v>
      </c>
      <c r="F93" s="417" t="s">
        <v>780</v>
      </c>
      <c r="G93" s="421" t="s">
        <v>781</v>
      </c>
      <c r="H93" s="417" t="s">
        <v>782</v>
      </c>
      <c r="I93" s="352" t="s">
        <v>222</v>
      </c>
      <c r="J93" s="417"/>
      <c r="K93" s="417" t="s">
        <v>770</v>
      </c>
      <c r="L93" s="164"/>
      <c r="M93" s="164"/>
      <c r="N93" s="164"/>
      <c r="O93" s="418" t="s">
        <v>771</v>
      </c>
      <c r="P93" s="419"/>
      <c r="Q93" s="420"/>
    </row>
    <row r="94" spans="1:17" s="378" customFormat="1" ht="27.75" customHeight="1">
      <c r="A94" s="310">
        <v>20231208</v>
      </c>
      <c r="B94" s="417" t="s">
        <v>170</v>
      </c>
      <c r="C94" s="417"/>
      <c r="D94" s="421" t="s">
        <v>796</v>
      </c>
      <c r="E94" s="417" t="s">
        <v>797</v>
      </c>
      <c r="F94" s="417" t="s">
        <v>798</v>
      </c>
      <c r="G94" s="421" t="s">
        <v>799</v>
      </c>
      <c r="H94" s="417" t="s">
        <v>800</v>
      </c>
      <c r="I94" s="352" t="s">
        <v>222</v>
      </c>
      <c r="J94" s="417"/>
      <c r="K94" s="417" t="s">
        <v>801</v>
      </c>
      <c r="L94" s="266"/>
      <c r="M94" s="266"/>
      <c r="N94" s="266"/>
      <c r="O94" s="418" t="s">
        <v>802</v>
      </c>
      <c r="P94" s="419"/>
      <c r="Q94" s="420"/>
    </row>
    <row r="95" spans="1:17" s="378" customFormat="1" ht="27.75" customHeight="1">
      <c r="A95" s="310">
        <v>20231208</v>
      </c>
      <c r="B95" s="283" t="s">
        <v>182</v>
      </c>
      <c r="C95" s="283" t="s">
        <v>756</v>
      </c>
      <c r="D95" s="287" t="s">
        <v>757</v>
      </c>
      <c r="E95" s="283" t="s">
        <v>758</v>
      </c>
      <c r="F95" s="283" t="s">
        <v>759</v>
      </c>
      <c r="G95" s="283" t="s">
        <v>760</v>
      </c>
      <c r="H95" s="283" t="s">
        <v>761</v>
      </c>
      <c r="I95" s="287" t="s">
        <v>221</v>
      </c>
      <c r="J95" s="283"/>
      <c r="K95" s="283" t="s">
        <v>764</v>
      </c>
      <c r="L95" s="95"/>
      <c r="M95" s="164"/>
      <c r="N95" s="164"/>
      <c r="O95" s="415" t="s">
        <v>765</v>
      </c>
      <c r="P95" s="416"/>
      <c r="Q95" s="414"/>
    </row>
    <row r="96" spans="1:17" s="378" customFormat="1" ht="27.75" customHeight="1">
      <c r="A96" s="310">
        <v>20231208</v>
      </c>
      <c r="B96" s="374" t="s">
        <v>181</v>
      </c>
      <c r="C96" s="374" t="s">
        <v>678</v>
      </c>
      <c r="D96" s="375" t="s">
        <v>679</v>
      </c>
      <c r="E96" s="374" t="s">
        <v>680</v>
      </c>
      <c r="F96" s="374" t="s">
        <v>681</v>
      </c>
      <c r="G96" s="374" t="s">
        <v>682</v>
      </c>
      <c r="H96" s="374" t="s">
        <v>683</v>
      </c>
      <c r="I96" s="376" t="s">
        <v>754</v>
      </c>
      <c r="J96" s="377"/>
      <c r="K96" s="374" t="s">
        <v>685</v>
      </c>
      <c r="L96" s="266"/>
      <c r="M96" s="266"/>
      <c r="N96" s="266"/>
      <c r="O96" s="379" t="s">
        <v>686</v>
      </c>
      <c r="P96" s="380"/>
      <c r="Q96" s="373"/>
    </row>
    <row r="97" spans="1:17" s="425" customFormat="1" ht="27.75" customHeight="1">
      <c r="A97" s="431" t="s">
        <v>862</v>
      </c>
      <c r="B97" s="431" t="s">
        <v>170</v>
      </c>
      <c r="C97" s="431" t="s">
        <v>334</v>
      </c>
      <c r="D97" s="432" t="s">
        <v>787</v>
      </c>
      <c r="E97" s="431" t="s">
        <v>788</v>
      </c>
      <c r="F97" s="431" t="s">
        <v>789</v>
      </c>
      <c r="G97" s="432" t="s">
        <v>795</v>
      </c>
      <c r="H97" s="431" t="s">
        <v>790</v>
      </c>
      <c r="I97" s="424" t="s">
        <v>222</v>
      </c>
      <c r="J97" s="357" t="s">
        <v>793</v>
      </c>
      <c r="K97" s="431" t="s">
        <v>791</v>
      </c>
      <c r="L97" s="95"/>
      <c r="M97" s="164"/>
      <c r="N97" s="164"/>
      <c r="O97" s="433" t="s">
        <v>792</v>
      </c>
      <c r="P97" s="434"/>
      <c r="Q97" s="435"/>
    </row>
    <row r="98" spans="1:17" s="425" customFormat="1" ht="27.75" customHeight="1">
      <c r="A98" s="458" t="s">
        <v>862</v>
      </c>
      <c r="B98" s="458" t="s">
        <v>170</v>
      </c>
      <c r="C98" s="458" t="s">
        <v>740</v>
      </c>
      <c r="D98" s="424" t="s">
        <v>727</v>
      </c>
      <c r="E98" s="458" t="s">
        <v>826</v>
      </c>
      <c r="F98" s="458" t="s">
        <v>827</v>
      </c>
      <c r="G98" s="459" t="s">
        <v>828</v>
      </c>
      <c r="H98" s="458" t="s">
        <v>829</v>
      </c>
      <c r="I98" s="424" t="s">
        <v>222</v>
      </c>
      <c r="J98" s="357" t="s">
        <v>793</v>
      </c>
      <c r="K98" s="447" t="s">
        <v>819</v>
      </c>
      <c r="L98" s="164"/>
      <c r="M98" s="164"/>
      <c r="N98" s="164"/>
      <c r="O98" s="460" t="s">
        <v>830</v>
      </c>
      <c r="P98" s="461"/>
      <c r="Q98" s="462"/>
    </row>
    <row r="99" spans="1:17" s="378" customFormat="1" ht="27.75" customHeight="1">
      <c r="A99" s="417" t="s">
        <v>862</v>
      </c>
      <c r="B99" s="417" t="s">
        <v>170</v>
      </c>
      <c r="C99" s="417" t="s">
        <v>357</v>
      </c>
      <c r="D99" s="421" t="s">
        <v>767</v>
      </c>
      <c r="E99" s="417" t="s">
        <v>775</v>
      </c>
      <c r="F99" s="417" t="s">
        <v>772</v>
      </c>
      <c r="G99" s="421" t="s">
        <v>773</v>
      </c>
      <c r="H99" s="417" t="s">
        <v>774</v>
      </c>
      <c r="I99" s="352" t="s">
        <v>222</v>
      </c>
      <c r="J99" s="417"/>
      <c r="K99" s="417" t="s">
        <v>770</v>
      </c>
      <c r="L99" s="266"/>
      <c r="M99" s="266"/>
      <c r="N99" s="266"/>
      <c r="O99" s="418" t="s">
        <v>771</v>
      </c>
      <c r="P99" s="419"/>
      <c r="Q99" s="420"/>
    </row>
    <row r="100" spans="1:17" s="425" customFormat="1" ht="27.75" customHeight="1">
      <c r="A100" s="310">
        <v>20231211</v>
      </c>
      <c r="B100" s="310" t="s">
        <v>576</v>
      </c>
      <c r="C100" s="310">
        <v>1</v>
      </c>
      <c r="D100" s="310" t="s">
        <v>863</v>
      </c>
      <c r="E100" s="310" t="s">
        <v>864</v>
      </c>
      <c r="F100" s="310" t="s">
        <v>865</v>
      </c>
      <c r="G100" s="310" t="s">
        <v>866</v>
      </c>
      <c r="H100" s="310">
        <v>10</v>
      </c>
      <c r="I100" s="310" t="s">
        <v>867</v>
      </c>
      <c r="J100" s="310" t="s">
        <v>871</v>
      </c>
      <c r="K100" s="310">
        <v>20231208</v>
      </c>
      <c r="L100" s="95"/>
      <c r="M100" s="164"/>
      <c r="N100" s="164"/>
      <c r="O100" s="418" t="s">
        <v>846</v>
      </c>
      <c r="P100" s="434"/>
      <c r="Q100" s="435"/>
    </row>
    <row r="101" spans="1:17" s="425" customFormat="1" ht="27.75" customHeight="1">
      <c r="A101" s="310">
        <v>20231211</v>
      </c>
      <c r="B101" s="310" t="s">
        <v>576</v>
      </c>
      <c r="C101" s="310">
        <v>2</v>
      </c>
      <c r="D101" s="310" t="s">
        <v>863</v>
      </c>
      <c r="E101" s="310" t="s">
        <v>868</v>
      </c>
      <c r="F101" s="310" t="s">
        <v>869</v>
      </c>
      <c r="G101" s="310" t="s">
        <v>870</v>
      </c>
      <c r="H101" s="310">
        <v>10</v>
      </c>
      <c r="I101" s="310" t="s">
        <v>867</v>
      </c>
      <c r="J101" s="310" t="s">
        <v>872</v>
      </c>
      <c r="K101" s="310">
        <v>20231208</v>
      </c>
      <c r="L101" s="164"/>
      <c r="M101" s="164"/>
      <c r="N101" s="164"/>
      <c r="O101" s="418" t="s">
        <v>846</v>
      </c>
      <c r="P101" s="434"/>
      <c r="Q101" s="435"/>
    </row>
    <row r="102" spans="1:17" s="425" customFormat="1" ht="27.75" customHeight="1">
      <c r="A102" s="310">
        <v>20231211</v>
      </c>
      <c r="B102" s="310" t="s">
        <v>576</v>
      </c>
      <c r="C102" s="477">
        <v>3</v>
      </c>
      <c r="D102" s="310" t="s">
        <v>863</v>
      </c>
      <c r="E102" s="477" t="s">
        <v>884</v>
      </c>
      <c r="F102" s="477" t="s">
        <v>883</v>
      </c>
      <c r="G102" s="477" t="s">
        <v>885</v>
      </c>
      <c r="H102" s="310">
        <v>10</v>
      </c>
      <c r="I102" s="310" t="s">
        <v>867</v>
      </c>
      <c r="J102" s="310" t="s">
        <v>882</v>
      </c>
      <c r="K102" s="310">
        <v>20231208</v>
      </c>
      <c r="L102" s="164"/>
      <c r="M102" s="164"/>
      <c r="N102" s="164"/>
      <c r="O102" s="418" t="s">
        <v>606</v>
      </c>
      <c r="P102" s="479"/>
      <c r="Q102" s="476"/>
    </row>
    <row r="103" spans="1:17" s="425" customFormat="1" ht="27.75" customHeight="1">
      <c r="A103" s="310">
        <v>20231211</v>
      </c>
      <c r="B103" s="477" t="s">
        <v>576</v>
      </c>
      <c r="C103" s="477">
        <v>4</v>
      </c>
      <c r="D103" s="477" t="s">
        <v>515</v>
      </c>
      <c r="E103" s="477" t="s">
        <v>516</v>
      </c>
      <c r="F103" s="477" t="s">
        <v>171</v>
      </c>
      <c r="G103" s="477" t="s">
        <v>172</v>
      </c>
      <c r="H103" s="477">
        <v>10</v>
      </c>
      <c r="I103" s="477" t="s">
        <v>517</v>
      </c>
      <c r="J103" s="477" t="s">
        <v>539</v>
      </c>
      <c r="K103" s="310">
        <v>20231208</v>
      </c>
      <c r="L103" s="266"/>
      <c r="M103" s="266"/>
      <c r="N103" s="266"/>
      <c r="O103" s="478" t="s">
        <v>881</v>
      </c>
      <c r="P103" s="479"/>
      <c r="Q103" s="476"/>
    </row>
    <row r="104" spans="1:17" s="425" customFormat="1" ht="27.75" customHeight="1">
      <c r="A104" s="481">
        <v>20231211</v>
      </c>
      <c r="B104" s="481" t="s">
        <v>576</v>
      </c>
      <c r="C104" s="481"/>
      <c r="D104" s="477" t="s">
        <v>395</v>
      </c>
      <c r="E104" s="481" t="s">
        <v>886</v>
      </c>
      <c r="F104" s="481" t="s">
        <v>887</v>
      </c>
      <c r="G104" s="484" t="s">
        <v>888</v>
      </c>
      <c r="H104" s="481">
        <v>10</v>
      </c>
      <c r="I104" s="477" t="s">
        <v>393</v>
      </c>
      <c r="J104" s="481"/>
      <c r="K104" s="481">
        <v>20231208</v>
      </c>
      <c r="L104" s="95"/>
      <c r="M104" s="164"/>
      <c r="N104" s="164"/>
      <c r="O104" s="482" t="s">
        <v>889</v>
      </c>
      <c r="P104" s="483"/>
      <c r="Q104" s="480"/>
    </row>
    <row r="105" spans="1:17" s="425" customFormat="1" ht="27.75" customHeight="1">
      <c r="A105" s="431" t="s">
        <v>890</v>
      </c>
      <c r="B105" s="431" t="s">
        <v>170</v>
      </c>
      <c r="C105" s="431" t="s">
        <v>854</v>
      </c>
      <c r="D105" s="432" t="s">
        <v>635</v>
      </c>
      <c r="E105" s="431" t="s">
        <v>849</v>
      </c>
      <c r="F105" s="431" t="s">
        <v>847</v>
      </c>
      <c r="G105" s="432" t="s">
        <v>848</v>
      </c>
      <c r="H105" s="431" t="s">
        <v>850</v>
      </c>
      <c r="I105" s="357" t="s">
        <v>851</v>
      </c>
      <c r="J105" s="357" t="s">
        <v>642</v>
      </c>
      <c r="K105" s="431" t="s">
        <v>852</v>
      </c>
      <c r="L105" s="164"/>
      <c r="M105" s="164"/>
      <c r="N105" s="164"/>
      <c r="O105" s="418" t="s">
        <v>853</v>
      </c>
      <c r="P105" s="434"/>
      <c r="Q105" s="435"/>
    </row>
    <row r="106" spans="1:17" s="425" customFormat="1" ht="27.75" customHeight="1">
      <c r="A106" s="447" t="s">
        <v>891</v>
      </c>
      <c r="B106" s="447" t="s">
        <v>170</v>
      </c>
      <c r="C106" s="447" t="s">
        <v>352</v>
      </c>
      <c r="D106" s="448" t="s">
        <v>815</v>
      </c>
      <c r="E106" s="447" t="s">
        <v>816</v>
      </c>
      <c r="F106" s="447" t="s">
        <v>817</v>
      </c>
      <c r="G106" s="448" t="s">
        <v>880</v>
      </c>
      <c r="H106" s="447" t="s">
        <v>818</v>
      </c>
      <c r="I106" s="424" t="s">
        <v>222</v>
      </c>
      <c r="J106" s="357" t="s">
        <v>793</v>
      </c>
      <c r="K106" s="447" t="s">
        <v>819</v>
      </c>
      <c r="L106" s="95"/>
      <c r="M106" s="164"/>
      <c r="N106" s="164"/>
      <c r="O106" s="475" t="s">
        <v>873</v>
      </c>
      <c r="P106" s="449"/>
      <c r="Q106" s="450"/>
    </row>
    <row r="107" spans="1:17" s="378" customFormat="1" ht="27.75" customHeight="1">
      <c r="A107" s="283" t="s">
        <v>892</v>
      </c>
      <c r="B107" s="283" t="s">
        <v>182</v>
      </c>
      <c r="C107" s="283" t="s">
        <v>334</v>
      </c>
      <c r="D107" s="287" t="s">
        <v>842</v>
      </c>
      <c r="E107" s="283" t="s">
        <v>843</v>
      </c>
      <c r="F107" s="283" t="s">
        <v>769</v>
      </c>
      <c r="G107" s="283" t="s">
        <v>768</v>
      </c>
      <c r="H107" s="283" t="s">
        <v>844</v>
      </c>
      <c r="I107" s="446" t="s">
        <v>222</v>
      </c>
      <c r="J107" s="283"/>
      <c r="K107" s="283" t="s">
        <v>845</v>
      </c>
      <c r="L107" s="266"/>
      <c r="M107" s="266"/>
      <c r="N107" s="266"/>
      <c r="O107" s="415" t="s">
        <v>846</v>
      </c>
      <c r="P107" s="416"/>
      <c r="Q107" s="414"/>
    </row>
    <row r="108" spans="1:17" s="87" customFormat="1" ht="30" customHeight="1">
      <c r="A108" s="646" t="s">
        <v>893</v>
      </c>
      <c r="B108" s="374" t="s">
        <v>181</v>
      </c>
      <c r="C108" s="457">
        <v>1</v>
      </c>
      <c r="D108" s="451" t="s">
        <v>200</v>
      </c>
      <c r="E108" s="101" t="s">
        <v>824</v>
      </c>
      <c r="F108" s="101" t="s">
        <v>823</v>
      </c>
      <c r="G108" s="101" t="s">
        <v>825</v>
      </c>
      <c r="H108" s="103">
        <v>2</v>
      </c>
      <c r="I108" s="456" t="s">
        <v>209</v>
      </c>
      <c r="J108" s="105"/>
      <c r="K108" s="682">
        <v>20231207</v>
      </c>
      <c r="L108" s="95"/>
      <c r="M108" s="164"/>
      <c r="N108" s="164"/>
      <c r="O108" s="379" t="s">
        <v>251</v>
      </c>
      <c r="P108" s="98"/>
      <c r="Q108" s="97"/>
    </row>
    <row r="109" spans="1:17" s="110" customFormat="1" ht="28.5" customHeight="1">
      <c r="A109" s="523">
        <v>20231212</v>
      </c>
      <c r="B109" s="122" t="s">
        <v>588</v>
      </c>
      <c r="C109" s="452">
        <v>1</v>
      </c>
      <c r="D109" s="344" t="s">
        <v>200</v>
      </c>
      <c r="E109" s="452" t="s">
        <v>821</v>
      </c>
      <c r="F109" s="452" t="s">
        <v>820</v>
      </c>
      <c r="G109" s="452" t="s">
        <v>822</v>
      </c>
      <c r="H109" s="452">
        <v>5</v>
      </c>
      <c r="I109" s="344" t="s">
        <v>851</v>
      </c>
      <c r="J109" s="453"/>
      <c r="K109" s="452">
        <v>20231207</v>
      </c>
      <c r="L109" s="266"/>
      <c r="M109" s="266"/>
      <c r="N109" s="266"/>
      <c r="O109" s="324" t="s">
        <v>592</v>
      </c>
      <c r="P109" s="454"/>
      <c r="Q109" s="455"/>
    </row>
    <row r="110" spans="1:17" s="498" customFormat="1" ht="28.5" customHeight="1">
      <c r="A110" s="524">
        <v>20231212</v>
      </c>
      <c r="B110" s="493" t="s">
        <v>216</v>
      </c>
      <c r="C110" s="507">
        <v>2</v>
      </c>
      <c r="D110" s="494" t="s">
        <v>914</v>
      </c>
      <c r="E110" s="493" t="s">
        <v>915</v>
      </c>
      <c r="F110" s="493" t="s">
        <v>916</v>
      </c>
      <c r="G110" s="493" t="s">
        <v>950</v>
      </c>
      <c r="H110" s="493">
        <v>1</v>
      </c>
      <c r="I110" s="494" t="s">
        <v>917</v>
      </c>
      <c r="J110" s="494" t="s">
        <v>918</v>
      </c>
      <c r="K110" s="493">
        <v>20231211</v>
      </c>
      <c r="L110" s="95"/>
      <c r="M110" s="164"/>
      <c r="N110" s="164"/>
      <c r="O110" s="495" t="s">
        <v>919</v>
      </c>
      <c r="P110" s="496"/>
      <c r="Q110" s="497"/>
    </row>
    <row r="111" spans="1:17" s="87" customFormat="1" ht="30" customHeight="1">
      <c r="A111" s="332">
        <v>20231212</v>
      </c>
      <c r="B111" s="310" t="s">
        <v>895</v>
      </c>
      <c r="C111" s="310">
        <v>1</v>
      </c>
      <c r="D111" s="310" t="s">
        <v>896</v>
      </c>
      <c r="E111" s="310" t="s">
        <v>897</v>
      </c>
      <c r="F111" s="310" t="s">
        <v>898</v>
      </c>
      <c r="G111" s="310" t="s">
        <v>899</v>
      </c>
      <c r="H111" s="310">
        <v>100</v>
      </c>
      <c r="I111" s="310" t="s">
        <v>900</v>
      </c>
      <c r="J111" s="310" t="s">
        <v>940</v>
      </c>
      <c r="K111" s="310">
        <v>20231211</v>
      </c>
      <c r="L111" s="164"/>
      <c r="M111" s="164"/>
      <c r="N111" s="164"/>
      <c r="O111" s="123" t="s">
        <v>894</v>
      </c>
      <c r="P111" s="125"/>
      <c r="Q111" s="126"/>
    </row>
    <row r="112" spans="1:17" s="87" customFormat="1" ht="30" customHeight="1">
      <c r="A112" s="525">
        <v>20231212</v>
      </c>
      <c r="B112" s="310" t="s">
        <v>577</v>
      </c>
      <c r="C112" s="521">
        <v>2</v>
      </c>
      <c r="D112" s="522" t="s">
        <v>954</v>
      </c>
      <c r="E112" s="521" t="s">
        <v>952</v>
      </c>
      <c r="F112" s="521" t="s">
        <v>951</v>
      </c>
      <c r="G112" s="521" t="s">
        <v>955</v>
      </c>
      <c r="H112" s="521">
        <v>104</v>
      </c>
      <c r="I112" s="522" t="s">
        <v>957</v>
      </c>
      <c r="J112" s="521"/>
      <c r="K112" s="521">
        <v>20231211</v>
      </c>
      <c r="L112" s="266"/>
      <c r="M112" s="266"/>
      <c r="N112" s="266"/>
      <c r="O112" s="123" t="s">
        <v>166</v>
      </c>
      <c r="P112" s="518"/>
      <c r="Q112" s="519"/>
    </row>
    <row r="113" spans="1:17" s="378" customFormat="1" ht="27.75" customHeight="1">
      <c r="A113" s="352" t="s">
        <v>958</v>
      </c>
      <c r="B113" s="352" t="s">
        <v>733</v>
      </c>
      <c r="C113" s="352" t="s">
        <v>403</v>
      </c>
      <c r="D113" s="352" t="s">
        <v>744</v>
      </c>
      <c r="E113" s="352" t="s">
        <v>745</v>
      </c>
      <c r="F113" s="352" t="s">
        <v>746</v>
      </c>
      <c r="G113" s="352" t="s">
        <v>947</v>
      </c>
      <c r="H113" s="352" t="s">
        <v>747</v>
      </c>
      <c r="I113" s="352" t="s">
        <v>748</v>
      </c>
      <c r="J113" s="352" t="s">
        <v>749</v>
      </c>
      <c r="K113" s="352" t="s">
        <v>725</v>
      </c>
      <c r="L113" s="95"/>
      <c r="M113" s="164"/>
      <c r="N113" s="164"/>
      <c r="O113" s="510"/>
      <c r="P113" s="410"/>
      <c r="Q113" s="411"/>
    </row>
    <row r="114" spans="1:17" s="378" customFormat="1" ht="27.75" customHeight="1">
      <c r="A114" s="471" t="s">
        <v>959</v>
      </c>
      <c r="B114" s="283" t="s">
        <v>182</v>
      </c>
      <c r="C114" s="471" t="s">
        <v>334</v>
      </c>
      <c r="D114" s="472" t="s">
        <v>858</v>
      </c>
      <c r="E114" s="471" t="s">
        <v>857</v>
      </c>
      <c r="F114" s="471" t="s">
        <v>855</v>
      </c>
      <c r="G114" s="471" t="s">
        <v>856</v>
      </c>
      <c r="H114" s="471" t="s">
        <v>859</v>
      </c>
      <c r="I114" s="384" t="s">
        <v>851</v>
      </c>
      <c r="J114" s="471"/>
      <c r="K114" s="471" t="s">
        <v>852</v>
      </c>
      <c r="L114" s="164"/>
      <c r="M114" s="164"/>
      <c r="N114" s="164"/>
      <c r="O114" s="514" t="s">
        <v>846</v>
      </c>
      <c r="P114" s="473"/>
      <c r="Q114" s="474"/>
    </row>
    <row r="115" spans="1:17" s="378" customFormat="1" ht="27.75" customHeight="1">
      <c r="A115" s="471" t="s">
        <v>960</v>
      </c>
      <c r="B115" s="283" t="s">
        <v>182</v>
      </c>
      <c r="C115" s="471" t="s">
        <v>333</v>
      </c>
      <c r="D115" s="472" t="s">
        <v>858</v>
      </c>
      <c r="E115" s="471" t="s">
        <v>861</v>
      </c>
      <c r="F115" s="471" t="s">
        <v>860</v>
      </c>
      <c r="G115" s="471" t="s">
        <v>856</v>
      </c>
      <c r="H115" s="471" t="s">
        <v>859</v>
      </c>
      <c r="I115" s="384" t="s">
        <v>851</v>
      </c>
      <c r="J115" s="471"/>
      <c r="K115" s="471" t="s">
        <v>852</v>
      </c>
      <c r="L115" s="164"/>
      <c r="M115" s="164"/>
      <c r="N115" s="164"/>
      <c r="O115" s="514" t="s">
        <v>846</v>
      </c>
      <c r="P115" s="473"/>
      <c r="Q115" s="474"/>
    </row>
    <row r="116" spans="1:17" s="425" customFormat="1" ht="27.75" customHeight="1">
      <c r="A116" s="485" t="s">
        <v>979</v>
      </c>
      <c r="B116" s="485" t="s">
        <v>170</v>
      </c>
      <c r="C116" s="485" t="s">
        <v>403</v>
      </c>
      <c r="D116" s="486" t="s">
        <v>901</v>
      </c>
      <c r="E116" s="485" t="s">
        <v>902</v>
      </c>
      <c r="F116" s="485" t="s">
        <v>903</v>
      </c>
      <c r="G116" s="485" t="s">
        <v>945</v>
      </c>
      <c r="H116" s="485" t="s">
        <v>904</v>
      </c>
      <c r="I116" s="424" t="s">
        <v>222</v>
      </c>
      <c r="J116" s="486" t="s">
        <v>905</v>
      </c>
      <c r="K116" s="485" t="s">
        <v>906</v>
      </c>
      <c r="L116" s="266"/>
      <c r="M116" s="266"/>
      <c r="N116" s="266"/>
      <c r="O116" s="511" t="s">
        <v>907</v>
      </c>
      <c r="P116" s="487"/>
      <c r="Q116" s="488"/>
    </row>
    <row r="117" spans="1:17" s="378" customFormat="1" ht="27.75" customHeight="1">
      <c r="A117" s="499" t="s">
        <v>980</v>
      </c>
      <c r="B117" s="499" t="s">
        <v>170</v>
      </c>
      <c r="C117" s="499" t="s">
        <v>740</v>
      </c>
      <c r="D117" s="500" t="s">
        <v>922</v>
      </c>
      <c r="E117" s="499" t="s">
        <v>923</v>
      </c>
      <c r="F117" s="499" t="s">
        <v>921</v>
      </c>
      <c r="G117" s="500" t="s">
        <v>948</v>
      </c>
      <c r="H117" s="499" t="s">
        <v>924</v>
      </c>
      <c r="I117" s="505" t="s">
        <v>222</v>
      </c>
      <c r="J117" s="500"/>
      <c r="K117" s="499" t="s">
        <v>925</v>
      </c>
      <c r="L117" s="95"/>
      <c r="M117" s="164"/>
      <c r="N117" s="164"/>
      <c r="O117" s="513" t="s">
        <v>926</v>
      </c>
      <c r="P117" s="501"/>
      <c r="Q117" s="502"/>
    </row>
    <row r="118" spans="1:17" s="378" customFormat="1" ht="27.75" customHeight="1">
      <c r="A118" s="515">
        <v>20231213</v>
      </c>
      <c r="B118" s="515" t="s">
        <v>181</v>
      </c>
      <c r="C118" s="515">
        <v>2</v>
      </c>
      <c r="D118" s="516" t="s">
        <v>928</v>
      </c>
      <c r="E118" s="515" t="s">
        <v>936</v>
      </c>
      <c r="F118" s="515" t="s">
        <v>937</v>
      </c>
      <c r="G118" s="515" t="s">
        <v>938</v>
      </c>
      <c r="H118" s="515">
        <v>1</v>
      </c>
      <c r="I118" s="516" t="s">
        <v>933</v>
      </c>
      <c r="J118" s="515"/>
      <c r="K118" s="515">
        <v>20231211</v>
      </c>
      <c r="L118" s="164"/>
      <c r="M118" s="164"/>
      <c r="N118" s="164"/>
      <c r="O118" s="517" t="s">
        <v>935</v>
      </c>
      <c r="P118" s="503"/>
      <c r="Q118" s="504"/>
    </row>
    <row r="119" spans="1:17" s="409" customFormat="1" ht="30" customHeight="1">
      <c r="A119" s="1055">
        <v>20231213</v>
      </c>
      <c r="B119" s="309" t="s">
        <v>973</v>
      </c>
      <c r="C119" s="309"/>
      <c r="D119" s="309" t="s">
        <v>974</v>
      </c>
      <c r="E119" s="309" t="s">
        <v>975</v>
      </c>
      <c r="F119" s="309" t="s">
        <v>976</v>
      </c>
      <c r="G119" s="309" t="s">
        <v>977</v>
      </c>
      <c r="H119" s="309">
        <v>52</v>
      </c>
      <c r="I119" s="309" t="s">
        <v>222</v>
      </c>
      <c r="J119" s="539" t="s">
        <v>978</v>
      </c>
      <c r="K119" s="310">
        <v>20231213</v>
      </c>
      <c r="L119" s="266"/>
      <c r="M119" s="266"/>
      <c r="N119" s="266"/>
      <c r="O119" s="536" t="s">
        <v>972</v>
      </c>
      <c r="P119" s="537"/>
      <c r="Q119" s="538"/>
    </row>
    <row r="120" spans="1:17" s="110" customFormat="1" ht="28.5" customHeight="1">
      <c r="A120" s="550">
        <v>20231214</v>
      </c>
      <c r="B120" s="122" t="s">
        <v>588</v>
      </c>
      <c r="C120" s="452">
        <v>1</v>
      </c>
      <c r="D120" s="464" t="s">
        <v>834</v>
      </c>
      <c r="E120" s="463" t="s">
        <v>833</v>
      </c>
      <c r="F120" s="463" t="s">
        <v>840</v>
      </c>
      <c r="G120" s="463" t="s">
        <v>835</v>
      </c>
      <c r="H120" s="463">
        <v>1</v>
      </c>
      <c r="I120" s="344" t="s">
        <v>209</v>
      </c>
      <c r="J120" s="464" t="s">
        <v>836</v>
      </c>
      <c r="K120" s="463">
        <v>20231207</v>
      </c>
      <c r="L120" s="95"/>
      <c r="M120" s="164"/>
      <c r="N120" s="164"/>
      <c r="O120" s="465" t="s">
        <v>939</v>
      </c>
      <c r="P120" s="466"/>
      <c r="Q120" s="467"/>
    </row>
    <row r="121" spans="1:17" s="425" customFormat="1" ht="27.75" customHeight="1">
      <c r="A121" s="489" t="s">
        <v>1012</v>
      </c>
      <c r="B121" s="489" t="s">
        <v>170</v>
      </c>
      <c r="C121" s="489" t="s">
        <v>981</v>
      </c>
      <c r="D121" s="490" t="s">
        <v>908</v>
      </c>
      <c r="E121" s="489" t="s">
        <v>909</v>
      </c>
      <c r="F121" s="489" t="s">
        <v>910</v>
      </c>
      <c r="G121" s="490" t="s">
        <v>946</v>
      </c>
      <c r="H121" s="489" t="s">
        <v>911</v>
      </c>
      <c r="I121" s="424" t="s">
        <v>222</v>
      </c>
      <c r="J121" s="490" t="s">
        <v>912</v>
      </c>
      <c r="K121" s="489" t="s">
        <v>913</v>
      </c>
      <c r="L121" s="266"/>
      <c r="M121" s="266"/>
      <c r="N121" s="266"/>
      <c r="O121" s="512" t="s">
        <v>927</v>
      </c>
      <c r="P121" s="491"/>
      <c r="Q121" s="492"/>
    </row>
    <row r="122" spans="1:17" s="378" customFormat="1" ht="27.75" customHeight="1">
      <c r="A122" s="531" t="s">
        <v>1013</v>
      </c>
      <c r="B122" s="531" t="s">
        <v>170</v>
      </c>
      <c r="C122" s="531" t="s">
        <v>983</v>
      </c>
      <c r="D122" s="532" t="s">
        <v>965</v>
      </c>
      <c r="E122" s="531" t="s">
        <v>966</v>
      </c>
      <c r="F122" s="531" t="s">
        <v>967</v>
      </c>
      <c r="G122" s="532" t="s">
        <v>968</v>
      </c>
      <c r="H122" s="531" t="s">
        <v>969</v>
      </c>
      <c r="I122" s="505" t="s">
        <v>222</v>
      </c>
      <c r="J122" s="532"/>
      <c r="K122" s="531" t="s">
        <v>970</v>
      </c>
      <c r="L122" s="95"/>
      <c r="M122" s="164"/>
      <c r="N122" s="164"/>
      <c r="O122" s="533" t="s">
        <v>971</v>
      </c>
      <c r="P122" s="534"/>
      <c r="Q122" s="535"/>
    </row>
    <row r="123" spans="1:17" s="378" customFormat="1" ht="27.75" customHeight="1">
      <c r="A123" s="545" t="s">
        <v>1014</v>
      </c>
      <c r="B123" s="545" t="s">
        <v>170</v>
      </c>
      <c r="C123" s="545"/>
      <c r="D123" s="546" t="s">
        <v>1002</v>
      </c>
      <c r="E123" s="545" t="s">
        <v>1003</v>
      </c>
      <c r="F123" s="545" t="s">
        <v>1001</v>
      </c>
      <c r="G123" s="546" t="s">
        <v>1004</v>
      </c>
      <c r="H123" s="545" t="s">
        <v>1005</v>
      </c>
      <c r="I123" s="505" t="s">
        <v>222</v>
      </c>
      <c r="J123" s="546"/>
      <c r="K123" s="545" t="s">
        <v>1006</v>
      </c>
      <c r="L123" s="164"/>
      <c r="M123" s="164"/>
      <c r="N123" s="164"/>
      <c r="O123" s="547" t="s">
        <v>1000</v>
      </c>
      <c r="P123" s="548"/>
      <c r="Q123" s="549"/>
    </row>
    <row r="124" spans="1:17" s="378" customFormat="1" ht="27.75" customHeight="1">
      <c r="A124" s="283" t="s">
        <v>1014</v>
      </c>
      <c r="B124" s="283" t="s">
        <v>182</v>
      </c>
      <c r="C124" s="283">
        <v>1</v>
      </c>
      <c r="D124" s="287" t="s">
        <v>992</v>
      </c>
      <c r="E124" s="283" t="s">
        <v>993</v>
      </c>
      <c r="F124" s="283" t="s">
        <v>920</v>
      </c>
      <c r="G124" s="283" t="s">
        <v>949</v>
      </c>
      <c r="H124" s="283">
        <v>1</v>
      </c>
      <c r="I124" s="446" t="s">
        <v>917</v>
      </c>
      <c r="J124" s="287" t="s">
        <v>918</v>
      </c>
      <c r="K124" s="283">
        <v>20231211</v>
      </c>
      <c r="L124" s="266"/>
      <c r="M124" s="266"/>
      <c r="N124" s="266"/>
      <c r="O124" s="514" t="s">
        <v>994</v>
      </c>
      <c r="P124" s="416"/>
      <c r="Q124" s="414"/>
    </row>
    <row r="125" spans="1:17" s="378" customFormat="1" ht="27.75" customHeight="1">
      <c r="A125" s="515">
        <v>20231214</v>
      </c>
      <c r="B125" s="515" t="s">
        <v>181</v>
      </c>
      <c r="C125" s="515">
        <v>1</v>
      </c>
      <c r="D125" s="516" t="s">
        <v>929</v>
      </c>
      <c r="E125" s="515" t="s">
        <v>930</v>
      </c>
      <c r="F125" s="515" t="s">
        <v>931</v>
      </c>
      <c r="G125" s="515" t="s">
        <v>932</v>
      </c>
      <c r="H125" s="515">
        <v>1</v>
      </c>
      <c r="I125" s="516" t="s">
        <v>933</v>
      </c>
      <c r="J125" s="515"/>
      <c r="K125" s="515">
        <v>20231211</v>
      </c>
      <c r="L125" s="95"/>
      <c r="M125" s="164"/>
      <c r="N125" s="164"/>
      <c r="O125" s="517" t="s">
        <v>934</v>
      </c>
      <c r="P125" s="503"/>
      <c r="Q125" s="504"/>
    </row>
    <row r="126" spans="1:17" s="425" customFormat="1" ht="27.75" customHeight="1">
      <c r="A126" s="540" t="s">
        <v>1013</v>
      </c>
      <c r="B126" s="540" t="s">
        <v>170</v>
      </c>
      <c r="C126" s="540" t="s">
        <v>982</v>
      </c>
      <c r="D126" s="490" t="s">
        <v>908</v>
      </c>
      <c r="E126" s="540" t="s">
        <v>984</v>
      </c>
      <c r="F126" s="540" t="s">
        <v>985</v>
      </c>
      <c r="G126" s="541" t="s">
        <v>986</v>
      </c>
      <c r="H126" s="540" t="s">
        <v>987</v>
      </c>
      <c r="I126" s="541" t="s">
        <v>988</v>
      </c>
      <c r="J126" s="541" t="s">
        <v>989</v>
      </c>
      <c r="K126" s="540" t="s">
        <v>990</v>
      </c>
      <c r="L126" s="164"/>
      <c r="M126" s="164"/>
      <c r="N126" s="164"/>
      <c r="O126" s="542" t="s">
        <v>991</v>
      </c>
      <c r="P126" s="543"/>
      <c r="Q126" s="544"/>
    </row>
    <row r="127" spans="1:17" s="87" customFormat="1" ht="30" customHeight="1">
      <c r="A127" s="332">
        <v>20231215</v>
      </c>
      <c r="B127" s="310" t="s">
        <v>1008</v>
      </c>
      <c r="C127" s="310">
        <v>1</v>
      </c>
      <c r="D127" s="310" t="s">
        <v>420</v>
      </c>
      <c r="E127" s="310" t="s">
        <v>1009</v>
      </c>
      <c r="F127" s="310" t="s">
        <v>1010</v>
      </c>
      <c r="G127" s="310" t="s">
        <v>1011</v>
      </c>
      <c r="H127" s="310">
        <v>300</v>
      </c>
      <c r="I127" s="310" t="s">
        <v>878</v>
      </c>
      <c r="J127" s="309"/>
      <c r="K127" s="310">
        <v>20231213</v>
      </c>
      <c r="L127" s="164"/>
      <c r="M127" s="164"/>
      <c r="N127" s="164"/>
      <c r="O127" s="123" t="s">
        <v>1007</v>
      </c>
      <c r="P127" s="125"/>
      <c r="Q127" s="126"/>
    </row>
    <row r="128" spans="1:17" s="87" customFormat="1" ht="30" customHeight="1">
      <c r="A128" s="578">
        <v>20231215</v>
      </c>
      <c r="B128" s="551" t="s">
        <v>576</v>
      </c>
      <c r="C128" s="551">
        <v>2</v>
      </c>
      <c r="D128" s="556" t="s">
        <v>1015</v>
      </c>
      <c r="E128" s="551" t="s">
        <v>1016</v>
      </c>
      <c r="F128" s="551" t="s">
        <v>1017</v>
      </c>
      <c r="G128" s="551" t="s">
        <v>1033</v>
      </c>
      <c r="H128" s="551">
        <v>6</v>
      </c>
      <c r="I128" s="557" t="s">
        <v>1018</v>
      </c>
      <c r="J128" s="552"/>
      <c r="K128" s="551">
        <v>20231214</v>
      </c>
      <c r="L128" s="266"/>
      <c r="M128" s="266"/>
      <c r="N128" s="266"/>
      <c r="O128" s="553" t="s">
        <v>1019</v>
      </c>
      <c r="P128" s="554"/>
      <c r="Q128" s="555"/>
    </row>
    <row r="129" spans="1:17" s="378" customFormat="1" ht="27.75" customHeight="1">
      <c r="A129" s="545" t="s">
        <v>1053</v>
      </c>
      <c r="B129" s="545" t="s">
        <v>170</v>
      </c>
      <c r="C129" s="545" t="s">
        <v>403</v>
      </c>
      <c r="D129" s="546" t="s">
        <v>995</v>
      </c>
      <c r="E129" s="545" t="s">
        <v>996</v>
      </c>
      <c r="F129" s="545" t="s">
        <v>997</v>
      </c>
      <c r="G129" s="546" t="s">
        <v>1036</v>
      </c>
      <c r="H129" s="545" t="s">
        <v>998</v>
      </c>
      <c r="I129" s="505" t="s">
        <v>222</v>
      </c>
      <c r="J129" s="546"/>
      <c r="K129" s="545" t="s">
        <v>999</v>
      </c>
      <c r="L129" s="95"/>
      <c r="M129" s="164"/>
      <c r="N129" s="164"/>
      <c r="O129" s="547" t="s">
        <v>1000</v>
      </c>
      <c r="P129" s="548"/>
      <c r="Q129" s="549"/>
    </row>
    <row r="130" spans="1:17" s="378" customFormat="1" ht="27.75" customHeight="1">
      <c r="A130" s="563" t="s">
        <v>1054</v>
      </c>
      <c r="B130" s="563" t="s">
        <v>170</v>
      </c>
      <c r="C130" s="563" t="s">
        <v>1034</v>
      </c>
      <c r="D130" s="564" t="s">
        <v>1027</v>
      </c>
      <c r="E130" s="563" t="s">
        <v>1028</v>
      </c>
      <c r="F130" s="563" t="s">
        <v>1029</v>
      </c>
      <c r="G130" s="564" t="s">
        <v>1035</v>
      </c>
      <c r="H130" s="563" t="s">
        <v>1030</v>
      </c>
      <c r="I130" s="505" t="s">
        <v>222</v>
      </c>
      <c r="J130" s="564"/>
      <c r="K130" s="563" t="s">
        <v>1031</v>
      </c>
      <c r="L130" s="266"/>
      <c r="M130" s="266"/>
      <c r="N130" s="266"/>
      <c r="O130" s="565" t="s">
        <v>1032</v>
      </c>
      <c r="P130" s="566"/>
      <c r="Q130" s="567"/>
    </row>
    <row r="131" spans="1:17" s="378" customFormat="1" ht="27.75" customHeight="1">
      <c r="A131" s="283" t="s">
        <v>1055</v>
      </c>
      <c r="B131" s="283" t="s">
        <v>182</v>
      </c>
      <c r="C131" s="283"/>
      <c r="D131" s="287" t="s">
        <v>757</v>
      </c>
      <c r="E131" s="471" t="s">
        <v>1066</v>
      </c>
      <c r="F131" s="283" t="s">
        <v>762</v>
      </c>
      <c r="G131" s="283" t="s">
        <v>763</v>
      </c>
      <c r="H131" s="283" t="s">
        <v>1052</v>
      </c>
      <c r="I131" s="446" t="s">
        <v>221</v>
      </c>
      <c r="J131" s="287"/>
      <c r="K131" s="283" t="s">
        <v>961</v>
      </c>
      <c r="L131" s="95"/>
      <c r="M131" s="164"/>
      <c r="N131" s="164"/>
      <c r="O131" s="514" t="s">
        <v>766</v>
      </c>
      <c r="P131" s="548"/>
      <c r="Q131" s="549"/>
    </row>
    <row r="132" spans="1:17" s="110" customFormat="1" ht="28.5" customHeight="1">
      <c r="A132" s="520">
        <v>20231218</v>
      </c>
      <c r="B132" s="96" t="s">
        <v>169</v>
      </c>
      <c r="C132" s="508">
        <v>1</v>
      </c>
      <c r="D132" s="335" t="s">
        <v>953</v>
      </c>
      <c r="E132" s="508" t="s">
        <v>942</v>
      </c>
      <c r="F132" s="508" t="s">
        <v>941</v>
      </c>
      <c r="G132" s="508" t="s">
        <v>943</v>
      </c>
      <c r="H132" s="508">
        <v>1058</v>
      </c>
      <c r="I132" s="335" t="s">
        <v>956</v>
      </c>
      <c r="J132" s="509"/>
      <c r="K132" s="508">
        <v>20231211</v>
      </c>
      <c r="L132" s="164"/>
      <c r="M132" s="164"/>
      <c r="N132" s="164"/>
      <c r="O132" s="506" t="s">
        <v>944</v>
      </c>
      <c r="P132" s="566"/>
      <c r="Q132" s="567"/>
    </row>
    <row r="133" spans="1:17" s="110" customFormat="1" ht="28.5" customHeight="1">
      <c r="A133" s="96">
        <v>20231218</v>
      </c>
      <c r="B133" s="96" t="s">
        <v>169</v>
      </c>
      <c r="C133" s="96">
        <v>1</v>
      </c>
      <c r="D133" s="96" t="s">
        <v>874</v>
      </c>
      <c r="E133" s="96" t="s">
        <v>875</v>
      </c>
      <c r="F133" s="96" t="s">
        <v>876</v>
      </c>
      <c r="G133" s="96" t="s">
        <v>877</v>
      </c>
      <c r="H133" s="96">
        <v>20</v>
      </c>
      <c r="I133" s="96" t="s">
        <v>878</v>
      </c>
      <c r="J133" s="335" t="s">
        <v>879</v>
      </c>
      <c r="K133" s="96">
        <v>20231201</v>
      </c>
      <c r="L133" s="266"/>
      <c r="M133" s="266"/>
      <c r="N133" s="266"/>
      <c r="O133" s="324" t="s">
        <v>592</v>
      </c>
      <c r="P133" s="345"/>
      <c r="Q133" s="346"/>
    </row>
    <row r="134" spans="1:17" s="378" customFormat="1" ht="27.75" customHeight="1">
      <c r="A134" s="569" t="s">
        <v>1069</v>
      </c>
      <c r="B134" s="563" t="s">
        <v>170</v>
      </c>
      <c r="C134" s="569" t="s">
        <v>1056</v>
      </c>
      <c r="D134" s="570" t="s">
        <v>1039</v>
      </c>
      <c r="E134" s="569" t="s">
        <v>1044</v>
      </c>
      <c r="F134" s="569" t="s">
        <v>1042</v>
      </c>
      <c r="G134" s="570" t="s">
        <v>1045</v>
      </c>
      <c r="H134" s="569" t="s">
        <v>1040</v>
      </c>
      <c r="I134" s="572" t="s">
        <v>209</v>
      </c>
      <c r="J134" s="570"/>
      <c r="K134" s="569" t="s">
        <v>1043</v>
      </c>
      <c r="L134" s="95"/>
      <c r="M134" s="164"/>
      <c r="N134" s="164"/>
      <c r="O134" s="547" t="s">
        <v>1000</v>
      </c>
      <c r="P134" s="571"/>
      <c r="Q134" s="568"/>
    </row>
    <row r="135" spans="1:17" s="378" customFormat="1" ht="27.75" customHeight="1">
      <c r="A135" s="569" t="s">
        <v>1070</v>
      </c>
      <c r="B135" s="563" t="s">
        <v>170</v>
      </c>
      <c r="C135" s="569" t="s">
        <v>1057</v>
      </c>
      <c r="D135" s="570" t="s">
        <v>1039</v>
      </c>
      <c r="E135" s="569" t="s">
        <v>1038</v>
      </c>
      <c r="F135" s="569" t="s">
        <v>1037</v>
      </c>
      <c r="G135" s="570" t="s">
        <v>1041</v>
      </c>
      <c r="H135" s="569" t="s">
        <v>1040</v>
      </c>
      <c r="I135" s="572" t="s">
        <v>209</v>
      </c>
      <c r="J135" s="570"/>
      <c r="K135" s="569" t="s">
        <v>1043</v>
      </c>
      <c r="L135" s="164"/>
      <c r="M135" s="164"/>
      <c r="N135" s="164"/>
      <c r="O135" s="547" t="s">
        <v>1000</v>
      </c>
      <c r="P135" s="571"/>
      <c r="Q135" s="568"/>
    </row>
    <row r="136" spans="1:17" s="87" customFormat="1" ht="30" customHeight="1">
      <c r="A136" s="332">
        <v>20231218</v>
      </c>
      <c r="B136" s="310" t="s">
        <v>1008</v>
      </c>
      <c r="C136" s="310">
        <v>1</v>
      </c>
      <c r="D136" s="310" t="s">
        <v>420</v>
      </c>
      <c r="E136" s="310" t="s">
        <v>1009</v>
      </c>
      <c r="F136" s="310" t="s">
        <v>1010</v>
      </c>
      <c r="G136" s="310" t="s">
        <v>1011</v>
      </c>
      <c r="H136" s="310">
        <v>320</v>
      </c>
      <c r="I136" s="310" t="s">
        <v>878</v>
      </c>
      <c r="J136" s="331"/>
      <c r="K136" s="310">
        <v>20231213</v>
      </c>
      <c r="L136" s="266"/>
      <c r="M136" s="266"/>
      <c r="N136" s="266"/>
      <c r="O136" s="123" t="s">
        <v>309</v>
      </c>
      <c r="P136" s="594"/>
      <c r="Q136" s="580" t="s">
        <v>1092</v>
      </c>
    </row>
    <row r="137" spans="1:17" s="409" customFormat="1" ht="30" customHeight="1">
      <c r="A137" s="558">
        <v>20231219</v>
      </c>
      <c r="B137" s="558" t="s">
        <v>15</v>
      </c>
      <c r="C137" s="558"/>
      <c r="D137" s="558" t="s">
        <v>1021</v>
      </c>
      <c r="E137" s="558" t="s">
        <v>1022</v>
      </c>
      <c r="F137" s="558" t="s">
        <v>1023</v>
      </c>
      <c r="G137" s="558" t="s">
        <v>1024</v>
      </c>
      <c r="H137" s="558">
        <v>5</v>
      </c>
      <c r="I137" s="558" t="s">
        <v>1025</v>
      </c>
      <c r="J137" s="559" t="s">
        <v>1026</v>
      </c>
      <c r="K137" s="558">
        <v>20231214</v>
      </c>
      <c r="L137" s="95"/>
      <c r="M137" s="164"/>
      <c r="N137" s="164"/>
      <c r="O137" s="560" t="s">
        <v>1020</v>
      </c>
      <c r="P137" s="561"/>
      <c r="Q137" s="562"/>
    </row>
    <row r="138" spans="1:17" s="87" customFormat="1" ht="30" customHeight="1">
      <c r="A138" s="595">
        <v>20231219</v>
      </c>
      <c r="B138" s="96" t="s">
        <v>169</v>
      </c>
      <c r="C138" s="96">
        <v>1</v>
      </c>
      <c r="D138" s="335" t="s">
        <v>200</v>
      </c>
      <c r="E138" s="96" t="s">
        <v>1072</v>
      </c>
      <c r="F138" s="96" t="s">
        <v>1071</v>
      </c>
      <c r="G138" s="96" t="s">
        <v>1073</v>
      </c>
      <c r="H138" s="96">
        <v>105</v>
      </c>
      <c r="I138" s="335" t="s">
        <v>209</v>
      </c>
      <c r="J138" s="96"/>
      <c r="K138" s="96">
        <v>20231218</v>
      </c>
      <c r="L138" s="164"/>
      <c r="M138" s="164"/>
      <c r="N138" s="164"/>
      <c r="O138" s="582" t="s">
        <v>1074</v>
      </c>
      <c r="P138" s="583"/>
      <c r="Q138" s="584"/>
    </row>
    <row r="139" spans="1:17" s="378" customFormat="1" ht="27.75" customHeight="1">
      <c r="A139" s="573" t="s">
        <v>1095</v>
      </c>
      <c r="B139" s="573" t="s">
        <v>170</v>
      </c>
      <c r="C139" s="573" t="s">
        <v>403</v>
      </c>
      <c r="D139" s="574" t="s">
        <v>1046</v>
      </c>
      <c r="E139" s="573" t="s">
        <v>1047</v>
      </c>
      <c r="F139" s="573" t="s">
        <v>1048</v>
      </c>
      <c r="G139" s="574" t="s">
        <v>1065</v>
      </c>
      <c r="H139" s="573" t="s">
        <v>1049</v>
      </c>
      <c r="I139" s="505" t="s">
        <v>222</v>
      </c>
      <c r="J139" s="574"/>
      <c r="K139" s="573" t="s">
        <v>1050</v>
      </c>
      <c r="L139" s="266"/>
      <c r="M139" s="266"/>
      <c r="N139" s="266"/>
      <c r="O139" s="575" t="s">
        <v>1051</v>
      </c>
      <c r="P139" s="576"/>
      <c r="Q139" s="577"/>
    </row>
    <row r="140" spans="1:17" s="190" customFormat="1" ht="27.75" customHeight="1">
      <c r="A140" s="215" t="s">
        <v>1139</v>
      </c>
      <c r="B140" s="215" t="s">
        <v>170</v>
      </c>
      <c r="C140" s="215" t="s">
        <v>1100</v>
      </c>
      <c r="D140" s="192" t="s">
        <v>556</v>
      </c>
      <c r="E140" s="215" t="s">
        <v>557</v>
      </c>
      <c r="F140" s="215" t="s">
        <v>315</v>
      </c>
      <c r="G140" s="215" t="s">
        <v>316</v>
      </c>
      <c r="H140" s="215" t="s">
        <v>317</v>
      </c>
      <c r="I140" s="167" t="s">
        <v>558</v>
      </c>
      <c r="J140" s="593" t="s">
        <v>1094</v>
      </c>
      <c r="K140" s="215">
        <v>20231122</v>
      </c>
      <c r="L140" s="95"/>
      <c r="M140" s="164"/>
      <c r="N140" s="164"/>
      <c r="O140" s="579" t="s">
        <v>559</v>
      </c>
      <c r="P140" s="217"/>
      <c r="Q140" s="581" t="s">
        <v>1067</v>
      </c>
    </row>
    <row r="141" spans="1:17" s="87" customFormat="1" ht="30" customHeight="1">
      <c r="A141" s="646" t="s">
        <v>1107</v>
      </c>
      <c r="B141" s="102" t="s">
        <v>181</v>
      </c>
      <c r="C141" s="457">
        <v>1</v>
      </c>
      <c r="D141" s="100" t="s">
        <v>1058</v>
      </c>
      <c r="E141" s="101" t="s">
        <v>1059</v>
      </c>
      <c r="F141" s="101" t="s">
        <v>1060</v>
      </c>
      <c r="G141" s="101" t="s">
        <v>1061</v>
      </c>
      <c r="H141" s="103" t="s">
        <v>1062</v>
      </c>
      <c r="I141" s="104" t="s">
        <v>222</v>
      </c>
      <c r="J141" s="105"/>
      <c r="K141" s="682" t="s">
        <v>1063</v>
      </c>
      <c r="L141" s="164"/>
      <c r="M141" s="164"/>
      <c r="N141" s="164"/>
      <c r="O141" s="106" t="s">
        <v>1064</v>
      </c>
      <c r="P141" s="98"/>
      <c r="Q141" s="97"/>
    </row>
    <row r="142" spans="1:17" s="409" customFormat="1" ht="30" customHeight="1">
      <c r="A142" s="613">
        <v>20231221</v>
      </c>
      <c r="B142" s="613" t="s">
        <v>216</v>
      </c>
      <c r="C142" s="613">
        <v>1</v>
      </c>
      <c r="D142" s="614" t="s">
        <v>1082</v>
      </c>
      <c r="E142" s="613" t="s">
        <v>1084</v>
      </c>
      <c r="F142" s="613">
        <v>3109330160</v>
      </c>
      <c r="G142" s="613" t="s">
        <v>1083</v>
      </c>
      <c r="H142" s="613">
        <v>5</v>
      </c>
      <c r="I142" s="614" t="s">
        <v>1085</v>
      </c>
      <c r="J142" s="614"/>
      <c r="K142" s="613">
        <v>20231218</v>
      </c>
      <c r="L142" s="164"/>
      <c r="M142" s="164"/>
      <c r="N142" s="164"/>
      <c r="O142" s="615" t="s">
        <v>1086</v>
      </c>
      <c r="P142" s="591"/>
      <c r="Q142" s="592"/>
    </row>
    <row r="143" spans="1:17" s="87" customFormat="1" ht="30" customHeight="1">
      <c r="A143" s="310">
        <v>20231221</v>
      </c>
      <c r="B143" s="310" t="s">
        <v>576</v>
      </c>
      <c r="C143" s="310">
        <v>1</v>
      </c>
      <c r="D143" s="310" t="s">
        <v>1123</v>
      </c>
      <c r="E143" s="310" t="s">
        <v>1124</v>
      </c>
      <c r="F143" s="310" t="s">
        <v>1125</v>
      </c>
      <c r="G143" s="310" t="s">
        <v>1126</v>
      </c>
      <c r="H143" s="310">
        <v>298</v>
      </c>
      <c r="I143" s="310" t="s">
        <v>1127</v>
      </c>
      <c r="J143" s="310"/>
      <c r="K143" s="310">
        <v>20231218</v>
      </c>
      <c r="L143" s="266"/>
      <c r="M143" s="266"/>
      <c r="N143" s="266"/>
      <c r="O143" s="596" t="s">
        <v>1110</v>
      </c>
      <c r="P143" s="597"/>
      <c r="Q143" s="598"/>
    </row>
    <row r="144" spans="1:17" s="190" customFormat="1" ht="27.75" customHeight="1">
      <c r="A144" s="586" t="s">
        <v>1148</v>
      </c>
      <c r="B144" s="586" t="s">
        <v>170</v>
      </c>
      <c r="C144" s="586" t="s">
        <v>334</v>
      </c>
      <c r="D144" s="585" t="s">
        <v>1076</v>
      </c>
      <c r="E144" s="586" t="s">
        <v>1077</v>
      </c>
      <c r="F144" s="586" t="s">
        <v>1078</v>
      </c>
      <c r="G144" s="586" t="s">
        <v>1093</v>
      </c>
      <c r="H144" s="586" t="s">
        <v>1079</v>
      </c>
      <c r="I144" s="505" t="s">
        <v>222</v>
      </c>
      <c r="J144" s="586"/>
      <c r="K144" s="586" t="s">
        <v>1080</v>
      </c>
      <c r="L144" s="95"/>
      <c r="M144" s="164"/>
      <c r="N144" s="164"/>
      <c r="O144" s="588" t="s">
        <v>1081</v>
      </c>
      <c r="P144" s="589"/>
      <c r="Q144" s="590"/>
    </row>
    <row r="145" spans="1:17" s="87" customFormat="1" ht="22.2">
      <c r="A145" s="647">
        <v>20231222</v>
      </c>
      <c r="B145" s="647" t="s">
        <v>1154</v>
      </c>
      <c r="C145" s="647">
        <v>1</v>
      </c>
      <c r="D145" s="647" t="s">
        <v>953</v>
      </c>
      <c r="E145" s="647" t="s">
        <v>1152</v>
      </c>
      <c r="F145" s="647" t="s">
        <v>1152</v>
      </c>
      <c r="G145" s="647" t="s">
        <v>1153</v>
      </c>
      <c r="H145" s="647">
        <v>105</v>
      </c>
      <c r="I145" s="647" t="s">
        <v>346</v>
      </c>
      <c r="J145" s="647"/>
      <c r="K145" s="647">
        <v>20231221</v>
      </c>
      <c r="L145" s="164"/>
      <c r="M145" s="164"/>
      <c r="N145" s="164"/>
      <c r="O145" s="596" t="s">
        <v>167</v>
      </c>
      <c r="P145" s="597"/>
      <c r="Q145" s="598"/>
    </row>
    <row r="146" spans="1:17" s="378" customFormat="1" ht="59.4">
      <c r="A146" s="528" t="s">
        <v>1155</v>
      </c>
      <c r="B146" s="499" t="s">
        <v>170</v>
      </c>
      <c r="C146" s="528" t="s">
        <v>334</v>
      </c>
      <c r="D146" s="529" t="s">
        <v>629</v>
      </c>
      <c r="E146" s="528" t="s">
        <v>963</v>
      </c>
      <c r="F146" s="528" t="s">
        <v>962</v>
      </c>
      <c r="G146" s="529" t="s">
        <v>964</v>
      </c>
      <c r="H146" s="528" t="s">
        <v>1114</v>
      </c>
      <c r="I146" s="530" t="s">
        <v>209</v>
      </c>
      <c r="J146" s="605" t="s">
        <v>1116</v>
      </c>
      <c r="K146" s="528" t="s">
        <v>1115</v>
      </c>
      <c r="L146" s="266"/>
      <c r="M146" s="266"/>
      <c r="N146" s="266"/>
      <c r="O146" s="513" t="s">
        <v>926</v>
      </c>
      <c r="P146" s="526"/>
      <c r="Q146" s="527"/>
    </row>
    <row r="147" spans="1:17" s="190" customFormat="1" ht="27.75" customHeight="1">
      <c r="A147" s="606" t="s">
        <v>1156</v>
      </c>
      <c r="B147" s="606" t="s">
        <v>170</v>
      </c>
      <c r="C147" s="606"/>
      <c r="D147" s="607" t="s">
        <v>1117</v>
      </c>
      <c r="E147" s="606" t="s">
        <v>1118</v>
      </c>
      <c r="F147" s="606" t="s">
        <v>1119</v>
      </c>
      <c r="G147" s="607" t="s">
        <v>1143</v>
      </c>
      <c r="H147" s="606" t="s">
        <v>1120</v>
      </c>
      <c r="I147" s="505" t="s">
        <v>222</v>
      </c>
      <c r="J147" s="606"/>
      <c r="K147" s="606" t="s">
        <v>1121</v>
      </c>
      <c r="L147" s="95"/>
      <c r="M147" s="164"/>
      <c r="N147" s="164"/>
      <c r="O147" s="608" t="s">
        <v>1122</v>
      </c>
      <c r="P147" s="609"/>
      <c r="Q147" s="610"/>
    </row>
    <row r="148" spans="1:17" s="190" customFormat="1" ht="27.75" customHeight="1">
      <c r="A148" s="621" t="s">
        <v>1157</v>
      </c>
      <c r="B148" s="621" t="s">
        <v>170</v>
      </c>
      <c r="C148" s="621"/>
      <c r="D148" s="622" t="s">
        <v>1129</v>
      </c>
      <c r="E148" s="621" t="s">
        <v>1130</v>
      </c>
      <c r="F148" s="621" t="s">
        <v>1128</v>
      </c>
      <c r="G148" s="622" t="s">
        <v>1141</v>
      </c>
      <c r="H148" s="621" t="s">
        <v>1131</v>
      </c>
      <c r="I148" s="505" t="s">
        <v>222</v>
      </c>
      <c r="J148" s="622" t="s">
        <v>1134</v>
      </c>
      <c r="K148" s="621" t="s">
        <v>1132</v>
      </c>
      <c r="L148" s="164"/>
      <c r="M148" s="164"/>
      <c r="N148" s="164"/>
      <c r="O148" s="623" t="s">
        <v>1133</v>
      </c>
      <c r="P148" s="624"/>
      <c r="Q148" s="625"/>
    </row>
    <row r="149" spans="1:17" s="378" customFormat="1" ht="27.75" customHeight="1">
      <c r="A149" s="283" t="s">
        <v>1157</v>
      </c>
      <c r="B149" s="283" t="s">
        <v>182</v>
      </c>
      <c r="C149" s="283">
        <v>1</v>
      </c>
      <c r="D149" s="287" t="s">
        <v>1096</v>
      </c>
      <c r="E149" s="283" t="s">
        <v>1097</v>
      </c>
      <c r="F149" s="283" t="s">
        <v>1068</v>
      </c>
      <c r="G149" s="283" t="s">
        <v>1098</v>
      </c>
      <c r="H149" s="283">
        <v>558</v>
      </c>
      <c r="I149" s="446" t="s">
        <v>1099</v>
      </c>
      <c r="J149" s="287"/>
      <c r="K149" s="283">
        <v>20231215</v>
      </c>
      <c r="L149" s="164"/>
      <c r="M149" s="164"/>
      <c r="N149" s="164"/>
      <c r="O149" s="514"/>
      <c r="P149" s="416"/>
      <c r="Q149" s="414"/>
    </row>
    <row r="150" spans="1:17" s="87" customFormat="1" ht="30" customHeight="1">
      <c r="A150" s="600">
        <v>20231225</v>
      </c>
      <c r="B150" s="96" t="s">
        <v>162</v>
      </c>
      <c r="C150" s="600">
        <v>1</v>
      </c>
      <c r="D150" s="601" t="s">
        <v>629</v>
      </c>
      <c r="E150" s="600" t="s">
        <v>1112</v>
      </c>
      <c r="F150" s="602" t="s">
        <v>1108</v>
      </c>
      <c r="G150" s="600" t="s">
        <v>1111</v>
      </c>
      <c r="H150" s="600">
        <v>504</v>
      </c>
      <c r="I150" s="335" t="s">
        <v>1109</v>
      </c>
      <c r="J150" s="600"/>
      <c r="K150" s="600">
        <v>20231220</v>
      </c>
      <c r="L150" s="266"/>
      <c r="M150" s="266"/>
      <c r="N150" s="266"/>
      <c r="O150" s="599" t="s">
        <v>1113</v>
      </c>
      <c r="P150" s="603"/>
      <c r="Q150" s="604"/>
    </row>
    <row r="151" spans="1:17" s="87" customFormat="1" ht="30" customHeight="1">
      <c r="A151" s="600">
        <v>20231225</v>
      </c>
      <c r="B151" s="96" t="s">
        <v>162</v>
      </c>
      <c r="C151" s="600">
        <v>2</v>
      </c>
      <c r="D151" s="601" t="s">
        <v>629</v>
      </c>
      <c r="E151" s="600" t="s">
        <v>1149</v>
      </c>
      <c r="F151" s="602" t="s">
        <v>1108</v>
      </c>
      <c r="G151" s="600" t="s">
        <v>1111</v>
      </c>
      <c r="H151" s="600">
        <v>500</v>
      </c>
      <c r="I151" s="335" t="s">
        <v>1109</v>
      </c>
      <c r="J151" s="600" t="s">
        <v>1151</v>
      </c>
      <c r="K151" s="600">
        <v>20231220</v>
      </c>
      <c r="L151" s="95"/>
      <c r="M151" s="164"/>
      <c r="N151" s="164"/>
      <c r="O151" s="599" t="s">
        <v>1150</v>
      </c>
      <c r="P151" s="603"/>
      <c r="Q151" s="604"/>
    </row>
    <row r="152" spans="1:17" s="87" customFormat="1" ht="30" customHeight="1">
      <c r="A152" s="646" t="s">
        <v>1181</v>
      </c>
      <c r="B152" s="102" t="s">
        <v>181</v>
      </c>
      <c r="C152" s="457"/>
      <c r="D152" s="100" t="s">
        <v>275</v>
      </c>
      <c r="E152" s="101" t="s">
        <v>1177</v>
      </c>
      <c r="F152" s="101" t="s">
        <v>1178</v>
      </c>
      <c r="G152" s="101" t="s">
        <v>1142</v>
      </c>
      <c r="H152" s="103" t="s">
        <v>439</v>
      </c>
      <c r="I152" s="104" t="s">
        <v>222</v>
      </c>
      <c r="J152" s="105"/>
      <c r="K152" s="682" t="s">
        <v>1115</v>
      </c>
      <c r="L152" s="164"/>
      <c r="M152" s="164"/>
      <c r="N152" s="164"/>
      <c r="O152" s="106" t="s">
        <v>168</v>
      </c>
      <c r="P152" s="98"/>
      <c r="Q152" s="97"/>
    </row>
    <row r="153" spans="1:17" s="190" customFormat="1" ht="27.75" customHeight="1">
      <c r="A153" s="621" t="s">
        <v>1248</v>
      </c>
      <c r="B153" s="621" t="s">
        <v>170</v>
      </c>
      <c r="C153" s="621"/>
      <c r="D153" s="622" t="s">
        <v>1253</v>
      </c>
      <c r="E153" s="621" t="s">
        <v>1254</v>
      </c>
      <c r="F153" s="621" t="s">
        <v>1179</v>
      </c>
      <c r="G153" s="622" t="s">
        <v>1249</v>
      </c>
      <c r="H153" s="621" t="s">
        <v>1250</v>
      </c>
      <c r="I153" s="505" t="s">
        <v>1230</v>
      </c>
      <c r="J153" s="622"/>
      <c r="K153" s="621" t="s">
        <v>1251</v>
      </c>
      <c r="L153" s="266"/>
      <c r="M153" s="266"/>
      <c r="N153" s="266"/>
      <c r="O153" s="623" t="s">
        <v>1252</v>
      </c>
      <c r="P153" s="624"/>
      <c r="Q153" s="625"/>
    </row>
    <row r="154" spans="1:17" s="87" customFormat="1" ht="30" customHeight="1">
      <c r="A154" s="646">
        <v>20231225</v>
      </c>
      <c r="B154" s="102" t="s">
        <v>181</v>
      </c>
      <c r="C154" s="457">
        <v>2</v>
      </c>
      <c r="D154" s="100" t="s">
        <v>1261</v>
      </c>
      <c r="E154" s="101" t="s">
        <v>1262</v>
      </c>
      <c r="F154" s="101" t="s">
        <v>1263</v>
      </c>
      <c r="G154" s="101" t="s">
        <v>1264</v>
      </c>
      <c r="H154" s="103">
        <v>50</v>
      </c>
      <c r="I154" s="104" t="s">
        <v>1230</v>
      </c>
      <c r="J154" s="105"/>
      <c r="K154" s="682">
        <v>20231222</v>
      </c>
      <c r="L154" s="95"/>
      <c r="M154" s="164"/>
      <c r="N154" s="164"/>
      <c r="O154" s="106" t="s">
        <v>1265</v>
      </c>
      <c r="P154" s="98"/>
      <c r="Q154" s="97"/>
    </row>
    <row r="155" spans="1:17" s="409" customFormat="1" ht="30" customHeight="1">
      <c r="A155" s="620">
        <v>20231226</v>
      </c>
      <c r="B155" s="618" t="s">
        <v>216</v>
      </c>
      <c r="C155" s="618">
        <v>1</v>
      </c>
      <c r="D155" s="619" t="s">
        <v>1255</v>
      </c>
      <c r="E155" s="618" t="s">
        <v>1256</v>
      </c>
      <c r="F155" s="618" t="s">
        <v>1257</v>
      </c>
      <c r="G155" s="618" t="s">
        <v>1258</v>
      </c>
      <c r="H155" s="618">
        <v>6</v>
      </c>
      <c r="I155" s="619" t="s">
        <v>1259</v>
      </c>
      <c r="J155" s="619"/>
      <c r="K155" s="616">
        <v>20231220</v>
      </c>
      <c r="L155" s="164"/>
      <c r="M155" s="164"/>
      <c r="N155" s="164"/>
      <c r="O155" s="617" t="s">
        <v>1260</v>
      </c>
      <c r="P155" s="611"/>
      <c r="Q155" s="612"/>
    </row>
    <row r="156" spans="1:17" s="87" customFormat="1" ht="30" customHeight="1">
      <c r="A156" s="310" t="s">
        <v>1222</v>
      </c>
      <c r="B156" s="310" t="s">
        <v>576</v>
      </c>
      <c r="C156" s="310"/>
      <c r="D156" s="310" t="s">
        <v>757</v>
      </c>
      <c r="E156" s="310" t="s">
        <v>1232</v>
      </c>
      <c r="F156" s="310" t="s">
        <v>1233</v>
      </c>
      <c r="G156" s="310" t="s">
        <v>1234</v>
      </c>
      <c r="H156" s="310" t="s">
        <v>1221</v>
      </c>
      <c r="I156" s="310" t="s">
        <v>1235</v>
      </c>
      <c r="J156" s="310" t="s">
        <v>1220</v>
      </c>
      <c r="K156" s="310" t="s">
        <v>1219</v>
      </c>
      <c r="L156" s="266"/>
      <c r="M156" s="266"/>
      <c r="N156" s="266"/>
      <c r="O156" s="596" t="s">
        <v>1236</v>
      </c>
      <c r="P156" s="597"/>
      <c r="Q156" s="598"/>
    </row>
    <row r="157" spans="1:17" s="87" customFormat="1" ht="30" customHeight="1">
      <c r="A157" s="310" t="s">
        <v>1223</v>
      </c>
      <c r="B157" s="310" t="s">
        <v>576</v>
      </c>
      <c r="C157" s="310"/>
      <c r="D157" s="310" t="s">
        <v>1237</v>
      </c>
      <c r="E157" s="310" t="s">
        <v>1238</v>
      </c>
      <c r="F157" s="310" t="s">
        <v>1239</v>
      </c>
      <c r="G157" s="310" t="s">
        <v>1240</v>
      </c>
      <c r="H157" s="310" t="s">
        <v>1218</v>
      </c>
      <c r="I157" s="310" t="s">
        <v>1235</v>
      </c>
      <c r="J157" s="310"/>
      <c r="K157" s="310" t="s">
        <v>1217</v>
      </c>
      <c r="L157" s="95"/>
      <c r="M157" s="164"/>
      <c r="N157" s="164"/>
      <c r="O157" s="596" t="s">
        <v>1241</v>
      </c>
      <c r="P157" s="597"/>
      <c r="Q157" s="598"/>
    </row>
    <row r="158" spans="1:17" s="87" customFormat="1" ht="30" customHeight="1">
      <c r="A158" s="310" t="s">
        <v>1223</v>
      </c>
      <c r="B158" s="310" t="s">
        <v>576</v>
      </c>
      <c r="C158" s="310"/>
      <c r="D158" s="310" t="s">
        <v>1237</v>
      </c>
      <c r="E158" s="310" t="s">
        <v>1242</v>
      </c>
      <c r="F158" s="310" t="s">
        <v>1243</v>
      </c>
      <c r="G158" s="310" t="s">
        <v>1244</v>
      </c>
      <c r="H158" s="310" t="s">
        <v>1216</v>
      </c>
      <c r="I158" s="310" t="s">
        <v>1235</v>
      </c>
      <c r="J158" s="310"/>
      <c r="K158" s="310" t="s">
        <v>1215</v>
      </c>
      <c r="L158" s="164"/>
      <c r="M158" s="164"/>
      <c r="N158" s="164"/>
      <c r="O158" s="596" t="s">
        <v>1241</v>
      </c>
      <c r="P158" s="597"/>
      <c r="Q158" s="598"/>
    </row>
    <row r="159" spans="1:17" s="87" customFormat="1" ht="30" customHeight="1">
      <c r="A159" s="310" t="s">
        <v>1222</v>
      </c>
      <c r="B159" s="310" t="s">
        <v>576</v>
      </c>
      <c r="C159" s="310"/>
      <c r="D159" s="310" t="s">
        <v>1237</v>
      </c>
      <c r="E159" s="310" t="s">
        <v>1245</v>
      </c>
      <c r="F159" s="310" t="s">
        <v>1246</v>
      </c>
      <c r="G159" s="310" t="s">
        <v>1247</v>
      </c>
      <c r="H159" s="310" t="s">
        <v>1214</v>
      </c>
      <c r="I159" s="310" t="s">
        <v>1235</v>
      </c>
      <c r="J159" s="310"/>
      <c r="K159" s="310" t="s">
        <v>1213</v>
      </c>
      <c r="L159" s="266"/>
      <c r="M159" s="266"/>
      <c r="N159" s="266"/>
      <c r="O159" s="596" t="s">
        <v>1241</v>
      </c>
      <c r="P159" s="597"/>
      <c r="Q159" s="598"/>
    </row>
    <row r="160" spans="1:17" s="87" customFormat="1" ht="30" customHeight="1">
      <c r="A160" s="600" t="s">
        <v>1223</v>
      </c>
      <c r="B160" s="96" t="s">
        <v>1229</v>
      </c>
      <c r="C160" s="600">
        <v>1</v>
      </c>
      <c r="D160" s="601" t="s">
        <v>1208</v>
      </c>
      <c r="E160" s="600" t="s">
        <v>1144</v>
      </c>
      <c r="F160" s="602" t="s">
        <v>1145</v>
      </c>
      <c r="G160" s="600" t="s">
        <v>1187</v>
      </c>
      <c r="H160" s="600">
        <v>65</v>
      </c>
      <c r="I160" s="335" t="s">
        <v>1230</v>
      </c>
      <c r="J160" s="600" t="s">
        <v>1206</v>
      </c>
      <c r="K160" s="600">
        <v>20231221</v>
      </c>
      <c r="L160" s="95"/>
      <c r="M160" s="164"/>
      <c r="N160" s="164"/>
      <c r="O160" s="599" t="s">
        <v>1231</v>
      </c>
      <c r="P160" s="603"/>
      <c r="Q160" s="604"/>
    </row>
    <row r="161" spans="1:17" s="378" customFormat="1" ht="27" customHeight="1">
      <c r="A161" s="702" t="s">
        <v>1301</v>
      </c>
      <c r="B161" s="702" t="s">
        <v>182</v>
      </c>
      <c r="C161" s="702"/>
      <c r="D161" s="701" t="s">
        <v>1212</v>
      </c>
      <c r="E161" s="702" t="s">
        <v>1211</v>
      </c>
      <c r="F161" s="702" t="s">
        <v>1164</v>
      </c>
      <c r="G161" s="702" t="s">
        <v>1163</v>
      </c>
      <c r="H161" s="702" t="s">
        <v>1210</v>
      </c>
      <c r="I161" s="384" t="s">
        <v>1207</v>
      </c>
      <c r="J161" s="701"/>
      <c r="K161" s="700" t="s">
        <v>1209</v>
      </c>
      <c r="L161" s="164"/>
      <c r="M161" s="164"/>
      <c r="N161" s="164"/>
      <c r="O161" s="699"/>
      <c r="P161" s="698"/>
      <c r="Q161" s="697"/>
    </row>
    <row r="162" spans="1:17" s="87" customFormat="1" ht="30" customHeight="1">
      <c r="A162" s="718">
        <v>20231227</v>
      </c>
      <c r="B162" s="96" t="s">
        <v>169</v>
      </c>
      <c r="C162" s="704">
        <v>2</v>
      </c>
      <c r="D162" s="705" t="s">
        <v>200</v>
      </c>
      <c r="E162" s="704" t="s">
        <v>1272</v>
      </c>
      <c r="F162" s="706" t="s">
        <v>1270</v>
      </c>
      <c r="G162" s="704" t="s">
        <v>1271</v>
      </c>
      <c r="H162" s="704">
        <v>51</v>
      </c>
      <c r="I162" s="707" t="s">
        <v>209</v>
      </c>
      <c r="J162" s="704"/>
      <c r="K162" s="704">
        <v>20231226</v>
      </c>
      <c r="L162" s="266"/>
      <c r="M162" s="266"/>
      <c r="N162" s="266"/>
      <c r="O162" s="708" t="s">
        <v>1269</v>
      </c>
      <c r="P162" s="709"/>
      <c r="Q162" s="710"/>
    </row>
    <row r="163" spans="1:17" s="87" customFormat="1" ht="30" customHeight="1">
      <c r="A163" s="703" t="s">
        <v>1302</v>
      </c>
      <c r="B163" s="102" t="s">
        <v>181</v>
      </c>
      <c r="C163" s="457">
        <v>1</v>
      </c>
      <c r="D163" s="451" t="s">
        <v>1194</v>
      </c>
      <c r="E163" s="101" t="s">
        <v>1193</v>
      </c>
      <c r="F163" s="101" t="s">
        <v>1191</v>
      </c>
      <c r="G163" s="101" t="s">
        <v>1192</v>
      </c>
      <c r="H163" s="103">
        <v>15</v>
      </c>
      <c r="I163" s="456" t="s">
        <v>209</v>
      </c>
      <c r="J163" s="105"/>
      <c r="K163" s="441">
        <v>20231225</v>
      </c>
      <c r="L163" s="95"/>
      <c r="M163" s="164"/>
      <c r="N163" s="164"/>
      <c r="O163" s="634" t="s">
        <v>1140</v>
      </c>
      <c r="P163" s="98"/>
      <c r="Q163" s="97"/>
    </row>
    <row r="164" spans="1:17" s="190" customFormat="1" ht="27.75" customHeight="1">
      <c r="A164" s="666" t="s">
        <v>1303</v>
      </c>
      <c r="B164" s="666" t="s">
        <v>181</v>
      </c>
      <c r="C164" s="666"/>
      <c r="D164" s="667" t="s">
        <v>1167</v>
      </c>
      <c r="E164" s="668" t="s">
        <v>1168</v>
      </c>
      <c r="F164" s="668" t="s">
        <v>1169</v>
      </c>
      <c r="G164" s="649" t="s">
        <v>1170</v>
      </c>
      <c r="H164" s="668" t="s">
        <v>1171</v>
      </c>
      <c r="I164" s="669" t="s">
        <v>1172</v>
      </c>
      <c r="J164" s="655" t="s">
        <v>1162</v>
      </c>
      <c r="K164" s="670" t="s">
        <v>1173</v>
      </c>
      <c r="L164" s="164"/>
      <c r="M164" s="164"/>
      <c r="N164" s="164"/>
      <c r="O164" s="671" t="s">
        <v>1174</v>
      </c>
      <c r="P164" s="672"/>
      <c r="Q164" s="673"/>
    </row>
    <row r="165" spans="1:17" s="190" customFormat="1" ht="27.75" customHeight="1">
      <c r="A165" s="630" t="s">
        <v>1304</v>
      </c>
      <c r="B165" s="630" t="s">
        <v>181</v>
      </c>
      <c r="C165" s="630"/>
      <c r="D165" s="631" t="s">
        <v>1136</v>
      </c>
      <c r="E165" s="630" t="s">
        <v>1137</v>
      </c>
      <c r="F165" s="630" t="s">
        <v>1135</v>
      </c>
      <c r="G165" s="631" t="s">
        <v>1135</v>
      </c>
      <c r="H165" s="630" t="s">
        <v>1138</v>
      </c>
      <c r="I165" s="505" t="s">
        <v>222</v>
      </c>
      <c r="J165" s="627"/>
      <c r="K165" s="628" t="s">
        <v>1107</v>
      </c>
      <c r="L165" s="266"/>
      <c r="M165" s="266"/>
      <c r="N165" s="266"/>
      <c r="O165" s="629" t="s">
        <v>881</v>
      </c>
      <c r="P165" s="632"/>
      <c r="Q165" s="633"/>
    </row>
    <row r="166" spans="1:17" s="190" customFormat="1" ht="27.75" customHeight="1">
      <c r="A166" s="630" t="s">
        <v>1330</v>
      </c>
      <c r="B166" s="630" t="s">
        <v>169</v>
      </c>
      <c r="C166" s="630"/>
      <c r="D166" s="631" t="s">
        <v>1290</v>
      </c>
      <c r="E166" s="630" t="s">
        <v>1291</v>
      </c>
      <c r="F166" s="630" t="s">
        <v>1183</v>
      </c>
      <c r="G166" s="631" t="s">
        <v>1292</v>
      </c>
      <c r="H166" s="630" t="s">
        <v>1293</v>
      </c>
      <c r="I166" s="505" t="s">
        <v>1288</v>
      </c>
      <c r="J166" s="627"/>
      <c r="K166" s="628" t="s">
        <v>1294</v>
      </c>
      <c r="L166" s="95"/>
      <c r="M166" s="164"/>
      <c r="N166" s="164"/>
      <c r="O166" s="629" t="s">
        <v>1295</v>
      </c>
      <c r="P166" s="632"/>
      <c r="Q166" s="633"/>
    </row>
    <row r="167" spans="1:17" s="87" customFormat="1" ht="30" customHeight="1">
      <c r="A167" s="679">
        <v>20231227</v>
      </c>
      <c r="B167" s="659" t="s">
        <v>576</v>
      </c>
      <c r="C167" s="675">
        <v>1</v>
      </c>
      <c r="D167" s="676" t="s">
        <v>200</v>
      </c>
      <c r="E167" s="660" t="s">
        <v>1009</v>
      </c>
      <c r="F167" s="675" t="s">
        <v>1010</v>
      </c>
      <c r="G167" s="675" t="s">
        <v>1175</v>
      </c>
      <c r="H167" s="675">
        <v>400</v>
      </c>
      <c r="I167" s="678" t="s">
        <v>209</v>
      </c>
      <c r="J167" s="676"/>
      <c r="K167" s="675">
        <v>20231222</v>
      </c>
      <c r="L167" s="164"/>
      <c r="M167" s="164"/>
      <c r="N167" s="164"/>
      <c r="O167" s="677" t="s">
        <v>309</v>
      </c>
      <c r="P167" s="674"/>
      <c r="Q167" s="580" t="s">
        <v>1176</v>
      </c>
    </row>
    <row r="168" spans="1:17" s="409" customFormat="1" ht="30" customHeight="1">
      <c r="A168" s="746" t="s">
        <v>1340</v>
      </c>
      <c r="B168" s="723" t="s">
        <v>181</v>
      </c>
      <c r="C168" s="724">
        <v>1</v>
      </c>
      <c r="D168" s="725" t="s">
        <v>1327</v>
      </c>
      <c r="E168" s="725" t="s">
        <v>1195</v>
      </c>
      <c r="F168" s="725" t="s">
        <v>1196</v>
      </c>
      <c r="G168" s="725" t="s">
        <v>1224</v>
      </c>
      <c r="H168" s="726" t="s">
        <v>1197</v>
      </c>
      <c r="I168" s="727" t="s">
        <v>1328</v>
      </c>
      <c r="J168" s="641" t="s">
        <v>1329</v>
      </c>
      <c r="K168" s="728" t="s">
        <v>1198</v>
      </c>
      <c r="L168" s="164"/>
      <c r="M168" s="164"/>
      <c r="N168" s="164"/>
      <c r="O168" s="729" t="s">
        <v>1199</v>
      </c>
      <c r="P168" s="730"/>
      <c r="Q168" s="731"/>
    </row>
    <row r="169" spans="1:17" s="190" customFormat="1" ht="30" customHeight="1">
      <c r="A169" s="679">
        <v>20231228</v>
      </c>
      <c r="B169" s="732" t="s">
        <v>576</v>
      </c>
      <c r="C169" s="733">
        <v>1</v>
      </c>
      <c r="D169" s="734" t="s">
        <v>313</v>
      </c>
      <c r="E169" s="735" t="s">
        <v>1332</v>
      </c>
      <c r="F169" s="733" t="s">
        <v>175</v>
      </c>
      <c r="G169" s="733" t="s">
        <v>1333</v>
      </c>
      <c r="H169" s="733">
        <v>54</v>
      </c>
      <c r="I169" s="736" t="s">
        <v>1334</v>
      </c>
      <c r="J169" s="734" t="s">
        <v>1337</v>
      </c>
      <c r="K169" s="733">
        <v>20231227</v>
      </c>
      <c r="L169" s="266"/>
      <c r="M169" s="266"/>
      <c r="N169" s="266"/>
      <c r="O169" s="737" t="s">
        <v>1335</v>
      </c>
      <c r="P169" s="738"/>
      <c r="Q169" s="1401" t="s">
        <v>1338</v>
      </c>
    </row>
    <row r="170" spans="1:17" s="190" customFormat="1" ht="30" customHeight="1">
      <c r="A170" s="679">
        <v>20231228</v>
      </c>
      <c r="B170" s="732" t="s">
        <v>576</v>
      </c>
      <c r="C170" s="733">
        <v>2</v>
      </c>
      <c r="D170" s="734" t="s">
        <v>395</v>
      </c>
      <c r="E170" s="735" t="s">
        <v>176</v>
      </c>
      <c r="F170" s="733" t="s">
        <v>173</v>
      </c>
      <c r="G170" s="733" t="s">
        <v>174</v>
      </c>
      <c r="H170" s="733">
        <v>34</v>
      </c>
      <c r="I170" s="736" t="s">
        <v>1336</v>
      </c>
      <c r="J170" s="734" t="s">
        <v>1185</v>
      </c>
      <c r="K170" s="733">
        <v>20231106</v>
      </c>
      <c r="L170" s="164"/>
      <c r="M170" s="164"/>
      <c r="N170" s="164"/>
      <c r="O170" s="737" t="s">
        <v>1335</v>
      </c>
      <c r="P170" s="738"/>
      <c r="Q170" s="1402"/>
    </row>
    <row r="171" spans="1:17" s="190" customFormat="1" ht="30" customHeight="1">
      <c r="A171" s="679">
        <v>20231228</v>
      </c>
      <c r="B171" s="732" t="s">
        <v>576</v>
      </c>
      <c r="C171" s="733">
        <v>2</v>
      </c>
      <c r="D171" s="734" t="s">
        <v>395</v>
      </c>
      <c r="E171" s="735" t="s">
        <v>1184</v>
      </c>
      <c r="F171" s="733" t="s">
        <v>173</v>
      </c>
      <c r="G171" s="733" t="s">
        <v>174</v>
      </c>
      <c r="H171" s="733">
        <v>34</v>
      </c>
      <c r="I171" s="736" t="s">
        <v>1336</v>
      </c>
      <c r="J171" s="734" t="s">
        <v>1185</v>
      </c>
      <c r="K171" s="733">
        <v>20231225</v>
      </c>
      <c r="L171" s="164"/>
      <c r="M171" s="164"/>
      <c r="N171" s="164"/>
      <c r="O171" s="737" t="s">
        <v>1335</v>
      </c>
      <c r="P171" s="738"/>
      <c r="Q171" s="1403"/>
    </row>
    <row r="172" spans="1:17" s="87" customFormat="1" ht="30" customHeight="1">
      <c r="A172" s="717">
        <v>20231228</v>
      </c>
      <c r="B172" s="712" t="s">
        <v>169</v>
      </c>
      <c r="C172" s="711">
        <v>1</v>
      </c>
      <c r="D172" s="713" t="s">
        <v>200</v>
      </c>
      <c r="E172" s="711" t="s">
        <v>1268</v>
      </c>
      <c r="F172" s="714" t="s">
        <v>1266</v>
      </c>
      <c r="G172" s="711" t="s">
        <v>1267</v>
      </c>
      <c r="H172" s="711">
        <v>209</v>
      </c>
      <c r="I172" s="715" t="s">
        <v>209</v>
      </c>
      <c r="J172" s="713" t="s">
        <v>320</v>
      </c>
      <c r="K172" s="711">
        <v>20231226</v>
      </c>
      <c r="L172" s="266"/>
      <c r="M172" s="164"/>
      <c r="N172" s="164"/>
      <c r="O172" s="716" t="s">
        <v>185</v>
      </c>
      <c r="P172" s="603"/>
      <c r="Q172" s="604"/>
    </row>
    <row r="173" spans="1:17" s="190" customFormat="1" ht="27.75" customHeight="1">
      <c r="A173" s="586" t="s">
        <v>1341</v>
      </c>
      <c r="B173" s="586" t="s">
        <v>170</v>
      </c>
      <c r="C173" s="648" t="s">
        <v>295</v>
      </c>
      <c r="D173" s="649" t="s">
        <v>1087</v>
      </c>
      <c r="E173" s="648" t="s">
        <v>1088</v>
      </c>
      <c r="F173" s="648" t="s">
        <v>1089</v>
      </c>
      <c r="G173" s="649" t="s">
        <v>1075</v>
      </c>
      <c r="H173" s="648">
        <v>340</v>
      </c>
      <c r="I173" s="650" t="s">
        <v>1090</v>
      </c>
      <c r="J173" s="649" t="s">
        <v>1227</v>
      </c>
      <c r="K173" s="587">
        <v>20231218</v>
      </c>
      <c r="L173" s="266"/>
      <c r="M173" s="266"/>
      <c r="N173" s="266"/>
      <c r="O173" s="588" t="s">
        <v>1091</v>
      </c>
      <c r="P173" s="589"/>
      <c r="Q173" s="590" t="s">
        <v>1228</v>
      </c>
    </row>
    <row r="174" spans="1:17" s="190" customFormat="1" ht="27.75" customHeight="1">
      <c r="A174" s="683" t="s">
        <v>1341</v>
      </c>
      <c r="B174" s="683" t="s">
        <v>170</v>
      </c>
      <c r="C174" s="686" t="s">
        <v>1226</v>
      </c>
      <c r="D174" s="649" t="s">
        <v>1188</v>
      </c>
      <c r="E174" s="649" t="s">
        <v>1189</v>
      </c>
      <c r="F174" s="648">
        <v>3172430120</v>
      </c>
      <c r="G174" s="649" t="s">
        <v>1190</v>
      </c>
      <c r="H174" s="649">
        <v>5</v>
      </c>
      <c r="I174" s="649" t="s">
        <v>222</v>
      </c>
      <c r="J174" s="687" t="s">
        <v>1339</v>
      </c>
      <c r="K174" s="587">
        <v>20231220</v>
      </c>
      <c r="L174" s="95"/>
      <c r="M174" s="164"/>
      <c r="N174" s="164"/>
      <c r="O174" s="106" t="s">
        <v>309</v>
      </c>
      <c r="P174" s="684"/>
      <c r="Q174" s="685"/>
    </row>
    <row r="175" spans="1:17" s="409" customFormat="1" ht="27.75" customHeight="1">
      <c r="A175" s="750" t="s">
        <v>1367</v>
      </c>
      <c r="B175" s="750" t="s">
        <v>170</v>
      </c>
      <c r="C175" s="688" t="s">
        <v>1350</v>
      </c>
      <c r="D175" s="689" t="s">
        <v>1201</v>
      </c>
      <c r="E175" s="688" t="s">
        <v>1202</v>
      </c>
      <c r="F175" s="688" t="s">
        <v>1200</v>
      </c>
      <c r="G175" s="689" t="s">
        <v>1225</v>
      </c>
      <c r="H175" s="688" t="s">
        <v>1203</v>
      </c>
      <c r="I175" s="650" t="s">
        <v>222</v>
      </c>
      <c r="J175" s="689" t="s">
        <v>1204</v>
      </c>
      <c r="K175" s="751" t="s">
        <v>1198</v>
      </c>
      <c r="L175" s="95"/>
      <c r="M175" s="164"/>
      <c r="N175" s="164"/>
      <c r="O175" s="752" t="s">
        <v>1199</v>
      </c>
      <c r="P175" s="690"/>
      <c r="Q175" s="691"/>
    </row>
    <row r="176" spans="1:17" s="409" customFormat="1" ht="27.75" customHeight="1">
      <c r="A176" s="743" t="s">
        <v>1368</v>
      </c>
      <c r="B176" s="743" t="s">
        <v>170</v>
      </c>
      <c r="C176" s="719" t="s">
        <v>1343</v>
      </c>
      <c r="D176" s="720" t="s">
        <v>1306</v>
      </c>
      <c r="E176" s="719" t="s">
        <v>1313</v>
      </c>
      <c r="F176" s="719" t="s">
        <v>1312</v>
      </c>
      <c r="G176" s="720" t="s">
        <v>1312</v>
      </c>
      <c r="H176" s="719" t="s">
        <v>1308</v>
      </c>
      <c r="I176" s="650" t="s">
        <v>222</v>
      </c>
      <c r="J176" s="689" t="s">
        <v>1311</v>
      </c>
      <c r="K176" s="744" t="s">
        <v>1309</v>
      </c>
      <c r="L176" s="164"/>
      <c r="M176" s="164"/>
      <c r="N176" s="164"/>
      <c r="O176" s="745" t="s">
        <v>1310</v>
      </c>
      <c r="P176" s="721"/>
      <c r="Q176" s="722"/>
    </row>
    <row r="177" spans="1:17" s="409" customFormat="1" ht="27.75" customHeight="1">
      <c r="A177" s="743" t="s">
        <v>1369</v>
      </c>
      <c r="B177" s="743" t="s">
        <v>170</v>
      </c>
      <c r="C177" s="719" t="s">
        <v>1344</v>
      </c>
      <c r="D177" s="720" t="s">
        <v>1306</v>
      </c>
      <c r="E177" s="719" t="s">
        <v>1315</v>
      </c>
      <c r="F177" s="719" t="s">
        <v>1314</v>
      </c>
      <c r="G177" s="720" t="s">
        <v>1314</v>
      </c>
      <c r="H177" s="719" t="s">
        <v>1316</v>
      </c>
      <c r="I177" s="650" t="s">
        <v>222</v>
      </c>
      <c r="J177" s="689" t="s">
        <v>1311</v>
      </c>
      <c r="K177" s="744" t="s">
        <v>1309</v>
      </c>
      <c r="L177" s="266"/>
      <c r="M177" s="266"/>
      <c r="N177" s="266"/>
      <c r="O177" s="745" t="s">
        <v>1310</v>
      </c>
      <c r="P177" s="721"/>
      <c r="Q177" s="722"/>
    </row>
    <row r="178" spans="1:17" s="190" customFormat="1" ht="30" customHeight="1">
      <c r="A178" s="679">
        <v>20231229</v>
      </c>
      <c r="B178" s="732" t="s">
        <v>576</v>
      </c>
      <c r="C178" s="733">
        <v>1</v>
      </c>
      <c r="D178" s="734" t="s">
        <v>1358</v>
      </c>
      <c r="E178" s="735" t="s">
        <v>1359</v>
      </c>
      <c r="F178" s="733" t="s">
        <v>1360</v>
      </c>
      <c r="G178" s="734" t="s">
        <v>1364</v>
      </c>
      <c r="H178" s="733">
        <v>102</v>
      </c>
      <c r="I178" s="736" t="s">
        <v>1361</v>
      </c>
      <c r="J178" s="734" t="s">
        <v>1363</v>
      </c>
      <c r="K178" s="733">
        <v>20231228</v>
      </c>
      <c r="L178" s="95"/>
      <c r="M178" s="164"/>
      <c r="N178" s="164"/>
      <c r="O178" s="737" t="s">
        <v>1362</v>
      </c>
      <c r="P178" s="738"/>
      <c r="Q178" s="604" t="s">
        <v>1352</v>
      </c>
    </row>
    <row r="179" spans="1:17" s="409" customFormat="1" ht="27.75" customHeight="1">
      <c r="A179" s="743" t="s">
        <v>1368</v>
      </c>
      <c r="B179" s="743" t="s">
        <v>170</v>
      </c>
      <c r="C179" s="719" t="s">
        <v>1342</v>
      </c>
      <c r="D179" s="720" t="s">
        <v>1306</v>
      </c>
      <c r="E179" s="719" t="s">
        <v>1307</v>
      </c>
      <c r="F179" s="719" t="s">
        <v>1305</v>
      </c>
      <c r="G179" s="720" t="s">
        <v>1305</v>
      </c>
      <c r="H179" s="719" t="s">
        <v>1308</v>
      </c>
      <c r="I179" s="650" t="s">
        <v>222</v>
      </c>
      <c r="J179" s="689" t="s">
        <v>1311</v>
      </c>
      <c r="K179" s="744" t="s">
        <v>1309</v>
      </c>
      <c r="L179" s="164"/>
      <c r="M179" s="164"/>
      <c r="N179" s="164"/>
      <c r="O179" s="745" t="s">
        <v>1310</v>
      </c>
      <c r="P179" s="721"/>
      <c r="Q179" s="722"/>
    </row>
    <row r="180" spans="1:17" s="190" customFormat="1" ht="27.75" customHeight="1">
      <c r="A180" s="651" t="s">
        <v>1367</v>
      </c>
      <c r="B180" s="626" t="s">
        <v>170</v>
      </c>
      <c r="C180" s="656" t="s">
        <v>699</v>
      </c>
      <c r="D180" s="655" t="s">
        <v>313</v>
      </c>
      <c r="E180" s="656" t="s">
        <v>1159</v>
      </c>
      <c r="F180" s="656" t="s">
        <v>1158</v>
      </c>
      <c r="G180" s="649" t="s">
        <v>1160</v>
      </c>
      <c r="H180" s="656" t="s">
        <v>357</v>
      </c>
      <c r="I180" s="657" t="s">
        <v>209</v>
      </c>
      <c r="J180" s="689" t="s">
        <v>1351</v>
      </c>
      <c r="K180" s="652" t="s">
        <v>1161</v>
      </c>
      <c r="L180" s="266"/>
      <c r="M180" s="266"/>
      <c r="N180" s="266"/>
      <c r="O180" s="629" t="s">
        <v>166</v>
      </c>
      <c r="P180" s="653"/>
      <c r="Q180" s="654"/>
    </row>
    <row r="181" spans="1:17" s="87" customFormat="1" ht="30" customHeight="1">
      <c r="A181" s="991" t="s">
        <v>1388</v>
      </c>
      <c r="B181" s="636" t="s">
        <v>181</v>
      </c>
      <c r="C181" s="637"/>
      <c r="D181" s="638" t="s">
        <v>1273</v>
      </c>
      <c r="E181" s="639" t="s">
        <v>1274</v>
      </c>
      <c r="F181" s="639" t="s">
        <v>1146</v>
      </c>
      <c r="G181" s="639" t="s">
        <v>1147</v>
      </c>
      <c r="H181" s="640" t="s">
        <v>1275</v>
      </c>
      <c r="I181" s="104" t="s">
        <v>1276</v>
      </c>
      <c r="J181" s="641" t="s">
        <v>905</v>
      </c>
      <c r="K181" s="642" t="s">
        <v>1277</v>
      </c>
      <c r="L181" s="164"/>
      <c r="M181" s="164"/>
      <c r="N181" s="164"/>
      <c r="O181" s="643" t="s">
        <v>1278</v>
      </c>
      <c r="P181" s="644"/>
      <c r="Q181" s="645"/>
    </row>
    <row r="182" spans="1:17" s="190" customFormat="1" ht="30" customHeight="1">
      <c r="A182" s="747">
        <v>20231229</v>
      </c>
      <c r="B182" s="96" t="s">
        <v>169</v>
      </c>
      <c r="C182" s="600"/>
      <c r="D182" s="601" t="s">
        <v>200</v>
      </c>
      <c r="E182" s="600" t="s">
        <v>1366</v>
      </c>
      <c r="F182" s="602" t="s">
        <v>528</v>
      </c>
      <c r="G182" s="600" t="s">
        <v>527</v>
      </c>
      <c r="H182" s="600">
        <v>105</v>
      </c>
      <c r="I182" s="335" t="s">
        <v>209</v>
      </c>
      <c r="J182" s="601"/>
      <c r="K182" s="600">
        <v>20231228</v>
      </c>
      <c r="L182" s="266"/>
      <c r="M182" s="266"/>
      <c r="N182" s="266"/>
      <c r="O182" s="599" t="s">
        <v>1365</v>
      </c>
      <c r="P182" s="748"/>
      <c r="Q182" s="604"/>
    </row>
    <row r="183" spans="1:17" s="132" customFormat="1" ht="30" customHeight="1">
      <c r="A183" s="310">
        <v>20240102</v>
      </c>
      <c r="B183" s="310" t="s">
        <v>576</v>
      </c>
      <c r="C183" s="310"/>
      <c r="D183" s="310" t="s">
        <v>974</v>
      </c>
      <c r="E183" s="310" t="s">
        <v>1372</v>
      </c>
      <c r="F183" s="310" t="s">
        <v>1371</v>
      </c>
      <c r="G183" s="310" t="s">
        <v>1373</v>
      </c>
      <c r="H183" s="310" t="s">
        <v>1374</v>
      </c>
      <c r="I183" s="310" t="s">
        <v>222</v>
      </c>
      <c r="J183" s="310"/>
      <c r="K183" s="310" t="s">
        <v>1375</v>
      </c>
      <c r="L183" s="95"/>
      <c r="M183" s="164"/>
      <c r="N183" s="164"/>
      <c r="O183" s="768" t="s">
        <v>1376</v>
      </c>
      <c r="P183" s="785"/>
      <c r="Q183" s="786"/>
    </row>
    <row r="184" spans="1:17" s="132" customFormat="1" ht="30" customHeight="1">
      <c r="A184" s="799">
        <v>20240102</v>
      </c>
      <c r="B184" s="799" t="s">
        <v>576</v>
      </c>
      <c r="C184" s="799"/>
      <c r="D184" s="800" t="s">
        <v>1411</v>
      </c>
      <c r="E184" s="800" t="s">
        <v>1412</v>
      </c>
      <c r="F184" s="799">
        <v>1007002514</v>
      </c>
      <c r="G184" s="800" t="s">
        <v>1410</v>
      </c>
      <c r="H184" s="799">
        <v>30</v>
      </c>
      <c r="I184" s="310" t="s">
        <v>222</v>
      </c>
      <c r="J184" s="799"/>
      <c r="K184" s="799">
        <v>20231229</v>
      </c>
      <c r="L184" s="164"/>
      <c r="M184" s="164"/>
      <c r="N184" s="164"/>
      <c r="O184" s="801" t="s">
        <v>1413</v>
      </c>
      <c r="P184" s="802"/>
      <c r="Q184" s="803"/>
    </row>
    <row r="185" spans="1:17" s="409" customFormat="1" ht="27.75" customHeight="1">
      <c r="A185" s="750" t="s">
        <v>1414</v>
      </c>
      <c r="B185" s="626" t="s">
        <v>170</v>
      </c>
      <c r="C185" s="688" t="s">
        <v>1389</v>
      </c>
      <c r="D185" s="689" t="s">
        <v>1345</v>
      </c>
      <c r="E185" s="688" t="s">
        <v>1346</v>
      </c>
      <c r="F185" s="688" t="s">
        <v>1331</v>
      </c>
      <c r="G185" s="780" t="s">
        <v>1347</v>
      </c>
      <c r="H185" s="688">
        <v>1</v>
      </c>
      <c r="I185" s="650" t="s">
        <v>1348</v>
      </c>
      <c r="J185" s="689" t="s">
        <v>1204</v>
      </c>
      <c r="K185" s="751">
        <v>20231227</v>
      </c>
      <c r="L185" s="164"/>
      <c r="M185" s="164"/>
      <c r="N185" s="164"/>
      <c r="O185" s="752" t="s">
        <v>185</v>
      </c>
      <c r="P185" s="690"/>
      <c r="Q185" s="691"/>
    </row>
    <row r="186" spans="1:17" s="132" customFormat="1" ht="30" customHeight="1">
      <c r="A186" s="787">
        <v>20240102</v>
      </c>
      <c r="B186" s="787" t="s">
        <v>576</v>
      </c>
      <c r="C186" s="787"/>
      <c r="D186" s="791" t="s">
        <v>1393</v>
      </c>
      <c r="E186" s="787" t="s">
        <v>1394</v>
      </c>
      <c r="F186" s="787" t="s">
        <v>1395</v>
      </c>
      <c r="G186" s="787" t="s">
        <v>1396</v>
      </c>
      <c r="H186" s="787">
        <v>150</v>
      </c>
      <c r="I186" s="310" t="s">
        <v>222</v>
      </c>
      <c r="J186" s="787"/>
      <c r="K186" s="787">
        <v>20231229</v>
      </c>
      <c r="L186" s="266"/>
      <c r="M186" s="266"/>
      <c r="N186" s="266"/>
      <c r="O186" s="788" t="s">
        <v>686</v>
      </c>
      <c r="P186" s="789"/>
      <c r="Q186" s="790"/>
    </row>
    <row r="187" spans="1:17" s="190" customFormat="1" ht="27.75" customHeight="1">
      <c r="A187" s="761" t="s">
        <v>1415</v>
      </c>
      <c r="B187" s="761" t="s">
        <v>170</v>
      </c>
      <c r="C187" s="761"/>
      <c r="D187" s="762" t="s">
        <v>1353</v>
      </c>
      <c r="E187" s="761" t="s">
        <v>1354</v>
      </c>
      <c r="F187" s="770" t="s">
        <v>184</v>
      </c>
      <c r="G187" s="749" t="s">
        <v>1399</v>
      </c>
      <c r="H187" s="761" t="s">
        <v>1355</v>
      </c>
      <c r="I187" s="505" t="s">
        <v>222</v>
      </c>
      <c r="J187" s="761"/>
      <c r="K187" s="763" t="s">
        <v>1356</v>
      </c>
      <c r="L187" s="164"/>
      <c r="M187" s="164"/>
      <c r="N187" s="164"/>
      <c r="O187" s="764" t="s">
        <v>1357</v>
      </c>
      <c r="P187" s="765"/>
      <c r="Q187" s="766"/>
    </row>
    <row r="188" spans="1:17" s="190" customFormat="1" ht="27.75" customHeight="1">
      <c r="A188" s="770" t="s">
        <v>1416</v>
      </c>
      <c r="B188" s="770" t="s">
        <v>170</v>
      </c>
      <c r="C188" s="770"/>
      <c r="D188" s="771" t="s">
        <v>1379</v>
      </c>
      <c r="E188" s="770" t="s">
        <v>1380</v>
      </c>
      <c r="F188" s="770" t="s">
        <v>1378</v>
      </c>
      <c r="G188" s="749" t="s">
        <v>1400</v>
      </c>
      <c r="H188" s="770" t="s">
        <v>1381</v>
      </c>
      <c r="I188" s="505" t="s">
        <v>222</v>
      </c>
      <c r="J188" s="771"/>
      <c r="K188" s="772" t="s">
        <v>1382</v>
      </c>
      <c r="L188" s="266"/>
      <c r="M188" s="266"/>
      <c r="N188" s="266"/>
      <c r="O188" s="773" t="s">
        <v>1383</v>
      </c>
      <c r="P188" s="774"/>
      <c r="Q188" s="775"/>
    </row>
    <row r="189" spans="1:17" s="190" customFormat="1" ht="27.75" customHeight="1">
      <c r="A189" s="1053" t="s">
        <v>1417</v>
      </c>
      <c r="B189" s="770" t="s">
        <v>170</v>
      </c>
      <c r="C189" s="792"/>
      <c r="D189" s="793" t="s">
        <v>200</v>
      </c>
      <c r="E189" s="792" t="s">
        <v>1406</v>
      </c>
      <c r="F189" s="792" t="s">
        <v>1407</v>
      </c>
      <c r="G189" s="792" t="s">
        <v>1408</v>
      </c>
      <c r="H189" s="792" t="s">
        <v>1409</v>
      </c>
      <c r="I189" s="798" t="s">
        <v>1403</v>
      </c>
      <c r="J189" s="793"/>
      <c r="K189" s="794" t="s">
        <v>1404</v>
      </c>
      <c r="L189" s="95"/>
      <c r="M189" s="164"/>
      <c r="N189" s="164"/>
      <c r="O189" s="795" t="s">
        <v>1405</v>
      </c>
      <c r="P189" s="796"/>
      <c r="Q189" s="797"/>
    </row>
    <row r="190" spans="1:17" s="409" customFormat="1" ht="27.75" customHeight="1">
      <c r="A190" s="776" t="s">
        <v>1415</v>
      </c>
      <c r="B190" s="779" t="s">
        <v>170</v>
      </c>
      <c r="C190" s="776"/>
      <c r="D190" s="631" t="s">
        <v>1384</v>
      </c>
      <c r="E190" s="631" t="s">
        <v>1385</v>
      </c>
      <c r="F190" s="770" t="s">
        <v>1386</v>
      </c>
      <c r="G190" s="749" t="s">
        <v>1397</v>
      </c>
      <c r="H190" s="631">
        <v>11</v>
      </c>
      <c r="I190" s="631" t="s">
        <v>1387</v>
      </c>
      <c r="J190" s="631"/>
      <c r="K190" s="631">
        <v>20231229</v>
      </c>
      <c r="L190" s="164"/>
      <c r="M190" s="164"/>
      <c r="N190" s="164"/>
      <c r="O190" s="769" t="s">
        <v>1377</v>
      </c>
      <c r="P190" s="777"/>
      <c r="Q190" s="778"/>
    </row>
    <row r="191" spans="1:17" s="409" customFormat="1" ht="27.75" customHeight="1">
      <c r="A191" s="753" t="s">
        <v>1416</v>
      </c>
      <c r="B191" s="753" t="s">
        <v>170</v>
      </c>
      <c r="C191" s="753" t="s">
        <v>1390</v>
      </c>
      <c r="D191" s="754" t="s">
        <v>1279</v>
      </c>
      <c r="E191" s="753" t="s">
        <v>1280</v>
      </c>
      <c r="F191" s="753" t="s">
        <v>1182</v>
      </c>
      <c r="G191" s="780" t="s">
        <v>1186</v>
      </c>
      <c r="H191" s="753" t="s">
        <v>1281</v>
      </c>
      <c r="I191" s="650" t="s">
        <v>1282</v>
      </c>
      <c r="J191" s="689" t="s">
        <v>905</v>
      </c>
      <c r="K191" s="755" t="s">
        <v>1283</v>
      </c>
      <c r="L191" s="164"/>
      <c r="M191" s="164"/>
      <c r="N191" s="164"/>
      <c r="O191" s="756" t="s">
        <v>1284</v>
      </c>
      <c r="P191" s="757"/>
      <c r="Q191" s="758"/>
    </row>
    <row r="192" spans="1:17" s="409" customFormat="1" ht="30" customHeight="1">
      <c r="A192" s="804">
        <v>20240102</v>
      </c>
      <c r="B192" s="692" t="s">
        <v>216</v>
      </c>
      <c r="C192" s="693">
        <v>1</v>
      </c>
      <c r="D192" s="740" t="s">
        <v>200</v>
      </c>
      <c r="E192" s="741" t="s">
        <v>1320</v>
      </c>
      <c r="F192" s="741" t="s">
        <v>1318</v>
      </c>
      <c r="G192" s="740" t="s">
        <v>1319</v>
      </c>
      <c r="H192" s="741">
        <v>11</v>
      </c>
      <c r="I192" s="742" t="s">
        <v>1334</v>
      </c>
      <c r="J192" s="694" t="s">
        <v>1392</v>
      </c>
      <c r="K192" s="693">
        <v>20231227</v>
      </c>
      <c r="L192" s="266"/>
      <c r="M192" s="266"/>
      <c r="N192" s="266"/>
      <c r="O192" s="695" t="s">
        <v>1322</v>
      </c>
      <c r="P192" s="696"/>
      <c r="Q192" s="739" t="s">
        <v>1321</v>
      </c>
    </row>
    <row r="193" spans="1:17" s="409" customFormat="1" ht="27.75" customHeight="1">
      <c r="A193" s="780" t="s">
        <v>1424</v>
      </c>
      <c r="B193" s="780" t="s">
        <v>170</v>
      </c>
      <c r="C193" s="780" t="s">
        <v>1391</v>
      </c>
      <c r="D193" s="781" t="s">
        <v>1101</v>
      </c>
      <c r="E193" s="780" t="s">
        <v>1102</v>
      </c>
      <c r="F193" s="780" t="s">
        <v>1103</v>
      </c>
      <c r="G193" s="780" t="s">
        <v>1104</v>
      </c>
      <c r="H193" s="780" t="s">
        <v>1105</v>
      </c>
      <c r="I193" s="650" t="s">
        <v>222</v>
      </c>
      <c r="J193" s="689" t="s">
        <v>905</v>
      </c>
      <c r="K193" s="782" t="s">
        <v>1106</v>
      </c>
      <c r="L193" s="164"/>
      <c r="M193" s="164"/>
      <c r="N193" s="164"/>
      <c r="O193" s="756" t="s">
        <v>185</v>
      </c>
      <c r="P193" s="783"/>
      <c r="Q193" s="784"/>
    </row>
    <row r="194" spans="1:17" s="132" customFormat="1" ht="30" customHeight="1">
      <c r="A194" s="787">
        <v>20240102</v>
      </c>
      <c r="B194" s="787" t="s">
        <v>576</v>
      </c>
      <c r="C194" s="787"/>
      <c r="D194" s="791" t="s">
        <v>1434</v>
      </c>
      <c r="E194" s="787" t="s">
        <v>1435</v>
      </c>
      <c r="F194" s="787">
        <v>5005002503</v>
      </c>
      <c r="G194" s="791" t="s">
        <v>1469</v>
      </c>
      <c r="H194" s="787">
        <v>20</v>
      </c>
      <c r="I194" s="331" t="s">
        <v>1436</v>
      </c>
      <c r="J194" s="787"/>
      <c r="K194" s="787">
        <v>20240103</v>
      </c>
      <c r="L194" s="266"/>
      <c r="M194" s="266"/>
      <c r="N194" s="266"/>
      <c r="O194" s="788" t="s">
        <v>1437</v>
      </c>
      <c r="P194" s="789"/>
      <c r="Q194" s="790"/>
    </row>
    <row r="195" spans="1:17" s="87" customFormat="1" ht="30" customHeight="1">
      <c r="A195" s="991" t="s">
        <v>1433</v>
      </c>
      <c r="B195" s="636" t="s">
        <v>181</v>
      </c>
      <c r="C195" s="637"/>
      <c r="D195" s="767" t="s">
        <v>103</v>
      </c>
      <c r="E195" s="639" t="s">
        <v>1426</v>
      </c>
      <c r="F195" s="639" t="s">
        <v>1427</v>
      </c>
      <c r="G195" s="639" t="s">
        <v>1428</v>
      </c>
      <c r="H195" s="640">
        <v>10</v>
      </c>
      <c r="I195" s="376" t="s">
        <v>222</v>
      </c>
      <c r="J195" s="641"/>
      <c r="K195" s="642">
        <v>20240102</v>
      </c>
      <c r="L195" s="95"/>
      <c r="M195" s="164"/>
      <c r="N195" s="164"/>
      <c r="O195" s="643" t="s">
        <v>168</v>
      </c>
      <c r="P195" s="644"/>
      <c r="Q195" s="645"/>
    </row>
    <row r="196" spans="1:17" s="132" customFormat="1" ht="30" customHeight="1">
      <c r="A196" s="787">
        <v>20240103</v>
      </c>
      <c r="B196" s="787" t="s">
        <v>576</v>
      </c>
      <c r="C196" s="787"/>
      <c r="D196" s="791" t="s">
        <v>201</v>
      </c>
      <c r="E196" s="787" t="s">
        <v>1430</v>
      </c>
      <c r="F196" s="787" t="s">
        <v>1429</v>
      </c>
      <c r="G196" s="791" t="s">
        <v>1431</v>
      </c>
      <c r="H196" s="787">
        <v>36</v>
      </c>
      <c r="I196" s="331" t="s">
        <v>222</v>
      </c>
      <c r="J196" s="787"/>
      <c r="K196" s="787">
        <v>20240102</v>
      </c>
      <c r="L196" s="266"/>
      <c r="M196" s="266"/>
      <c r="N196" s="266"/>
      <c r="O196" s="788" t="s">
        <v>1432</v>
      </c>
      <c r="P196" s="789"/>
      <c r="Q196" s="790"/>
    </row>
    <row r="197" spans="1:17" s="409" customFormat="1" ht="27.75" customHeight="1">
      <c r="A197" s="719" t="s">
        <v>1479</v>
      </c>
      <c r="B197" s="719" t="s">
        <v>170</v>
      </c>
      <c r="C197" s="719" t="s">
        <v>437</v>
      </c>
      <c r="D197" s="720" t="s">
        <v>1323</v>
      </c>
      <c r="E197" s="719" t="s">
        <v>1324</v>
      </c>
      <c r="F197" s="719" t="s">
        <v>1205</v>
      </c>
      <c r="G197" s="780" t="s">
        <v>1317</v>
      </c>
      <c r="H197" s="719">
        <v>8</v>
      </c>
      <c r="I197" s="650" t="s">
        <v>1325</v>
      </c>
      <c r="J197" s="689" t="s">
        <v>905</v>
      </c>
      <c r="K197" s="759">
        <v>20231226</v>
      </c>
      <c r="L197" s="164"/>
      <c r="M197" s="164"/>
      <c r="N197" s="164"/>
      <c r="O197" s="760" t="s">
        <v>1326</v>
      </c>
      <c r="P197" s="721"/>
      <c r="Q197" s="722"/>
    </row>
    <row r="198" spans="1:17" s="190" customFormat="1" ht="27.75" customHeight="1">
      <c r="A198" s="806" t="s">
        <v>1479</v>
      </c>
      <c r="B198" s="809" t="s">
        <v>170</v>
      </c>
      <c r="C198" s="809"/>
      <c r="D198" s="810" t="s">
        <v>1418</v>
      </c>
      <c r="E198" s="809" t="s">
        <v>1420</v>
      </c>
      <c r="F198" s="809" t="s">
        <v>1419</v>
      </c>
      <c r="G198" s="809" t="s">
        <v>1421</v>
      </c>
      <c r="H198" s="809" t="s">
        <v>1422</v>
      </c>
      <c r="I198" s="811" t="s">
        <v>1423</v>
      </c>
      <c r="J198" s="689" t="s">
        <v>1442</v>
      </c>
      <c r="K198" s="812" t="s">
        <v>1424</v>
      </c>
      <c r="L198" s="266"/>
      <c r="M198" s="266"/>
      <c r="N198" s="266"/>
      <c r="O198" s="813" t="s">
        <v>1425</v>
      </c>
      <c r="P198" s="807"/>
      <c r="Q198" s="808"/>
    </row>
    <row r="199" spans="1:17" s="132" customFormat="1" ht="30" customHeight="1">
      <c r="A199" s="825">
        <v>20240105</v>
      </c>
      <c r="B199" s="787" t="s">
        <v>576</v>
      </c>
      <c r="C199" s="819"/>
      <c r="D199" s="820" t="s">
        <v>200</v>
      </c>
      <c r="E199" s="819" t="s">
        <v>1453</v>
      </c>
      <c r="F199" s="819" t="s">
        <v>657</v>
      </c>
      <c r="G199" s="820" t="s">
        <v>659</v>
      </c>
      <c r="H199" s="819">
        <v>105</v>
      </c>
      <c r="I199" s="821" t="s">
        <v>1454</v>
      </c>
      <c r="J199" s="819"/>
      <c r="K199" s="819">
        <v>20240104</v>
      </c>
      <c r="L199" s="164"/>
      <c r="M199" s="164"/>
      <c r="N199" s="164"/>
      <c r="O199" s="822" t="s">
        <v>1455</v>
      </c>
      <c r="P199" s="823"/>
      <c r="Q199" s="824"/>
    </row>
    <row r="200" spans="1:17" s="132" customFormat="1" ht="30" customHeight="1">
      <c r="A200" s="833">
        <v>20240105</v>
      </c>
      <c r="B200" s="834" t="s">
        <v>576</v>
      </c>
      <c r="C200" s="834"/>
      <c r="D200" s="835" t="s">
        <v>1464</v>
      </c>
      <c r="E200" s="834" t="s">
        <v>1465</v>
      </c>
      <c r="F200" s="834" t="s">
        <v>1463</v>
      </c>
      <c r="G200" s="835" t="s">
        <v>1470</v>
      </c>
      <c r="H200" s="834">
        <v>50</v>
      </c>
      <c r="I200" s="331" t="s">
        <v>900</v>
      </c>
      <c r="J200" s="834"/>
      <c r="K200" s="834">
        <v>20240104</v>
      </c>
      <c r="L200" s="266"/>
      <c r="M200" s="266"/>
      <c r="N200" s="266"/>
      <c r="O200" s="836" t="s">
        <v>1466</v>
      </c>
      <c r="P200" s="830"/>
      <c r="Q200" s="831"/>
    </row>
    <row r="201" spans="1:17" s="378" customFormat="1" ht="27.75" customHeight="1">
      <c r="A201" s="661" t="s">
        <v>1478</v>
      </c>
      <c r="B201" s="661" t="s">
        <v>182</v>
      </c>
      <c r="C201" s="661"/>
      <c r="D201" s="662" t="s">
        <v>1473</v>
      </c>
      <c r="E201" s="661" t="s">
        <v>1474</v>
      </c>
      <c r="F201" s="661" t="s">
        <v>1472</v>
      </c>
      <c r="G201" s="661" t="s">
        <v>1475</v>
      </c>
      <c r="H201" s="661" t="s">
        <v>1476</v>
      </c>
      <c r="I201" s="384" t="s">
        <v>1165</v>
      </c>
      <c r="J201" s="662"/>
      <c r="K201" s="663" t="s">
        <v>1477</v>
      </c>
      <c r="L201" s="95"/>
      <c r="M201" s="164"/>
      <c r="N201" s="164"/>
      <c r="O201" s="658" t="s">
        <v>1166</v>
      </c>
      <c r="P201" s="664"/>
      <c r="Q201" s="665"/>
    </row>
    <row r="202" spans="1:17" s="190" customFormat="1" ht="27.75" customHeight="1">
      <c r="A202" s="826" t="s">
        <v>1478</v>
      </c>
      <c r="B202" s="826" t="s">
        <v>182</v>
      </c>
      <c r="C202" s="826"/>
      <c r="D202" s="827" t="s">
        <v>1456</v>
      </c>
      <c r="E202" s="826" t="s">
        <v>1457</v>
      </c>
      <c r="F202" s="826" t="s">
        <v>1370</v>
      </c>
      <c r="G202" s="826" t="s">
        <v>1471</v>
      </c>
      <c r="H202" s="826" t="s">
        <v>1458</v>
      </c>
      <c r="I202" s="832" t="s">
        <v>1459</v>
      </c>
      <c r="J202" s="827" t="s">
        <v>1460</v>
      </c>
      <c r="K202" s="828" t="s">
        <v>1461</v>
      </c>
      <c r="L202" s="164"/>
      <c r="M202" s="164"/>
      <c r="N202" s="164"/>
      <c r="O202" s="829" t="s">
        <v>1462</v>
      </c>
      <c r="P202" s="830"/>
      <c r="Q202" s="831"/>
    </row>
    <row r="203" spans="1:17" s="95" customFormat="1" ht="30" customHeight="1">
      <c r="A203" s="853">
        <v>20240108</v>
      </c>
      <c r="B203" s="111" t="s">
        <v>169</v>
      </c>
      <c r="C203" s="121">
        <v>1</v>
      </c>
      <c r="D203" s="805" t="s">
        <v>200</v>
      </c>
      <c r="E203" s="114" t="s">
        <v>1439</v>
      </c>
      <c r="F203" s="115" t="s">
        <v>1438</v>
      </c>
      <c r="G203" s="114" t="s">
        <v>1440</v>
      </c>
      <c r="H203" s="114">
        <v>21</v>
      </c>
      <c r="I203" s="307" t="s">
        <v>1488</v>
      </c>
      <c r="J203" s="114"/>
      <c r="K203" s="440">
        <v>20240103</v>
      </c>
      <c r="L203" s="164"/>
      <c r="M203" s="164"/>
      <c r="N203" s="164"/>
      <c r="O203" s="113" t="s">
        <v>1441</v>
      </c>
      <c r="P203" s="117"/>
      <c r="Q203" s="116"/>
    </row>
    <row r="204" spans="1:17" s="95" customFormat="1" ht="30" customHeight="1">
      <c r="A204" s="854">
        <v>20240108</v>
      </c>
      <c r="B204" s="846" t="s">
        <v>169</v>
      </c>
      <c r="C204" s="847"/>
      <c r="D204" s="848" t="s">
        <v>1526</v>
      </c>
      <c r="E204" s="847" t="s">
        <v>1527</v>
      </c>
      <c r="F204" s="849">
        <v>318100639</v>
      </c>
      <c r="G204" s="847" t="s">
        <v>1528</v>
      </c>
      <c r="H204" s="847">
        <v>65</v>
      </c>
      <c r="I204" s="307" t="s">
        <v>1529</v>
      </c>
      <c r="J204" s="848" t="s">
        <v>1530</v>
      </c>
      <c r="K204" s="850">
        <v>20240105</v>
      </c>
      <c r="L204" s="164"/>
      <c r="M204" s="164"/>
      <c r="N204" s="164"/>
      <c r="O204" s="851" t="s">
        <v>1531</v>
      </c>
      <c r="P204" s="852"/>
      <c r="Q204" s="851"/>
    </row>
    <row r="205" spans="1:17" s="190" customFormat="1" ht="30" customHeight="1">
      <c r="A205" s="661" t="s">
        <v>1532</v>
      </c>
      <c r="B205" s="661" t="s">
        <v>182</v>
      </c>
      <c r="C205" s="661"/>
      <c r="D205" s="662" t="s">
        <v>1484</v>
      </c>
      <c r="E205" s="661" t="s">
        <v>1449</v>
      </c>
      <c r="F205" s="661" t="s">
        <v>1448</v>
      </c>
      <c r="G205" s="661" t="s">
        <v>1525</v>
      </c>
      <c r="H205" s="661" t="s">
        <v>1450</v>
      </c>
      <c r="I205" s="838" t="s">
        <v>346</v>
      </c>
      <c r="J205" s="661" t="s">
        <v>1524</v>
      </c>
      <c r="K205" s="661" t="s">
        <v>1451</v>
      </c>
      <c r="L205" s="266"/>
      <c r="M205" s="266"/>
      <c r="N205" s="266"/>
      <c r="O205" s="816" t="s">
        <v>1452</v>
      </c>
      <c r="P205" s="845"/>
      <c r="Q205" s="818"/>
    </row>
    <row r="206" spans="1:17" s="190" customFormat="1" ht="30" customHeight="1">
      <c r="A206" s="661" t="s">
        <v>1533</v>
      </c>
      <c r="B206" s="661" t="s">
        <v>182</v>
      </c>
      <c r="C206" s="661"/>
      <c r="D206" s="662" t="s">
        <v>1509</v>
      </c>
      <c r="E206" s="661" t="s">
        <v>1481</v>
      </c>
      <c r="F206" s="661" t="s">
        <v>1482</v>
      </c>
      <c r="G206" s="661" t="s">
        <v>1510</v>
      </c>
      <c r="H206" s="661" t="s">
        <v>1511</v>
      </c>
      <c r="I206" s="838" t="s">
        <v>1512</v>
      </c>
      <c r="J206" s="661" t="s">
        <v>1513</v>
      </c>
      <c r="K206" s="661" t="s">
        <v>1514</v>
      </c>
      <c r="L206" s="164"/>
      <c r="M206" s="164"/>
      <c r="N206" s="164"/>
      <c r="O206" s="816" t="s">
        <v>1515</v>
      </c>
      <c r="P206" s="845"/>
      <c r="Q206" s="818"/>
    </row>
    <row r="207" spans="1:17" s="190" customFormat="1" ht="30" customHeight="1">
      <c r="A207" s="661" t="s">
        <v>1534</v>
      </c>
      <c r="B207" s="661" t="s">
        <v>182</v>
      </c>
      <c r="C207" s="661"/>
      <c r="D207" s="662" t="s">
        <v>442</v>
      </c>
      <c r="E207" s="661" t="s">
        <v>1491</v>
      </c>
      <c r="F207" s="661" t="s">
        <v>1483</v>
      </c>
      <c r="G207" s="661" t="s">
        <v>1519</v>
      </c>
      <c r="H207" s="661" t="s">
        <v>357</v>
      </c>
      <c r="I207" s="838" t="s">
        <v>346</v>
      </c>
      <c r="J207" s="661" t="s">
        <v>320</v>
      </c>
      <c r="K207" s="661" t="s">
        <v>1478</v>
      </c>
      <c r="L207" s="95"/>
      <c r="M207" s="164"/>
      <c r="N207" s="164"/>
      <c r="O207" s="816" t="s">
        <v>166</v>
      </c>
      <c r="P207" s="845"/>
      <c r="Q207" s="818"/>
    </row>
    <row r="208" spans="1:17" s="190" customFormat="1" ht="30" customHeight="1">
      <c r="A208" s="661" t="s">
        <v>1533</v>
      </c>
      <c r="B208" s="661" t="s">
        <v>182</v>
      </c>
      <c r="C208" s="661"/>
      <c r="D208" s="662" t="s">
        <v>750</v>
      </c>
      <c r="E208" s="661" t="s">
        <v>1522</v>
      </c>
      <c r="F208" s="661" t="s">
        <v>1480</v>
      </c>
      <c r="G208" s="661" t="s">
        <v>1523</v>
      </c>
      <c r="H208" s="661" t="s">
        <v>247</v>
      </c>
      <c r="I208" s="838" t="s">
        <v>222</v>
      </c>
      <c r="J208" s="661" t="s">
        <v>1494</v>
      </c>
      <c r="K208" s="661" t="s">
        <v>1478</v>
      </c>
      <c r="L208" s="266"/>
      <c r="M208" s="266"/>
      <c r="N208" s="266"/>
      <c r="O208" s="816" t="s">
        <v>166</v>
      </c>
      <c r="P208" s="845"/>
      <c r="Q208" s="818"/>
    </row>
    <row r="209" spans="1:17" s="87" customFormat="1" ht="30" customHeight="1">
      <c r="A209" s="661" t="s">
        <v>1534</v>
      </c>
      <c r="B209" s="661" t="s">
        <v>182</v>
      </c>
      <c r="C209" s="661"/>
      <c r="D209" s="662" t="s">
        <v>1520</v>
      </c>
      <c r="E209" s="661" t="s">
        <v>1492</v>
      </c>
      <c r="F209" s="661" t="s">
        <v>1349</v>
      </c>
      <c r="G209" s="661" t="s">
        <v>1521</v>
      </c>
      <c r="H209" s="661" t="s">
        <v>295</v>
      </c>
      <c r="I209" s="838" t="s">
        <v>346</v>
      </c>
      <c r="J209" s="661"/>
      <c r="K209" s="661" t="s">
        <v>1340</v>
      </c>
      <c r="L209" s="164"/>
      <c r="M209" s="164"/>
      <c r="N209" s="164"/>
      <c r="O209" s="816" t="s">
        <v>166</v>
      </c>
      <c r="P209" s="817"/>
      <c r="Q209" s="818"/>
    </row>
    <row r="210" spans="1:17" s="190" customFormat="1" ht="27.75" customHeight="1">
      <c r="A210" s="753" t="s">
        <v>1542</v>
      </c>
      <c r="B210" s="753" t="s">
        <v>170</v>
      </c>
      <c r="C210" s="753"/>
      <c r="D210" s="754" t="s">
        <v>1285</v>
      </c>
      <c r="E210" s="753" t="s">
        <v>1286</v>
      </c>
      <c r="F210" s="814" t="s">
        <v>1287</v>
      </c>
      <c r="G210" s="815" t="s">
        <v>1398</v>
      </c>
      <c r="H210" s="753">
        <v>216</v>
      </c>
      <c r="I210" s="650" t="s">
        <v>1288</v>
      </c>
      <c r="J210" s="689" t="s">
        <v>1495</v>
      </c>
      <c r="K210" s="755">
        <v>20231219</v>
      </c>
      <c r="L210" s="266"/>
      <c r="M210" s="266"/>
      <c r="N210" s="266"/>
      <c r="O210" s="756" t="s">
        <v>1289</v>
      </c>
      <c r="P210" s="632"/>
      <c r="Q210" s="633" t="s">
        <v>1493</v>
      </c>
    </row>
    <row r="211" spans="1:17" s="132" customFormat="1" ht="30" customHeight="1">
      <c r="A211" s="886">
        <v>20240108</v>
      </c>
      <c r="B211" s="787" t="s">
        <v>576</v>
      </c>
      <c r="C211" s="787"/>
      <c r="D211" s="791" t="s">
        <v>200</v>
      </c>
      <c r="E211" s="787" t="s">
        <v>1486</v>
      </c>
      <c r="F211" s="787" t="s">
        <v>1485</v>
      </c>
      <c r="G211" s="791" t="s">
        <v>1487</v>
      </c>
      <c r="H211" s="787">
        <v>63</v>
      </c>
      <c r="I211" s="331" t="s">
        <v>1488</v>
      </c>
      <c r="J211" s="787"/>
      <c r="K211" s="787">
        <v>20240105</v>
      </c>
      <c r="L211" s="164"/>
      <c r="M211" s="164"/>
      <c r="N211" s="164"/>
      <c r="O211" s="788" t="s">
        <v>1489</v>
      </c>
      <c r="P211" s="789"/>
      <c r="Q211" s="790"/>
    </row>
    <row r="212" spans="1:17" s="95" customFormat="1" ht="30" customHeight="1">
      <c r="A212" s="887">
        <v>20240109</v>
      </c>
      <c r="B212" s="868" t="s">
        <v>169</v>
      </c>
      <c r="C212" s="869"/>
      <c r="D212" s="870" t="s">
        <v>1603</v>
      </c>
      <c r="E212" s="869" t="s">
        <v>1604</v>
      </c>
      <c r="F212" s="871">
        <v>3181000637</v>
      </c>
      <c r="G212" s="869" t="s">
        <v>1605</v>
      </c>
      <c r="H212" s="869">
        <v>120</v>
      </c>
      <c r="I212" s="307" t="s">
        <v>222</v>
      </c>
      <c r="J212" s="874" t="s">
        <v>1602</v>
      </c>
      <c r="K212" s="872">
        <v>20240108</v>
      </c>
      <c r="L212" s="266"/>
      <c r="M212" s="266"/>
      <c r="N212" s="266"/>
      <c r="O212" s="867" t="s">
        <v>1606</v>
      </c>
      <c r="P212" s="873"/>
      <c r="Q212" s="867"/>
    </row>
    <row r="213" spans="1:17" s="132" customFormat="1" ht="30" customHeight="1">
      <c r="A213" s="888">
        <v>20240109</v>
      </c>
      <c r="B213" s="839" t="s">
        <v>576</v>
      </c>
      <c r="C213" s="859">
        <v>1</v>
      </c>
      <c r="D213" s="860" t="s">
        <v>1550</v>
      </c>
      <c r="E213" s="859" t="s">
        <v>1558</v>
      </c>
      <c r="F213" s="859" t="s">
        <v>1559</v>
      </c>
      <c r="G213" s="860" t="s">
        <v>1560</v>
      </c>
      <c r="H213" s="859">
        <v>160</v>
      </c>
      <c r="I213" s="840" t="s">
        <v>222</v>
      </c>
      <c r="J213" s="859"/>
      <c r="K213" s="859">
        <v>20240108</v>
      </c>
      <c r="L213" s="164"/>
      <c r="M213" s="164"/>
      <c r="N213" s="164"/>
      <c r="O213" s="861" t="s">
        <v>1561</v>
      </c>
      <c r="P213" s="857"/>
      <c r="Q213" s="858"/>
    </row>
    <row r="214" spans="1:17" s="132" customFormat="1" ht="30" customHeight="1">
      <c r="A214" s="888">
        <v>20240109</v>
      </c>
      <c r="B214" s="839" t="s">
        <v>169</v>
      </c>
      <c r="C214" s="859"/>
      <c r="D214" s="860" t="s">
        <v>1546</v>
      </c>
      <c r="E214" s="859" t="s">
        <v>1547</v>
      </c>
      <c r="F214" s="859" t="s">
        <v>1548</v>
      </c>
      <c r="G214" s="860" t="s">
        <v>1570</v>
      </c>
      <c r="H214" s="859">
        <v>43</v>
      </c>
      <c r="I214" s="840" t="s">
        <v>222</v>
      </c>
      <c r="J214" s="859"/>
      <c r="K214" s="859">
        <v>20240108</v>
      </c>
      <c r="L214" s="95"/>
      <c r="M214" s="164"/>
      <c r="N214" s="164"/>
      <c r="O214" s="861" t="s">
        <v>1549</v>
      </c>
      <c r="P214" s="857"/>
      <c r="Q214" s="858"/>
    </row>
    <row r="215" spans="1:17" s="132" customFormat="1" ht="30" customHeight="1">
      <c r="A215" s="889">
        <v>20240109</v>
      </c>
      <c r="B215" s="875" t="s">
        <v>576</v>
      </c>
      <c r="C215" s="875"/>
      <c r="D215" s="876" t="s">
        <v>1607</v>
      </c>
      <c r="E215" s="875" t="s">
        <v>1608</v>
      </c>
      <c r="F215" s="875">
        <v>2397929</v>
      </c>
      <c r="G215" s="876" t="s">
        <v>1609</v>
      </c>
      <c r="H215" s="875">
        <v>100</v>
      </c>
      <c r="I215" s="877" t="s">
        <v>1616</v>
      </c>
      <c r="J215" s="876" t="s">
        <v>1611</v>
      </c>
      <c r="K215" s="875">
        <v>20240108</v>
      </c>
      <c r="L215" s="266"/>
      <c r="M215" s="266"/>
      <c r="N215" s="266"/>
      <c r="O215" s="878" t="s">
        <v>1610</v>
      </c>
      <c r="P215" s="879"/>
      <c r="Q215" s="880"/>
    </row>
    <row r="216" spans="1:17" s="190" customFormat="1" ht="30" customHeight="1">
      <c r="A216" s="661" t="s">
        <v>1617</v>
      </c>
      <c r="B216" s="661" t="s">
        <v>182</v>
      </c>
      <c r="C216" s="661"/>
      <c r="D216" s="662" t="s">
        <v>1516</v>
      </c>
      <c r="E216" s="661" t="s">
        <v>1490</v>
      </c>
      <c r="F216" s="661" t="s">
        <v>823</v>
      </c>
      <c r="G216" s="661" t="s">
        <v>1517</v>
      </c>
      <c r="H216" s="661">
        <v>5</v>
      </c>
      <c r="I216" s="838" t="s">
        <v>1518</v>
      </c>
      <c r="J216" s="661" t="s">
        <v>1612</v>
      </c>
      <c r="K216" s="661">
        <v>20240104</v>
      </c>
      <c r="L216" s="164"/>
      <c r="M216" s="164"/>
      <c r="N216" s="164"/>
      <c r="O216" s="816" t="s">
        <v>1515</v>
      </c>
      <c r="P216" s="845"/>
      <c r="Q216" s="818"/>
    </row>
    <row r="217" spans="1:17" s="190" customFormat="1" ht="30" customHeight="1">
      <c r="A217" s="661" t="s">
        <v>1618</v>
      </c>
      <c r="B217" s="661" t="s">
        <v>182</v>
      </c>
      <c r="C217" s="661"/>
      <c r="D217" s="662" t="s">
        <v>1562</v>
      </c>
      <c r="E217" s="661" t="s">
        <v>1563</v>
      </c>
      <c r="F217" s="661" t="s">
        <v>1543</v>
      </c>
      <c r="G217" s="661" t="s">
        <v>1568</v>
      </c>
      <c r="H217" s="661" t="s">
        <v>1544</v>
      </c>
      <c r="I217" s="838" t="s">
        <v>1564</v>
      </c>
      <c r="J217" s="661" t="s">
        <v>1565</v>
      </c>
      <c r="K217" s="661" t="s">
        <v>1545</v>
      </c>
      <c r="L217" s="266"/>
      <c r="M217" s="266"/>
      <c r="N217" s="266"/>
      <c r="O217" s="816" t="s">
        <v>1566</v>
      </c>
      <c r="P217" s="845"/>
      <c r="Q217" s="818"/>
    </row>
    <row r="218" spans="1:17" s="190" customFormat="1" ht="30" customHeight="1">
      <c r="A218" s="661" t="s">
        <v>1619</v>
      </c>
      <c r="B218" s="661" t="s">
        <v>182</v>
      </c>
      <c r="C218" s="661"/>
      <c r="D218" s="662" t="s">
        <v>1562</v>
      </c>
      <c r="E218" s="661" t="s">
        <v>1567</v>
      </c>
      <c r="F218" s="661" t="s">
        <v>1553</v>
      </c>
      <c r="G218" s="661" t="s">
        <v>1569</v>
      </c>
      <c r="H218" s="661" t="s">
        <v>1544</v>
      </c>
      <c r="I218" s="838" t="s">
        <v>1564</v>
      </c>
      <c r="J218" s="661" t="s">
        <v>1565</v>
      </c>
      <c r="K218" s="661" t="s">
        <v>1545</v>
      </c>
      <c r="L218" s="164"/>
      <c r="M218" s="164"/>
      <c r="N218" s="164"/>
      <c r="O218" s="816" t="s">
        <v>1566</v>
      </c>
      <c r="P218" s="845"/>
      <c r="Q218" s="818"/>
    </row>
    <row r="219" spans="1:17" s="190" customFormat="1" ht="30" customHeight="1">
      <c r="A219" s="661" t="s">
        <v>1619</v>
      </c>
      <c r="B219" s="661" t="s">
        <v>576</v>
      </c>
      <c r="C219" s="661"/>
      <c r="D219" s="662" t="s">
        <v>1585</v>
      </c>
      <c r="E219" s="661" t="s">
        <v>1586</v>
      </c>
      <c r="F219" s="661" t="s">
        <v>1496</v>
      </c>
      <c r="G219" s="661" t="s">
        <v>1587</v>
      </c>
      <c r="H219" s="661" t="s">
        <v>1588</v>
      </c>
      <c r="I219" s="838" t="s">
        <v>1579</v>
      </c>
      <c r="J219" s="661"/>
      <c r="K219" s="661" t="s">
        <v>1589</v>
      </c>
      <c r="L219" s="266"/>
      <c r="M219" s="266"/>
      <c r="N219" s="266"/>
      <c r="O219" s="816" t="s">
        <v>1581</v>
      </c>
      <c r="P219" s="845"/>
      <c r="Q219" s="818"/>
    </row>
    <row r="220" spans="1:17" s="190" customFormat="1" ht="30" customHeight="1">
      <c r="A220" s="661" t="s">
        <v>1619</v>
      </c>
      <c r="B220" s="661" t="s">
        <v>182</v>
      </c>
      <c r="C220" s="661"/>
      <c r="D220" s="662" t="s">
        <v>1585</v>
      </c>
      <c r="E220" s="661" t="s">
        <v>1590</v>
      </c>
      <c r="F220" s="661" t="s">
        <v>759</v>
      </c>
      <c r="G220" s="661" t="s">
        <v>1591</v>
      </c>
      <c r="H220" s="661" t="s">
        <v>1592</v>
      </c>
      <c r="I220" s="838" t="s">
        <v>222</v>
      </c>
      <c r="J220" s="661"/>
      <c r="K220" s="661" t="s">
        <v>1478</v>
      </c>
      <c r="L220" s="95"/>
      <c r="M220" s="164"/>
      <c r="N220" s="164"/>
      <c r="O220" s="816" t="s">
        <v>166</v>
      </c>
      <c r="P220" s="845"/>
      <c r="Q220" s="818"/>
    </row>
    <row r="221" spans="1:17" s="190" customFormat="1" ht="30" customHeight="1">
      <c r="A221" s="661" t="s">
        <v>1617</v>
      </c>
      <c r="B221" s="661" t="s">
        <v>576</v>
      </c>
      <c r="C221" s="661"/>
      <c r="D221" s="662" t="s">
        <v>750</v>
      </c>
      <c r="E221" s="661" t="s">
        <v>1507</v>
      </c>
      <c r="F221" s="661" t="s">
        <v>1508</v>
      </c>
      <c r="G221" s="661" t="s">
        <v>1595</v>
      </c>
      <c r="H221" s="661" t="s">
        <v>291</v>
      </c>
      <c r="I221" s="838" t="s">
        <v>222</v>
      </c>
      <c r="J221" s="661"/>
      <c r="K221" s="661" t="s">
        <v>1594</v>
      </c>
      <c r="L221" s="164"/>
      <c r="M221" s="164"/>
      <c r="N221" s="164"/>
      <c r="O221" s="816" t="s">
        <v>166</v>
      </c>
      <c r="P221" s="845"/>
      <c r="Q221" s="818"/>
    </row>
    <row r="222" spans="1:17" s="190" customFormat="1" ht="27.75" customHeight="1">
      <c r="A222" s="753" t="s">
        <v>1634</v>
      </c>
      <c r="B222" s="753" t="s">
        <v>170</v>
      </c>
      <c r="C222" s="753"/>
      <c r="D222" s="754" t="s">
        <v>1443</v>
      </c>
      <c r="E222" s="753" t="s">
        <v>1444</v>
      </c>
      <c r="F222" s="814" t="s">
        <v>1445</v>
      </c>
      <c r="G222" s="815" t="s">
        <v>1535</v>
      </c>
      <c r="H222" s="753" t="s">
        <v>1402</v>
      </c>
      <c r="I222" s="650" t="s">
        <v>1446</v>
      </c>
      <c r="J222" s="689" t="s">
        <v>1495</v>
      </c>
      <c r="K222" s="755" t="s">
        <v>1404</v>
      </c>
      <c r="L222" s="164"/>
      <c r="M222" s="164"/>
      <c r="N222" s="164"/>
      <c r="O222" s="756" t="s">
        <v>1447</v>
      </c>
      <c r="P222" s="632"/>
      <c r="Q222" s="633" t="s">
        <v>1493</v>
      </c>
    </row>
    <row r="223" spans="1:17" s="409" customFormat="1" ht="30" customHeight="1">
      <c r="A223" s="898" t="s">
        <v>1652</v>
      </c>
      <c r="B223" s="891" t="s">
        <v>181</v>
      </c>
      <c r="C223" s="124"/>
      <c r="D223" s="892" t="s">
        <v>1623</v>
      </c>
      <c r="E223" s="893" t="s">
        <v>1624</v>
      </c>
      <c r="F223" s="893" t="s">
        <v>1625</v>
      </c>
      <c r="G223" s="893" t="s">
        <v>1626</v>
      </c>
      <c r="H223" s="894">
        <v>2</v>
      </c>
      <c r="I223" s="895" t="s">
        <v>1502</v>
      </c>
      <c r="J223" s="890" t="s">
        <v>1628</v>
      </c>
      <c r="K223" s="896">
        <v>20240109</v>
      </c>
      <c r="L223" s="266"/>
      <c r="M223" s="266"/>
      <c r="N223" s="266"/>
      <c r="O223" s="560" t="s">
        <v>1627</v>
      </c>
      <c r="P223" s="561"/>
      <c r="Q223" s="562"/>
    </row>
    <row r="224" spans="1:17" s="190" customFormat="1" ht="30" customHeight="1">
      <c r="A224" s="661" t="s">
        <v>1653</v>
      </c>
      <c r="B224" s="661" t="s">
        <v>182</v>
      </c>
      <c r="C224" s="661"/>
      <c r="D224" s="662" t="s">
        <v>1575</v>
      </c>
      <c r="E224" s="661" t="s">
        <v>1576</v>
      </c>
      <c r="F224" s="661" t="s">
        <v>1467</v>
      </c>
      <c r="G224" s="661" t="s">
        <v>1577</v>
      </c>
      <c r="H224" s="661" t="s">
        <v>1578</v>
      </c>
      <c r="I224" s="838" t="s">
        <v>1579</v>
      </c>
      <c r="J224" s="661"/>
      <c r="K224" s="663" t="s">
        <v>1580</v>
      </c>
      <c r="L224" s="164"/>
      <c r="M224" s="164"/>
      <c r="N224" s="164"/>
      <c r="O224" s="816" t="s">
        <v>1581</v>
      </c>
      <c r="P224" s="845"/>
      <c r="Q224" s="818"/>
    </row>
    <row r="225" spans="1:17" s="190" customFormat="1" ht="30" customHeight="1">
      <c r="A225" s="661" t="s">
        <v>1654</v>
      </c>
      <c r="B225" s="661" t="s">
        <v>182</v>
      </c>
      <c r="C225" s="661"/>
      <c r="D225" s="662" t="s">
        <v>663</v>
      </c>
      <c r="E225" s="661" t="s">
        <v>1582</v>
      </c>
      <c r="F225" s="661" t="s">
        <v>1468</v>
      </c>
      <c r="G225" s="661" t="s">
        <v>1583</v>
      </c>
      <c r="H225" s="661" t="s">
        <v>1584</v>
      </c>
      <c r="I225" s="838" t="s">
        <v>222</v>
      </c>
      <c r="J225" s="661"/>
      <c r="K225" s="663" t="s">
        <v>1451</v>
      </c>
      <c r="L225" s="266"/>
      <c r="M225" s="266"/>
      <c r="N225" s="266"/>
      <c r="O225" s="816" t="s">
        <v>166</v>
      </c>
      <c r="P225" s="845"/>
      <c r="Q225" s="818"/>
    </row>
    <row r="226" spans="1:17" s="95" customFormat="1" ht="30" customHeight="1">
      <c r="A226" s="913">
        <v>20240110</v>
      </c>
      <c r="B226" s="881" t="s">
        <v>169</v>
      </c>
      <c r="C226" s="882"/>
      <c r="D226" s="883" t="s">
        <v>635</v>
      </c>
      <c r="E226" s="882" t="s">
        <v>1644</v>
      </c>
      <c r="F226" s="884" t="s">
        <v>1645</v>
      </c>
      <c r="G226" s="882" t="s">
        <v>1643</v>
      </c>
      <c r="H226" s="882">
        <v>37</v>
      </c>
      <c r="I226" s="885" t="s">
        <v>1646</v>
      </c>
      <c r="J226" s="883" t="s">
        <v>1651</v>
      </c>
      <c r="K226" s="872">
        <v>20240109</v>
      </c>
      <c r="L226" s="266"/>
      <c r="M226" s="266"/>
      <c r="N226" s="266"/>
      <c r="O226" s="867" t="s">
        <v>1647</v>
      </c>
      <c r="P226" s="873"/>
      <c r="Q226" s="897"/>
    </row>
    <row r="227" spans="1:17" s="190" customFormat="1" ht="27.75" customHeight="1">
      <c r="A227" s="863" t="s">
        <v>1652</v>
      </c>
      <c r="B227" s="863" t="s">
        <v>181</v>
      </c>
      <c r="C227" s="863"/>
      <c r="D227" s="864" t="s">
        <v>1571</v>
      </c>
      <c r="E227" s="863" t="s">
        <v>1572</v>
      </c>
      <c r="F227" s="863" t="s">
        <v>1573</v>
      </c>
      <c r="G227" s="749" t="s">
        <v>1631</v>
      </c>
      <c r="H227" s="863" t="s">
        <v>1574</v>
      </c>
      <c r="I227" s="837" t="s">
        <v>222</v>
      </c>
      <c r="J227" s="864"/>
      <c r="K227" s="862" t="s">
        <v>1552</v>
      </c>
      <c r="L227" s="164"/>
      <c r="M227" s="164"/>
      <c r="N227" s="164"/>
      <c r="O227" s="844" t="s">
        <v>1506</v>
      </c>
      <c r="P227" s="865"/>
      <c r="Q227" s="866"/>
    </row>
    <row r="228" spans="1:17" s="132" customFormat="1" ht="30" customHeight="1">
      <c r="A228" s="914">
        <v>20240110</v>
      </c>
      <c r="B228" s="839" t="s">
        <v>576</v>
      </c>
      <c r="C228" s="907"/>
      <c r="D228" s="908" t="s">
        <v>635</v>
      </c>
      <c r="E228" s="907" t="s">
        <v>1669</v>
      </c>
      <c r="F228" s="912" t="s">
        <v>1667</v>
      </c>
      <c r="G228" s="907" t="s">
        <v>1668</v>
      </c>
      <c r="H228" s="907">
        <v>9</v>
      </c>
      <c r="I228" s="909" t="s">
        <v>209</v>
      </c>
      <c r="J228" s="907"/>
      <c r="K228" s="910">
        <v>20240110</v>
      </c>
      <c r="L228" s="164"/>
      <c r="M228" s="164"/>
      <c r="N228" s="164"/>
      <c r="O228" s="841" t="s">
        <v>189</v>
      </c>
      <c r="P228" s="911"/>
      <c r="Q228" s="906"/>
    </row>
    <row r="229" spans="1:17" s="132" customFormat="1" ht="30" customHeight="1">
      <c r="A229" s="914">
        <v>20240110</v>
      </c>
      <c r="B229" s="839" t="s">
        <v>576</v>
      </c>
      <c r="C229" s="907"/>
      <c r="D229" s="908" t="s">
        <v>635</v>
      </c>
      <c r="E229" s="907" t="s">
        <v>1671</v>
      </c>
      <c r="F229" s="912" t="s">
        <v>1670</v>
      </c>
      <c r="G229" s="907" t="s">
        <v>1672</v>
      </c>
      <c r="H229" s="907">
        <v>20</v>
      </c>
      <c r="I229" s="909" t="s">
        <v>209</v>
      </c>
      <c r="J229" s="907"/>
      <c r="K229" s="910">
        <v>20240110</v>
      </c>
      <c r="L229" s="266"/>
      <c r="M229" s="266"/>
      <c r="N229" s="266"/>
      <c r="O229" s="841" t="s">
        <v>189</v>
      </c>
      <c r="P229" s="911"/>
      <c r="Q229" s="906"/>
    </row>
    <row r="230" spans="1:17" s="952" customFormat="1" ht="30" customHeight="1">
      <c r="A230" s="913">
        <v>20240110</v>
      </c>
      <c r="B230" s="945" t="s">
        <v>169</v>
      </c>
      <c r="C230" s="945"/>
      <c r="D230" s="946" t="s">
        <v>635</v>
      </c>
      <c r="E230" s="945" t="s">
        <v>1615</v>
      </c>
      <c r="F230" s="913" t="s">
        <v>1613</v>
      </c>
      <c r="G230" s="945" t="s">
        <v>1614</v>
      </c>
      <c r="H230" s="945">
        <v>160</v>
      </c>
      <c r="I230" s="947" t="s">
        <v>346</v>
      </c>
      <c r="J230" s="946" t="s">
        <v>1637</v>
      </c>
      <c r="K230" s="948">
        <v>20240108</v>
      </c>
      <c r="L230" s="164"/>
      <c r="M230" s="164"/>
      <c r="N230" s="164"/>
      <c r="O230" s="949" t="s">
        <v>166</v>
      </c>
      <c r="P230" s="950"/>
      <c r="Q230" s="951" t="s">
        <v>1630</v>
      </c>
    </row>
    <row r="231" spans="1:17" s="944" customFormat="1" ht="30" customHeight="1">
      <c r="A231" s="933" t="s">
        <v>1703</v>
      </c>
      <c r="B231" s="934" t="s">
        <v>216</v>
      </c>
      <c r="C231" s="935"/>
      <c r="D231" s="936" t="s">
        <v>1554</v>
      </c>
      <c r="E231" s="937" t="s">
        <v>1555</v>
      </c>
      <c r="F231" s="937" t="s">
        <v>361</v>
      </c>
      <c r="G231" s="937" t="s">
        <v>362</v>
      </c>
      <c r="H231" s="937">
        <v>3</v>
      </c>
      <c r="I231" s="938" t="s">
        <v>1556</v>
      </c>
      <c r="J231" s="939"/>
      <c r="K231" s="940">
        <v>20240108</v>
      </c>
      <c r="L231" s="266"/>
      <c r="M231" s="266"/>
      <c r="N231" s="266"/>
      <c r="O231" s="941" t="s">
        <v>1557</v>
      </c>
      <c r="P231" s="942"/>
      <c r="Q231" s="943"/>
    </row>
    <row r="232" spans="1:17" s="965" customFormat="1" ht="30" customHeight="1">
      <c r="A232" s="904" t="s">
        <v>1703</v>
      </c>
      <c r="B232" s="904" t="s">
        <v>181</v>
      </c>
      <c r="C232" s="904"/>
      <c r="D232" s="903" t="s">
        <v>1662</v>
      </c>
      <c r="E232" s="904" t="s">
        <v>1663</v>
      </c>
      <c r="F232" s="904" t="s">
        <v>1664</v>
      </c>
      <c r="G232" s="904" t="s">
        <v>1674</v>
      </c>
      <c r="H232" s="904" t="s">
        <v>1665</v>
      </c>
      <c r="I232" s="838" t="s">
        <v>222</v>
      </c>
      <c r="J232" s="661" t="s">
        <v>320</v>
      </c>
      <c r="K232" s="905" t="s">
        <v>1666</v>
      </c>
      <c r="L232" s="164"/>
      <c r="M232" s="164"/>
      <c r="N232" s="164"/>
      <c r="O232" s="975" t="s">
        <v>1661</v>
      </c>
      <c r="P232" s="976"/>
      <c r="Q232" s="977"/>
    </row>
    <row r="233" spans="1:17" s="965" customFormat="1" ht="27.75" customHeight="1">
      <c r="A233" s="855" t="s">
        <v>1704</v>
      </c>
      <c r="B233" s="753" t="s">
        <v>170</v>
      </c>
      <c r="C233" s="855" t="s">
        <v>1635</v>
      </c>
      <c r="D233" s="754" t="s">
        <v>579</v>
      </c>
      <c r="E233" s="855" t="s">
        <v>1537</v>
      </c>
      <c r="F233" s="855" t="s">
        <v>1536</v>
      </c>
      <c r="G233" s="855" t="s">
        <v>1538</v>
      </c>
      <c r="H233" s="855" t="s">
        <v>1539</v>
      </c>
      <c r="I233" s="650" t="s">
        <v>1446</v>
      </c>
      <c r="J233" s="689" t="s">
        <v>604</v>
      </c>
      <c r="K233" s="856" t="s">
        <v>1540</v>
      </c>
      <c r="L233" s="266"/>
      <c r="M233" s="266"/>
      <c r="N233" s="266"/>
      <c r="O233" s="962" t="s">
        <v>1541</v>
      </c>
      <c r="P233" s="963"/>
      <c r="Q233" s="964" t="s">
        <v>1493</v>
      </c>
    </row>
    <row r="234" spans="1:17" s="958" customFormat="1" ht="30" customHeight="1">
      <c r="A234" s="953" t="s">
        <v>1705</v>
      </c>
      <c r="B234" s="954" t="s">
        <v>182</v>
      </c>
      <c r="C234" s="954"/>
      <c r="D234" s="955" t="s">
        <v>1497</v>
      </c>
      <c r="E234" s="954" t="s">
        <v>1503</v>
      </c>
      <c r="F234" s="954" t="s">
        <v>1504</v>
      </c>
      <c r="G234" s="954" t="s">
        <v>1505</v>
      </c>
      <c r="H234" s="954">
        <v>50</v>
      </c>
      <c r="I234" s="956" t="s">
        <v>1502</v>
      </c>
      <c r="J234" s="954"/>
      <c r="K234" s="957">
        <v>20240105</v>
      </c>
      <c r="L234" s="164"/>
      <c r="M234" s="164"/>
      <c r="N234" s="164"/>
      <c r="O234" s="959" t="s">
        <v>1499</v>
      </c>
      <c r="P234" s="960"/>
      <c r="Q234" s="961"/>
    </row>
    <row r="235" spans="1:17" s="944" customFormat="1" ht="27.75" customHeight="1">
      <c r="A235" s="900" t="s">
        <v>1706</v>
      </c>
      <c r="B235" s="900" t="s">
        <v>182</v>
      </c>
      <c r="C235" s="900"/>
      <c r="D235" s="901" t="s">
        <v>1678</v>
      </c>
      <c r="E235" s="900" t="s">
        <v>1684</v>
      </c>
      <c r="F235" s="900" t="s">
        <v>1675</v>
      </c>
      <c r="G235" s="900" t="s">
        <v>1676</v>
      </c>
      <c r="H235" s="900" t="s">
        <v>1681</v>
      </c>
      <c r="I235" s="650" t="s">
        <v>1679</v>
      </c>
      <c r="J235" s="689" t="s">
        <v>1685</v>
      </c>
      <c r="K235" s="902" t="s">
        <v>1683</v>
      </c>
      <c r="L235" s="266"/>
      <c r="M235" s="266"/>
      <c r="N235" s="266"/>
      <c r="O235" s="966" t="s">
        <v>1680</v>
      </c>
      <c r="P235" s="967"/>
      <c r="Q235" s="968"/>
    </row>
    <row r="236" spans="1:17" s="944" customFormat="1" ht="27.75" customHeight="1">
      <c r="A236" s="900" t="s">
        <v>1707</v>
      </c>
      <c r="B236" s="900" t="s">
        <v>181</v>
      </c>
      <c r="C236" s="900"/>
      <c r="D236" s="901" t="s">
        <v>1655</v>
      </c>
      <c r="E236" s="900" t="s">
        <v>1656</v>
      </c>
      <c r="F236" s="900" t="s">
        <v>1657</v>
      </c>
      <c r="G236" s="900" t="s">
        <v>1658</v>
      </c>
      <c r="H236" s="900" t="s">
        <v>1659</v>
      </c>
      <c r="I236" s="650" t="s">
        <v>900</v>
      </c>
      <c r="J236" s="689" t="s">
        <v>320</v>
      </c>
      <c r="K236" s="902" t="s">
        <v>1660</v>
      </c>
      <c r="L236" s="266"/>
      <c r="M236" s="164"/>
      <c r="N236" s="164"/>
      <c r="O236" s="966" t="s">
        <v>1661</v>
      </c>
      <c r="P236" s="967"/>
      <c r="Q236" s="968"/>
    </row>
    <row r="237" spans="1:17" s="965" customFormat="1" ht="30" customHeight="1">
      <c r="A237" s="661" t="s">
        <v>1704</v>
      </c>
      <c r="B237" s="661" t="s">
        <v>181</v>
      </c>
      <c r="C237" s="661"/>
      <c r="D237" s="662" t="s">
        <v>992</v>
      </c>
      <c r="E237" s="661" t="s">
        <v>1640</v>
      </c>
      <c r="F237" s="661" t="s">
        <v>1629</v>
      </c>
      <c r="G237" s="661" t="s">
        <v>1632</v>
      </c>
      <c r="H237" s="661" t="s">
        <v>1641</v>
      </c>
      <c r="I237" s="838" t="s">
        <v>222</v>
      </c>
      <c r="J237" s="661" t="s">
        <v>320</v>
      </c>
      <c r="K237" s="663" t="s">
        <v>1617</v>
      </c>
      <c r="L237" s="164"/>
      <c r="M237" s="164"/>
      <c r="N237" s="164"/>
      <c r="O237" s="972" t="s">
        <v>166</v>
      </c>
      <c r="P237" s="973"/>
      <c r="Q237" s="974"/>
    </row>
    <row r="238" spans="1:17" s="952" customFormat="1" ht="30" customHeight="1">
      <c r="A238" s="913" t="s">
        <v>1708</v>
      </c>
      <c r="B238" s="945" t="s">
        <v>576</v>
      </c>
      <c r="C238" s="945"/>
      <c r="D238" s="946" t="s">
        <v>635</v>
      </c>
      <c r="E238" s="945" t="s">
        <v>1615</v>
      </c>
      <c r="F238" s="913" t="s">
        <v>1613</v>
      </c>
      <c r="G238" s="945" t="s">
        <v>1614</v>
      </c>
      <c r="H238" s="945" t="s">
        <v>1677</v>
      </c>
      <c r="I238" s="947" t="s">
        <v>346</v>
      </c>
      <c r="J238" s="946"/>
      <c r="K238" s="948" t="s">
        <v>1652</v>
      </c>
      <c r="L238" s="266"/>
      <c r="M238" s="266"/>
      <c r="N238" s="266"/>
      <c r="O238" s="949" t="s">
        <v>166</v>
      </c>
      <c r="P238" s="950"/>
      <c r="Q238" s="951"/>
    </row>
    <row r="239" spans="1:17" s="944" customFormat="1" ht="27.75" customHeight="1">
      <c r="A239" s="900" t="s">
        <v>1763</v>
      </c>
      <c r="B239" s="900" t="s">
        <v>170</v>
      </c>
      <c r="C239" s="900" t="s">
        <v>1742</v>
      </c>
      <c r="D239" s="901" t="s">
        <v>1726</v>
      </c>
      <c r="E239" s="900" t="s">
        <v>1727</v>
      </c>
      <c r="F239" s="900" t="s">
        <v>551</v>
      </c>
      <c r="G239" s="900" t="s">
        <v>554</v>
      </c>
      <c r="H239" s="900" t="s">
        <v>1642</v>
      </c>
      <c r="I239" s="650" t="s">
        <v>1723</v>
      </c>
      <c r="J239" s="689" t="s">
        <v>1728</v>
      </c>
      <c r="K239" s="902" t="s">
        <v>1617</v>
      </c>
      <c r="L239" s="164"/>
      <c r="M239" s="164"/>
      <c r="N239" s="164"/>
      <c r="O239" s="966" t="s">
        <v>1725</v>
      </c>
      <c r="P239" s="967"/>
      <c r="Q239" s="968"/>
    </row>
    <row r="240" spans="1:17" s="944" customFormat="1" ht="27.75" customHeight="1">
      <c r="A240" s="900" t="s">
        <v>1765</v>
      </c>
      <c r="B240" s="900" t="s">
        <v>170</v>
      </c>
      <c r="C240" s="900" t="s">
        <v>1739</v>
      </c>
      <c r="D240" s="901" t="s">
        <v>1721</v>
      </c>
      <c r="E240" s="900" t="s">
        <v>1722</v>
      </c>
      <c r="F240" s="900" t="s">
        <v>1691</v>
      </c>
      <c r="G240" s="900" t="s">
        <v>1692</v>
      </c>
      <c r="H240" s="900" t="s">
        <v>1693</v>
      </c>
      <c r="I240" s="650" t="s">
        <v>1723</v>
      </c>
      <c r="J240" s="689" t="s">
        <v>1724</v>
      </c>
      <c r="K240" s="902" t="s">
        <v>1694</v>
      </c>
      <c r="L240" s="266"/>
      <c r="M240" s="266"/>
      <c r="N240" s="266"/>
      <c r="O240" s="966" t="s">
        <v>1725</v>
      </c>
      <c r="P240" s="967"/>
      <c r="Q240" s="968"/>
    </row>
    <row r="241" spans="1:17" s="944" customFormat="1" ht="27.75" customHeight="1">
      <c r="A241" s="1023" t="s">
        <v>1764</v>
      </c>
      <c r="B241" s="900" t="s">
        <v>181</v>
      </c>
      <c r="C241" s="1023" t="s">
        <v>268</v>
      </c>
      <c r="D241" s="901" t="s">
        <v>1678</v>
      </c>
      <c r="E241" s="1023" t="s">
        <v>1710</v>
      </c>
      <c r="F241" s="1023" t="s">
        <v>1709</v>
      </c>
      <c r="G241" s="1023" t="s">
        <v>1711</v>
      </c>
      <c r="H241" s="900">
        <v>2</v>
      </c>
      <c r="I241" s="650" t="s">
        <v>346</v>
      </c>
      <c r="J241" s="689" t="s">
        <v>1716</v>
      </c>
      <c r="K241" s="1024" t="s">
        <v>1712</v>
      </c>
      <c r="L241" s="164"/>
      <c r="M241" s="164"/>
      <c r="N241" s="164"/>
      <c r="O241" s="966" t="s">
        <v>1252</v>
      </c>
      <c r="P241" s="1025"/>
      <c r="Q241" s="1026"/>
    </row>
    <row r="242" spans="1:17" s="409" customFormat="1" ht="30" customHeight="1">
      <c r="A242" s="898" t="s">
        <v>1785</v>
      </c>
      <c r="B242" s="891" t="s">
        <v>181</v>
      </c>
      <c r="C242" s="124" t="s">
        <v>1729</v>
      </c>
      <c r="D242" s="892" t="s">
        <v>1786</v>
      </c>
      <c r="E242" s="893" t="s">
        <v>1717</v>
      </c>
      <c r="F242" s="893" t="s">
        <v>1673</v>
      </c>
      <c r="G242" s="893" t="s">
        <v>1718</v>
      </c>
      <c r="H242" s="894" t="s">
        <v>1719</v>
      </c>
      <c r="I242" s="895" t="s">
        <v>1787</v>
      </c>
      <c r="J242" s="890" t="s">
        <v>1788</v>
      </c>
      <c r="K242" s="896" t="s">
        <v>1720</v>
      </c>
      <c r="L242" s="266"/>
      <c r="M242" s="266"/>
      <c r="N242" s="266"/>
      <c r="O242" s="560" t="s">
        <v>1789</v>
      </c>
      <c r="P242" s="561"/>
      <c r="Q242" s="562"/>
    </row>
    <row r="243" spans="1:17" s="944" customFormat="1" ht="30" customHeight="1">
      <c r="A243" s="1027" t="s">
        <v>1763</v>
      </c>
      <c r="B243" s="1027" t="s">
        <v>182</v>
      </c>
      <c r="C243" s="1027" t="s">
        <v>247</v>
      </c>
      <c r="D243" s="1028" t="s">
        <v>420</v>
      </c>
      <c r="E243" s="1027" t="s">
        <v>1740</v>
      </c>
      <c r="F243" s="1027" t="s">
        <v>1636</v>
      </c>
      <c r="G243" s="1027" t="s">
        <v>1741</v>
      </c>
      <c r="H243" s="1027">
        <v>2</v>
      </c>
      <c r="I243" s="1029" t="s">
        <v>346</v>
      </c>
      <c r="J243" s="1027" t="s">
        <v>604</v>
      </c>
      <c r="K243" s="1030">
        <v>20240109</v>
      </c>
      <c r="L243" s="164"/>
      <c r="M243" s="164"/>
      <c r="N243" s="164"/>
      <c r="O243" s="1031" t="s">
        <v>168</v>
      </c>
      <c r="P243" s="1032"/>
      <c r="Q243" s="1033"/>
    </row>
    <row r="244" spans="1:17" s="944" customFormat="1" ht="30" customHeight="1">
      <c r="A244" s="1034" t="s">
        <v>1792</v>
      </c>
      <c r="B244" s="1027" t="s">
        <v>182</v>
      </c>
      <c r="C244" s="1034" t="s">
        <v>295</v>
      </c>
      <c r="D244" s="1028" t="s">
        <v>420</v>
      </c>
      <c r="E244" s="1034" t="s">
        <v>1734</v>
      </c>
      <c r="F244" s="1034" t="s">
        <v>1733</v>
      </c>
      <c r="G244" s="1034" t="s">
        <v>1735</v>
      </c>
      <c r="H244" s="1034" t="s">
        <v>1737</v>
      </c>
      <c r="I244" s="1029" t="s">
        <v>346</v>
      </c>
      <c r="J244" s="1027" t="s">
        <v>1682</v>
      </c>
      <c r="K244" s="1035" t="s">
        <v>1738</v>
      </c>
      <c r="L244" s="266"/>
      <c r="M244" s="266"/>
      <c r="N244" s="266"/>
      <c r="O244" s="1031" t="s">
        <v>168</v>
      </c>
      <c r="P244" s="1036"/>
      <c r="Q244" s="1037"/>
    </row>
    <row r="245" spans="1:17" s="965" customFormat="1" ht="30" customHeight="1">
      <c r="A245" s="933" t="s">
        <v>1792</v>
      </c>
      <c r="B245" s="1018" t="s">
        <v>216</v>
      </c>
      <c r="C245" s="1018"/>
      <c r="D245" s="1019" t="s">
        <v>1695</v>
      </c>
      <c r="E245" s="1018" t="s">
        <v>1713</v>
      </c>
      <c r="F245" s="1018" t="s">
        <v>1696</v>
      </c>
      <c r="G245" s="1018" t="s">
        <v>1714</v>
      </c>
      <c r="H245" s="1018" t="s">
        <v>1697</v>
      </c>
      <c r="I245" s="1039" t="s">
        <v>1085</v>
      </c>
      <c r="J245" s="1019"/>
      <c r="K245" s="1020" t="s">
        <v>1698</v>
      </c>
      <c r="L245" s="266"/>
      <c r="M245" s="266"/>
      <c r="N245" s="266"/>
      <c r="O245" s="1021" t="s">
        <v>1699</v>
      </c>
      <c r="P245" s="1040"/>
      <c r="Q245" s="1022"/>
    </row>
    <row r="246" spans="1:17" s="944" customFormat="1" ht="27.75" customHeight="1">
      <c r="A246" s="900" t="s">
        <v>1793</v>
      </c>
      <c r="B246" s="900" t="s">
        <v>170</v>
      </c>
      <c r="C246" s="900"/>
      <c r="D246" s="901" t="s">
        <v>1623</v>
      </c>
      <c r="E246" s="900" t="s">
        <v>1747</v>
      </c>
      <c r="F246" s="900" t="s">
        <v>1743</v>
      </c>
      <c r="G246" s="900" t="s">
        <v>1748</v>
      </c>
      <c r="H246" s="900" t="s">
        <v>1744</v>
      </c>
      <c r="I246" s="650" t="s">
        <v>222</v>
      </c>
      <c r="J246" s="689" t="s">
        <v>320</v>
      </c>
      <c r="K246" s="902" t="s">
        <v>1745</v>
      </c>
      <c r="L246" s="164"/>
      <c r="M246" s="164"/>
      <c r="N246" s="164"/>
      <c r="O246" s="966" t="s">
        <v>1749</v>
      </c>
      <c r="P246" s="967"/>
      <c r="Q246" s="964"/>
    </row>
    <row r="247" spans="1:17" s="944" customFormat="1" ht="27.75" customHeight="1">
      <c r="A247" s="900" t="s">
        <v>1793</v>
      </c>
      <c r="B247" s="900" t="s">
        <v>170</v>
      </c>
      <c r="C247" s="900"/>
      <c r="D247" s="901" t="s">
        <v>298</v>
      </c>
      <c r="E247" s="900" t="s">
        <v>1753</v>
      </c>
      <c r="F247" s="900" t="s">
        <v>1498</v>
      </c>
      <c r="G247" s="900" t="s">
        <v>1754</v>
      </c>
      <c r="H247" s="900">
        <v>34</v>
      </c>
      <c r="I247" s="650" t="s">
        <v>222</v>
      </c>
      <c r="J247" s="689" t="s">
        <v>1752</v>
      </c>
      <c r="K247" s="902">
        <v>20240105</v>
      </c>
      <c r="L247" s="164"/>
      <c r="M247" s="164"/>
      <c r="N247" s="164"/>
      <c r="O247" s="966" t="s">
        <v>1755</v>
      </c>
      <c r="P247" s="967"/>
      <c r="Q247" s="964"/>
    </row>
    <row r="248" spans="1:17" s="944" customFormat="1" ht="27.75" customHeight="1">
      <c r="A248" s="900" t="s">
        <v>1795</v>
      </c>
      <c r="B248" s="900" t="s">
        <v>170</v>
      </c>
      <c r="C248" s="900"/>
      <c r="D248" s="901" t="s">
        <v>298</v>
      </c>
      <c r="E248" s="900" t="s">
        <v>1500</v>
      </c>
      <c r="F248" s="900" t="s">
        <v>1501</v>
      </c>
      <c r="G248" s="900" t="s">
        <v>1756</v>
      </c>
      <c r="H248" s="900">
        <v>18</v>
      </c>
      <c r="I248" s="650" t="s">
        <v>222</v>
      </c>
      <c r="J248" s="689" t="s">
        <v>1752</v>
      </c>
      <c r="K248" s="902">
        <v>20240105</v>
      </c>
      <c r="L248" s="266"/>
      <c r="M248" s="266"/>
      <c r="N248" s="266"/>
      <c r="O248" s="966" t="s">
        <v>1749</v>
      </c>
      <c r="P248" s="967"/>
      <c r="Q248" s="964"/>
    </row>
    <row r="249" spans="1:17" s="981" customFormat="1" ht="30" customHeight="1">
      <c r="A249" s="991" t="s">
        <v>1793</v>
      </c>
      <c r="B249" s="989" t="s">
        <v>181</v>
      </c>
      <c r="C249" s="990"/>
      <c r="D249" s="1000" t="s">
        <v>965</v>
      </c>
      <c r="E249" s="991" t="s">
        <v>1730</v>
      </c>
      <c r="F249" s="991" t="s">
        <v>1731</v>
      </c>
      <c r="G249" s="991" t="s">
        <v>1736</v>
      </c>
      <c r="H249" s="992" t="s">
        <v>268</v>
      </c>
      <c r="I249" s="376" t="s">
        <v>222</v>
      </c>
      <c r="J249" s="1038"/>
      <c r="K249" s="993" t="s">
        <v>1698</v>
      </c>
      <c r="L249" s="164"/>
      <c r="M249" s="164"/>
      <c r="N249" s="164"/>
      <c r="O249" s="994" t="s">
        <v>166</v>
      </c>
      <c r="P249" s="635"/>
      <c r="Q249" s="995"/>
    </row>
    <row r="250" spans="1:17" s="981" customFormat="1" ht="30" customHeight="1">
      <c r="A250" s="991" t="s">
        <v>1795</v>
      </c>
      <c r="B250" s="989" t="s">
        <v>181</v>
      </c>
      <c r="C250" s="990"/>
      <c r="D250" s="1000" t="s">
        <v>965</v>
      </c>
      <c r="E250" s="991" t="s">
        <v>1732</v>
      </c>
      <c r="F250" s="991" t="s">
        <v>1731</v>
      </c>
      <c r="G250" s="991" t="s">
        <v>1736</v>
      </c>
      <c r="H250" s="992" t="s">
        <v>357</v>
      </c>
      <c r="I250" s="376" t="s">
        <v>222</v>
      </c>
      <c r="J250" s="1038"/>
      <c r="K250" s="993" t="s">
        <v>1698</v>
      </c>
      <c r="L250" s="266"/>
      <c r="M250" s="266"/>
      <c r="N250" s="266"/>
      <c r="O250" s="994" t="s">
        <v>1746</v>
      </c>
      <c r="P250" s="635"/>
      <c r="Q250" s="995"/>
    </row>
    <row r="251" spans="1:17" s="944" customFormat="1" ht="27.75" customHeight="1">
      <c r="A251" s="900" t="s">
        <v>1790</v>
      </c>
      <c r="B251" s="900" t="s">
        <v>170</v>
      </c>
      <c r="C251" s="900" t="s">
        <v>295</v>
      </c>
      <c r="D251" s="901" t="s">
        <v>1686</v>
      </c>
      <c r="E251" s="900" t="s">
        <v>1687</v>
      </c>
      <c r="F251" s="900" t="s">
        <v>1639</v>
      </c>
      <c r="G251" s="900" t="s">
        <v>1650</v>
      </c>
      <c r="H251" s="900">
        <v>50</v>
      </c>
      <c r="I251" s="650" t="s">
        <v>1688</v>
      </c>
      <c r="J251" s="689" t="s">
        <v>1689</v>
      </c>
      <c r="K251" s="902">
        <v>20240109</v>
      </c>
      <c r="L251" s="164"/>
      <c r="M251" s="164"/>
      <c r="N251" s="164"/>
      <c r="O251" s="966" t="s">
        <v>1690</v>
      </c>
      <c r="P251" s="967"/>
      <c r="Q251" s="964" t="s">
        <v>1493</v>
      </c>
    </row>
    <row r="252" spans="1:17" s="958" customFormat="1" ht="30" customHeight="1">
      <c r="A252" s="1001" t="s">
        <v>1790</v>
      </c>
      <c r="B252" s="1002" t="s">
        <v>169</v>
      </c>
      <c r="C252" s="1002"/>
      <c r="D252" s="1003" t="s">
        <v>579</v>
      </c>
      <c r="E252" s="1002" t="s">
        <v>1768</v>
      </c>
      <c r="F252" s="1001" t="s">
        <v>1766</v>
      </c>
      <c r="G252" s="1002" t="s">
        <v>1767</v>
      </c>
      <c r="H252" s="1002" t="s">
        <v>1769</v>
      </c>
      <c r="I252" s="1004" t="s">
        <v>209</v>
      </c>
      <c r="J252" s="1003" t="s">
        <v>1771</v>
      </c>
      <c r="K252" s="1005" t="s">
        <v>1770</v>
      </c>
      <c r="L252" s="266"/>
      <c r="M252" s="266"/>
      <c r="N252" s="266"/>
      <c r="O252" s="949" t="s">
        <v>972</v>
      </c>
      <c r="P252" s="1006"/>
      <c r="Q252" s="951"/>
    </row>
    <row r="253" spans="1:17" s="958" customFormat="1" ht="30" customHeight="1">
      <c r="A253" s="1001" t="s">
        <v>1790</v>
      </c>
      <c r="B253" s="1002" t="s">
        <v>169</v>
      </c>
      <c r="C253" s="1002"/>
      <c r="D253" s="1003" t="s">
        <v>200</v>
      </c>
      <c r="E253" s="1002" t="s">
        <v>1768</v>
      </c>
      <c r="F253" s="1001" t="s">
        <v>1766</v>
      </c>
      <c r="G253" s="1002" t="s">
        <v>1767</v>
      </c>
      <c r="H253" s="1002" t="s">
        <v>1773</v>
      </c>
      <c r="I253" s="1004" t="s">
        <v>209</v>
      </c>
      <c r="J253" s="1003" t="s">
        <v>1772</v>
      </c>
      <c r="K253" s="1005" t="s">
        <v>1765</v>
      </c>
      <c r="L253" s="164"/>
      <c r="M253" s="164"/>
      <c r="N253" s="164"/>
      <c r="O253" s="949" t="s">
        <v>972</v>
      </c>
      <c r="P253" s="1006"/>
      <c r="Q253" s="951"/>
    </row>
    <row r="254" spans="1:17" s="944" customFormat="1" ht="27.75" customHeight="1">
      <c r="A254" s="900" t="s">
        <v>1829</v>
      </c>
      <c r="B254" s="900" t="s">
        <v>170</v>
      </c>
      <c r="C254" s="900"/>
      <c r="D254" s="901" t="s">
        <v>1757</v>
      </c>
      <c r="E254" s="900" t="s">
        <v>1758</v>
      </c>
      <c r="F254" s="900" t="s">
        <v>762</v>
      </c>
      <c r="G254" s="900" t="s">
        <v>1759</v>
      </c>
      <c r="H254" s="900" t="s">
        <v>1593</v>
      </c>
      <c r="I254" s="650" t="s">
        <v>222</v>
      </c>
      <c r="J254" s="689"/>
      <c r="K254" s="902" t="s">
        <v>1594</v>
      </c>
      <c r="L254" s="266"/>
      <c r="M254" s="266"/>
      <c r="N254" s="266"/>
      <c r="O254" s="966" t="s">
        <v>1760</v>
      </c>
      <c r="P254" s="967"/>
      <c r="Q254" s="964"/>
    </row>
    <row r="255" spans="1:17" s="944" customFormat="1" ht="27.75" customHeight="1">
      <c r="A255" s="900" t="s">
        <v>1830</v>
      </c>
      <c r="B255" s="900" t="s">
        <v>170</v>
      </c>
      <c r="C255" s="900"/>
      <c r="D255" s="901" t="s">
        <v>750</v>
      </c>
      <c r="E255" s="900" t="s">
        <v>1761</v>
      </c>
      <c r="F255" s="900" t="s">
        <v>1551</v>
      </c>
      <c r="G255" s="900" t="s">
        <v>1596</v>
      </c>
      <c r="H255" s="900" t="s">
        <v>1597</v>
      </c>
      <c r="I255" s="650" t="s">
        <v>1762</v>
      </c>
      <c r="J255" s="689"/>
      <c r="K255" s="902" t="s">
        <v>1598</v>
      </c>
      <c r="L255" s="164"/>
      <c r="M255" s="164"/>
      <c r="N255" s="164"/>
      <c r="O255" s="966" t="s">
        <v>166</v>
      </c>
      <c r="P255" s="967"/>
      <c r="Q255" s="964"/>
    </row>
    <row r="256" spans="1:17" s="944" customFormat="1" ht="27.75" customHeight="1">
      <c r="A256" s="1041" t="s">
        <v>1830</v>
      </c>
      <c r="B256" s="1041" t="s">
        <v>170</v>
      </c>
      <c r="C256" s="1041"/>
      <c r="D256" s="1042" t="s">
        <v>1779</v>
      </c>
      <c r="E256" s="1041" t="s">
        <v>1780</v>
      </c>
      <c r="F256" s="1041" t="s">
        <v>1778</v>
      </c>
      <c r="G256" s="1041" t="s">
        <v>1781</v>
      </c>
      <c r="H256" s="1041" t="s">
        <v>1782</v>
      </c>
      <c r="I256" s="650" t="s">
        <v>988</v>
      </c>
      <c r="J256" s="1042"/>
      <c r="K256" s="1043" t="s">
        <v>1783</v>
      </c>
      <c r="L256" s="266"/>
      <c r="M256" s="266"/>
      <c r="N256" s="266"/>
      <c r="O256" s="1044" t="s">
        <v>1784</v>
      </c>
      <c r="P256" s="1045"/>
      <c r="Q256" s="1046"/>
    </row>
    <row r="257" spans="1:17" s="132" customFormat="1" ht="30" customHeight="1">
      <c r="A257" s="914" t="s">
        <v>1836</v>
      </c>
      <c r="B257" s="839" t="s">
        <v>576</v>
      </c>
      <c r="C257" s="907"/>
      <c r="D257" s="908" t="s">
        <v>1814</v>
      </c>
      <c r="E257" s="907" t="s">
        <v>1776</v>
      </c>
      <c r="F257" s="912" t="s">
        <v>1774</v>
      </c>
      <c r="G257" s="907" t="s">
        <v>1775</v>
      </c>
      <c r="H257" s="907">
        <v>109</v>
      </c>
      <c r="I257" s="909" t="s">
        <v>1808</v>
      </c>
      <c r="J257" s="907"/>
      <c r="K257" s="910">
        <v>20240112</v>
      </c>
      <c r="L257" s="164"/>
      <c r="M257" s="164"/>
      <c r="N257" s="164"/>
      <c r="O257" s="841" t="s">
        <v>1777</v>
      </c>
      <c r="P257" s="911"/>
      <c r="Q257" s="906"/>
    </row>
    <row r="258" spans="1:17" s="944" customFormat="1" ht="27.75" customHeight="1">
      <c r="A258" s="900" t="s">
        <v>1837</v>
      </c>
      <c r="B258" s="900" t="s">
        <v>170</v>
      </c>
      <c r="C258" s="900"/>
      <c r="D258" s="901" t="s">
        <v>1750</v>
      </c>
      <c r="E258" s="900" t="s">
        <v>1751</v>
      </c>
      <c r="F258" s="900" t="s">
        <v>1700</v>
      </c>
      <c r="G258" s="900" t="s">
        <v>1715</v>
      </c>
      <c r="H258" s="900" t="s">
        <v>1701</v>
      </c>
      <c r="I258" s="650" t="s">
        <v>222</v>
      </c>
      <c r="J258" s="689" t="s">
        <v>1752</v>
      </c>
      <c r="K258" s="902" t="s">
        <v>1702</v>
      </c>
      <c r="L258" s="266"/>
      <c r="M258" s="266"/>
      <c r="N258" s="266"/>
      <c r="O258" s="966" t="s">
        <v>166</v>
      </c>
      <c r="P258" s="967"/>
      <c r="Q258" s="964"/>
    </row>
    <row r="259" spans="1:17" s="132" customFormat="1" ht="30" customHeight="1">
      <c r="A259" s="914" t="s">
        <v>1838</v>
      </c>
      <c r="B259" s="839" t="s">
        <v>576</v>
      </c>
      <c r="C259" s="907"/>
      <c r="D259" s="908" t="s">
        <v>0</v>
      </c>
      <c r="E259" s="907" t="s">
        <v>1825</v>
      </c>
      <c r="F259" s="912" t="s">
        <v>1824</v>
      </c>
      <c r="G259" s="907" t="s">
        <v>1826</v>
      </c>
      <c r="H259" s="907" t="s">
        <v>1827</v>
      </c>
      <c r="I259" s="909" t="s">
        <v>222</v>
      </c>
      <c r="J259" s="907" t="s">
        <v>320</v>
      </c>
      <c r="K259" s="910" t="s">
        <v>1828</v>
      </c>
      <c r="L259" s="164"/>
      <c r="M259" s="164"/>
      <c r="N259" s="164"/>
      <c r="O259" s="841" t="s">
        <v>166</v>
      </c>
      <c r="P259" s="911"/>
      <c r="Q259" s="906"/>
    </row>
    <row r="260" spans="1:17" s="981" customFormat="1" ht="30" customHeight="1">
      <c r="A260" s="635" t="s">
        <v>1837</v>
      </c>
      <c r="B260" s="989" t="s">
        <v>1796</v>
      </c>
      <c r="C260" s="990"/>
      <c r="D260" s="1000" t="s">
        <v>0</v>
      </c>
      <c r="E260" s="991" t="s">
        <v>1620</v>
      </c>
      <c r="F260" s="991" t="s">
        <v>1621</v>
      </c>
      <c r="G260" s="991" t="s">
        <v>1633</v>
      </c>
      <c r="H260" s="992" t="s">
        <v>1622</v>
      </c>
      <c r="I260" s="376" t="s">
        <v>222</v>
      </c>
      <c r="J260" s="1038"/>
      <c r="K260" s="993" t="s">
        <v>1617</v>
      </c>
      <c r="L260" s="164"/>
      <c r="M260" s="164"/>
      <c r="N260" s="164"/>
      <c r="O260" s="994" t="s">
        <v>166</v>
      </c>
      <c r="P260" s="635"/>
      <c r="Q260" s="995"/>
    </row>
    <row r="261" spans="1:17" s="981" customFormat="1" ht="30" customHeight="1">
      <c r="A261" s="635" t="s">
        <v>1838</v>
      </c>
      <c r="B261" s="989" t="s">
        <v>1796</v>
      </c>
      <c r="C261" s="990"/>
      <c r="D261" s="1000" t="s">
        <v>1804</v>
      </c>
      <c r="E261" s="991" t="s">
        <v>1805</v>
      </c>
      <c r="F261" s="991" t="s">
        <v>1803</v>
      </c>
      <c r="G261" s="991" t="s">
        <v>1806</v>
      </c>
      <c r="H261" s="992" t="s">
        <v>1807</v>
      </c>
      <c r="I261" s="376" t="s">
        <v>1808</v>
      </c>
      <c r="J261" s="1038"/>
      <c r="K261" s="993" t="s">
        <v>1809</v>
      </c>
      <c r="L261" s="164"/>
      <c r="M261" s="164"/>
      <c r="N261" s="164"/>
      <c r="O261" s="994" t="s">
        <v>1810</v>
      </c>
      <c r="P261" s="635"/>
      <c r="Q261" s="995"/>
    </row>
    <row r="262" spans="1:17" s="944" customFormat="1" ht="27.75" customHeight="1">
      <c r="A262" s="900" t="s">
        <v>1837</v>
      </c>
      <c r="B262" s="1041" t="s">
        <v>170</v>
      </c>
      <c r="C262" s="1047"/>
      <c r="D262" s="1048" t="s">
        <v>200</v>
      </c>
      <c r="E262" s="1047" t="s">
        <v>1798</v>
      </c>
      <c r="F262" s="1047" t="s">
        <v>1797</v>
      </c>
      <c r="G262" s="1047" t="s">
        <v>1799</v>
      </c>
      <c r="H262" s="1047" t="s">
        <v>1800</v>
      </c>
      <c r="I262" s="1057" t="s">
        <v>209</v>
      </c>
      <c r="J262" s="1048"/>
      <c r="K262" s="1049" t="s">
        <v>1802</v>
      </c>
      <c r="L262" s="266"/>
      <c r="M262" s="266"/>
      <c r="N262" s="266"/>
      <c r="O262" s="1050" t="s">
        <v>1801</v>
      </c>
      <c r="P262" s="1051"/>
      <c r="Q262" s="1052"/>
    </row>
    <row r="263" spans="1:17" s="132" customFormat="1" ht="30" customHeight="1">
      <c r="A263" s="914" t="s">
        <v>1890</v>
      </c>
      <c r="B263" s="839" t="s">
        <v>576</v>
      </c>
      <c r="C263" s="907"/>
      <c r="D263" s="908" t="s">
        <v>1839</v>
      </c>
      <c r="E263" s="907" t="s">
        <v>1813</v>
      </c>
      <c r="F263" s="912" t="s">
        <v>1811</v>
      </c>
      <c r="G263" s="907" t="s">
        <v>1812</v>
      </c>
      <c r="H263" s="907" t="s">
        <v>418</v>
      </c>
      <c r="I263" s="909" t="s">
        <v>346</v>
      </c>
      <c r="J263" s="907"/>
      <c r="K263" s="910" t="s">
        <v>1791</v>
      </c>
      <c r="L263" s="164"/>
      <c r="M263" s="164"/>
      <c r="N263" s="164"/>
      <c r="O263" s="841" t="s">
        <v>309</v>
      </c>
      <c r="P263" s="911"/>
      <c r="Q263" s="906"/>
    </row>
    <row r="264" spans="1:17" s="132" customFormat="1" ht="30" customHeight="1">
      <c r="A264" s="1082" t="s">
        <v>1891</v>
      </c>
      <c r="B264" s="1083" t="s">
        <v>576</v>
      </c>
      <c r="C264" s="1083"/>
      <c r="D264" s="1084" t="s">
        <v>1868</v>
      </c>
      <c r="E264" s="1083" t="s">
        <v>1869</v>
      </c>
      <c r="F264" s="1085" t="s">
        <v>1866</v>
      </c>
      <c r="G264" s="1083" t="s">
        <v>1867</v>
      </c>
      <c r="H264" s="1083">
        <v>20</v>
      </c>
      <c r="I264" s="444" t="s">
        <v>1870</v>
      </c>
      <c r="J264" s="1083"/>
      <c r="K264" s="1086">
        <v>20240117</v>
      </c>
      <c r="L264" s="266"/>
      <c r="M264" s="266"/>
      <c r="N264" s="266"/>
      <c r="O264" s="1087" t="s">
        <v>1871</v>
      </c>
      <c r="P264" s="1088"/>
      <c r="Q264" s="1089"/>
    </row>
    <row r="265" spans="1:17" s="1062" customFormat="1" ht="30" customHeight="1">
      <c r="A265" s="913" t="s">
        <v>1892</v>
      </c>
      <c r="B265" s="945" t="s">
        <v>576</v>
      </c>
      <c r="C265" s="945"/>
      <c r="D265" s="946" t="s">
        <v>1599</v>
      </c>
      <c r="E265" s="945" t="s">
        <v>1600</v>
      </c>
      <c r="F265" s="913" t="s">
        <v>1463</v>
      </c>
      <c r="G265" s="945" t="s">
        <v>1638</v>
      </c>
      <c r="H265" s="945">
        <v>50</v>
      </c>
      <c r="I265" s="947" t="s">
        <v>1601</v>
      </c>
      <c r="J265" s="946" t="s">
        <v>1648</v>
      </c>
      <c r="K265" s="1058">
        <v>20240108</v>
      </c>
      <c r="L265" s="164"/>
      <c r="M265" s="164"/>
      <c r="N265" s="164"/>
      <c r="O265" s="1059" t="s">
        <v>166</v>
      </c>
      <c r="P265" s="1060"/>
      <c r="Q265" s="1061" t="s">
        <v>1649</v>
      </c>
    </row>
    <row r="266" spans="1:17" s="944" customFormat="1" ht="27.75" customHeight="1">
      <c r="A266" s="1063" t="s">
        <v>1891</v>
      </c>
      <c r="B266" s="1063" t="s">
        <v>170</v>
      </c>
      <c r="C266" s="1063"/>
      <c r="D266" s="1064" t="s">
        <v>1819</v>
      </c>
      <c r="E266" s="1063" t="s">
        <v>1820</v>
      </c>
      <c r="F266" s="1063" t="s">
        <v>1818</v>
      </c>
      <c r="G266" s="1063" t="s">
        <v>1840</v>
      </c>
      <c r="H266" s="1063" t="s">
        <v>1821</v>
      </c>
      <c r="I266" s="650" t="s">
        <v>222</v>
      </c>
      <c r="J266" s="1064"/>
      <c r="K266" s="1065" t="s">
        <v>1822</v>
      </c>
      <c r="L266" s="164"/>
      <c r="M266" s="164"/>
      <c r="N266" s="164"/>
      <c r="O266" s="1066" t="s">
        <v>1823</v>
      </c>
      <c r="P266" s="1067"/>
      <c r="Q266" s="1068"/>
    </row>
    <row r="267" spans="1:17" s="965" customFormat="1" ht="27.75" customHeight="1">
      <c r="A267" s="630" t="s">
        <v>1893</v>
      </c>
      <c r="B267" s="630" t="s">
        <v>170</v>
      </c>
      <c r="C267" s="630"/>
      <c r="D267" s="631" t="s">
        <v>1296</v>
      </c>
      <c r="E267" s="630" t="s">
        <v>1297</v>
      </c>
      <c r="F267" s="630" t="s">
        <v>1298</v>
      </c>
      <c r="G267" s="749" t="s">
        <v>1401</v>
      </c>
      <c r="H267" s="630" t="s">
        <v>1299</v>
      </c>
      <c r="I267" s="505" t="s">
        <v>900</v>
      </c>
      <c r="J267" s="627"/>
      <c r="K267" s="628" t="s">
        <v>1300</v>
      </c>
      <c r="L267" s="266"/>
      <c r="M267" s="266"/>
      <c r="N267" s="266"/>
      <c r="O267" s="969" t="s">
        <v>1295</v>
      </c>
      <c r="P267" s="970"/>
      <c r="Q267" s="964"/>
    </row>
    <row r="268" spans="1:17" s="952" customFormat="1" ht="30" customHeight="1">
      <c r="A268" s="997" t="s">
        <v>1896</v>
      </c>
      <c r="B268" s="989" t="s">
        <v>181</v>
      </c>
      <c r="C268" s="996"/>
      <c r="D268" s="1069" t="s">
        <v>1123</v>
      </c>
      <c r="E268" s="997" t="s">
        <v>1832</v>
      </c>
      <c r="F268" s="997" t="s">
        <v>1831</v>
      </c>
      <c r="G268" s="997" t="s">
        <v>1833</v>
      </c>
      <c r="H268" s="118" t="s">
        <v>247</v>
      </c>
      <c r="I268" s="376" t="s">
        <v>446</v>
      </c>
      <c r="J268" s="1070"/>
      <c r="K268" s="997" t="s">
        <v>1828</v>
      </c>
      <c r="L268" s="164"/>
      <c r="M268" s="164"/>
      <c r="N268" s="164"/>
      <c r="O268" s="1010"/>
      <c r="P268" s="997"/>
      <c r="Q268" s="1013"/>
    </row>
    <row r="269" spans="1:17" s="1099" customFormat="1" ht="30" customHeight="1">
      <c r="A269" s="1090" t="s">
        <v>1911</v>
      </c>
      <c r="B269" s="1091" t="s">
        <v>576</v>
      </c>
      <c r="C269" s="1091"/>
      <c r="D269" s="1092" t="s">
        <v>1872</v>
      </c>
      <c r="E269" s="1091" t="s">
        <v>1874</v>
      </c>
      <c r="F269" s="1093" t="s">
        <v>1873</v>
      </c>
      <c r="G269" s="1091" t="s">
        <v>1876</v>
      </c>
      <c r="H269" s="1091">
        <v>52</v>
      </c>
      <c r="I269" s="1094" t="s">
        <v>1870</v>
      </c>
      <c r="J269" s="1092" t="s">
        <v>1895</v>
      </c>
      <c r="K269" s="1095">
        <v>20240117</v>
      </c>
      <c r="L269" s="266"/>
      <c r="M269" s="266"/>
      <c r="N269" s="266"/>
      <c r="O269" s="1096" t="s">
        <v>1875</v>
      </c>
      <c r="P269" s="1097"/>
      <c r="Q269" s="1098"/>
    </row>
    <row r="270" spans="1:17" s="1099" customFormat="1" ht="30" customHeight="1">
      <c r="A270" s="1107" t="s">
        <v>1912</v>
      </c>
      <c r="B270" s="1091" t="s">
        <v>576</v>
      </c>
      <c r="C270" s="1108"/>
      <c r="D270" s="1109" t="s">
        <v>635</v>
      </c>
      <c r="E270" s="1108" t="s">
        <v>1906</v>
      </c>
      <c r="F270" s="1110" t="s">
        <v>1905</v>
      </c>
      <c r="G270" s="1108" t="s">
        <v>1907</v>
      </c>
      <c r="H270" s="1108">
        <v>25</v>
      </c>
      <c r="I270" s="1094" t="s">
        <v>209</v>
      </c>
      <c r="J270" s="1092" t="s">
        <v>1351</v>
      </c>
      <c r="K270" s="1111">
        <v>20240118</v>
      </c>
      <c r="L270" s="164"/>
      <c r="M270" s="164"/>
      <c r="N270" s="164"/>
      <c r="O270" s="1112" t="s">
        <v>1901</v>
      </c>
      <c r="P270" s="1113"/>
      <c r="Q270" s="1114" t="s">
        <v>1908</v>
      </c>
    </row>
    <row r="271" spans="1:17" s="95" customFormat="1" ht="30" customHeight="1">
      <c r="A271" s="1115" t="s">
        <v>1911</v>
      </c>
      <c r="B271" s="1116" t="s">
        <v>576</v>
      </c>
      <c r="C271" s="1117"/>
      <c r="D271" s="1118" t="s">
        <v>635</v>
      </c>
      <c r="E271" s="1117" t="s">
        <v>1899</v>
      </c>
      <c r="F271" s="1119" t="s">
        <v>1897</v>
      </c>
      <c r="G271" s="1117" t="s">
        <v>1898</v>
      </c>
      <c r="H271" s="1117">
        <v>9</v>
      </c>
      <c r="I271" s="1120" t="s">
        <v>807</v>
      </c>
      <c r="J271" s="1118"/>
      <c r="K271" s="1121">
        <v>20240118</v>
      </c>
      <c r="L271" s="266"/>
      <c r="M271" s="266"/>
      <c r="N271" s="266"/>
      <c r="O271" s="1122" t="s">
        <v>808</v>
      </c>
      <c r="P271" s="1123"/>
      <c r="Q271" s="1124"/>
    </row>
    <row r="272" spans="1:17" s="1062" customFormat="1" ht="30" customHeight="1">
      <c r="A272" s="913" t="s">
        <v>1913</v>
      </c>
      <c r="B272" s="945" t="s">
        <v>169</v>
      </c>
      <c r="C272" s="945"/>
      <c r="D272" s="946" t="s">
        <v>200</v>
      </c>
      <c r="E272" s="945" t="s">
        <v>1816</v>
      </c>
      <c r="F272" s="913" t="s">
        <v>1815</v>
      </c>
      <c r="G272" s="945" t="s">
        <v>1817</v>
      </c>
      <c r="H272" s="945" t="s">
        <v>1381</v>
      </c>
      <c r="I272" s="947" t="s">
        <v>346</v>
      </c>
      <c r="J272" s="946" t="s">
        <v>1351</v>
      </c>
      <c r="K272" s="1058" t="s">
        <v>1783</v>
      </c>
      <c r="L272" s="164"/>
      <c r="M272" s="164"/>
      <c r="N272" s="164"/>
      <c r="O272" s="1059" t="s">
        <v>1113</v>
      </c>
      <c r="P272" s="1060"/>
      <c r="Q272" s="1061"/>
    </row>
    <row r="273" spans="1:17" s="944" customFormat="1" ht="27.75" customHeight="1">
      <c r="A273" s="1063" t="s">
        <v>1914</v>
      </c>
      <c r="B273" s="1063" t="s">
        <v>170</v>
      </c>
      <c r="C273" s="1063"/>
      <c r="D273" s="1064" t="s">
        <v>1846</v>
      </c>
      <c r="E273" s="1063" t="s">
        <v>1847</v>
      </c>
      <c r="F273" s="1063" t="s">
        <v>1841</v>
      </c>
      <c r="G273" s="1063" t="s">
        <v>1848</v>
      </c>
      <c r="H273" s="1063" t="s">
        <v>1842</v>
      </c>
      <c r="I273" s="650" t="s">
        <v>1843</v>
      </c>
      <c r="J273" s="1064" t="s">
        <v>1849</v>
      </c>
      <c r="K273" s="1065" t="s">
        <v>1844</v>
      </c>
      <c r="L273" s="266"/>
      <c r="M273" s="266"/>
      <c r="N273" s="266"/>
      <c r="O273" s="1066" t="s">
        <v>1845</v>
      </c>
      <c r="P273" s="1067"/>
      <c r="Q273" s="1068"/>
    </row>
    <row r="274" spans="1:17" s="944" customFormat="1" ht="27.75" customHeight="1">
      <c r="A274" s="1063" t="s">
        <v>1911</v>
      </c>
      <c r="B274" s="1063" t="s">
        <v>170</v>
      </c>
      <c r="C274" s="1063"/>
      <c r="D274" s="1064" t="s">
        <v>1877</v>
      </c>
      <c r="E274" s="1063" t="s">
        <v>1878</v>
      </c>
      <c r="F274" s="1063" t="s">
        <v>1879</v>
      </c>
      <c r="G274" s="1063" t="s">
        <v>1880</v>
      </c>
      <c r="H274" s="1063">
        <v>40</v>
      </c>
      <c r="I274" s="650" t="s">
        <v>1881</v>
      </c>
      <c r="J274" s="1064" t="s">
        <v>1895</v>
      </c>
      <c r="K274" s="1065">
        <v>20240117</v>
      </c>
      <c r="L274" s="164"/>
      <c r="M274" s="164"/>
      <c r="N274" s="164"/>
      <c r="O274" s="1066" t="s">
        <v>1882</v>
      </c>
      <c r="P274" s="1067"/>
      <c r="Q274" s="1068"/>
    </row>
    <row r="275" spans="1:17" s="965" customFormat="1" ht="27.75" customHeight="1">
      <c r="A275" s="630" t="s">
        <v>1915</v>
      </c>
      <c r="B275" s="1071" t="s">
        <v>181</v>
      </c>
      <c r="C275" s="1071"/>
      <c r="D275" s="631" t="s">
        <v>1859</v>
      </c>
      <c r="E275" s="1071" t="s">
        <v>1860</v>
      </c>
      <c r="F275" s="1071" t="s">
        <v>1852</v>
      </c>
      <c r="G275" s="1071" t="s">
        <v>1861</v>
      </c>
      <c r="H275" s="1071" t="s">
        <v>1862</v>
      </c>
      <c r="I275" s="505" t="s">
        <v>1863</v>
      </c>
      <c r="J275" s="1072"/>
      <c r="K275" s="1073" t="s">
        <v>1864</v>
      </c>
      <c r="L275" s="164"/>
      <c r="M275" s="164"/>
      <c r="N275" s="164"/>
      <c r="O275" s="1074" t="s">
        <v>1865</v>
      </c>
      <c r="P275" s="1075"/>
      <c r="Q275" s="1076"/>
    </row>
    <row r="276" spans="1:17" s="965" customFormat="1" ht="30" customHeight="1">
      <c r="A276" s="1017" t="s">
        <v>1962</v>
      </c>
      <c r="B276" s="1018" t="s">
        <v>216</v>
      </c>
      <c r="C276" s="1018"/>
      <c r="D276" s="1019" t="s">
        <v>1834</v>
      </c>
      <c r="E276" s="1018" t="s">
        <v>1320</v>
      </c>
      <c r="F276" s="1018" t="s">
        <v>1318</v>
      </c>
      <c r="G276" s="1018" t="s">
        <v>1319</v>
      </c>
      <c r="H276" s="1018" t="s">
        <v>1835</v>
      </c>
      <c r="I276" s="1039" t="s">
        <v>1900</v>
      </c>
      <c r="J276" s="1019"/>
      <c r="K276" s="1020" t="s">
        <v>1888</v>
      </c>
      <c r="L276" s="164"/>
      <c r="M276" s="164"/>
      <c r="N276" s="164"/>
      <c r="O276" s="1021" t="s">
        <v>1894</v>
      </c>
      <c r="P276" s="1040"/>
      <c r="Q276" s="1022"/>
    </row>
    <row r="277" spans="1:17" s="965" customFormat="1" ht="30" customHeight="1">
      <c r="A277" s="1143" t="s">
        <v>1963</v>
      </c>
      <c r="B277" s="1144" t="s">
        <v>576</v>
      </c>
      <c r="C277" s="1144"/>
      <c r="D277" s="1145" t="s">
        <v>1946</v>
      </c>
      <c r="E277" s="1144" t="s">
        <v>1947</v>
      </c>
      <c r="F277" s="1144" t="s">
        <v>1948</v>
      </c>
      <c r="G277" s="1144" t="s">
        <v>1949</v>
      </c>
      <c r="H277" s="1144" t="s">
        <v>1950</v>
      </c>
      <c r="I277" s="1146" t="s">
        <v>1951</v>
      </c>
      <c r="J277" s="1145"/>
      <c r="K277" s="1147" t="s">
        <v>1952</v>
      </c>
      <c r="L277" s="164"/>
      <c r="M277" s="164"/>
      <c r="N277" s="164"/>
      <c r="O277" s="1148" t="s">
        <v>1953</v>
      </c>
      <c r="P277" s="1149"/>
      <c r="Q277" s="1150"/>
    </row>
    <row r="278" spans="1:17" s="1062" customFormat="1" ht="30" customHeight="1">
      <c r="A278" s="913" t="s">
        <v>1964</v>
      </c>
      <c r="B278" s="945" t="s">
        <v>169</v>
      </c>
      <c r="C278" s="945"/>
      <c r="D278" s="946" t="s">
        <v>750</v>
      </c>
      <c r="E278" s="945" t="s">
        <v>1944</v>
      </c>
      <c r="F278" s="913" t="s">
        <v>1559</v>
      </c>
      <c r="G278" s="945" t="s">
        <v>1560</v>
      </c>
      <c r="H278" s="945" t="s">
        <v>1945</v>
      </c>
      <c r="I278" s="947" t="s">
        <v>222</v>
      </c>
      <c r="J278" s="946"/>
      <c r="K278" s="1058" t="s">
        <v>1911</v>
      </c>
      <c r="L278" s="266"/>
      <c r="M278" s="266"/>
      <c r="N278" s="266"/>
      <c r="O278" s="1059" t="s">
        <v>208</v>
      </c>
      <c r="P278" s="1060"/>
      <c r="Q278" s="1061"/>
    </row>
    <row r="279" spans="1:17" s="944" customFormat="1" ht="27.75" customHeight="1">
      <c r="A279" s="1077" t="s">
        <v>1962</v>
      </c>
      <c r="B279" s="1077" t="s">
        <v>170</v>
      </c>
      <c r="C279" s="1077"/>
      <c r="D279" s="1078" t="s">
        <v>1853</v>
      </c>
      <c r="E279" s="1077" t="s">
        <v>1854</v>
      </c>
      <c r="F279" s="1077" t="s">
        <v>1855</v>
      </c>
      <c r="G279" s="1077" t="s">
        <v>1856</v>
      </c>
      <c r="H279" s="1077" t="s">
        <v>1857</v>
      </c>
      <c r="I279" s="650" t="s">
        <v>222</v>
      </c>
      <c r="J279" s="1078" t="s">
        <v>1858</v>
      </c>
      <c r="K279" s="1079" t="s">
        <v>1850</v>
      </c>
      <c r="L279" s="164"/>
      <c r="M279" s="164"/>
      <c r="N279" s="164"/>
      <c r="O279" s="1080" t="s">
        <v>1851</v>
      </c>
      <c r="P279" s="1081"/>
      <c r="Q279" s="1076"/>
    </row>
    <row r="280" spans="1:17" s="944" customFormat="1" ht="27.75" customHeight="1">
      <c r="A280" s="1125" t="s">
        <v>1962</v>
      </c>
      <c r="B280" s="1137" t="s">
        <v>170</v>
      </c>
      <c r="C280" s="1125"/>
      <c r="D280" s="1126" t="s">
        <v>200</v>
      </c>
      <c r="E280" s="1125" t="s">
        <v>1941</v>
      </c>
      <c r="F280" s="1125" t="s">
        <v>1940</v>
      </c>
      <c r="G280" s="1125" t="s">
        <v>1942</v>
      </c>
      <c r="H280" s="1125" t="s">
        <v>1955</v>
      </c>
      <c r="I280" s="650" t="s">
        <v>1956</v>
      </c>
      <c r="J280" s="1064" t="s">
        <v>1957</v>
      </c>
      <c r="K280" s="1127" t="s">
        <v>1958</v>
      </c>
      <c r="L280" s="164"/>
      <c r="M280" s="164"/>
      <c r="N280" s="164"/>
      <c r="O280" s="1128" t="s">
        <v>1959</v>
      </c>
      <c r="P280" s="1106"/>
      <c r="Q280" s="1129"/>
    </row>
    <row r="281" spans="1:17" s="1099" customFormat="1" ht="30" customHeight="1">
      <c r="A281" s="1107" t="s">
        <v>1911</v>
      </c>
      <c r="B281" s="1091" t="s">
        <v>576</v>
      </c>
      <c r="C281" s="1108"/>
      <c r="D281" s="1109" t="s">
        <v>635</v>
      </c>
      <c r="E281" s="1108" t="s">
        <v>1906</v>
      </c>
      <c r="F281" s="1110" t="s">
        <v>1905</v>
      </c>
      <c r="G281" s="1108" t="s">
        <v>1907</v>
      </c>
      <c r="H281" s="1108">
        <v>25</v>
      </c>
      <c r="I281" s="1094" t="s">
        <v>209</v>
      </c>
      <c r="J281" s="1092"/>
      <c r="K281" s="1111">
        <v>20240118</v>
      </c>
      <c r="L281" s="164"/>
      <c r="M281" s="164"/>
      <c r="N281" s="164"/>
      <c r="O281" s="1112" t="s">
        <v>309</v>
      </c>
      <c r="P281" s="1113"/>
      <c r="Q281" s="1114"/>
    </row>
    <row r="282" spans="1:17" s="944" customFormat="1" ht="27.75" customHeight="1">
      <c r="A282" s="1137" t="s">
        <v>2014</v>
      </c>
      <c r="B282" s="1137" t="s">
        <v>170</v>
      </c>
      <c r="C282" s="1137"/>
      <c r="D282" s="1101" t="s">
        <v>1261</v>
      </c>
      <c r="E282" s="1137" t="s">
        <v>1923</v>
      </c>
      <c r="F282" s="1137" t="s">
        <v>1922</v>
      </c>
      <c r="G282" s="1137" t="s">
        <v>1924</v>
      </c>
      <c r="H282" s="1137" t="s">
        <v>1925</v>
      </c>
      <c r="I282" s="650" t="s">
        <v>222</v>
      </c>
      <c r="J282" s="1138"/>
      <c r="K282" s="1139" t="s">
        <v>1926</v>
      </c>
      <c r="L282" s="164"/>
      <c r="M282" s="164"/>
      <c r="N282" s="164"/>
      <c r="O282" s="1140" t="s">
        <v>1927</v>
      </c>
      <c r="P282" s="1141"/>
      <c r="Q282" s="1142"/>
    </row>
    <row r="283" spans="1:17" s="944" customFormat="1" ht="27.75" customHeight="1">
      <c r="A283" s="1137" t="s">
        <v>2015</v>
      </c>
      <c r="B283" s="1137" t="s">
        <v>170</v>
      </c>
      <c r="C283" s="1137"/>
      <c r="D283" s="1138" t="s">
        <v>1931</v>
      </c>
      <c r="E283" s="1137" t="s">
        <v>1932</v>
      </c>
      <c r="F283" s="1137" t="s">
        <v>1933</v>
      </c>
      <c r="G283" s="1137" t="s">
        <v>1960</v>
      </c>
      <c r="H283" s="1137" t="s">
        <v>1934</v>
      </c>
      <c r="I283" s="650" t="s">
        <v>222</v>
      </c>
      <c r="J283" s="1138"/>
      <c r="K283" s="1139" t="s">
        <v>1929</v>
      </c>
      <c r="L283" s="164"/>
      <c r="M283" s="164"/>
      <c r="N283" s="164"/>
      <c r="O283" s="1140" t="s">
        <v>1930</v>
      </c>
      <c r="P283" s="1141"/>
      <c r="Q283" s="1142"/>
    </row>
    <row r="284" spans="1:17" s="952" customFormat="1" ht="30" customHeight="1">
      <c r="A284" s="997" t="s">
        <v>2016</v>
      </c>
      <c r="B284" s="989" t="s">
        <v>181</v>
      </c>
      <c r="C284" s="996"/>
      <c r="D284" s="1069" t="s">
        <v>2023</v>
      </c>
      <c r="E284" s="997" t="s">
        <v>1977</v>
      </c>
      <c r="F284" s="997" t="s">
        <v>1976</v>
      </c>
      <c r="G284" s="997" t="s">
        <v>2024</v>
      </c>
      <c r="H284" s="118" t="s">
        <v>437</v>
      </c>
      <c r="I284" s="376" t="s">
        <v>222</v>
      </c>
      <c r="J284" s="1070" t="s">
        <v>1979</v>
      </c>
      <c r="K284" s="997" t="s">
        <v>1962</v>
      </c>
      <c r="L284" s="164"/>
      <c r="M284" s="164"/>
      <c r="N284" s="164"/>
      <c r="O284" s="1010" t="s">
        <v>1978</v>
      </c>
      <c r="P284" s="997"/>
      <c r="Q284" s="1013"/>
    </row>
    <row r="285" spans="1:17" s="952" customFormat="1" ht="30" customHeight="1">
      <c r="A285" s="997" t="s">
        <v>2016</v>
      </c>
      <c r="B285" s="989" t="s">
        <v>181</v>
      </c>
      <c r="C285" s="996"/>
      <c r="D285" s="1069" t="s">
        <v>2023</v>
      </c>
      <c r="E285" s="997" t="s">
        <v>1980</v>
      </c>
      <c r="F285" s="997" t="s">
        <v>1981</v>
      </c>
      <c r="G285" s="997" t="s">
        <v>2025</v>
      </c>
      <c r="H285" s="118" t="s">
        <v>437</v>
      </c>
      <c r="I285" s="376" t="s">
        <v>222</v>
      </c>
      <c r="J285" s="1070" t="s">
        <v>1982</v>
      </c>
      <c r="K285" s="997" t="s">
        <v>1962</v>
      </c>
      <c r="L285" s="164"/>
      <c r="M285" s="164"/>
      <c r="N285" s="164"/>
      <c r="O285" s="1010" t="s">
        <v>1978</v>
      </c>
      <c r="P285" s="997"/>
      <c r="Q285" s="1013"/>
    </row>
    <row r="286" spans="1:17" s="944" customFormat="1" ht="27.75" customHeight="1">
      <c r="A286" s="1100" t="s">
        <v>2026</v>
      </c>
      <c r="B286" s="1100" t="s">
        <v>170</v>
      </c>
      <c r="C286" s="1100"/>
      <c r="D286" s="1101" t="s">
        <v>1884</v>
      </c>
      <c r="E286" s="1100" t="s">
        <v>1885</v>
      </c>
      <c r="F286" s="1100" t="s">
        <v>1883</v>
      </c>
      <c r="G286" s="1100" t="s">
        <v>1886</v>
      </c>
      <c r="H286" s="1100" t="s">
        <v>1887</v>
      </c>
      <c r="I286" s="650" t="s">
        <v>222</v>
      </c>
      <c r="J286" s="1101"/>
      <c r="K286" s="1102" t="s">
        <v>1888</v>
      </c>
      <c r="L286" s="164"/>
      <c r="M286" s="164"/>
      <c r="N286" s="164"/>
      <c r="O286" s="1103" t="s">
        <v>1889</v>
      </c>
      <c r="P286" s="1104"/>
      <c r="Q286" s="1105"/>
    </row>
    <row r="287" spans="1:17" s="95" customFormat="1" ht="30" customHeight="1">
      <c r="A287" s="1115" t="s">
        <v>2054</v>
      </c>
      <c r="B287" s="1116" t="s">
        <v>576</v>
      </c>
      <c r="C287" s="1117"/>
      <c r="D287" s="1118" t="s">
        <v>1936</v>
      </c>
      <c r="E287" s="1117" t="s">
        <v>1937</v>
      </c>
      <c r="F287" s="1119" t="s">
        <v>1935</v>
      </c>
      <c r="G287" s="1117" t="s">
        <v>1943</v>
      </c>
      <c r="H287" s="1117">
        <v>102</v>
      </c>
      <c r="I287" s="1120" t="s">
        <v>1938</v>
      </c>
      <c r="J287" s="1118"/>
      <c r="K287" s="1121">
        <v>20240119</v>
      </c>
      <c r="L287" s="266"/>
      <c r="M287" s="266"/>
      <c r="N287" s="266"/>
      <c r="O287" s="1122" t="s">
        <v>1939</v>
      </c>
      <c r="P287" s="1123"/>
      <c r="Q287" s="1124"/>
    </row>
    <row r="288" spans="1:17" s="944" customFormat="1" ht="30" customHeight="1">
      <c r="A288" s="1176" t="s">
        <v>2055</v>
      </c>
      <c r="B288" s="1177" t="s">
        <v>216</v>
      </c>
      <c r="C288" s="1178"/>
      <c r="D288" s="1179" t="s">
        <v>200</v>
      </c>
      <c r="E288" s="1178" t="s">
        <v>1999</v>
      </c>
      <c r="F288" s="1178" t="s">
        <v>1997</v>
      </c>
      <c r="G288" s="1178" t="s">
        <v>1998</v>
      </c>
      <c r="H288" s="1178" t="s">
        <v>2000</v>
      </c>
      <c r="I288" s="938" t="s">
        <v>1971</v>
      </c>
      <c r="J288" s="1180" t="s">
        <v>2053</v>
      </c>
      <c r="K288" s="1181" t="s">
        <v>2001</v>
      </c>
      <c r="L288" s="164"/>
      <c r="M288" s="164"/>
      <c r="N288" s="164"/>
      <c r="O288" s="1182" t="s">
        <v>2002</v>
      </c>
      <c r="P288" s="1183"/>
      <c r="Q288" s="1184"/>
    </row>
    <row r="289" spans="1:17" s="95" customFormat="1" ht="30" customHeight="1">
      <c r="A289" s="1186" t="s">
        <v>2056</v>
      </c>
      <c r="B289" s="1116" t="s">
        <v>576</v>
      </c>
      <c r="C289" s="1187"/>
      <c r="D289" s="1188" t="s">
        <v>200</v>
      </c>
      <c r="E289" s="1187" t="s">
        <v>2020</v>
      </c>
      <c r="F289" s="1189" t="s">
        <v>2018</v>
      </c>
      <c r="G289" s="1187" t="s">
        <v>2019</v>
      </c>
      <c r="H289" s="1187">
        <v>167</v>
      </c>
      <c r="I289" s="1120" t="s">
        <v>209</v>
      </c>
      <c r="J289" s="1188"/>
      <c r="K289" s="1190">
        <v>20240123</v>
      </c>
      <c r="L289" s="164"/>
      <c r="M289" s="164"/>
      <c r="N289" s="164"/>
      <c r="O289" s="1191" t="s">
        <v>2021</v>
      </c>
      <c r="P289" s="1192"/>
      <c r="Q289" s="1193"/>
    </row>
    <row r="290" spans="1:17" s="952" customFormat="1" ht="30" customHeight="1">
      <c r="A290" s="1213" t="s">
        <v>2057</v>
      </c>
      <c r="B290" s="1214" t="s">
        <v>169</v>
      </c>
      <c r="C290" s="1214"/>
      <c r="D290" s="1215" t="s">
        <v>2046</v>
      </c>
      <c r="E290" s="1214" t="s">
        <v>2047</v>
      </c>
      <c r="F290" s="1213" t="s">
        <v>2048</v>
      </c>
      <c r="G290" s="1215" t="s">
        <v>2049</v>
      </c>
      <c r="H290" s="1214" t="s">
        <v>2050</v>
      </c>
      <c r="I290" s="999" t="s">
        <v>222</v>
      </c>
      <c r="J290" s="1215" t="s">
        <v>2061</v>
      </c>
      <c r="K290" s="1216" t="s">
        <v>2051</v>
      </c>
      <c r="L290" s="164"/>
      <c r="M290" s="164"/>
      <c r="N290" s="164"/>
      <c r="O290" s="1217" t="s">
        <v>2052</v>
      </c>
      <c r="P290" s="1218"/>
      <c r="Q290" s="1219"/>
    </row>
    <row r="291" spans="1:17" s="944" customFormat="1" ht="27.75" customHeight="1">
      <c r="A291" s="1164" t="s">
        <v>2058</v>
      </c>
      <c r="B291" s="1164" t="s">
        <v>170</v>
      </c>
      <c r="C291" s="1164"/>
      <c r="D291" s="1165" t="s">
        <v>1984</v>
      </c>
      <c r="E291" s="1164" t="s">
        <v>1985</v>
      </c>
      <c r="F291" s="1164" t="s">
        <v>1986</v>
      </c>
      <c r="G291" s="1164" t="s">
        <v>1987</v>
      </c>
      <c r="H291" s="1164" t="s">
        <v>1988</v>
      </c>
      <c r="I291" s="650" t="s">
        <v>222</v>
      </c>
      <c r="J291" s="1165"/>
      <c r="K291" s="1166" t="s">
        <v>1989</v>
      </c>
      <c r="L291" s="164"/>
      <c r="M291" s="164"/>
      <c r="N291" s="164"/>
      <c r="O291" s="1167" t="s">
        <v>1990</v>
      </c>
      <c r="P291" s="1168"/>
      <c r="Q291" s="1169"/>
    </row>
    <row r="292" spans="1:17" s="944" customFormat="1" ht="27.75" customHeight="1">
      <c r="A292" s="1125" t="s">
        <v>2059</v>
      </c>
      <c r="B292" s="1100" t="s">
        <v>170</v>
      </c>
      <c r="C292" s="1125"/>
      <c r="D292" s="1126" t="s">
        <v>629</v>
      </c>
      <c r="E292" s="1125" t="s">
        <v>1961</v>
      </c>
      <c r="F292" s="1125" t="s">
        <v>1954</v>
      </c>
      <c r="G292" s="1125" t="s">
        <v>1902</v>
      </c>
      <c r="H292" s="1125" t="s">
        <v>1903</v>
      </c>
      <c r="I292" s="650" t="s">
        <v>346</v>
      </c>
      <c r="J292" s="1064" t="s">
        <v>1996</v>
      </c>
      <c r="K292" s="1127" t="s">
        <v>1904</v>
      </c>
      <c r="L292" s="164"/>
      <c r="M292" s="164"/>
      <c r="N292" s="164"/>
      <c r="O292" s="1128" t="s">
        <v>1983</v>
      </c>
      <c r="P292" s="1106"/>
      <c r="Q292" s="1157"/>
    </row>
    <row r="293" spans="1:17" s="944" customFormat="1" ht="30" customHeight="1">
      <c r="A293" s="983" t="s">
        <v>2060</v>
      </c>
      <c r="B293" s="1195" t="s">
        <v>181</v>
      </c>
      <c r="C293" s="983"/>
      <c r="D293" s="983" t="s">
        <v>1974</v>
      </c>
      <c r="E293" s="983" t="s">
        <v>1973</v>
      </c>
      <c r="F293" s="983" t="s">
        <v>1972</v>
      </c>
      <c r="G293" s="983" t="s">
        <v>1975</v>
      </c>
      <c r="H293" s="1196" t="s">
        <v>403</v>
      </c>
      <c r="I293" s="1197" t="s">
        <v>479</v>
      </c>
      <c r="J293" s="983"/>
      <c r="K293" s="1198" t="s">
        <v>1962</v>
      </c>
      <c r="L293" s="266"/>
      <c r="M293" s="266"/>
      <c r="N293" s="266"/>
      <c r="O293" s="1199" t="s">
        <v>365</v>
      </c>
      <c r="P293" s="1194"/>
      <c r="Q293" s="1200"/>
    </row>
    <row r="294" spans="1:17" s="944" customFormat="1" ht="27.75" customHeight="1">
      <c r="A294" s="1170" t="s">
        <v>2062</v>
      </c>
      <c r="B294" s="1170" t="s">
        <v>170</v>
      </c>
      <c r="C294" s="1170"/>
      <c r="D294" s="1171" t="s">
        <v>2003</v>
      </c>
      <c r="E294" s="1170" t="s">
        <v>2010</v>
      </c>
      <c r="F294" s="1170" t="s">
        <v>2011</v>
      </c>
      <c r="G294" s="1170" t="s">
        <v>2006</v>
      </c>
      <c r="H294" s="1170" t="s">
        <v>2012</v>
      </c>
      <c r="I294" s="650" t="s">
        <v>222</v>
      </c>
      <c r="J294" s="1171" t="s">
        <v>2038</v>
      </c>
      <c r="K294" s="1172" t="s">
        <v>2013</v>
      </c>
      <c r="L294" s="164"/>
      <c r="M294" s="164"/>
      <c r="N294" s="164"/>
      <c r="O294" s="1173" t="s">
        <v>2009</v>
      </c>
      <c r="P294" s="1174"/>
      <c r="Q294" s="1175"/>
    </row>
    <row r="295" spans="1:17" s="944" customFormat="1" ht="27.75" customHeight="1">
      <c r="A295" s="1170" t="s">
        <v>2063</v>
      </c>
      <c r="B295" s="1170" t="s">
        <v>170</v>
      </c>
      <c r="C295" s="1170"/>
      <c r="D295" s="1171" t="s">
        <v>2003</v>
      </c>
      <c r="E295" s="1170" t="s">
        <v>2004</v>
      </c>
      <c r="F295" s="1170" t="s">
        <v>2005</v>
      </c>
      <c r="G295" s="1170" t="s">
        <v>2006</v>
      </c>
      <c r="H295" s="1170" t="s">
        <v>2007</v>
      </c>
      <c r="I295" s="650" t="s">
        <v>222</v>
      </c>
      <c r="J295" s="1171" t="s">
        <v>2038</v>
      </c>
      <c r="K295" s="1172" t="s">
        <v>2008</v>
      </c>
      <c r="L295" s="164"/>
      <c r="M295" s="164"/>
      <c r="N295" s="164"/>
      <c r="O295" s="1173" t="s">
        <v>2009</v>
      </c>
      <c r="P295" s="1174"/>
      <c r="Q295" s="1175"/>
    </row>
    <row r="296" spans="1:17" s="952" customFormat="1" ht="30" customHeight="1">
      <c r="A296" s="1151" t="s">
        <v>2107</v>
      </c>
      <c r="B296" s="1152" t="s">
        <v>181</v>
      </c>
      <c r="C296" s="1152"/>
      <c r="D296" s="1153" t="s">
        <v>1992</v>
      </c>
      <c r="E296" s="1152" t="s">
        <v>1991</v>
      </c>
      <c r="F296" s="1151" t="s">
        <v>1993</v>
      </c>
      <c r="G296" s="1152" t="s">
        <v>1994</v>
      </c>
      <c r="H296" s="1152">
        <v>49</v>
      </c>
      <c r="I296" s="999" t="s">
        <v>900</v>
      </c>
      <c r="J296" s="1153"/>
      <c r="K296" s="948">
        <v>20240122</v>
      </c>
      <c r="L296" s="266"/>
      <c r="M296" s="266"/>
      <c r="N296" s="266"/>
      <c r="O296" s="1154" t="s">
        <v>1995</v>
      </c>
      <c r="P296" s="950"/>
      <c r="Q296" s="1155"/>
    </row>
    <row r="297" spans="1:17" s="952" customFormat="1" ht="49.5" customHeight="1">
      <c r="A297" s="1151" t="s">
        <v>2107</v>
      </c>
      <c r="B297" s="1152" t="s">
        <v>169</v>
      </c>
      <c r="C297" s="1152"/>
      <c r="D297" s="1153" t="s">
        <v>2027</v>
      </c>
      <c r="E297" s="1152" t="s">
        <v>2028</v>
      </c>
      <c r="F297" s="1151" t="s">
        <v>2029</v>
      </c>
      <c r="G297" s="1152" t="s">
        <v>2030</v>
      </c>
      <c r="H297" s="1152" t="s">
        <v>2031</v>
      </c>
      <c r="I297" s="999" t="s">
        <v>2073</v>
      </c>
      <c r="J297" s="1228" t="s">
        <v>2017</v>
      </c>
      <c r="K297" s="948" t="s">
        <v>2014</v>
      </c>
      <c r="L297" s="164"/>
      <c r="M297" s="164"/>
      <c r="N297" s="164"/>
      <c r="O297" s="1154" t="s">
        <v>2074</v>
      </c>
      <c r="P297" s="950"/>
      <c r="Q297" s="1155"/>
    </row>
    <row r="298" spans="1:17" s="944" customFormat="1" ht="27.75" customHeight="1">
      <c r="A298" s="1151" t="s">
        <v>2107</v>
      </c>
      <c r="B298" s="1201" t="s">
        <v>170</v>
      </c>
      <c r="C298" s="1201"/>
      <c r="D298" s="1202" t="s">
        <v>2102</v>
      </c>
      <c r="E298" s="1201" t="s">
        <v>2101</v>
      </c>
      <c r="F298" s="1201" t="s">
        <v>1831</v>
      </c>
      <c r="G298" s="1201" t="s">
        <v>2104</v>
      </c>
      <c r="H298" s="1201" t="s">
        <v>2106</v>
      </c>
      <c r="I298" s="1247" t="s">
        <v>209</v>
      </c>
      <c r="J298" s="1171" t="s">
        <v>2103</v>
      </c>
      <c r="K298" s="1203" t="s">
        <v>2055</v>
      </c>
      <c r="L298" s="164"/>
      <c r="M298" s="164"/>
      <c r="N298" s="164"/>
      <c r="O298" s="1248" t="s">
        <v>2105</v>
      </c>
      <c r="P298" s="1205"/>
      <c r="Q298" s="1206"/>
    </row>
    <row r="299" spans="1:17" s="944" customFormat="1" ht="27.75" customHeight="1">
      <c r="A299" s="1151" t="s">
        <v>2107</v>
      </c>
      <c r="B299" s="1232" t="s">
        <v>170</v>
      </c>
      <c r="C299" s="1232"/>
      <c r="D299" s="1233" t="s">
        <v>2076</v>
      </c>
      <c r="E299" s="1232" t="s">
        <v>2077</v>
      </c>
      <c r="F299" s="1232" t="s">
        <v>2078</v>
      </c>
      <c r="G299" s="1232" t="s">
        <v>2079</v>
      </c>
      <c r="H299" s="1232" t="s">
        <v>2080</v>
      </c>
      <c r="I299" s="650" t="s">
        <v>222</v>
      </c>
      <c r="J299" s="1233"/>
      <c r="K299" s="1234" t="s">
        <v>2081</v>
      </c>
      <c r="L299" s="164"/>
      <c r="M299" s="164"/>
      <c r="N299" s="164"/>
      <c r="O299" s="1235" t="s">
        <v>2082</v>
      </c>
      <c r="P299" s="1236"/>
      <c r="Q299" s="1237"/>
    </row>
    <row r="300" spans="1:17" s="944" customFormat="1" ht="27.75" customHeight="1">
      <c r="A300" s="1151" t="s">
        <v>2126</v>
      </c>
      <c r="B300" s="1232" t="s">
        <v>170</v>
      </c>
      <c r="C300" s="1232"/>
      <c r="D300" s="1233" t="s">
        <v>2076</v>
      </c>
      <c r="E300" s="1232" t="s">
        <v>2083</v>
      </c>
      <c r="F300" s="1232" t="s">
        <v>1657</v>
      </c>
      <c r="G300" s="1232" t="s">
        <v>1658</v>
      </c>
      <c r="H300" s="1232" t="s">
        <v>2084</v>
      </c>
      <c r="I300" s="650" t="s">
        <v>222</v>
      </c>
      <c r="J300" s="1233"/>
      <c r="K300" s="1234" t="s">
        <v>2085</v>
      </c>
      <c r="L300" s="164"/>
      <c r="M300" s="164"/>
      <c r="N300" s="164"/>
      <c r="O300" s="1235" t="s">
        <v>2086</v>
      </c>
      <c r="P300" s="1236"/>
      <c r="Q300" s="1237"/>
    </row>
    <row r="301" spans="1:17" s="965" customFormat="1" ht="30" customHeight="1">
      <c r="A301" s="1130" t="s">
        <v>2126</v>
      </c>
      <c r="B301" s="1018" t="s">
        <v>216</v>
      </c>
      <c r="C301" s="1131"/>
      <c r="D301" s="1132" t="s">
        <v>834</v>
      </c>
      <c r="E301" s="1131" t="s">
        <v>1917</v>
      </c>
      <c r="F301" s="1131" t="s">
        <v>1916</v>
      </c>
      <c r="G301" s="1131" t="s">
        <v>1918</v>
      </c>
      <c r="H301" s="1131" t="s">
        <v>1919</v>
      </c>
      <c r="I301" s="1039" t="s">
        <v>807</v>
      </c>
      <c r="J301" s="1132" t="s">
        <v>2022</v>
      </c>
      <c r="K301" s="1133" t="s">
        <v>1920</v>
      </c>
      <c r="L301" s="266"/>
      <c r="M301" s="266"/>
      <c r="N301" s="266"/>
      <c r="O301" s="1134" t="s">
        <v>1921</v>
      </c>
      <c r="P301" s="1135"/>
      <c r="Q301" s="1136"/>
    </row>
    <row r="302" spans="1:17" s="981" customFormat="1" ht="30" customHeight="1">
      <c r="A302" s="1151" t="s">
        <v>2173</v>
      </c>
      <c r="B302" s="1229" t="s">
        <v>181</v>
      </c>
      <c r="C302" s="646"/>
      <c r="D302" s="1238" t="s">
        <v>2087</v>
      </c>
      <c r="E302" s="646" t="s">
        <v>2088</v>
      </c>
      <c r="F302" s="646" t="s">
        <v>184</v>
      </c>
      <c r="G302" s="646" t="s">
        <v>2089</v>
      </c>
      <c r="H302" s="984" t="s">
        <v>2090</v>
      </c>
      <c r="I302" s="1239" t="s">
        <v>2091</v>
      </c>
      <c r="J302" s="646"/>
      <c r="K302" s="986" t="s">
        <v>2092</v>
      </c>
      <c r="L302" s="164"/>
      <c r="M302" s="164"/>
      <c r="N302" s="164"/>
      <c r="O302" s="1230" t="s">
        <v>2093</v>
      </c>
      <c r="P302" s="99"/>
      <c r="Q302" s="1231"/>
    </row>
    <row r="303" spans="1:17" s="944" customFormat="1" ht="27.75" customHeight="1">
      <c r="A303" s="1130" t="s">
        <v>2173</v>
      </c>
      <c r="B303" s="1207" t="s">
        <v>170</v>
      </c>
      <c r="C303" s="1207"/>
      <c r="D303" s="1208" t="s">
        <v>2039</v>
      </c>
      <c r="E303" s="1207" t="s">
        <v>2040</v>
      </c>
      <c r="F303" s="1207" t="s">
        <v>2041</v>
      </c>
      <c r="G303" s="1207" t="s">
        <v>2042</v>
      </c>
      <c r="H303" s="1207" t="s">
        <v>2043</v>
      </c>
      <c r="I303" s="650" t="s">
        <v>222</v>
      </c>
      <c r="J303" s="1208"/>
      <c r="K303" s="1209" t="s">
        <v>2044</v>
      </c>
      <c r="L303" s="164"/>
      <c r="M303" s="164"/>
      <c r="N303" s="164"/>
      <c r="O303" s="1210" t="s">
        <v>2045</v>
      </c>
      <c r="P303" s="1211"/>
      <c r="Q303" s="1212"/>
    </row>
    <row r="304" spans="1:17" s="944" customFormat="1" ht="27.75" customHeight="1">
      <c r="A304" s="1151" t="s">
        <v>2173</v>
      </c>
      <c r="B304" s="1201" t="s">
        <v>170</v>
      </c>
      <c r="C304" s="1201"/>
      <c r="D304" s="1202" t="s">
        <v>2032</v>
      </c>
      <c r="E304" s="1201" t="s">
        <v>2033</v>
      </c>
      <c r="F304" s="1201" t="s">
        <v>2034</v>
      </c>
      <c r="G304" s="1201" t="s">
        <v>2075</v>
      </c>
      <c r="H304" s="1201" t="s">
        <v>2035</v>
      </c>
      <c r="I304" s="650" t="s">
        <v>222</v>
      </c>
      <c r="J304" s="1171" t="s">
        <v>2127</v>
      </c>
      <c r="K304" s="1203" t="s">
        <v>2036</v>
      </c>
      <c r="L304" s="266"/>
      <c r="M304" s="266"/>
      <c r="N304" s="266"/>
      <c r="O304" s="1204" t="s">
        <v>2037</v>
      </c>
      <c r="P304" s="1205"/>
      <c r="Q304" s="1206"/>
    </row>
    <row r="305" spans="1:17" s="965" customFormat="1" ht="27.75" customHeight="1">
      <c r="A305" s="1130" t="s">
        <v>2173</v>
      </c>
      <c r="B305" s="1261" t="s">
        <v>170</v>
      </c>
      <c r="C305" s="1261"/>
      <c r="D305" s="631" t="s">
        <v>0</v>
      </c>
      <c r="E305" s="1261" t="s">
        <v>2118</v>
      </c>
      <c r="F305" s="1261" t="s">
        <v>2119</v>
      </c>
      <c r="G305" s="1261" t="s">
        <v>2120</v>
      </c>
      <c r="H305" s="1261" t="s">
        <v>2121</v>
      </c>
      <c r="I305" s="505" t="s">
        <v>222</v>
      </c>
      <c r="J305" s="1262"/>
      <c r="K305" s="1263" t="s">
        <v>2122</v>
      </c>
      <c r="L305" s="164"/>
      <c r="M305" s="164"/>
      <c r="N305" s="164"/>
      <c r="O305" s="1264"/>
      <c r="P305" s="1265"/>
      <c r="Q305" s="1266"/>
    </row>
    <row r="306" spans="1:17" s="95" customFormat="1" ht="26.25" customHeight="1">
      <c r="A306" s="1151" t="s">
        <v>2173</v>
      </c>
      <c r="B306" s="1252" t="s">
        <v>576</v>
      </c>
      <c r="C306" s="1252"/>
      <c r="D306" s="1253" t="s">
        <v>306</v>
      </c>
      <c r="E306" s="1252" t="s">
        <v>2115</v>
      </c>
      <c r="F306" s="1254" t="s">
        <v>252</v>
      </c>
      <c r="G306" s="1252" t="s">
        <v>253</v>
      </c>
      <c r="H306" s="1252">
        <v>52</v>
      </c>
      <c r="I306" s="1120" t="s">
        <v>2116</v>
      </c>
      <c r="J306" s="1255"/>
      <c r="K306" s="1256">
        <v>20240125</v>
      </c>
      <c r="L306" s="1257"/>
      <c r="M306" s="1257"/>
      <c r="N306" s="1257"/>
      <c r="O306" s="1258" t="s">
        <v>2117</v>
      </c>
      <c r="P306" s="1259"/>
      <c r="Q306" s="1260"/>
    </row>
    <row r="307" spans="1:17" s="965" customFormat="1" ht="27.75" customHeight="1">
      <c r="A307" s="1130" t="s">
        <v>2173</v>
      </c>
      <c r="B307" s="1241" t="s">
        <v>170</v>
      </c>
      <c r="C307" s="1241"/>
      <c r="D307" s="631" t="s">
        <v>18</v>
      </c>
      <c r="E307" s="1241" t="s">
        <v>2095</v>
      </c>
      <c r="F307" s="1241" t="s">
        <v>2097</v>
      </c>
      <c r="G307" s="1242" t="s">
        <v>2096</v>
      </c>
      <c r="H307" s="1241" t="s">
        <v>2098</v>
      </c>
      <c r="I307" s="505" t="s">
        <v>222</v>
      </c>
      <c r="J307" s="1242" t="s">
        <v>2176</v>
      </c>
      <c r="K307" s="1243" t="s">
        <v>2099</v>
      </c>
      <c r="L307" s="164"/>
      <c r="M307" s="164"/>
      <c r="N307" s="164"/>
      <c r="O307" s="1244" t="s">
        <v>2100</v>
      </c>
      <c r="P307" s="1245"/>
      <c r="Q307" s="1246"/>
    </row>
    <row r="308" spans="1:17" s="95" customFormat="1" ht="26.25" customHeight="1">
      <c r="A308" s="1251" t="s">
        <v>2171</v>
      </c>
      <c r="B308" s="1252" t="s">
        <v>576</v>
      </c>
      <c r="C308" s="1252"/>
      <c r="D308" s="1253" t="s">
        <v>200</v>
      </c>
      <c r="E308" s="1252" t="s">
        <v>1768</v>
      </c>
      <c r="F308" s="1254" t="s">
        <v>1766</v>
      </c>
      <c r="G308" s="1252" t="s">
        <v>1767</v>
      </c>
      <c r="H308" s="1252" t="s">
        <v>2128</v>
      </c>
      <c r="I308" s="1120" t="s">
        <v>2094</v>
      </c>
      <c r="J308" s="1282" t="s">
        <v>2127</v>
      </c>
      <c r="K308" s="1256" t="s">
        <v>2126</v>
      </c>
      <c r="L308" s="266"/>
      <c r="M308" s="266"/>
      <c r="N308" s="266"/>
      <c r="O308" s="1258" t="s">
        <v>2129</v>
      </c>
      <c r="P308" s="1259"/>
      <c r="Q308" s="1260"/>
    </row>
    <row r="309" spans="1:17" s="95" customFormat="1" ht="26.25" customHeight="1">
      <c r="A309" s="1251" t="s">
        <v>2178</v>
      </c>
      <c r="B309" s="1252" t="s">
        <v>576</v>
      </c>
      <c r="C309" s="1252"/>
      <c r="D309" s="1253" t="s">
        <v>1928</v>
      </c>
      <c r="E309" s="1252" t="s">
        <v>2140</v>
      </c>
      <c r="F309" s="1254" t="s">
        <v>2139</v>
      </c>
      <c r="G309" s="1252" t="s">
        <v>2143</v>
      </c>
      <c r="H309" s="1252" t="s">
        <v>2154</v>
      </c>
      <c r="I309" s="1120" t="s">
        <v>2155</v>
      </c>
      <c r="J309" s="1255"/>
      <c r="K309" s="1256" t="s">
        <v>2156</v>
      </c>
      <c r="L309" s="164"/>
      <c r="M309" s="164"/>
      <c r="N309" s="164"/>
      <c r="O309" s="1258" t="s">
        <v>2157</v>
      </c>
      <c r="P309" s="1259"/>
      <c r="Q309" s="1260"/>
    </row>
    <row r="310" spans="1:17" s="95" customFormat="1" ht="26.25" customHeight="1">
      <c r="A310" s="1251" t="s">
        <v>2178</v>
      </c>
      <c r="B310" s="1252" t="s">
        <v>576</v>
      </c>
      <c r="C310" s="1252"/>
      <c r="D310" s="1253" t="s">
        <v>1928</v>
      </c>
      <c r="E310" s="1252" t="s">
        <v>2137</v>
      </c>
      <c r="F310" s="1254" t="s">
        <v>2138</v>
      </c>
      <c r="G310" s="1252" t="s">
        <v>2142</v>
      </c>
      <c r="H310" s="1252" t="s">
        <v>2152</v>
      </c>
      <c r="I310" s="1120" t="s">
        <v>2153</v>
      </c>
      <c r="J310" s="1255"/>
      <c r="K310" s="1256" t="s">
        <v>2150</v>
      </c>
      <c r="L310" s="164"/>
      <c r="M310" s="164"/>
      <c r="N310" s="164"/>
      <c r="O310" s="1258" t="s">
        <v>2151</v>
      </c>
      <c r="P310" s="1259"/>
      <c r="Q310" s="1260"/>
    </row>
    <row r="311" spans="1:17" s="952" customFormat="1" ht="30" customHeight="1">
      <c r="A311" s="1151" t="s">
        <v>2172</v>
      </c>
      <c r="B311" s="1152" t="s">
        <v>169</v>
      </c>
      <c r="C311" s="1152"/>
      <c r="D311" s="1153" t="s">
        <v>200</v>
      </c>
      <c r="E311" s="1152" t="s">
        <v>2072</v>
      </c>
      <c r="F311" s="1151" t="s">
        <v>2071</v>
      </c>
      <c r="G311" s="1152" t="s">
        <v>2123</v>
      </c>
      <c r="H311" s="1152">
        <v>209</v>
      </c>
      <c r="I311" s="999" t="s">
        <v>2124</v>
      </c>
      <c r="J311" s="1153" t="s">
        <v>2175</v>
      </c>
      <c r="K311" s="948">
        <v>20240124</v>
      </c>
      <c r="L311" s="266"/>
      <c r="M311" s="266"/>
      <c r="N311" s="266"/>
      <c r="O311" s="1154" t="s">
        <v>2125</v>
      </c>
      <c r="P311" s="950"/>
      <c r="Q311" s="1155"/>
    </row>
    <row r="312" spans="1:17" s="981" customFormat="1" ht="30" customHeight="1">
      <c r="A312" s="661" t="s">
        <v>2178</v>
      </c>
      <c r="B312" s="843" t="s">
        <v>182</v>
      </c>
      <c r="C312" s="843"/>
      <c r="D312" s="842" t="s">
        <v>1212</v>
      </c>
      <c r="E312" s="843" t="s">
        <v>1909</v>
      </c>
      <c r="F312" s="843" t="s">
        <v>1164</v>
      </c>
      <c r="G312" s="843" t="s">
        <v>1163</v>
      </c>
      <c r="H312" s="843" t="s">
        <v>1910</v>
      </c>
      <c r="I312" s="384" t="s">
        <v>222</v>
      </c>
      <c r="J312" s="843" t="s">
        <v>2177</v>
      </c>
      <c r="K312" s="899" t="s">
        <v>1888</v>
      </c>
      <c r="L312" s="164"/>
      <c r="M312" s="164"/>
      <c r="N312" s="164"/>
      <c r="O312" s="978" t="s">
        <v>1113</v>
      </c>
      <c r="P312" s="979"/>
      <c r="Q312" s="980"/>
    </row>
    <row r="313" spans="1:17" s="944" customFormat="1" ht="30" customHeight="1">
      <c r="A313" s="1194" t="s">
        <v>2179</v>
      </c>
      <c r="B313" s="1195" t="s">
        <v>181</v>
      </c>
      <c r="C313" s="983" t="s">
        <v>2168</v>
      </c>
      <c r="D313" s="1249" t="s">
        <v>2110</v>
      </c>
      <c r="E313" s="983" t="s">
        <v>2109</v>
      </c>
      <c r="F313" s="983" t="s">
        <v>2108</v>
      </c>
      <c r="G313" s="983" t="s">
        <v>2111</v>
      </c>
      <c r="H313" s="1196" t="s">
        <v>2112</v>
      </c>
      <c r="I313" s="1250" t="s">
        <v>2091</v>
      </c>
      <c r="J313" s="1249" t="s">
        <v>2174</v>
      </c>
      <c r="K313" s="1198" t="s">
        <v>2113</v>
      </c>
      <c r="L313" s="266"/>
      <c r="M313" s="266"/>
      <c r="N313" s="266"/>
      <c r="O313" s="1199" t="s">
        <v>2114</v>
      </c>
      <c r="P313" s="1194"/>
      <c r="Q313" s="1200"/>
    </row>
    <row r="314" spans="1:17" s="944" customFormat="1" ht="27.75" customHeight="1">
      <c r="A314" s="1158" t="s">
        <v>2180</v>
      </c>
      <c r="B314" s="1100" t="s">
        <v>170</v>
      </c>
      <c r="C314" s="1158" t="s">
        <v>2144</v>
      </c>
      <c r="D314" s="1126" t="s">
        <v>629</v>
      </c>
      <c r="E314" s="1158" t="s">
        <v>1967</v>
      </c>
      <c r="F314" s="1158" t="s">
        <v>1965</v>
      </c>
      <c r="G314" s="1158" t="s">
        <v>1966</v>
      </c>
      <c r="H314" s="1158" t="s">
        <v>1968</v>
      </c>
      <c r="I314" s="650" t="s">
        <v>346</v>
      </c>
      <c r="J314" s="1159"/>
      <c r="K314" s="1160" t="s">
        <v>1970</v>
      </c>
      <c r="L314" s="164"/>
      <c r="M314" s="164"/>
      <c r="N314" s="164"/>
      <c r="O314" s="1161" t="s">
        <v>1969</v>
      </c>
      <c r="P314" s="1162"/>
      <c r="Q314" s="1163"/>
    </row>
    <row r="315" spans="1:17" s="944" customFormat="1" ht="27.75" customHeight="1">
      <c r="A315" s="1278" t="s">
        <v>2180</v>
      </c>
      <c r="B315" s="1270" t="s">
        <v>170</v>
      </c>
      <c r="C315" s="1278" t="s">
        <v>268</v>
      </c>
      <c r="D315" s="1279" t="s">
        <v>200</v>
      </c>
      <c r="E315" s="1278" t="s">
        <v>2148</v>
      </c>
      <c r="F315" s="1278" t="s">
        <v>2146</v>
      </c>
      <c r="G315" s="1278" t="s">
        <v>2147</v>
      </c>
      <c r="H315" s="1278" t="s">
        <v>2145</v>
      </c>
      <c r="I315" s="650" t="s">
        <v>346</v>
      </c>
      <c r="J315" s="1171" t="s">
        <v>320</v>
      </c>
      <c r="K315" s="1268" t="s">
        <v>2130</v>
      </c>
      <c r="L315" s="164"/>
      <c r="M315" s="164"/>
      <c r="N315" s="164"/>
      <c r="O315" s="1224" t="s">
        <v>2070</v>
      </c>
      <c r="P315" s="1280"/>
      <c r="Q315" s="1281"/>
    </row>
    <row r="316" spans="1:17" s="944" customFormat="1" ht="27.75" customHeight="1">
      <c r="A316" s="1270" t="s">
        <v>2181</v>
      </c>
      <c r="B316" s="1270" t="s">
        <v>182</v>
      </c>
      <c r="C316" s="1270" t="s">
        <v>410</v>
      </c>
      <c r="D316" s="1271" t="s">
        <v>2131</v>
      </c>
      <c r="E316" s="1270" t="s">
        <v>2132</v>
      </c>
      <c r="F316" s="1270" t="s">
        <v>2133</v>
      </c>
      <c r="G316" s="1270" t="s">
        <v>2141</v>
      </c>
      <c r="H316" s="1270" t="s">
        <v>2134</v>
      </c>
      <c r="I316" s="650" t="s">
        <v>222</v>
      </c>
      <c r="J316" s="1171" t="s">
        <v>320</v>
      </c>
      <c r="K316" s="1272" t="s">
        <v>2135</v>
      </c>
      <c r="L316" s="266"/>
      <c r="M316" s="266"/>
      <c r="N316" s="266"/>
      <c r="O316" s="1273" t="s">
        <v>2136</v>
      </c>
      <c r="P316" s="1274"/>
      <c r="Q316" s="1275"/>
    </row>
    <row r="317" spans="1:17" s="944" customFormat="1" ht="27.75" customHeight="1">
      <c r="A317" s="1221" t="s">
        <v>2182</v>
      </c>
      <c r="B317" s="1221" t="s">
        <v>182</v>
      </c>
      <c r="C317" s="1221" t="s">
        <v>2149</v>
      </c>
      <c r="D317" s="1222" t="s">
        <v>2064</v>
      </c>
      <c r="E317" s="1221" t="s">
        <v>2065</v>
      </c>
      <c r="F317" s="1221" t="s">
        <v>2066</v>
      </c>
      <c r="G317" s="1221" t="s">
        <v>2067</v>
      </c>
      <c r="H317" s="1221" t="s">
        <v>2068</v>
      </c>
      <c r="I317" s="650" t="s">
        <v>222</v>
      </c>
      <c r="J317" s="1171" t="s">
        <v>320</v>
      </c>
      <c r="K317" s="1223" t="s">
        <v>2069</v>
      </c>
      <c r="L317" s="164"/>
      <c r="M317" s="164"/>
      <c r="N317" s="164"/>
      <c r="O317" s="1224" t="s">
        <v>2070</v>
      </c>
      <c r="P317" s="1225"/>
      <c r="Q317" s="1226"/>
    </row>
    <row r="318" spans="1:17" s="944" customFormat="1" ht="27.75" customHeight="1">
      <c r="A318" s="1283" t="s">
        <v>2183</v>
      </c>
      <c r="B318" s="1283" t="s">
        <v>170</v>
      </c>
      <c r="C318" s="1283" t="s">
        <v>2169</v>
      </c>
      <c r="D318" s="1271" t="s">
        <v>663</v>
      </c>
      <c r="E318" s="1283" t="s">
        <v>2158</v>
      </c>
      <c r="F318" s="1283" t="s">
        <v>2159</v>
      </c>
      <c r="G318" s="1283" t="s">
        <v>2160</v>
      </c>
      <c r="H318" s="1283" t="s">
        <v>2161</v>
      </c>
      <c r="I318" s="650" t="s">
        <v>222</v>
      </c>
      <c r="J318" s="1171" t="s">
        <v>320</v>
      </c>
      <c r="K318" s="1284" t="s">
        <v>2162</v>
      </c>
      <c r="L318" s="164"/>
      <c r="M318" s="164"/>
      <c r="N318" s="164"/>
      <c r="O318" s="1285" t="s">
        <v>2163</v>
      </c>
      <c r="P318" s="1286"/>
      <c r="Q318" s="1287"/>
    </row>
    <row r="319" spans="1:17" s="944" customFormat="1" ht="27.75" customHeight="1">
      <c r="A319" s="1283" t="s">
        <v>2180</v>
      </c>
      <c r="B319" s="1283" t="s">
        <v>170</v>
      </c>
      <c r="C319" s="1283" t="s">
        <v>2170</v>
      </c>
      <c r="D319" s="1271" t="s">
        <v>663</v>
      </c>
      <c r="E319" s="1283" t="s">
        <v>2164</v>
      </c>
      <c r="F319" s="1283" t="s">
        <v>2165</v>
      </c>
      <c r="G319" s="1283" t="s">
        <v>2166</v>
      </c>
      <c r="H319" s="1283" t="s">
        <v>2167</v>
      </c>
      <c r="I319" s="650" t="s">
        <v>222</v>
      </c>
      <c r="J319" s="1171" t="s">
        <v>320</v>
      </c>
      <c r="K319" s="1284" t="s">
        <v>2162</v>
      </c>
      <c r="L319" s="266"/>
      <c r="M319" s="266"/>
      <c r="N319" s="266"/>
      <c r="O319" s="1285" t="s">
        <v>2163</v>
      </c>
      <c r="P319" s="1286"/>
      <c r="Q319" s="1287"/>
    </row>
    <row r="320" spans="1:17">
      <c r="L320" s="164"/>
      <c r="M320" s="164"/>
      <c r="N320" s="164"/>
    </row>
  </sheetData>
  <autoFilter ref="A3:Q63"/>
  <mergeCells count="3">
    <mergeCell ref="A1:K1"/>
    <mergeCell ref="O1:Q2"/>
    <mergeCell ref="Q169:Q171"/>
  </mergeCells>
  <phoneticPr fontId="6" type="noConversion"/>
  <conditionalFormatting sqref="A3:J3">
    <cfRule type="expression" dxfId="99" priority="1">
      <formula>AND(#REF!&lt;&gt;0,#REF!&lt;&gt;"",#REF!&gt;=$J3)</formula>
    </cfRule>
    <cfRule type="expression" dxfId="98" priority="2">
      <formula>FIND("OK",#REF!)</formula>
    </cfRule>
    <cfRule type="expression" dxfId="97" priority="3">
      <formula>AND($D3="寶嘉誠",$G3&lt;&gt;"",OR(#REF!="",#REF!&lt;=0))</formula>
    </cfRule>
    <cfRule type="expression" dxfId="96" priority="4">
      <formula>AND(A3&lt;&gt;"",A3=#REF!)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機台清單!$B$2:$B$8</xm:f>
          </x14:formula1>
          <xm:sqref>B4:B89 B91:B155 B162:B319</xm:sqref>
        </x14:dataValidation>
        <x14:dataValidation type="list" allowBlank="1" showInputMessage="1" showErrorMessage="1">
          <x14:formula1>
            <xm:f>機台清單!#REF!</xm:f>
          </x14:formula1>
          <xm:sqref>B156:B161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 filterMode="1"/>
  <dimension ref="A1:N44"/>
  <sheetViews>
    <sheetView workbookViewId="0">
      <selection activeCell="B84" sqref="B84"/>
    </sheetView>
  </sheetViews>
  <sheetFormatPr defaultColWidth="9" defaultRowHeight="14.4"/>
  <cols>
    <col min="1" max="1" width="6.109375" style="19" customWidth="1"/>
    <col min="2" max="2" width="5.88671875" style="19" customWidth="1"/>
    <col min="3" max="4" width="9" style="19"/>
    <col min="5" max="5" width="26.6640625" style="19" bestFit="1" customWidth="1"/>
    <col min="6" max="6" width="17.6640625" style="19" customWidth="1"/>
    <col min="7" max="7" width="9" style="52"/>
    <col min="8" max="16384" width="9" style="19"/>
  </cols>
  <sheetData>
    <row r="1" spans="1:14" s="6" customFormat="1" ht="15" customHeight="1">
      <c r="A1" s="1404" t="s">
        <v>118</v>
      </c>
      <c r="B1" s="1405"/>
      <c r="C1" s="1405"/>
      <c r="D1" s="1406"/>
      <c r="E1" s="1407" t="s">
        <v>34</v>
      </c>
      <c r="F1" s="1407"/>
      <c r="G1" s="2" t="s">
        <v>15</v>
      </c>
      <c r="H1" s="3" t="s">
        <v>17</v>
      </c>
      <c r="I1" s="4" t="s">
        <v>16</v>
      </c>
      <c r="J1" s="5" t="s">
        <v>119</v>
      </c>
      <c r="K1" s="1408" t="s">
        <v>129</v>
      </c>
      <c r="L1" s="1408"/>
      <c r="M1" s="1408"/>
      <c r="N1" s="1408"/>
    </row>
    <row r="2" spans="1:14" s="8" customFormat="1" ht="15" hidden="1" customHeight="1">
      <c r="A2" s="1409" t="s">
        <v>4</v>
      </c>
      <c r="B2" s="1409"/>
      <c r="C2" s="1409"/>
      <c r="D2" s="1409"/>
      <c r="E2" s="1409"/>
      <c r="F2" s="1409"/>
      <c r="G2" s="1409"/>
      <c r="H2" s="1409"/>
      <c r="I2" s="1409"/>
      <c r="J2" s="7">
        <f ca="1">NOW()</f>
        <v>45320.630081828705</v>
      </c>
      <c r="K2" s="1408"/>
      <c r="L2" s="1408"/>
      <c r="M2" s="1408"/>
      <c r="N2" s="1408"/>
    </row>
    <row r="3" spans="1:14" s="8" customFormat="1" ht="15" hidden="1" customHeight="1">
      <c r="A3" s="46" t="s">
        <v>13</v>
      </c>
      <c r="B3" s="2" t="s">
        <v>9</v>
      </c>
      <c r="C3" s="2" t="s">
        <v>11</v>
      </c>
      <c r="D3" s="2" t="s">
        <v>8</v>
      </c>
      <c r="E3" s="2" t="s">
        <v>97</v>
      </c>
      <c r="F3" s="2" t="s">
        <v>98</v>
      </c>
      <c r="G3" s="2" t="s">
        <v>10</v>
      </c>
      <c r="H3" s="2" t="s">
        <v>12</v>
      </c>
      <c r="I3" s="2" t="s">
        <v>37</v>
      </c>
      <c r="J3" s="9" t="s">
        <v>117</v>
      </c>
      <c r="K3" s="10" t="s">
        <v>125</v>
      </c>
      <c r="L3" s="10" t="s">
        <v>126</v>
      </c>
      <c r="M3" s="10" t="s">
        <v>127</v>
      </c>
      <c r="N3" s="10" t="s">
        <v>128</v>
      </c>
    </row>
    <row r="4" spans="1:14" hidden="1"/>
    <row r="5" spans="1:14" s="8" customFormat="1" ht="15" hidden="1" customHeight="1">
      <c r="A5" s="80" t="s">
        <v>29</v>
      </c>
      <c r="B5" s="27"/>
      <c r="C5" s="28" t="s">
        <v>48</v>
      </c>
      <c r="D5" s="28" t="s">
        <v>33</v>
      </c>
      <c r="E5" s="29" t="s">
        <v>32</v>
      </c>
      <c r="F5" s="4" t="s">
        <v>44</v>
      </c>
      <c r="G5" s="4">
        <v>43</v>
      </c>
      <c r="H5" s="4" t="s">
        <v>124</v>
      </c>
      <c r="I5" s="4"/>
      <c r="J5" s="81"/>
    </row>
    <row r="6" spans="1:14" s="8" customFormat="1" ht="15" hidden="1" customHeight="1">
      <c r="A6" s="75"/>
      <c r="B6" s="76"/>
      <c r="C6" s="28" t="s">
        <v>0</v>
      </c>
      <c r="D6" s="59" t="s">
        <v>155</v>
      </c>
      <c r="E6" s="77">
        <v>1007002514</v>
      </c>
      <c r="F6" s="78" t="s">
        <v>154</v>
      </c>
      <c r="G6" s="78">
        <v>30</v>
      </c>
      <c r="H6" s="59" t="s">
        <v>124</v>
      </c>
      <c r="I6" s="78"/>
      <c r="J6" s="79"/>
    </row>
    <row r="7" spans="1:14" s="17" customFormat="1" ht="15" hidden="1" customHeight="1">
      <c r="A7" s="47" t="s">
        <v>100</v>
      </c>
      <c r="B7" s="12"/>
      <c r="C7" s="13" t="s">
        <v>103</v>
      </c>
      <c r="D7" s="14" t="s">
        <v>114</v>
      </c>
      <c r="E7" s="1" t="s">
        <v>113</v>
      </c>
      <c r="F7" s="1" t="s">
        <v>112</v>
      </c>
      <c r="G7" s="15">
        <v>2</v>
      </c>
      <c r="H7" s="13" t="s">
        <v>93</v>
      </c>
      <c r="I7" s="14"/>
      <c r="J7" s="16"/>
      <c r="K7" s="6"/>
      <c r="L7" s="6"/>
      <c r="M7" s="6"/>
      <c r="N7" s="6"/>
    </row>
    <row r="8" spans="1:14" s="17" customFormat="1" ht="15" hidden="1" customHeight="1">
      <c r="A8" s="70"/>
      <c r="B8" s="71"/>
      <c r="C8" s="13" t="s">
        <v>0</v>
      </c>
      <c r="D8" s="69" t="s">
        <v>149</v>
      </c>
      <c r="E8" s="57">
        <v>6010002504</v>
      </c>
      <c r="F8" s="57" t="s">
        <v>148</v>
      </c>
      <c r="G8" s="58">
        <v>30</v>
      </c>
      <c r="H8" s="72" t="s">
        <v>124</v>
      </c>
      <c r="I8" s="69"/>
      <c r="J8" s="60"/>
      <c r="K8" s="6"/>
      <c r="L8" s="6"/>
      <c r="M8" s="6"/>
      <c r="N8" s="6"/>
    </row>
    <row r="9" spans="1:14" s="17" customFormat="1" ht="15" hidden="1" customHeight="1">
      <c r="A9" s="70"/>
      <c r="B9" s="71"/>
      <c r="C9" s="13" t="s">
        <v>0</v>
      </c>
      <c r="D9" s="69" t="s">
        <v>147</v>
      </c>
      <c r="E9" s="57">
        <v>6001002513</v>
      </c>
      <c r="F9" s="57" t="s">
        <v>146</v>
      </c>
      <c r="G9" s="58">
        <v>50</v>
      </c>
      <c r="H9" s="72" t="s">
        <v>124</v>
      </c>
      <c r="I9" s="69"/>
      <c r="J9" s="60"/>
      <c r="K9" s="6"/>
      <c r="L9" s="6"/>
      <c r="M9" s="6"/>
      <c r="N9" s="6"/>
    </row>
    <row r="10" spans="1:14" s="17" customFormat="1" ht="15" hidden="1" customHeight="1">
      <c r="A10" s="70"/>
      <c r="B10" s="71"/>
      <c r="C10" s="13" t="s">
        <v>0</v>
      </c>
      <c r="D10" s="68" t="s">
        <v>145</v>
      </c>
      <c r="E10" s="57">
        <v>3004002500</v>
      </c>
      <c r="F10" s="57" t="s">
        <v>144</v>
      </c>
      <c r="G10" s="58">
        <v>20</v>
      </c>
      <c r="H10" s="72" t="s">
        <v>124</v>
      </c>
      <c r="I10" s="68"/>
      <c r="J10" s="60"/>
      <c r="K10" s="6"/>
      <c r="L10" s="6"/>
      <c r="M10" s="6"/>
      <c r="N10" s="6"/>
    </row>
    <row r="11" spans="1:14" s="8" customFormat="1" ht="15" hidden="1" customHeight="1">
      <c r="A11" s="47" t="s">
        <v>100</v>
      </c>
      <c r="B11" s="12"/>
      <c r="C11" s="13" t="s">
        <v>99</v>
      </c>
      <c r="D11" s="14" t="s">
        <v>122</v>
      </c>
      <c r="E11" s="1">
        <v>1004002502</v>
      </c>
      <c r="F11" s="1" t="s">
        <v>123</v>
      </c>
      <c r="G11" s="15">
        <v>20</v>
      </c>
      <c r="H11" s="13" t="s">
        <v>124</v>
      </c>
      <c r="I11" s="14"/>
      <c r="J11" s="18"/>
    </row>
    <row r="12" spans="1:14" ht="15" hidden="1" customHeight="1">
      <c r="A12" s="47" t="s">
        <v>100</v>
      </c>
      <c r="B12" s="12"/>
      <c r="C12" s="13" t="s">
        <v>99</v>
      </c>
      <c r="D12" s="14" t="s">
        <v>102</v>
      </c>
      <c r="E12" s="1">
        <v>3003012542</v>
      </c>
      <c r="F12" s="1" t="s">
        <v>101</v>
      </c>
      <c r="G12" s="15">
        <v>4</v>
      </c>
      <c r="H12" s="13" t="s">
        <v>124</v>
      </c>
      <c r="I12" s="14"/>
      <c r="J12" s="18"/>
      <c r="K12" s="8"/>
      <c r="L12" s="8"/>
      <c r="M12" s="8"/>
      <c r="N12" s="8"/>
    </row>
    <row r="13" spans="1:14" s="8" customFormat="1" ht="15" hidden="1" customHeight="1">
      <c r="A13" s="48" t="s">
        <v>6</v>
      </c>
      <c r="B13" s="20"/>
      <c r="C13" s="21" t="s">
        <v>0</v>
      </c>
      <c r="D13" s="22" t="s">
        <v>95</v>
      </c>
      <c r="E13" s="23">
        <v>1004012500</v>
      </c>
      <c r="F13" s="23" t="s">
        <v>94</v>
      </c>
      <c r="G13" s="11">
        <v>10</v>
      </c>
      <c r="H13" s="21" t="s">
        <v>124</v>
      </c>
      <c r="I13" s="22"/>
      <c r="J13" s="18"/>
      <c r="K13" s="17"/>
      <c r="L13" s="17"/>
      <c r="M13" s="17"/>
      <c r="N13" s="17"/>
    </row>
    <row r="14" spans="1:14" hidden="1">
      <c r="C14" s="67" t="s">
        <v>0</v>
      </c>
      <c r="D14" s="19" t="s">
        <v>143</v>
      </c>
      <c r="E14" s="19">
        <v>6010002534</v>
      </c>
      <c r="F14" s="19" t="s">
        <v>142</v>
      </c>
      <c r="G14" s="52">
        <v>10</v>
      </c>
      <c r="H14" s="67" t="s">
        <v>124</v>
      </c>
    </row>
    <row r="15" spans="1:14" s="26" customFormat="1" ht="15" hidden="1" customHeight="1">
      <c r="A15" s="48" t="s">
        <v>40</v>
      </c>
      <c r="B15" s="24"/>
      <c r="C15" s="21" t="s">
        <v>14</v>
      </c>
      <c r="D15" s="21" t="s">
        <v>39</v>
      </c>
      <c r="E15" s="25">
        <v>1004012500</v>
      </c>
      <c r="F15" s="4" t="s">
        <v>46</v>
      </c>
      <c r="G15" s="2">
        <v>10</v>
      </c>
      <c r="H15" s="21" t="s">
        <v>124</v>
      </c>
      <c r="I15" s="22"/>
      <c r="J15" s="18"/>
      <c r="K15" s="19"/>
      <c r="L15" s="19"/>
      <c r="M15" s="19"/>
      <c r="N15" s="19"/>
    </row>
    <row r="16" spans="1:14" s="8" customFormat="1" ht="15" hidden="1" customHeight="1">
      <c r="A16" s="49" t="s">
        <v>57</v>
      </c>
      <c r="B16" s="27"/>
      <c r="C16" s="28" t="s">
        <v>96</v>
      </c>
      <c r="D16" s="28" t="s">
        <v>52</v>
      </c>
      <c r="E16" s="29" t="s">
        <v>58</v>
      </c>
      <c r="F16" s="4" t="s">
        <v>53</v>
      </c>
      <c r="G16" s="11">
        <v>70</v>
      </c>
      <c r="H16" s="30" t="s">
        <v>93</v>
      </c>
      <c r="I16" s="4" t="s">
        <v>54</v>
      </c>
      <c r="J16" s="18"/>
    </row>
    <row r="17" spans="1:14" s="8" customFormat="1" ht="15" hidden="1" customHeight="1">
      <c r="A17" s="49" t="s">
        <v>76</v>
      </c>
      <c r="B17" s="25"/>
      <c r="C17" s="28" t="s">
        <v>96</v>
      </c>
      <c r="D17" s="25" t="s">
        <v>91</v>
      </c>
      <c r="E17" s="29" t="s">
        <v>89</v>
      </c>
      <c r="F17" s="31" t="s">
        <v>90</v>
      </c>
      <c r="G17" s="11">
        <v>30</v>
      </c>
      <c r="H17" s="30" t="s">
        <v>93</v>
      </c>
      <c r="I17" s="28" t="s">
        <v>92</v>
      </c>
      <c r="J17" s="18"/>
    </row>
    <row r="18" spans="1:14" s="8" customFormat="1" ht="15" hidden="1" customHeight="1">
      <c r="A18" s="49" t="s">
        <v>76</v>
      </c>
      <c r="B18" s="27">
        <v>100</v>
      </c>
      <c r="C18" s="28" t="s">
        <v>96</v>
      </c>
      <c r="D18" s="28" t="s">
        <v>51</v>
      </c>
      <c r="E18" s="29" t="s">
        <v>35</v>
      </c>
      <c r="F18" s="4" t="s">
        <v>36</v>
      </c>
      <c r="G18" s="11">
        <v>25</v>
      </c>
      <c r="H18" s="30" t="s">
        <v>93</v>
      </c>
      <c r="I18" s="4" t="s">
        <v>77</v>
      </c>
      <c r="J18" s="18"/>
      <c r="K18" s="26"/>
      <c r="L18" s="26"/>
      <c r="M18" s="26"/>
      <c r="N18" s="26"/>
    </row>
    <row r="19" spans="1:14" s="8" customFormat="1" ht="15" hidden="1" customHeight="1">
      <c r="A19" s="48" t="s">
        <v>6</v>
      </c>
      <c r="B19" s="25"/>
      <c r="C19" s="21" t="s">
        <v>67</v>
      </c>
      <c r="D19" s="25" t="s">
        <v>69</v>
      </c>
      <c r="E19" s="23" t="s">
        <v>66</v>
      </c>
      <c r="F19" s="23" t="s">
        <v>68</v>
      </c>
      <c r="G19" s="11">
        <v>14</v>
      </c>
      <c r="H19" s="22" t="s">
        <v>93</v>
      </c>
      <c r="I19" s="28"/>
      <c r="J19" s="18"/>
    </row>
    <row r="20" spans="1:14" s="8" customFormat="1" ht="15" hidden="1" customHeight="1">
      <c r="A20" s="48" t="s">
        <v>6</v>
      </c>
      <c r="B20" s="25"/>
      <c r="C20" s="21" t="s">
        <v>20</v>
      </c>
      <c r="D20" s="25" t="s">
        <v>61</v>
      </c>
      <c r="E20" s="23" t="s">
        <v>59</v>
      </c>
      <c r="F20" s="23" t="s">
        <v>60</v>
      </c>
      <c r="G20" s="11">
        <v>14</v>
      </c>
      <c r="H20" s="22" t="s">
        <v>93</v>
      </c>
      <c r="I20" s="28"/>
      <c r="J20" s="18"/>
    </row>
    <row r="21" spans="1:14" s="8" customFormat="1" ht="15" hidden="1" customHeight="1">
      <c r="A21" s="50" t="s">
        <v>6</v>
      </c>
      <c r="B21" s="25"/>
      <c r="C21" s="21" t="s">
        <v>20</v>
      </c>
      <c r="D21" s="25" t="s">
        <v>56</v>
      </c>
      <c r="E21" s="25" t="s">
        <v>55</v>
      </c>
      <c r="F21" s="23" t="s">
        <v>60</v>
      </c>
      <c r="G21" s="11">
        <v>13</v>
      </c>
      <c r="H21" s="22" t="s">
        <v>93</v>
      </c>
      <c r="I21" s="28"/>
      <c r="J21" s="18"/>
    </row>
    <row r="22" spans="1:14" s="8" customFormat="1" ht="15" hidden="1" customHeight="1">
      <c r="A22" s="55"/>
      <c r="B22" s="56"/>
      <c r="C22" s="13" t="s">
        <v>0</v>
      </c>
      <c r="D22" s="56" t="s">
        <v>139</v>
      </c>
      <c r="E22" s="56">
        <v>1003002522</v>
      </c>
      <c r="F22" s="57" t="s">
        <v>138</v>
      </c>
      <c r="G22" s="58">
        <v>50</v>
      </c>
      <c r="H22" s="54" t="s">
        <v>124</v>
      </c>
      <c r="I22" s="59"/>
      <c r="J22" s="60"/>
    </row>
    <row r="23" spans="1:14" s="26" customFormat="1" ht="15" hidden="1" customHeight="1">
      <c r="A23" s="48" t="s">
        <v>19</v>
      </c>
      <c r="B23" s="25">
        <v>16</v>
      </c>
      <c r="C23" s="21" t="s">
        <v>50</v>
      </c>
      <c r="D23" s="25" t="s">
        <v>79</v>
      </c>
      <c r="E23" s="25" t="s">
        <v>22</v>
      </c>
      <c r="F23" s="4" t="s">
        <v>21</v>
      </c>
      <c r="G23" s="11">
        <v>16</v>
      </c>
      <c r="H23" s="22" t="s">
        <v>93</v>
      </c>
      <c r="I23" s="22"/>
      <c r="J23" s="18"/>
      <c r="K23" s="8"/>
      <c r="L23" s="8"/>
      <c r="M23" s="8"/>
      <c r="N23" s="8"/>
    </row>
    <row r="24" spans="1:14" s="26" customFormat="1" ht="15" hidden="1" customHeight="1">
      <c r="A24" s="50" t="s">
        <v>19</v>
      </c>
      <c r="B24" s="25"/>
      <c r="C24" s="21" t="s">
        <v>47</v>
      </c>
      <c r="D24" s="25" t="s">
        <v>80</v>
      </c>
      <c r="E24" s="25" t="s">
        <v>41</v>
      </c>
      <c r="F24" s="4" t="s">
        <v>65</v>
      </c>
      <c r="G24" s="11">
        <v>16</v>
      </c>
      <c r="H24" s="22" t="s">
        <v>93</v>
      </c>
      <c r="I24" s="22"/>
      <c r="J24" s="18"/>
      <c r="K24" s="8"/>
      <c r="L24" s="8"/>
      <c r="M24" s="8"/>
      <c r="N24" s="8"/>
    </row>
    <row r="25" spans="1:14" s="8" customFormat="1" ht="15" hidden="1" customHeight="1">
      <c r="A25" s="50" t="s">
        <v>19</v>
      </c>
      <c r="B25" s="25"/>
      <c r="C25" s="21" t="s">
        <v>20</v>
      </c>
      <c r="D25" s="21" t="s">
        <v>63</v>
      </c>
      <c r="E25" s="25" t="s">
        <v>64</v>
      </c>
      <c r="F25" s="4" t="s">
        <v>62</v>
      </c>
      <c r="G25" s="11">
        <v>19</v>
      </c>
      <c r="H25" s="22" t="s">
        <v>93</v>
      </c>
      <c r="I25" s="22"/>
      <c r="J25" s="18"/>
    </row>
    <row r="26" spans="1:14" s="8" customFormat="1" ht="15" hidden="1" customHeight="1">
      <c r="A26" s="50" t="s">
        <v>27</v>
      </c>
      <c r="B26" s="24">
        <v>17</v>
      </c>
      <c r="C26" s="21" t="s">
        <v>50</v>
      </c>
      <c r="D26" s="21" t="s">
        <v>26</v>
      </c>
      <c r="E26" s="25" t="s">
        <v>25</v>
      </c>
      <c r="F26" s="4" t="s">
        <v>24</v>
      </c>
      <c r="G26" s="11">
        <v>17</v>
      </c>
      <c r="H26" s="22" t="s">
        <v>93</v>
      </c>
      <c r="I26" s="32"/>
      <c r="J26" s="18"/>
      <c r="K26" s="26"/>
      <c r="L26" s="26"/>
      <c r="M26" s="26"/>
      <c r="N26" s="26"/>
    </row>
    <row r="27" spans="1:14" s="26" customFormat="1" ht="15" hidden="1" customHeight="1">
      <c r="A27" s="50" t="s">
        <v>6</v>
      </c>
      <c r="B27" s="24"/>
      <c r="C27" s="21" t="s">
        <v>20</v>
      </c>
      <c r="D27" s="21" t="s">
        <v>85</v>
      </c>
      <c r="E27" s="25" t="s">
        <v>83</v>
      </c>
      <c r="F27" s="4" t="s">
        <v>84</v>
      </c>
      <c r="G27" s="11">
        <v>14</v>
      </c>
      <c r="H27" s="22" t="s">
        <v>93</v>
      </c>
      <c r="I27" s="22"/>
      <c r="J27" s="18"/>
    </row>
    <row r="28" spans="1:14" s="26" customFormat="1" ht="15" hidden="1" customHeight="1">
      <c r="A28" s="50" t="s">
        <v>6</v>
      </c>
      <c r="B28" s="24"/>
      <c r="C28" s="21" t="s">
        <v>20</v>
      </c>
      <c r="D28" s="21" t="s">
        <v>72</v>
      </c>
      <c r="E28" s="25" t="s">
        <v>70</v>
      </c>
      <c r="F28" s="4" t="s">
        <v>71</v>
      </c>
      <c r="G28" s="11">
        <v>15</v>
      </c>
      <c r="H28" s="22" t="s">
        <v>93</v>
      </c>
      <c r="I28" s="22"/>
      <c r="J28" s="18"/>
      <c r="K28" s="8"/>
      <c r="L28" s="8"/>
      <c r="M28" s="8"/>
      <c r="N28" s="8"/>
    </row>
    <row r="29" spans="1:14" s="26" customFormat="1" ht="15" hidden="1" customHeight="1">
      <c r="A29" s="50" t="s">
        <v>6</v>
      </c>
      <c r="B29" s="24"/>
      <c r="C29" s="21" t="s">
        <v>20</v>
      </c>
      <c r="D29" s="21" t="s">
        <v>88</v>
      </c>
      <c r="E29" s="25" t="s">
        <v>86</v>
      </c>
      <c r="F29" s="4" t="s">
        <v>87</v>
      </c>
      <c r="G29" s="11">
        <v>14</v>
      </c>
      <c r="H29" s="22" t="s">
        <v>93</v>
      </c>
      <c r="I29" s="22"/>
      <c r="J29" s="18"/>
      <c r="K29" s="8"/>
      <c r="L29" s="8"/>
      <c r="M29" s="8"/>
      <c r="N29" s="8"/>
    </row>
    <row r="30" spans="1:14" s="26" customFormat="1" ht="15" hidden="1" customHeight="1">
      <c r="A30" s="50" t="s">
        <v>6</v>
      </c>
      <c r="B30" s="24"/>
      <c r="C30" s="21" t="s">
        <v>20</v>
      </c>
      <c r="D30" s="21" t="s">
        <v>75</v>
      </c>
      <c r="E30" s="25" t="s">
        <v>73</v>
      </c>
      <c r="F30" s="4" t="s">
        <v>74</v>
      </c>
      <c r="G30" s="11">
        <v>15</v>
      </c>
      <c r="H30" s="22" t="s">
        <v>93</v>
      </c>
      <c r="I30" s="22"/>
      <c r="J30" s="18"/>
    </row>
    <row r="31" spans="1:14" s="8" customFormat="1" ht="15" hidden="1" customHeight="1">
      <c r="A31" s="50" t="s">
        <v>6</v>
      </c>
      <c r="B31" s="24"/>
      <c r="C31" s="21" t="s">
        <v>20</v>
      </c>
      <c r="D31" s="21" t="s">
        <v>82</v>
      </c>
      <c r="E31" s="25" t="s">
        <v>81</v>
      </c>
      <c r="F31" s="4" t="s">
        <v>74</v>
      </c>
      <c r="G31" s="11">
        <v>14</v>
      </c>
      <c r="H31" s="22" t="s">
        <v>93</v>
      </c>
      <c r="I31" s="22"/>
      <c r="J31" s="18"/>
      <c r="K31" s="26"/>
      <c r="L31" s="26"/>
      <c r="M31" s="26"/>
      <c r="N31" s="26"/>
    </row>
    <row r="32" spans="1:14" s="8" customFormat="1" ht="15" hidden="1" customHeight="1">
      <c r="A32" s="48" t="s">
        <v>6</v>
      </c>
      <c r="B32" s="24"/>
      <c r="C32" s="21" t="s">
        <v>49</v>
      </c>
      <c r="D32" s="21" t="s">
        <v>78</v>
      </c>
      <c r="E32" s="25" t="s">
        <v>28</v>
      </c>
      <c r="F32" s="4"/>
      <c r="G32" s="11">
        <v>1</v>
      </c>
      <c r="H32" s="30" t="s">
        <v>93</v>
      </c>
      <c r="I32" s="33" t="s">
        <v>5</v>
      </c>
      <c r="J32" s="18"/>
      <c r="K32" s="26"/>
      <c r="L32" s="26"/>
      <c r="M32" s="26"/>
      <c r="N32" s="26"/>
    </row>
    <row r="33" spans="1:14" s="8" customFormat="1" ht="15" hidden="1" customHeight="1">
      <c r="A33" s="48" t="s">
        <v>6</v>
      </c>
      <c r="B33" s="24"/>
      <c r="C33" s="21" t="s">
        <v>49</v>
      </c>
      <c r="D33" s="21" t="s">
        <v>23</v>
      </c>
      <c r="E33" s="25" t="s">
        <v>1</v>
      </c>
      <c r="F33" s="4" t="s">
        <v>42</v>
      </c>
      <c r="G33" s="11">
        <v>10</v>
      </c>
      <c r="H33" s="30" t="s">
        <v>93</v>
      </c>
      <c r="I33" s="22"/>
      <c r="J33" s="18"/>
      <c r="K33" s="26"/>
      <c r="L33" s="26"/>
      <c r="M33" s="26"/>
      <c r="N33" s="26"/>
    </row>
    <row r="34" spans="1:14" s="26" customFormat="1" ht="15" hidden="1" customHeight="1">
      <c r="A34" s="47" t="s">
        <v>6</v>
      </c>
      <c r="B34" s="12"/>
      <c r="C34" s="13" t="s">
        <v>7</v>
      </c>
      <c r="D34" s="14" t="s">
        <v>115</v>
      </c>
      <c r="E34" s="1">
        <v>5019002501</v>
      </c>
      <c r="F34" s="1" t="s">
        <v>116</v>
      </c>
      <c r="G34" s="15">
        <v>29</v>
      </c>
      <c r="H34" s="13" t="s">
        <v>124</v>
      </c>
      <c r="I34" s="14"/>
      <c r="J34" s="18"/>
      <c r="K34" s="8"/>
      <c r="L34" s="8"/>
      <c r="M34" s="8"/>
      <c r="N34" s="8"/>
    </row>
    <row r="35" spans="1:14" s="26" customFormat="1" ht="15" hidden="1" customHeight="1">
      <c r="A35" s="47" t="s">
        <v>109</v>
      </c>
      <c r="B35" s="12"/>
      <c r="C35" s="13" t="s">
        <v>108</v>
      </c>
      <c r="D35" s="14" t="s">
        <v>111</v>
      </c>
      <c r="E35" s="1">
        <v>3012002510</v>
      </c>
      <c r="F35" s="1" t="s">
        <v>110</v>
      </c>
      <c r="G35" s="15">
        <v>20</v>
      </c>
      <c r="H35" s="13" t="s">
        <v>124</v>
      </c>
      <c r="I35" s="14"/>
      <c r="J35" s="18"/>
      <c r="K35" s="8"/>
      <c r="L35" s="8"/>
      <c r="M35" s="8"/>
      <c r="N35" s="8"/>
    </row>
    <row r="36" spans="1:14" s="17" customFormat="1" ht="15" hidden="1" customHeight="1">
      <c r="A36" s="47" t="s">
        <v>107</v>
      </c>
      <c r="B36" s="34"/>
      <c r="C36" s="13" t="s">
        <v>106</v>
      </c>
      <c r="D36" s="13" t="s">
        <v>105</v>
      </c>
      <c r="E36" s="35">
        <v>5012002523</v>
      </c>
      <c r="F36" s="36" t="s">
        <v>104</v>
      </c>
      <c r="G36" s="37">
        <v>9</v>
      </c>
      <c r="H36" s="13" t="s">
        <v>124</v>
      </c>
      <c r="I36" s="14"/>
      <c r="J36" s="18"/>
      <c r="K36" s="8"/>
      <c r="L36" s="8"/>
      <c r="M36" s="8"/>
      <c r="N36" s="8"/>
    </row>
    <row r="37" spans="1:14" s="17" customFormat="1" ht="15" hidden="1" customHeight="1">
      <c r="A37" s="50" t="s">
        <v>29</v>
      </c>
      <c r="B37" s="24"/>
      <c r="C37" s="21" t="s">
        <v>48</v>
      </c>
      <c r="D37" s="21" t="s">
        <v>31</v>
      </c>
      <c r="E37" s="25" t="s">
        <v>30</v>
      </c>
      <c r="F37" s="4" t="s">
        <v>45</v>
      </c>
      <c r="G37" s="11">
        <v>10</v>
      </c>
      <c r="H37" s="22" t="s">
        <v>124</v>
      </c>
      <c r="I37" s="33"/>
      <c r="J37" s="18"/>
      <c r="K37" s="26"/>
      <c r="L37" s="26"/>
      <c r="M37" s="26"/>
      <c r="N37" s="26"/>
    </row>
    <row r="38" spans="1:14" s="17" customFormat="1" ht="15" hidden="1" customHeight="1">
      <c r="A38" s="50" t="s">
        <v>19</v>
      </c>
      <c r="B38" s="24"/>
      <c r="C38" s="21" t="s">
        <v>18</v>
      </c>
      <c r="D38" s="38" t="s">
        <v>120</v>
      </c>
      <c r="E38" s="39">
        <v>5020002522</v>
      </c>
      <c r="F38" s="40" t="s">
        <v>121</v>
      </c>
      <c r="G38" s="41">
        <v>30</v>
      </c>
      <c r="H38" s="22" t="s">
        <v>124</v>
      </c>
      <c r="I38" s="42"/>
      <c r="J38" s="43"/>
      <c r="K38" s="26"/>
      <c r="L38" s="26"/>
      <c r="M38" s="26"/>
      <c r="N38" s="26"/>
    </row>
    <row r="39" spans="1:14" s="44" customFormat="1" ht="15" hidden="1" customHeight="1">
      <c r="A39" s="48" t="s">
        <v>6</v>
      </c>
      <c r="B39" s="24">
        <v>28</v>
      </c>
      <c r="C39" s="21" t="s">
        <v>48</v>
      </c>
      <c r="D39" s="21" t="s">
        <v>2</v>
      </c>
      <c r="E39" s="25" t="s">
        <v>3</v>
      </c>
      <c r="F39" s="4" t="s">
        <v>43</v>
      </c>
      <c r="G39" s="11">
        <v>28</v>
      </c>
      <c r="H39" s="22" t="s">
        <v>124</v>
      </c>
      <c r="I39" s="22"/>
      <c r="J39" s="18"/>
      <c r="K39" s="17"/>
      <c r="L39" s="17"/>
      <c r="M39" s="17"/>
      <c r="N39" s="17"/>
    </row>
    <row r="40" spans="1:14" hidden="1">
      <c r="C40" s="73" t="s">
        <v>0</v>
      </c>
      <c r="D40" s="19" t="s">
        <v>151</v>
      </c>
      <c r="E40" s="19">
        <v>6001002501</v>
      </c>
      <c r="F40" s="19" t="s">
        <v>150</v>
      </c>
      <c r="G40" s="52">
        <v>49</v>
      </c>
      <c r="H40" s="22" t="s">
        <v>124</v>
      </c>
    </row>
    <row r="42" spans="1:14" hidden="1">
      <c r="C42" s="74" t="s">
        <v>0</v>
      </c>
      <c r="D42" s="19" t="s">
        <v>153</v>
      </c>
      <c r="E42" s="19">
        <v>5004002523</v>
      </c>
      <c r="F42" s="19" t="s">
        <v>152</v>
      </c>
      <c r="G42" s="52">
        <v>30</v>
      </c>
    </row>
    <row r="43" spans="1:14" hidden="1">
      <c r="A43" s="51" t="s">
        <v>100</v>
      </c>
      <c r="B43" s="45"/>
      <c r="C43" s="13" t="s">
        <v>14</v>
      </c>
      <c r="D43" s="19" t="s">
        <v>131</v>
      </c>
      <c r="E43" s="19">
        <v>6013002512</v>
      </c>
      <c r="F43" s="19" t="s">
        <v>130</v>
      </c>
      <c r="G43" s="52">
        <v>5</v>
      </c>
      <c r="H43" s="14" t="s">
        <v>124</v>
      </c>
    </row>
    <row r="44" spans="1:14" hidden="1">
      <c r="A44" s="51" t="s">
        <v>38</v>
      </c>
      <c r="B44" s="45"/>
      <c r="C44" s="13" t="s">
        <v>14</v>
      </c>
      <c r="D44" s="19" t="s">
        <v>141</v>
      </c>
      <c r="E44" s="19">
        <v>5008002523</v>
      </c>
      <c r="F44" s="19" t="s">
        <v>140</v>
      </c>
      <c r="G44" s="52">
        <v>30</v>
      </c>
      <c r="H44" s="14" t="s">
        <v>124</v>
      </c>
    </row>
  </sheetData>
  <autoFilter ref="E1:E44">
    <filterColumn colId="0">
      <filters>
        <filter val="3010002521"/>
      </filters>
    </filterColumn>
  </autoFilter>
  <mergeCells count="4">
    <mergeCell ref="A1:D1"/>
    <mergeCell ref="E1:F1"/>
    <mergeCell ref="K1:N2"/>
    <mergeCell ref="A2:I2"/>
  </mergeCells>
  <phoneticPr fontId="6" type="noConversion"/>
  <pageMargins left="0.7" right="0.7" top="0.75" bottom="0.75" header="0.3" footer="0.3"/>
  <pageSetup paperSize="122" orientation="portrait" horizontalDpi="180" verticalDpi="18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9" id="{AFC99CA2-CD5C-4A65-99F4-4221D6070D09}">
            <xm:f>AND(齒研加工表!#REF!&lt;&gt;0,齒研加工表!#REF!&lt;&gt;"",齒研加工表!#REF!&gt;=齒研加工表!$J3)</xm:f>
            <x14:dxf>
              <fill>
                <patternFill patternType="solid">
                  <fgColor indexed="64"/>
                  <bgColor theme="6" tint="0.59996337778862885"/>
                </patternFill>
              </fill>
            </x14:dxf>
          </x14:cfRule>
          <x14:cfRule type="expression" priority="30" id="{76EB52CB-C7D7-4A80-B6D6-C4E10CCCB50D}">
            <xm:f>FIND("OK",齒研加工表!#REF!)</xm:f>
            <x14:dxf>
              <fill>
                <patternFill patternType="solid">
                  <fgColor indexed="64"/>
                  <bgColor theme="6" tint="0.59996337778862885"/>
                </patternFill>
              </fill>
            </x14:dxf>
          </x14:cfRule>
          <x14:cfRule type="expression" priority="31" id="{0E0274E1-2A7E-4D18-ACBC-2B2FD3639DAC}">
            <xm:f>AND(齒研加工表!$D3="寶嘉誠",齒研加工表!$G3&lt;&gt;"",OR(齒研加工表!#REF!="",齒研加工表!#REF!&lt;=0))</xm:f>
            <x14:dxf>
              <font>
                <color rgb="FFFF0000"/>
              </font>
              <fill>
                <patternFill patternType="solid">
                  <fgColor indexed="64"/>
                  <bgColor theme="5" tint="0.79992065187536243"/>
                </patternFill>
              </fill>
            </x14:dxf>
          </x14:cfRule>
          <x14:cfRule type="expression" priority="32" id="{0CE1A449-80FC-47C0-A066-C985DDD4B542}">
            <xm:f>AND(齒研加工表!D3&lt;&gt;"",齒研加工表!D3=齒研加工表!#REF!)</xm:f>
            <x14:dxf>
              <fill>
                <patternFill patternType="solid">
                  <fgColor indexed="64"/>
                  <bgColor theme="9" tint="0.59996337778862885"/>
                </patternFill>
              </fill>
            </x14:dxf>
          </x14:cfRule>
          <xm:sqref>C12</xm:sqref>
        </x14:conditionalFormatting>
        <x14:conditionalFormatting xmlns:xm="http://schemas.microsoft.com/office/excel/2006/main">
          <x14:cfRule type="expression" priority="4369" id="{08528175-1E21-4B33-BA09-3858CB22816A}">
            <xm:f>OR(FIND("X",齒研加工表!#REF!,0),FIND("x",齒研加工表!#REF!,0))</xm:f>
            <x14:dxf>
              <font>
                <strike/>
              </font>
            </x14:dxf>
          </x14:cfRule>
          <x14:cfRule type="expression" priority="4371" id="{B46D17B2-F8D3-44F7-84D2-C271BFF4CA16}">
            <xm:f>齒研加工表!#REF!&lt;&gt;""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4372" id="{1E044CD3-6278-4741-A0AD-D808B08FBF81}">
            <xm:f>VALUE(齒研加工表!#REF!)=0</xm:f>
            <x14:dxf>
              <fill>
                <patternFill>
                  <bgColor theme="5" tint="0.79998168889431442"/>
                </patternFill>
              </fill>
            </x14:dxf>
          </x14:cfRule>
          <xm:sqref>E19:G19 B19</xm:sqref>
        </x14:conditionalFormatting>
        <x14:conditionalFormatting xmlns:xm="http://schemas.microsoft.com/office/excel/2006/main">
          <x14:cfRule type="expression" priority="4528" id="{CF618E2E-3FF9-41A8-B85D-E26186BD2F5F}">
            <xm:f>AND(齒研加工表!#REF!&lt;&gt;0,齒研加工表!#REF!&lt;&gt;"",齒研加工表!#REF!&gt;=齒研加工表!#REF!)</xm:f>
            <x14:dxf>
              <fill>
                <patternFill patternType="solid">
                  <fgColor indexed="64"/>
                  <bgColor theme="6" tint="0.59996337778862885"/>
                </patternFill>
              </fill>
            </x14:dxf>
          </x14:cfRule>
          <x14:cfRule type="expression" priority="4529" id="{56269AAE-5951-47D7-A934-B2B852029371}">
            <xm:f>FIND("OK",齒研加工表!#REF!)</xm:f>
            <x14:dxf>
              <fill>
                <patternFill patternType="solid">
                  <fgColor indexed="64"/>
                  <bgColor theme="6" tint="0.59996337778862885"/>
                </patternFill>
              </fill>
            </x14:dxf>
          </x14:cfRule>
          <x14:cfRule type="expression" priority="4530" id="{62D7EC71-052B-4759-B915-1157DE1F8D87}">
            <xm:f>AND(齒研加工表!#REF!="寶嘉誠",齒研加工表!#REF!&lt;&gt;"",OR(齒研加工表!#REF!="",齒研加工表!#REF!&lt;=0))</xm:f>
            <x14:dxf>
              <font>
                <color rgb="FFFF0000"/>
              </font>
              <fill>
                <patternFill patternType="solid">
                  <fgColor indexed="64"/>
                  <bgColor theme="5" tint="0.79992065187536243"/>
                </patternFill>
              </fill>
            </x14:dxf>
          </x14:cfRule>
          <x14:cfRule type="expression" priority="4531" id="{722AF597-77D6-442F-A896-6FE4E453CAF9}">
            <xm:f>AND(齒研加工表!#REF!&lt;&gt;"",齒研加工表!#REF!=齒研加工表!#REF!)</xm:f>
            <x14:dxf>
              <fill>
                <patternFill patternType="solid">
                  <fgColor indexed="64"/>
                  <bgColor theme="9" tint="0.59996337778862885"/>
                </patternFill>
              </fill>
            </x14:dxf>
          </x14:cfRule>
          <xm:sqref>C5:C6</xm:sqref>
        </x14:conditionalFormatting>
        <x14:conditionalFormatting xmlns:xm="http://schemas.microsoft.com/office/excel/2006/main">
          <x14:cfRule type="expression" priority="4556" id="{1E619B8A-F224-41AB-9625-67E98B980F7F}">
            <xm:f>AND(齒研加工表!#REF!&lt;&gt;0,齒研加工表!#REF!&lt;&gt;"",齒研加工表!#REF!&gt;=齒研加工表!#REF!)</xm:f>
            <x14:dxf>
              <fill>
                <patternFill patternType="solid">
                  <fgColor indexed="64"/>
                  <bgColor theme="6" tint="0.59996337778862885"/>
                </patternFill>
              </fill>
            </x14:dxf>
          </x14:cfRule>
          <x14:cfRule type="expression" priority="4557" id="{80F92F98-953C-48D7-A264-01F733796689}">
            <xm:f>FIND("OK",齒研加工表!#REF!)</xm:f>
            <x14:dxf>
              <fill>
                <patternFill patternType="solid">
                  <fgColor indexed="64"/>
                  <bgColor theme="6" tint="0.59996337778862885"/>
                </patternFill>
              </fill>
            </x14:dxf>
          </x14:cfRule>
          <x14:cfRule type="expression" priority="4558" id="{705A83F1-14AC-462D-9760-F0F6B31AF8B2}">
            <xm:f>AND(齒研加工表!#REF!="寶嘉誠",齒研加工表!#REF!&lt;&gt;"",OR(齒研加工表!#REF!="",齒研加工表!#REF!&lt;=0))</xm:f>
            <x14:dxf>
              <font>
                <color rgb="FFFF0000"/>
              </font>
              <fill>
                <patternFill patternType="solid">
                  <fgColor indexed="64"/>
                  <bgColor theme="5" tint="0.79992065187536243"/>
                </patternFill>
              </fill>
            </x14:dxf>
          </x14:cfRule>
          <x14:cfRule type="expression" priority="4559" id="{B47C788E-299F-44F3-8A0C-46FE6EAFF167}">
            <xm:f>AND(齒研加工表!#REF!&lt;&gt;"",齒研加工表!#REF!=齒研加工表!#REF!)</xm:f>
            <x14:dxf>
              <fill>
                <patternFill patternType="solid">
                  <fgColor indexed="64"/>
                  <bgColor theme="9" tint="0.59996337778862885"/>
                </patternFill>
              </fill>
            </x14:dxf>
          </x14:cfRule>
          <xm:sqref>C35</xm:sqref>
        </x14:conditionalFormatting>
        <x14:conditionalFormatting xmlns:xm="http://schemas.microsoft.com/office/excel/2006/main">
          <x14:cfRule type="expression" priority="4596" id="{D6D0D209-9113-480D-B170-8408099C0B04}">
            <xm:f>齒研加工表!#REF!&lt;&gt;齒研加工表!#REF!</xm:f>
            <x14:dxf>
              <border>
                <top style="thin">
                  <color theme="1"/>
                </top>
                <vertical/>
                <horizontal/>
              </border>
            </x14:dxf>
          </x14:cfRule>
          <xm:sqref>G33</xm:sqref>
        </x14:conditionalFormatting>
        <x14:conditionalFormatting xmlns:xm="http://schemas.microsoft.com/office/excel/2006/main">
          <x14:cfRule type="expression" priority="4597" id="{08528175-1E21-4B33-BA09-3858CB22816A}">
            <xm:f>OR(FIND("X",齒研加工表!#REF!,0),FIND("x",齒研加工表!#REF!,0))</xm:f>
            <x14:dxf>
              <font>
                <strike/>
              </font>
            </x14:dxf>
          </x14:cfRule>
          <x14:cfRule type="expression" priority="4598" id="{4081A0B7-4C8E-4A62-BFD4-EAC6231294C3}">
            <xm:f>齒研加工表!#REF!=""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4599" id="{B46D17B2-F8D3-44F7-84D2-C271BFF4CA16}">
            <xm:f>齒研加工表!#REF!&lt;&gt;""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4600" id="{1E044CD3-6278-4741-A0AD-D808B08FBF81}">
            <xm:f>VALUE(齒研加工表!#REF!)=0</xm:f>
            <x14:dxf>
              <fill>
                <patternFill>
                  <bgColor theme="5" tint="0.79998168889431442"/>
                </patternFill>
              </fill>
            </x14:dxf>
          </x14:cfRule>
          <xm:sqref>G33</xm:sqref>
        </x14:conditionalFormatting>
        <x14:conditionalFormatting xmlns:xm="http://schemas.microsoft.com/office/excel/2006/main">
          <x14:cfRule type="expression" priority="4604" id="{4C93CBC4-D29D-4283-8F45-BE4D33DFEC80}">
            <xm:f>齒研加工表!#REF!&lt;&gt;""</xm:f>
            <x14:dxf>
              <border>
                <left style="thin">
                  <color theme="1" tint="0.499984740745262"/>
                </left>
                <right style="thin">
                  <color theme="1" tint="0.499984740745262"/>
                </right>
                <top style="thin">
                  <color theme="1" tint="0.499984740745262"/>
                </top>
                <bottom style="thin">
                  <color theme="1" tint="0.499984740745262"/>
                </bottom>
                <vertical/>
                <horizontal/>
              </border>
            </x14:dxf>
          </x14:cfRule>
          <xm:sqref>G33</xm:sqref>
        </x14:conditionalFormatting>
        <x14:conditionalFormatting xmlns:xm="http://schemas.microsoft.com/office/excel/2006/main">
          <x14:cfRule type="expression" priority="4912" id="{08457F05-1250-4BEB-9AB3-4F11491ED0CF}">
            <xm:f>齒研加工表!#REF!&lt;&gt;齒研加工表!#REF!</xm:f>
            <x14:dxf>
              <border>
                <top style="thin">
                  <color theme="1"/>
                </top>
                <vertical/>
                <horizontal/>
              </border>
            </x14:dxf>
          </x14:cfRule>
          <xm:sqref>G32</xm:sqref>
        </x14:conditionalFormatting>
        <x14:conditionalFormatting xmlns:xm="http://schemas.microsoft.com/office/excel/2006/main">
          <x14:cfRule type="expression" priority="4913" id="{B727A8A4-0249-40F9-8334-64F591F7C396}">
            <xm:f>OR(FIND("X",齒研加工表!#REF!,0),FIND("x",齒研加工表!#REF!,0))</xm:f>
            <x14:dxf>
              <font>
                <strike/>
              </font>
            </x14:dxf>
          </x14:cfRule>
          <x14:cfRule type="expression" priority="4914" id="{70E29566-E0A6-432F-BEFC-6EF6144EB4FA}">
            <xm:f>齒研加工表!#REF!=""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4915" id="{E8D7561A-24C1-497E-BBB5-0C178381FC42}">
            <xm:f>齒研加工表!#REF!&lt;&gt;""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4916" id="{A75E2125-328D-4C2D-9677-EFF5F88B910E}">
            <xm:f>VALUE(齒研加工表!#REF!)=0</xm:f>
            <x14:dxf>
              <fill>
                <patternFill>
                  <bgColor theme="5" tint="0.79998168889431442"/>
                </patternFill>
              </fill>
            </x14:dxf>
          </x14:cfRule>
          <xm:sqref>G32</xm:sqref>
        </x14:conditionalFormatting>
        <x14:conditionalFormatting xmlns:xm="http://schemas.microsoft.com/office/excel/2006/main">
          <x14:cfRule type="expression" priority="4917" id="{1E619B8A-F224-41AB-9625-67E98B980F7F}">
            <xm:f>AND(齒研加工表!#REF!&lt;&gt;0,齒研加工表!#REF!&lt;&gt;"",齒研加工表!#REF!&gt;=齒研加工表!#REF!)</xm:f>
            <x14:dxf>
              <fill>
                <patternFill patternType="solid">
                  <fgColor indexed="64"/>
                  <bgColor theme="6" tint="0.59996337778862885"/>
                </patternFill>
              </fill>
            </x14:dxf>
          </x14:cfRule>
          <x14:cfRule type="expression" priority="4918" id="{80F92F98-953C-48D7-A264-01F733796689}">
            <xm:f>FIND("OK",齒研加工表!#REF!)</xm:f>
            <x14:dxf>
              <fill>
                <patternFill patternType="solid">
                  <fgColor indexed="64"/>
                  <bgColor theme="6" tint="0.59996337778862885"/>
                </patternFill>
              </fill>
            </x14:dxf>
          </x14:cfRule>
          <x14:cfRule type="expression" priority="4919" id="{705A83F1-14AC-462D-9760-F0F6B31AF8B2}">
            <xm:f>AND(齒研加工表!#REF!="寶嘉誠",齒研加工表!#REF!&lt;&gt;"",OR(齒研加工表!#REF!="",齒研加工表!#REF!&lt;=0))</xm:f>
            <x14:dxf>
              <font>
                <color rgb="FFFF0000"/>
              </font>
              <fill>
                <patternFill patternType="solid">
                  <fgColor indexed="64"/>
                  <bgColor theme="5" tint="0.79992065187536243"/>
                </patternFill>
              </fill>
            </x14:dxf>
          </x14:cfRule>
          <x14:cfRule type="expression" priority="4920" id="{B47C788E-299F-44F3-8A0C-46FE6EAFF167}">
            <xm:f>AND(齒研加工表!#REF!&lt;&gt;"",齒研加工表!#REF!=齒研加工表!#REF!)</xm:f>
            <x14:dxf>
              <fill>
                <patternFill patternType="solid">
                  <fgColor indexed="64"/>
                  <bgColor theme="9" tint="0.59996337778862885"/>
                </patternFill>
              </fill>
            </x14:dxf>
          </x14:cfRule>
          <xm:sqref>C34</xm:sqref>
        </x14:conditionalFormatting>
        <x14:conditionalFormatting xmlns:xm="http://schemas.microsoft.com/office/excel/2006/main">
          <x14:cfRule type="expression" priority="4950" id="{4C93CBC4-D29D-4283-8F45-BE4D33DFEC80}">
            <xm:f>齒研加工表!#REF!&lt;&gt;""</xm:f>
            <x14:dxf>
              <border>
                <left style="thin">
                  <color theme="1" tint="0.499984740745262"/>
                </left>
                <right style="thin">
                  <color theme="1" tint="0.499984740745262"/>
                </right>
                <top style="thin">
                  <color theme="1" tint="0.499984740745262"/>
                </top>
                <bottom style="thin">
                  <color theme="1" tint="0.499984740745262"/>
                </bottom>
                <vertical/>
                <horizontal/>
              </border>
            </x14:dxf>
          </x14:cfRule>
          <xm:sqref>G32</xm:sqref>
        </x14:conditionalFormatting>
        <x14:conditionalFormatting xmlns:xm="http://schemas.microsoft.com/office/excel/2006/main">
          <x14:cfRule type="expression" priority="4951" id="{1E619B8A-F224-41AB-9625-67E98B980F7F}">
            <xm:f>AND(齒研加工表!#REF!&lt;&gt;0,齒研加工表!#REF!&lt;&gt;"",齒研加工表!#REF!&gt;=齒研加工表!#REF!)</xm:f>
            <x14:dxf>
              <fill>
                <patternFill patternType="solid">
                  <fgColor indexed="64"/>
                  <bgColor theme="6" tint="0.59996337778862885"/>
                </patternFill>
              </fill>
            </x14:dxf>
          </x14:cfRule>
          <x14:cfRule type="expression" priority="4952" id="{80F92F98-953C-48D7-A264-01F733796689}">
            <xm:f>FIND("OK",齒研加工表!#REF!)</xm:f>
            <x14:dxf>
              <fill>
                <patternFill patternType="solid">
                  <fgColor indexed="64"/>
                  <bgColor theme="6" tint="0.59996337778862885"/>
                </patternFill>
              </fill>
            </x14:dxf>
          </x14:cfRule>
          <x14:cfRule type="expression" priority="4953" id="{705A83F1-14AC-462D-9760-F0F6B31AF8B2}">
            <xm:f>AND(齒研加工表!#REF!="寶嘉誠",齒研加工表!#REF!&lt;&gt;"",OR(齒研加工表!#REF!="",齒研加工表!#REF!&lt;=0))</xm:f>
            <x14:dxf>
              <font>
                <color rgb="FFFF0000"/>
              </font>
              <fill>
                <patternFill patternType="solid">
                  <fgColor indexed="64"/>
                  <bgColor theme="5" tint="0.79992065187536243"/>
                </patternFill>
              </fill>
            </x14:dxf>
          </x14:cfRule>
          <x14:cfRule type="expression" priority="4954" id="{B47C788E-299F-44F3-8A0C-46FE6EAFF167}">
            <xm:f>AND(齒研加工表!#REF!&lt;&gt;"",齒研加工表!#REF!=齒研加工表!#REF!)</xm:f>
            <x14:dxf>
              <fill>
                <patternFill patternType="solid">
                  <fgColor indexed="64"/>
                  <bgColor theme="9" tint="0.59996337778862885"/>
                </patternFill>
              </fill>
            </x14:dxf>
          </x14:cfRule>
          <xm:sqref>C36</xm:sqref>
        </x14:conditionalFormatting>
        <x14:conditionalFormatting xmlns:xm="http://schemas.microsoft.com/office/excel/2006/main">
          <x14:cfRule type="expression" priority="4963" id="{063D2DF4-71B1-4A2D-85D4-6A51328DEB18}">
            <xm:f>齒研加工表!#REF!&lt;&gt;齒研加工表!#REF!</xm:f>
            <x14:dxf>
              <border>
                <top style="thin">
                  <color theme="1"/>
                </top>
                <vertical/>
                <horizontal/>
              </border>
            </x14:dxf>
          </x14:cfRule>
          <xm:sqref>E20:F20 B20</xm:sqref>
        </x14:conditionalFormatting>
        <x14:conditionalFormatting xmlns:xm="http://schemas.microsoft.com/office/excel/2006/main">
          <x14:cfRule type="expression" priority="4977" id="{D6D0D209-9113-480D-B170-8408099C0B04}">
            <xm:f>齒研加工表!#REF!&lt;&gt;齒研加工表!#REF!</xm:f>
            <x14:dxf>
              <border>
                <top style="thin">
                  <color theme="1"/>
                </top>
                <vertical/>
                <horizontal/>
              </border>
            </x14:dxf>
          </x14:cfRule>
          <xm:sqref>G20</xm:sqref>
        </x14:conditionalFormatting>
        <x14:conditionalFormatting xmlns:xm="http://schemas.microsoft.com/office/excel/2006/main">
          <x14:cfRule type="expression" priority="4978" id="{08528175-1E21-4B33-BA09-3858CB22816A}">
            <xm:f>OR(FIND("X",齒研加工表!#REF!,0),FIND("x",齒研加工表!#REF!,0))</xm:f>
            <x14:dxf>
              <font>
                <strike/>
              </font>
            </x14:dxf>
          </x14:cfRule>
          <x14:cfRule type="expression" priority="4979" id="{4081A0B7-4C8E-4A62-BFD4-EAC6231294C3}">
            <xm:f>齒研加工表!#REF!=""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4980" id="{B46D17B2-F8D3-44F7-84D2-C271BFF4CA16}">
            <xm:f>齒研加工表!#REF!&lt;&gt;""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4981" id="{1E044CD3-6278-4741-A0AD-D808B08FBF81}">
            <xm:f>VALUE(齒研加工表!#REF!)=0</xm:f>
            <x14:dxf>
              <fill>
                <patternFill>
                  <bgColor theme="5" tint="0.79998168889431442"/>
                </patternFill>
              </fill>
            </x14:dxf>
          </x14:cfRule>
          <xm:sqref>E20:G20 B20</xm:sqref>
        </x14:conditionalFormatting>
        <x14:conditionalFormatting xmlns:xm="http://schemas.microsoft.com/office/excel/2006/main">
          <x14:cfRule type="expression" priority="4994" id="{4C93CBC4-D29D-4283-8F45-BE4D33DFEC80}">
            <xm:f>齒研加工表!#REF!&lt;&gt;""</xm:f>
            <x14:dxf>
              <border>
                <left style="thin">
                  <color theme="1" tint="0.499984740745262"/>
                </left>
                <right style="thin">
                  <color theme="1" tint="0.499984740745262"/>
                </right>
                <top style="thin">
                  <color theme="1" tint="0.499984740745262"/>
                </top>
                <bottom style="thin">
                  <color theme="1" tint="0.499984740745262"/>
                </bottom>
                <vertical/>
                <horizontal/>
              </border>
            </x14:dxf>
          </x14:cfRule>
          <xm:sqref>E20:G20 B20</xm:sqref>
        </x14:conditionalFormatting>
        <x14:conditionalFormatting xmlns:xm="http://schemas.microsoft.com/office/excel/2006/main">
          <x14:cfRule type="expression" priority="5022" id="{4C93CBC4-D29D-4283-8F45-BE4D33DFEC80}">
            <xm:f>齒研加工表!#REF!&lt;&gt;""</xm:f>
            <x14:dxf>
              <border>
                <left style="thin">
                  <color theme="1" tint="0.499984740745262"/>
                </left>
                <right style="thin">
                  <color theme="1" tint="0.499984740745262"/>
                </right>
                <top style="thin">
                  <color theme="1" tint="0.499984740745262"/>
                </top>
                <bottom style="thin">
                  <color theme="1" tint="0.499984740745262"/>
                </bottom>
                <vertical/>
                <horizontal/>
              </border>
            </x14:dxf>
          </x14:cfRule>
          <xm:sqref>G39</xm:sqref>
        </x14:conditionalFormatting>
        <x14:conditionalFormatting xmlns:xm="http://schemas.microsoft.com/office/excel/2006/main">
          <x14:cfRule type="expression" priority="5024" id="{D6D0D209-9113-480D-B170-8408099C0B04}">
            <xm:f>齒研加工表!#REF!&lt;&gt;齒研加工表!#REF!</xm:f>
            <x14:dxf>
              <border>
                <top style="thin">
                  <color theme="1"/>
                </top>
                <vertical/>
                <horizontal/>
              </border>
            </x14:dxf>
          </x14:cfRule>
          <xm:sqref>G39</xm:sqref>
        </x14:conditionalFormatting>
        <x14:conditionalFormatting xmlns:xm="http://schemas.microsoft.com/office/excel/2006/main">
          <x14:cfRule type="expression" priority="5029" id="{08528175-1E21-4B33-BA09-3858CB22816A}">
            <xm:f>OR(FIND("X",齒研加工表!#REF!,0),FIND("x",齒研加工表!#REF!,0))</xm:f>
            <x14:dxf>
              <font>
                <strike/>
              </font>
            </x14:dxf>
          </x14:cfRule>
          <x14:cfRule type="expression" priority="5030" id="{4081A0B7-4C8E-4A62-BFD4-EAC6231294C3}">
            <xm:f>齒研加工表!#REF!=""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5031" id="{B46D17B2-F8D3-44F7-84D2-C271BFF4CA16}">
            <xm:f>齒研加工表!#REF!&lt;&gt;""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5032" id="{1E044CD3-6278-4741-A0AD-D808B08FBF81}">
            <xm:f>VALUE(齒研加工表!#REF!)=0</xm:f>
            <x14:dxf>
              <fill>
                <patternFill>
                  <bgColor theme="5" tint="0.79998168889431442"/>
                </patternFill>
              </fill>
            </x14:dxf>
          </x14:cfRule>
          <xm:sqref>G39</xm:sqref>
        </x14:conditionalFormatting>
        <x14:conditionalFormatting xmlns:xm="http://schemas.microsoft.com/office/excel/2006/main">
          <x14:cfRule type="expression" priority="5069" id="{1E619B8A-F224-41AB-9625-67E98B980F7F}">
            <xm:f>AND(齒研加工表!#REF!&lt;&gt;0,齒研加工表!#REF!&lt;&gt;"",齒研加工表!#REF!&gt;=齒研加工表!#REF!)</xm:f>
            <x14:dxf>
              <fill>
                <patternFill patternType="solid">
                  <fgColor indexed="64"/>
                  <bgColor theme="6" tint="0.59996337778862885"/>
                </patternFill>
              </fill>
            </x14:dxf>
          </x14:cfRule>
          <x14:cfRule type="expression" priority="5070" id="{80F92F98-953C-48D7-A264-01F733796689}">
            <xm:f>FIND("OK",齒研加工表!#REF!)</xm:f>
            <x14:dxf>
              <fill>
                <patternFill patternType="solid">
                  <fgColor indexed="64"/>
                  <bgColor theme="6" tint="0.59996337778862885"/>
                </patternFill>
              </fill>
            </x14:dxf>
          </x14:cfRule>
          <x14:cfRule type="expression" priority="5071" id="{705A83F1-14AC-462D-9760-F0F6B31AF8B2}">
            <xm:f>AND(齒研加工表!#REF!="寶嘉誠",齒研加工表!#REF!&lt;&gt;"",OR(齒研加工表!#REF!="",齒研加工表!#REF!&lt;=0))</xm:f>
            <x14:dxf>
              <font>
                <color rgb="FFFF0000"/>
              </font>
              <fill>
                <patternFill patternType="solid">
                  <fgColor indexed="64"/>
                  <bgColor theme="5" tint="0.79992065187536243"/>
                </patternFill>
              </fill>
            </x14:dxf>
          </x14:cfRule>
          <x14:cfRule type="expression" priority="5072" id="{B47C788E-299F-44F3-8A0C-46FE6EAFF167}">
            <xm:f>AND(齒研加工表!#REF!&lt;&gt;"",齒研加工表!#REF!=齒研加工表!#REF!)</xm:f>
            <x14:dxf>
              <fill>
                <patternFill patternType="solid">
                  <fgColor indexed="64"/>
                  <bgColor theme="9" tint="0.59996337778862885"/>
                </patternFill>
              </fill>
            </x14:dxf>
          </x14:cfRule>
          <xm:sqref>C22</xm:sqref>
        </x14:conditionalFormatting>
        <x14:conditionalFormatting xmlns:xm="http://schemas.microsoft.com/office/excel/2006/main">
          <x14:cfRule type="expression" priority="5089" id="{54B4B8D8-B688-40ED-BA55-7B103D3682B3}">
            <xm:f>OR(FIND("X",齒研加工表!#REF!,0),FIND("x",齒研加工表!#REF!,0))</xm:f>
            <x14:dxf>
              <font>
                <strike/>
              </font>
            </x14:dxf>
          </x14:cfRule>
          <x14:cfRule type="expression" priority="5090" id="{23F74E7F-ACC6-449A-AAD2-9D048C812F67}">
            <xm:f>齒研加工表!#REF!=""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5091" id="{DCEC4138-D1A5-4438-9C92-9F47EE096CF3}">
            <xm:f>齒研加工表!#REF!&lt;&gt;""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5092" id="{53AEAAD4-7CD1-4806-8C56-105584B80B65}">
            <xm:f>VALUE(齒研加工表!#REF!)=0</xm:f>
            <x14:dxf>
              <fill>
                <patternFill>
                  <bgColor theme="5" tint="0.79998168889431442"/>
                </patternFill>
              </fill>
            </x14:dxf>
          </x14:cfRule>
          <xm:sqref>F22</xm:sqref>
        </x14:conditionalFormatting>
        <x14:conditionalFormatting xmlns:xm="http://schemas.microsoft.com/office/excel/2006/main">
          <x14:cfRule type="expression" priority="5093" id="{4C93CBC4-D29D-4283-8F45-BE4D33DFEC80}">
            <xm:f>齒研加工表!#REF!&lt;&gt;""</xm:f>
            <x14:dxf>
              <border>
                <left style="thin">
                  <color theme="1" tint="0.499984740745262"/>
                </left>
                <right style="thin">
                  <color theme="1" tint="0.499984740745262"/>
                </right>
                <top style="thin">
                  <color theme="1" tint="0.499984740745262"/>
                </top>
                <bottom style="thin">
                  <color theme="1" tint="0.499984740745262"/>
                </bottom>
                <vertical/>
                <horizontal/>
              </border>
            </x14:dxf>
          </x14:cfRule>
          <xm:sqref>F22</xm:sqref>
        </x14:conditionalFormatting>
        <x14:conditionalFormatting xmlns:xm="http://schemas.microsoft.com/office/excel/2006/main">
          <x14:cfRule type="expression" priority="5094" id="{08457F05-1250-4BEB-9AB3-4F11491ED0CF}">
            <xm:f>齒研加工表!#REF!&lt;&gt;齒研加工表!#REF!</xm:f>
            <x14:dxf>
              <border>
                <top style="thin">
                  <color theme="1"/>
                </top>
                <vertical/>
                <horizontal/>
              </border>
            </x14:dxf>
          </x14:cfRule>
          <xm:sqref>F22</xm:sqref>
        </x14:conditionalFormatting>
        <x14:conditionalFormatting xmlns:xm="http://schemas.microsoft.com/office/excel/2006/main">
          <x14:cfRule type="expression" priority="5135" id="{54B4B8D8-B688-40ED-BA55-7B103D3682B3}">
            <xm:f>OR(FIND("X",齒研加工表!#REF!,0),FIND("x",齒研加工表!#REF!,0))</xm:f>
            <x14:dxf>
              <font>
                <strike/>
              </font>
            </x14:dxf>
          </x14:cfRule>
          <x14:cfRule type="expression" priority="5136" id="{23F74E7F-ACC6-449A-AAD2-9D048C812F67}">
            <xm:f>齒研加工表!#REF!=""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5137" id="{DCEC4138-D1A5-4438-9C92-9F47EE096CF3}">
            <xm:f>齒研加工表!#REF!&lt;&gt;""</xm:f>
            <x14:dxf>
              <fill>
                <patternFill patternType="none">
                  <bgColor auto="1"/>
                </patternFill>
              </fill>
            </x14:dxf>
          </x14:cfRule>
          <x14:cfRule type="expression" priority="5138" id="{53AEAAD4-7CD1-4806-8C56-105584B80B65}">
            <xm:f>VALUE(齒研加工表!#REF!)=0</xm:f>
            <x14:dxf>
              <fill>
                <patternFill>
                  <bgColor theme="5" tint="0.79998168889431442"/>
                </patternFill>
              </fill>
            </x14:dxf>
          </x14:cfRule>
          <xm:sqref>F21</xm:sqref>
        </x14:conditionalFormatting>
        <x14:conditionalFormatting xmlns:xm="http://schemas.microsoft.com/office/excel/2006/main">
          <x14:cfRule type="expression" priority="5139" id="{4C93CBC4-D29D-4283-8F45-BE4D33DFEC80}">
            <xm:f>齒研加工表!#REF!&lt;&gt;""</xm:f>
            <x14:dxf>
              <border>
                <left style="thin">
                  <color theme="1" tint="0.499984740745262"/>
                </left>
                <right style="thin">
                  <color theme="1" tint="0.499984740745262"/>
                </right>
                <top style="thin">
                  <color theme="1" tint="0.499984740745262"/>
                </top>
                <bottom style="thin">
                  <color theme="1" tint="0.499984740745262"/>
                </bottom>
                <vertical/>
                <horizontal/>
              </border>
            </x14:dxf>
          </x14:cfRule>
          <xm:sqref>F21</xm:sqref>
        </x14:conditionalFormatting>
        <x14:conditionalFormatting xmlns:xm="http://schemas.microsoft.com/office/excel/2006/main">
          <x14:cfRule type="expression" priority="5140" id="{08457F05-1250-4BEB-9AB3-4F11491ED0CF}">
            <xm:f>齒研加工表!#REF!&lt;&gt;齒研加工表!#REF!</xm:f>
            <x14:dxf>
              <border>
                <top style="thin">
                  <color theme="1"/>
                </top>
                <vertical/>
                <horizontal/>
              </border>
            </x14:dxf>
          </x14:cfRule>
          <xm:sqref>F21</xm:sqref>
        </x14:conditionalFormatting>
        <x14:conditionalFormatting xmlns:xm="http://schemas.microsoft.com/office/excel/2006/main">
          <x14:cfRule type="expression" priority="5171" id="{C82E6EE8-BA79-4FBC-A501-D34D050380B2}">
            <xm:f>齒研加工表!#REF!&lt;&gt;""</xm:f>
            <x14:dxf>
              <border>
                <left style="thin">
                  <color theme="1" tint="0.499984740745262"/>
                </left>
                <right style="thin">
                  <color theme="1" tint="0.499984740745262"/>
                </right>
                <top style="thin">
                  <color theme="1" tint="0.499984740745262"/>
                </top>
                <bottom style="thin">
                  <color theme="1" tint="0.499984740745262"/>
                </bottom>
                <vertical/>
                <horizontal/>
              </border>
            </x14:dxf>
          </x14:cfRule>
          <xm:sqref>E19:G19 B19</xm:sqref>
        </x14:conditionalFormatting>
        <x14:conditionalFormatting xmlns:xm="http://schemas.microsoft.com/office/excel/2006/main">
          <x14:cfRule type="expression" priority="5173" id="{8D63EB60-1B08-4960-BA3E-010DBE5D3D89}">
            <xm:f>齒研加工表!#REF!=""</xm:f>
            <x14:dxf>
              <fill>
                <patternFill patternType="none">
                  <bgColor auto="1"/>
                </patternFill>
              </fill>
            </x14:dxf>
          </x14:cfRule>
          <xm:sqref>E19:G19 B19</xm:sqref>
        </x14:conditionalFormatting>
        <x14:conditionalFormatting xmlns:xm="http://schemas.microsoft.com/office/excel/2006/main">
          <x14:cfRule type="expression" priority="5175" id="{D6D0D209-9113-480D-B170-8408099C0B04}">
            <xm:f>齒研加工表!#REF!&lt;&gt;齒研加工表!#REF!</xm:f>
            <x14:dxf>
              <border>
                <top style="thin">
                  <color theme="1"/>
                </top>
                <vertical/>
                <horizontal/>
              </border>
            </x14:dxf>
          </x14:cfRule>
          <xm:sqref>G19</xm:sqref>
        </x14:conditionalFormatting>
        <x14:conditionalFormatting xmlns:xm="http://schemas.microsoft.com/office/excel/2006/main">
          <x14:cfRule type="expression" priority="5176" id="{063D2DF4-71B1-4A2D-85D4-6A51328DEB18}">
            <xm:f>齒研加工表!#REF!&lt;&gt;齒研加工表!#REF!</xm:f>
            <x14:dxf>
              <border>
                <top style="thin">
                  <color theme="1"/>
                </top>
                <vertical/>
                <horizontal/>
              </border>
            </x14:dxf>
          </x14:cfRule>
          <xm:sqref>E19:F19 B19</xm:sqref>
        </x14:conditionalFormatting>
        <x14:conditionalFormatting xmlns:xm="http://schemas.microsoft.com/office/excel/2006/main">
          <x14:cfRule type="expression" priority="5201" id="{B653CFCA-F87E-4CA5-A40C-513E9A080B1A}">
            <xm:f>AND(齒研加工表!#REF!&lt;&gt;0,齒研加工表!#REF!&lt;&gt;"",齒研加工表!#REF!&gt;=齒研加工表!#REF!)</xm:f>
            <x14:dxf>
              <fill>
                <patternFill patternType="solid">
                  <fgColor indexed="64"/>
                  <bgColor theme="6" tint="0.59996337778862885"/>
                </patternFill>
              </fill>
            </x14:dxf>
          </x14:cfRule>
          <x14:cfRule type="expression" priority="5202" id="{9AC65766-5DE2-47F8-A7D4-32A561A48FA4}">
            <xm:f>FIND("OK",齒研加工表!#REF!)</xm:f>
            <x14:dxf>
              <fill>
                <patternFill patternType="solid">
                  <fgColor indexed="64"/>
                  <bgColor theme="6" tint="0.59996337778862885"/>
                </patternFill>
              </fill>
            </x14:dxf>
          </x14:cfRule>
          <x14:cfRule type="expression" priority="5203" id="{C09AAC23-7960-42F2-9EC4-F0C1AA7AE684}">
            <xm:f>AND(齒研加工表!#REF!="寶嘉誠",齒研加工表!#REF!&lt;&gt;"",OR(齒研加工表!#REF!="",齒研加工表!#REF!&lt;=0))</xm:f>
            <x14:dxf>
              <font>
                <color rgb="FFFF0000"/>
              </font>
              <fill>
                <patternFill patternType="solid">
                  <fgColor indexed="64"/>
                  <bgColor theme="5" tint="0.79992065187536243"/>
                </patternFill>
              </fill>
            </x14:dxf>
          </x14:cfRule>
          <x14:cfRule type="expression" priority="5204" id="{565493AF-C655-4812-A980-BCB0F0788DCB}">
            <xm:f>AND(齒研加工表!#REF!&lt;&gt;"",齒研加工表!#REF!=齒研加工表!#REF!)</xm:f>
            <x14:dxf>
              <fill>
                <patternFill patternType="solid">
                  <fgColor indexed="64"/>
                  <bgColor theme="9" tint="0.59996337778862885"/>
                </patternFill>
              </fill>
            </x14:dxf>
          </x14:cfRule>
          <xm:sqref>C9</xm:sqref>
        </x14:conditionalFormatting>
        <x14:conditionalFormatting xmlns:xm="http://schemas.microsoft.com/office/excel/2006/main">
          <x14:cfRule type="expression" priority="1" id="{3E0667E7-BE28-4C43-B350-DC6FB5C5766C}">
            <xm:f>AND(齒研加工表!#REF!&lt;&gt;0,齒研加工表!#REF!&lt;&gt;"",齒研加工表!#REF!&gt;=齒研加工表!#REF!)</xm:f>
            <x14:dxf>
              <fill>
                <patternFill patternType="solid">
                  <fgColor indexed="64"/>
                  <bgColor theme="6" tint="0.59996337778862885"/>
                </patternFill>
              </fill>
            </x14:dxf>
          </x14:cfRule>
          <x14:cfRule type="expression" priority="2" id="{389ADC80-F5CB-4EBD-B751-5F1216E43600}">
            <xm:f>FIND("OK",齒研加工表!#REF!)</xm:f>
            <x14:dxf>
              <fill>
                <patternFill patternType="solid">
                  <fgColor indexed="64"/>
                  <bgColor theme="6" tint="0.59996337778862885"/>
                </patternFill>
              </fill>
            </x14:dxf>
          </x14:cfRule>
          <x14:cfRule type="expression" priority="3" id="{039A0397-AED8-46FE-90AC-92B53682A419}">
            <xm:f>AND(齒研加工表!#REF!="寶嘉誠",齒研加工表!#REF!&lt;&gt;"",OR(齒研加工表!#REF!="",齒研加工表!#REF!&lt;=0))</xm:f>
            <x14:dxf>
              <font>
                <color rgb="FFFF0000"/>
              </font>
              <fill>
                <patternFill patternType="solid">
                  <fgColor indexed="64"/>
                  <bgColor theme="5" tint="0.79992065187536243"/>
                </patternFill>
              </fill>
            </x14:dxf>
          </x14:cfRule>
          <x14:cfRule type="expression" priority="4" id="{C1661571-CF50-432F-9BCD-9FF34862016D}">
            <xm:f>AND(齒研加工表!#REF!&lt;&gt;"",齒研加工表!#REF!=齒研加工表!#REF!)</xm:f>
            <x14:dxf>
              <fill>
                <patternFill patternType="solid">
                  <fgColor indexed="64"/>
                  <bgColor theme="9" tint="0.59996337778862885"/>
                </patternFill>
              </fill>
            </x14:dxf>
          </x14:cfRule>
          <xm:sqref>C8</xm:sqref>
        </x14:conditionalFormatting>
        <x14:conditionalFormatting xmlns:xm="http://schemas.microsoft.com/office/excel/2006/main">
          <x14:cfRule type="expression" priority="5213" id="{CF618E2E-3FF9-41A8-B85D-E26186BD2F5F}">
            <xm:f>AND(齒研加工表!#REF!&lt;&gt;0,齒研加工表!#REF!&lt;&gt;"",齒研加工表!#REF!&gt;=齒研加工表!$J3)</xm:f>
            <x14:dxf>
              <fill>
                <patternFill patternType="solid">
                  <fgColor indexed="64"/>
                  <bgColor theme="6" tint="0.59996337778862885"/>
                </patternFill>
              </fill>
            </x14:dxf>
          </x14:cfRule>
          <x14:cfRule type="expression" priority="5214" id="{56269AAE-5951-47D7-A934-B2B852029371}">
            <xm:f>FIND("OK",齒研加工表!#REF!)</xm:f>
            <x14:dxf>
              <fill>
                <patternFill patternType="solid">
                  <fgColor indexed="64"/>
                  <bgColor theme="6" tint="0.59996337778862885"/>
                </patternFill>
              </fill>
            </x14:dxf>
          </x14:cfRule>
          <x14:cfRule type="expression" priority="5215" id="{62D7EC71-052B-4759-B915-1157DE1F8D87}">
            <xm:f>AND(齒研加工表!$D3="寶嘉誠",齒研加工表!$G3&lt;&gt;"",OR(齒研加工表!#REF!="",齒研加工表!#REF!&lt;=0))</xm:f>
            <x14:dxf>
              <font>
                <color rgb="FFFF0000"/>
              </font>
              <fill>
                <patternFill patternType="solid">
                  <fgColor indexed="64"/>
                  <bgColor theme="5" tint="0.79992065187536243"/>
                </patternFill>
              </fill>
            </x14:dxf>
          </x14:cfRule>
          <x14:cfRule type="expression" priority="5216" id="{722AF597-77D6-442F-A896-6FE4E453CAF9}">
            <xm:f>AND(齒研加工表!A3&lt;&gt;"",齒研加工表!A3=齒研加工表!#REF!)</xm:f>
            <x14:dxf>
              <fill>
                <patternFill patternType="solid">
                  <fgColor indexed="64"/>
                  <bgColor theme="9" tint="0.59996337778862885"/>
                </patternFill>
              </fill>
            </x14:dxf>
          </x14:cfRule>
          <xm:sqref>A3:B3</xm:sqref>
        </x14:conditionalFormatting>
        <x14:conditionalFormatting xmlns:xm="http://schemas.microsoft.com/office/excel/2006/main">
          <x14:cfRule type="expression" priority="5217" id="{CF618E2E-3FF9-41A8-B85D-E26186BD2F5F}">
            <xm:f>AND(齒研加工表!#REF!&lt;&gt;0,齒研加工表!#REF!&lt;&gt;"",齒研加工表!#REF!&gt;=齒研加工表!$J3)</xm:f>
            <x14:dxf>
              <fill>
                <patternFill patternType="solid">
                  <fgColor indexed="64"/>
                  <bgColor theme="6" tint="0.59996337778862885"/>
                </patternFill>
              </fill>
            </x14:dxf>
          </x14:cfRule>
          <x14:cfRule type="expression" priority="5218" id="{56269AAE-5951-47D7-A934-B2B852029371}">
            <xm:f>FIND("OK",齒研加工表!#REF!)</xm:f>
            <x14:dxf>
              <fill>
                <patternFill patternType="solid">
                  <fgColor indexed="64"/>
                  <bgColor theme="6" tint="0.59996337778862885"/>
                </patternFill>
              </fill>
            </x14:dxf>
          </x14:cfRule>
          <x14:cfRule type="expression" priority="5219" id="{62D7EC71-052B-4759-B915-1157DE1F8D87}">
            <xm:f>AND(齒研加工表!$D3="寶嘉誠",齒研加工表!$G3&lt;&gt;"",OR(齒研加工表!#REF!="",齒研加工表!#REF!&lt;=0))</xm:f>
            <x14:dxf>
              <font>
                <color rgb="FFFF0000"/>
              </font>
              <fill>
                <patternFill patternType="solid">
                  <fgColor indexed="64"/>
                  <bgColor theme="5" tint="0.79992065187536243"/>
                </patternFill>
              </fill>
            </x14:dxf>
          </x14:cfRule>
          <x14:cfRule type="expression" priority="5220" id="{722AF597-77D6-442F-A896-6FE4E453CAF9}">
            <xm:f>AND(齒研加工表!D3&lt;&gt;"",齒研加工表!D3=齒研加工表!#REF!)</xm:f>
            <x14:dxf>
              <fill>
                <patternFill patternType="solid">
                  <fgColor indexed="64"/>
                  <bgColor theme="9" tint="0.59996337778862885"/>
                </patternFill>
              </fill>
            </x14:dxf>
          </x14:cfRule>
          <xm:sqref>C3:I3</xm:sqref>
        </x14:conditionalFormatting>
        <x14:conditionalFormatting xmlns:xm="http://schemas.microsoft.com/office/excel/2006/main">
          <x14:cfRule type="expression" priority="5257" id="{AFC99CA2-CD5C-4A65-99F4-4221D6070D09}">
            <xm:f>AND(齒研加工表!#REF!&lt;&gt;0,齒研加工表!#REF!&lt;&gt;"",齒研加工表!#REF!&gt;=齒研加工表!$J1)</xm:f>
            <x14:dxf>
              <fill>
                <patternFill patternType="solid">
                  <fgColor indexed="64"/>
                  <bgColor theme="6" tint="0.59996337778862885"/>
                </patternFill>
              </fill>
            </x14:dxf>
          </x14:cfRule>
          <x14:cfRule type="expression" priority="5258" id="{76EB52CB-C7D7-4A80-B6D6-C4E10CCCB50D}">
            <xm:f>FIND("OK",齒研加工表!#REF!)</xm:f>
            <x14:dxf>
              <fill>
                <patternFill patternType="solid">
                  <fgColor indexed="64"/>
                  <bgColor theme="6" tint="0.59996337778862885"/>
                </patternFill>
              </fill>
            </x14:dxf>
          </x14:cfRule>
          <x14:cfRule type="expression" priority="5259" id="{0E0274E1-2A7E-4D18-ACBC-2B2FD3639DAC}">
            <xm:f>AND(齒研加工表!$H2="寶嘉誠",齒研加工表!$G1&lt;&gt;"",OR(齒研加工表!#REF!="",齒研加工表!#REF!&lt;=0))</xm:f>
            <x14:dxf>
              <font>
                <color rgb="FFFF0000"/>
              </font>
              <fill>
                <patternFill patternType="solid">
                  <fgColor indexed="64"/>
                  <bgColor theme="5" tint="0.79992065187536243"/>
                </patternFill>
              </fill>
            </x14:dxf>
          </x14:cfRule>
          <x14:cfRule type="expression" priority="5260" id="{0CE1A449-80FC-47C0-A066-C985DDD4B542}">
            <xm:f>AND(齒研加工表!H2&lt;&gt;"",齒研加工表!H2=齒研加工表!#REF!)</xm:f>
            <x14:dxf>
              <fill>
                <patternFill patternType="solid">
                  <fgColor indexed="64"/>
                  <bgColor theme="9" tint="0.59996337778862885"/>
                </patternFill>
              </fill>
            </x14:dxf>
          </x14:cfRule>
          <xm:sqref>C10</xm:sqref>
        </x14:conditionalFormatting>
        <x14:conditionalFormatting xmlns:xm="http://schemas.microsoft.com/office/excel/2006/main">
          <x14:cfRule type="expression" priority="5261" id="{1E619B8A-F224-41AB-9625-67E98B980F7F}">
            <xm:f>AND(齒研加工表!#REF!&lt;&gt;0,齒研加工表!#REF!&lt;&gt;"",齒研加工表!#REF!&gt;=齒研加工表!$J1)</xm:f>
            <x14:dxf>
              <fill>
                <patternFill patternType="solid">
                  <fgColor indexed="64"/>
                  <bgColor theme="6" tint="0.59996337778862885"/>
                </patternFill>
              </fill>
            </x14:dxf>
          </x14:cfRule>
          <x14:cfRule type="expression" priority="5262" id="{80F92F98-953C-48D7-A264-01F733796689}">
            <xm:f>FIND("OK",齒研加工表!#REF!)</xm:f>
            <x14:dxf>
              <fill>
                <patternFill patternType="solid">
                  <fgColor indexed="64"/>
                  <bgColor theme="6" tint="0.59996337778862885"/>
                </patternFill>
              </fill>
            </x14:dxf>
          </x14:cfRule>
          <x14:cfRule type="expression" priority="5263" id="{705A83F1-14AC-462D-9760-F0F6B31AF8B2}">
            <xm:f>AND(齒研加工表!$H2="寶嘉誠",齒研加工表!$G1&lt;&gt;"",OR(齒研加工表!#REF!="",齒研加工表!#REF!&lt;=0))</xm:f>
            <x14:dxf>
              <font>
                <color rgb="FFFF0000"/>
              </font>
              <fill>
                <patternFill patternType="solid">
                  <fgColor indexed="64"/>
                  <bgColor theme="5" tint="0.79992065187536243"/>
                </patternFill>
              </fill>
            </x14:dxf>
          </x14:cfRule>
          <x14:cfRule type="expression" priority="5264" id="{B47C788E-299F-44F3-8A0C-46FE6EAFF167}">
            <xm:f>AND(齒研加工表!H2&lt;&gt;"",齒研加工表!H2=齒研加工表!#REF!)</xm:f>
            <x14:dxf>
              <fill>
                <patternFill patternType="solid">
                  <fgColor indexed="64"/>
                  <bgColor theme="9" tint="0.59996337778862885"/>
                </patternFill>
              </fill>
            </x14:dxf>
          </x14:cfRule>
          <xm:sqref>C7</xm:sqref>
        </x14:conditionalFormatting>
        <x14:conditionalFormatting xmlns:xm="http://schemas.microsoft.com/office/excel/2006/main">
          <x14:cfRule type="expression" priority="5277" id="{AFC99CA2-CD5C-4A65-99F4-4221D6070D09}">
            <xm:f>AND(齒研加工表!#REF!&lt;&gt;0,齒研加工表!#REF!&lt;&gt;"",齒研加工表!#REF!&gt;=齒研加工表!$J2)</xm:f>
            <x14:dxf>
              <fill>
                <patternFill patternType="solid">
                  <fgColor indexed="64"/>
                  <bgColor theme="6" tint="0.59996337778862885"/>
                </patternFill>
              </fill>
            </x14:dxf>
          </x14:cfRule>
          <x14:cfRule type="expression" priority="5278" id="{76EB52CB-C7D7-4A80-B6D6-C4E10CCCB50D}">
            <xm:f>FIND("OK",齒研加工表!#REF!)</xm:f>
            <x14:dxf>
              <fill>
                <patternFill patternType="solid">
                  <fgColor indexed="64"/>
                  <bgColor theme="6" tint="0.59996337778862885"/>
                </patternFill>
              </fill>
            </x14:dxf>
          </x14:cfRule>
          <x14:cfRule type="expression" priority="5279" id="{0E0274E1-2A7E-4D18-ACBC-2B2FD3639DAC}">
            <xm:f>AND(齒研加工表!#REF!="寶嘉誠",齒研加工表!#REF!&lt;&gt;"",OR(齒研加工表!#REF!="",齒研加工表!#REF!&lt;=0))</xm:f>
            <x14:dxf>
              <font>
                <color rgb="FFFF0000"/>
              </font>
              <fill>
                <patternFill patternType="solid">
                  <fgColor indexed="64"/>
                  <bgColor theme="5" tint="0.79992065187536243"/>
                </patternFill>
              </fill>
            </x14:dxf>
          </x14:cfRule>
          <x14:cfRule type="expression" priority="5280" id="{0CE1A449-80FC-47C0-A066-C985DDD4B542}">
            <xm:f>AND(齒研加工表!#REF!&lt;&gt;"",齒研加工表!#REF!=齒研加工表!#REF!)</xm:f>
            <x14:dxf>
              <fill>
                <patternFill patternType="solid">
                  <fgColor indexed="64"/>
                  <bgColor theme="9" tint="0.59996337778862885"/>
                </patternFill>
              </fill>
            </x14:dxf>
          </x14:cfRule>
          <xm:sqref>C11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3" tint="0.39997558519241921"/>
  </sheetPr>
  <dimension ref="A1:F19"/>
  <sheetViews>
    <sheetView workbookViewId="0">
      <pane ySplit="1" topLeftCell="A2" activePane="bottomLeft" state="frozen"/>
      <selection pane="bottomLeft" activeCell="D23" sqref="D23"/>
    </sheetView>
  </sheetViews>
  <sheetFormatPr defaultRowHeight="16.2"/>
  <cols>
    <col min="1" max="1" width="9.77734375" style="64" customWidth="1"/>
    <col min="2" max="2" width="11.44140625" style="62" customWidth="1"/>
    <col min="3" max="3" width="13.77734375" style="61" bestFit="1" customWidth="1"/>
    <col min="4" max="4" width="23.21875" style="66" bestFit="1" customWidth="1"/>
    <col min="5" max="5" width="11.44140625" customWidth="1"/>
    <col min="6" max="6" width="11.44140625" style="62" customWidth="1"/>
  </cols>
  <sheetData>
    <row r="1" spans="1:6">
      <c r="A1" s="63" t="s">
        <v>132</v>
      </c>
      <c r="B1" s="53" t="s">
        <v>133</v>
      </c>
      <c r="C1" s="53" t="s">
        <v>134</v>
      </c>
      <c r="D1" s="65" t="s">
        <v>135</v>
      </c>
      <c r="E1" s="53" t="s">
        <v>136</v>
      </c>
      <c r="F1" s="53" t="s">
        <v>137</v>
      </c>
    </row>
    <row r="19" spans="4:4">
      <c r="D19" s="82"/>
    </row>
  </sheetData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8"/>
  <sheetViews>
    <sheetView workbookViewId="0">
      <selection activeCell="B4" sqref="B4"/>
    </sheetView>
  </sheetViews>
  <sheetFormatPr defaultRowHeight="16.2"/>
  <cols>
    <col min="2" max="2" width="11.88671875" customWidth="1"/>
  </cols>
  <sheetData>
    <row r="1" spans="2:2" ht="21.6">
      <c r="B1" s="85" t="s">
        <v>160</v>
      </c>
    </row>
    <row r="2" spans="2:2" ht="21.6">
      <c r="B2" s="83" t="s">
        <v>157</v>
      </c>
    </row>
    <row r="3" spans="2:2" ht="21.6">
      <c r="B3" s="83" t="s">
        <v>158</v>
      </c>
    </row>
    <row r="4" spans="2:2" ht="21.6">
      <c r="B4" s="83" t="s">
        <v>156</v>
      </c>
    </row>
    <row r="5" spans="2:2" ht="21.6">
      <c r="B5" s="83" t="s">
        <v>159</v>
      </c>
    </row>
    <row r="6" spans="2:2" ht="21.6">
      <c r="B6" s="83" t="s">
        <v>577</v>
      </c>
    </row>
    <row r="7" spans="2:2" ht="21" customHeight="1">
      <c r="B7" s="83" t="s">
        <v>161</v>
      </c>
    </row>
    <row r="8" spans="2:2" ht="21.6">
      <c r="B8" s="84" t="s">
        <v>162</v>
      </c>
    </row>
  </sheetData>
  <phoneticPr fontId="6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1</vt:i4>
      </vt:variant>
    </vt:vector>
  </HeadingPairs>
  <TitlesOfParts>
    <vt:vector size="6" baseType="lpstr">
      <vt:lpstr>齒研加工表</vt:lpstr>
      <vt:lpstr>已完工</vt:lpstr>
      <vt:lpstr>齒研庫存表</vt:lpstr>
      <vt:lpstr>齒研完工記錄</vt:lpstr>
      <vt:lpstr>機台清單</vt:lpstr>
      <vt:lpstr>齒研加工表!Print_Titles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xssc</dc:creator>
  <cp:lastModifiedBy>awt33</cp:lastModifiedBy>
  <cp:lastPrinted>2024-01-29T07:04:17Z</cp:lastPrinted>
  <dcterms:created xsi:type="dcterms:W3CDTF">2006-09-16T00:00:00Z</dcterms:created>
  <dcterms:modified xsi:type="dcterms:W3CDTF">2024-01-29T07:07:20Z</dcterms:modified>
</cp:coreProperties>
</file>