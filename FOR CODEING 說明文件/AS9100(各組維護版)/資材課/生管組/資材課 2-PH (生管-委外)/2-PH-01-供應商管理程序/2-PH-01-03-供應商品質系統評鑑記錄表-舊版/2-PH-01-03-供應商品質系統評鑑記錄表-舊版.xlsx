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空白" sheetId="1" r:id="rId1"/>
  </sheets>
  <definedNames>
    <definedName name="bookmark1" localSheetId="0">空白!$A$1</definedName>
    <definedName name="bookmark2" localSheetId="0">空白!#REF!</definedName>
    <definedName name="_xlnm.Print_Area" localSheetId="0">空白!$A$1:$P$37</definedName>
  </definedNames>
  <calcPr calcId="145621"/>
</workbook>
</file>

<file path=xl/calcChain.xml><?xml version="1.0" encoding="utf-8"?>
<calcChain xmlns="http://schemas.openxmlformats.org/spreadsheetml/2006/main">
  <c r="F25" i="1" l="1"/>
  <c r="G25" i="1"/>
  <c r="D25" i="1"/>
  <c r="F12" i="1" l="1"/>
  <c r="F24" i="1"/>
  <c r="F23" i="1"/>
  <c r="F22" i="1"/>
  <c r="F21" i="1"/>
  <c r="G21" i="1" s="1"/>
  <c r="F20" i="1"/>
  <c r="F19" i="1"/>
  <c r="F18" i="1"/>
  <c r="F17" i="1"/>
  <c r="G17" i="1" s="1"/>
  <c r="F16" i="1"/>
  <c r="F15" i="1"/>
  <c r="F14" i="1"/>
  <c r="F13" i="1"/>
  <c r="G13" i="1" s="1"/>
  <c r="D13" i="1"/>
  <c r="D14" i="1"/>
  <c r="G14" i="1" s="1"/>
  <c r="D15" i="1"/>
  <c r="D16" i="1"/>
  <c r="G16" i="1" s="1"/>
  <c r="D17" i="1"/>
  <c r="D18" i="1"/>
  <c r="G18" i="1" s="1"/>
  <c r="D19" i="1"/>
  <c r="D20" i="1"/>
  <c r="G20" i="1" s="1"/>
  <c r="D21" i="1"/>
  <c r="D22" i="1"/>
  <c r="G22" i="1" s="1"/>
  <c r="D23" i="1"/>
  <c r="D24" i="1"/>
  <c r="G24" i="1" s="1"/>
  <c r="D12" i="1"/>
  <c r="G12" i="1" s="1"/>
  <c r="G15" i="1"/>
  <c r="G19" i="1"/>
  <c r="G23" i="1"/>
  <c r="E25" i="1"/>
  <c r="C25" i="1"/>
  <c r="B25" i="1"/>
</calcChain>
</file>

<file path=xl/sharedStrings.xml><?xml version="1.0" encoding="utf-8"?>
<sst xmlns="http://schemas.openxmlformats.org/spreadsheetml/2006/main" count="53" uniqueCount="48">
  <si>
    <t>超正齒輪科技有限公司</t>
  </si>
  <si>
    <t>供應商名稱</t>
  </si>
  <si>
    <t>稽核日期</t>
  </si>
  <si>
    <t>地址</t>
  </si>
  <si>
    <t>稽核狀況</t>
  </si>
  <si>
    <t>電話</t>
  </si>
  <si>
    <t>評鑑結果</t>
  </si>
  <si>
    <t>單項最高分</t>
  </si>
  <si>
    <t>自我評鑑</t>
  </si>
  <si>
    <t>稽核評鑑</t>
  </si>
  <si>
    <t>評分</t>
  </si>
  <si>
    <t>合格率</t>
  </si>
  <si>
    <t>總成績</t>
  </si>
  <si>
    <r>
      <t>*</t>
    </r>
    <r>
      <rPr>
        <sz val="12"/>
        <color rgb="FF000000"/>
        <rFont val="標楷體"/>
        <family val="4"/>
        <charset val="136"/>
      </rPr>
      <t>综合評鑑合格率為：自我評鑑合格率</t>
    </r>
    <r>
      <rPr>
        <sz val="12"/>
        <color rgb="FF000000"/>
        <rFont val="Times New Roman"/>
        <family val="1"/>
      </rPr>
      <t>x0.3+</t>
    </r>
    <r>
      <rPr>
        <sz val="12"/>
        <color rgb="FF000000"/>
        <rFont val="標楷體"/>
        <family val="4"/>
        <charset val="136"/>
      </rPr>
      <t>稽核評鑑合格率</t>
    </r>
    <r>
      <rPr>
        <sz val="12"/>
        <color rgb="FF000000"/>
        <rFont val="Times New Roman"/>
        <family val="1"/>
      </rPr>
      <t>x0.7</t>
    </r>
  </si>
  <si>
    <t>核准條件</t>
  </si>
  <si>
    <t>建議評鑑結果</t>
  </si>
  <si>
    <t>稽核員</t>
  </si>
  <si>
    <t>供應商代表</t>
  </si>
  <si>
    <t>主要加工項目</t>
    <phoneticPr fontId="9" type="noConversion"/>
  </si>
  <si>
    <r>
      <t>综合評鑑合格率之總成績</t>
    </r>
    <r>
      <rPr>
        <sz val="12"/>
        <color rgb="FF000000"/>
        <rFont val="Times New Roman"/>
        <family val="1"/>
      </rPr>
      <t>75%</t>
    </r>
    <r>
      <rPr>
        <sz val="12"/>
        <color rgb="FF000000"/>
        <rFont val="標楷體"/>
        <family val="4"/>
        <charset val="136"/>
      </rPr>
      <t>，始可評定為合格供應商</t>
    </r>
    <phoneticPr fontId="9" type="noConversion"/>
  </si>
  <si>
    <r>
      <t xml:space="preserve">     </t>
    </r>
    <r>
      <rPr>
        <sz val="12"/>
        <color rgb="FF000000"/>
        <rFont val="標楷體"/>
        <family val="4"/>
        <charset val="136"/>
      </rPr>
      <t>於正式回覆稽核改善對策後，始可列入合格供應商</t>
    </r>
    <phoneticPr fontId="9" type="noConversion"/>
  </si>
  <si>
    <r>
      <t xml:space="preserve">     </t>
    </r>
    <r>
      <rPr>
        <sz val="12"/>
        <color rgb="FF000000"/>
        <rFont val="標楷體"/>
        <family val="4"/>
        <charset val="136"/>
      </rPr>
      <t>有嚴重缺失需改善，待解決缺失後，需重新稽核</t>
    </r>
    <phoneticPr fontId="9" type="noConversion"/>
  </si>
  <si>
    <r>
      <t xml:space="preserve">     </t>
    </r>
    <r>
      <rPr>
        <sz val="12"/>
        <color rgb="FF000000"/>
        <rFont val="標楷體"/>
        <family val="4"/>
        <charset val="136"/>
      </rPr>
      <t>其他：</t>
    </r>
    <phoneticPr fontId="9" type="noConversion"/>
  </si>
  <si>
    <r>
      <t xml:space="preserve">      </t>
    </r>
    <r>
      <rPr>
        <sz val="12"/>
        <color rgb="FF000000"/>
        <rFont val="標楷體"/>
        <family val="4"/>
        <charset val="136"/>
      </rPr>
      <t>首次稽核</t>
    </r>
    <phoneticPr fontId="9" type="noConversion"/>
  </si>
  <si>
    <r>
      <t xml:space="preserve">      </t>
    </r>
    <r>
      <rPr>
        <sz val="12"/>
        <color rgb="FF000000"/>
        <rFont val="標楷體"/>
        <family val="4"/>
        <charset val="136"/>
      </rPr>
      <t>次稽核</t>
    </r>
    <phoneticPr fontId="9" type="noConversion"/>
  </si>
  <si>
    <r>
      <t xml:space="preserve">      </t>
    </r>
    <r>
      <rPr>
        <sz val="12"/>
        <color rgb="FF000000"/>
        <rFont val="標楷體"/>
        <family val="4"/>
        <charset val="136"/>
      </rPr>
      <t>其他</t>
    </r>
    <r>
      <rPr>
        <sz val="12"/>
        <color rgb="FF000000"/>
        <rFont val="Times New Roman"/>
        <family val="1"/>
      </rPr>
      <t>:</t>
    </r>
    <phoneticPr fontId="9" type="noConversion"/>
  </si>
  <si>
    <r>
      <rPr>
        <sz val="12"/>
        <color rgb="FF000000"/>
        <rFont val="Times New Roman"/>
        <family val="1"/>
      </rPr>
      <t xml:space="preserve">      </t>
    </r>
    <r>
      <rPr>
        <sz val="12"/>
        <color rgb="FF000000"/>
        <rFont val="標楷體"/>
        <family val="4"/>
        <charset val="136"/>
      </rPr>
      <t>自我評量</t>
    </r>
    <phoneticPr fontId="9" type="noConversion"/>
  </si>
  <si>
    <t>傳真</t>
    <phoneticPr fontId="9" type="noConversion"/>
  </si>
  <si>
    <t>綜合評鑑</t>
  </si>
  <si>
    <r>
      <t>A.</t>
    </r>
    <r>
      <rPr>
        <sz val="12"/>
        <color rgb="FF000000"/>
        <rFont val="標楷體"/>
        <family val="4"/>
        <charset val="136"/>
      </rPr>
      <t>管理责任及品質系統</t>
    </r>
  </si>
  <si>
    <r>
      <t>B.</t>
    </r>
    <r>
      <rPr>
        <sz val="12"/>
        <color rgb="FF000000"/>
        <rFont val="標楷體"/>
        <family val="4"/>
        <charset val="136"/>
      </rPr>
      <t>合約審査及文件管制</t>
    </r>
  </si>
  <si>
    <r>
      <t>C.</t>
    </r>
    <r>
      <rPr>
        <sz val="12"/>
        <color rgb="FF000000"/>
        <rFont val="標楷體"/>
        <family val="4"/>
        <charset val="136"/>
      </rPr>
      <t>採購及鑑別追溯</t>
    </r>
  </si>
  <si>
    <r>
      <t>D.</t>
    </r>
    <r>
      <rPr>
        <sz val="12"/>
        <color rgb="FF000000"/>
        <rFont val="標楷體"/>
        <family val="4"/>
        <charset val="136"/>
      </rPr>
      <t>製程管制及檢驗測試</t>
    </r>
  </si>
  <si>
    <r>
      <t>E.</t>
    </r>
    <r>
      <rPr>
        <sz val="12"/>
        <color rgb="FF000000"/>
        <rFont val="標楷體"/>
        <family val="4"/>
        <charset val="136"/>
      </rPr>
      <t>不合格品管制</t>
    </r>
  </si>
  <si>
    <r>
      <t>F.</t>
    </r>
    <r>
      <rPr>
        <sz val="12"/>
        <color rgb="FF000000"/>
        <rFont val="標楷體"/>
        <family val="4"/>
        <charset val="136"/>
      </rPr>
      <t>矯正與預防措施</t>
    </r>
  </si>
  <si>
    <r>
      <t>G.</t>
    </r>
    <r>
      <rPr>
        <sz val="12"/>
        <color rgb="FF000000"/>
        <rFont val="標楷體"/>
        <family val="4"/>
        <charset val="136"/>
      </rPr>
      <t>搬運包裝儲存</t>
    </r>
  </si>
  <si>
    <r>
      <t>H.</t>
    </r>
    <r>
      <rPr>
        <sz val="12"/>
        <color rgb="FF000000"/>
        <rFont val="標楷體"/>
        <family val="4"/>
        <charset val="136"/>
      </rPr>
      <t>教育訓練</t>
    </r>
  </si>
  <si>
    <r>
      <t>I.</t>
    </r>
    <r>
      <rPr>
        <sz val="12"/>
        <color rgb="FF000000"/>
        <rFont val="標楷體"/>
        <family val="4"/>
        <charset val="136"/>
      </rPr>
      <t>儀器校驗</t>
    </r>
  </si>
  <si>
    <r>
      <t>J.</t>
    </r>
    <r>
      <rPr>
        <sz val="12"/>
        <color rgb="FF000000"/>
        <rFont val="標楷體"/>
        <family val="4"/>
        <charset val="136"/>
      </rPr>
      <t>變更管制</t>
    </r>
  </si>
  <si>
    <r>
      <t>K.</t>
    </r>
    <r>
      <rPr>
        <sz val="12"/>
        <color rgb="FF000000"/>
        <rFont val="標楷體"/>
        <family val="4"/>
        <charset val="136"/>
      </rPr>
      <t>風險屬性管理</t>
    </r>
  </si>
  <si>
    <r>
      <t>L.</t>
    </r>
    <r>
      <rPr>
        <sz val="12"/>
        <color rgb="FF000000"/>
        <rFont val="標楷體"/>
        <family val="4"/>
        <charset val="136"/>
      </rPr>
      <t>人力技援及機台調撥</t>
    </r>
  </si>
  <si>
    <r>
      <t>M.</t>
    </r>
    <r>
      <rPr>
        <sz val="12"/>
        <color rgb="FF000000"/>
        <rFont val="標楷體"/>
        <family val="4"/>
        <charset val="136"/>
      </rPr>
      <t>憙件插單及加工能力</t>
    </r>
  </si>
  <si>
    <t>供應商品質系統評鑑記錄表</t>
    <phoneticPr fontId="9" type="noConversion"/>
  </si>
  <si>
    <t>2-PH-01-03</t>
    <phoneticPr fontId="9" type="noConversion"/>
  </si>
  <si>
    <r>
      <t>部門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職稱</t>
    </r>
    <r>
      <rPr>
        <sz val="14"/>
        <color rgb="FF000000"/>
        <rFont val="Times New Roman"/>
        <family val="1"/>
      </rPr>
      <t/>
    </r>
    <phoneticPr fontId="9" type="noConversion"/>
  </si>
  <si>
    <t>姓名</t>
    <phoneticPr fontId="9" type="noConversion"/>
  </si>
  <si>
    <t>資材課長：</t>
    <phoneticPr fontId="9" type="noConversion"/>
  </si>
  <si>
    <t>總經理：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</si>
</sst>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scheme val="minor"/>
    </font>
    <font>
      <sz val="22"/>
      <color rgb="FF000000"/>
      <name val="標楷體"/>
      <family val="4"/>
      <charset val="136"/>
    </font>
    <font>
      <sz val="20"/>
      <color rgb="FF00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12"/>
      <name val="Times New Roman"/>
      <family val="1"/>
    </font>
    <font>
      <sz val="5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/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0" xfId="0" applyFill="1" applyBorder="1"/>
    <xf numFmtId="0" fontId="8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9" fontId="7" fillId="2" borderId="8" xfId="1" applyFont="1" applyFill="1" applyBorder="1" applyAlignment="1">
      <alignment vertical="center" wrapText="1"/>
    </xf>
    <xf numFmtId="9" fontId="7" fillId="2" borderId="7" xfId="1" applyFont="1" applyFill="1" applyBorder="1" applyAlignment="1">
      <alignment vertical="center" wrapText="1"/>
    </xf>
    <xf numFmtId="9" fontId="5" fillId="2" borderId="1" xfId="1" applyFont="1" applyFill="1" applyBorder="1" applyAlignment="1">
      <alignment horizontal="center" vertical="center" wrapText="1"/>
    </xf>
    <xf numFmtId="9" fontId="5" fillId="2" borderId="6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5" fillId="0" borderId="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5" fillId="0" borderId="6" xfId="0" applyFont="1" applyBorder="1" applyAlignment="1">
      <alignment vertical="center" wrapText="1"/>
    </xf>
    <xf numFmtId="0" fontId="0" fillId="0" borderId="3" xfId="0" applyBorder="1" applyAlignment="1"/>
    <xf numFmtId="0" fontId="0" fillId="0" borderId="2" xfId="0" applyBorder="1" applyAlignment="1"/>
    <xf numFmtId="0" fontId="6" fillId="0" borderId="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cat>
            <c:strRef>
              <c:f>空白!$A$12:$A$24</c:f>
              <c:strCache>
                <c:ptCount val="13"/>
                <c:pt idx="0">
                  <c:v>A.管理责任及品質系統</c:v>
                </c:pt>
                <c:pt idx="1">
                  <c:v>B.合約審査及文件管制</c:v>
                </c:pt>
                <c:pt idx="2">
                  <c:v>C.採購及鑑別追溯</c:v>
                </c:pt>
                <c:pt idx="3">
                  <c:v>D.製程管制及檢驗測試</c:v>
                </c:pt>
                <c:pt idx="4">
                  <c:v>E.不合格品管制</c:v>
                </c:pt>
                <c:pt idx="5">
                  <c:v>F.矯正與預防措施</c:v>
                </c:pt>
                <c:pt idx="6">
                  <c:v>G.搬運包裝儲存</c:v>
                </c:pt>
                <c:pt idx="7">
                  <c:v>H.教育訓練</c:v>
                </c:pt>
                <c:pt idx="8">
                  <c:v>I.儀器校驗</c:v>
                </c:pt>
                <c:pt idx="9">
                  <c:v>J.變更管制</c:v>
                </c:pt>
                <c:pt idx="10">
                  <c:v>K.風險屬性管理</c:v>
                </c:pt>
                <c:pt idx="11">
                  <c:v>L.人力技援及機台調撥</c:v>
                </c:pt>
                <c:pt idx="12">
                  <c:v>M.憙件插單及加工能力</c:v>
                </c:pt>
              </c:strCache>
            </c:strRef>
          </c:cat>
          <c:val>
            <c:numRef>
              <c:f>空白!$G$12:$G$24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48256"/>
        <c:axId val="68349888"/>
      </c:radarChart>
      <c:catAx>
        <c:axId val="6684825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68349888"/>
        <c:crosses val="autoZero"/>
        <c:auto val="1"/>
        <c:lblAlgn val="ctr"/>
        <c:lblOffset val="100"/>
        <c:noMultiLvlLbl val="0"/>
      </c:catAx>
      <c:valAx>
        <c:axId val="68349888"/>
        <c:scaling>
          <c:orientation val="minMax"/>
        </c:scaling>
        <c:delete val="0"/>
        <c:axPos val="l"/>
        <c:majorGridlines/>
        <c:numFmt formatCode="0%" sourceLinked="1"/>
        <c:majorTickMark val="cross"/>
        <c:minorTickMark val="none"/>
        <c:tickLblPos val="nextTo"/>
        <c:crossAx val="66848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 horizontalDpi="180" verticalDpi="180"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12324</xdr:rowOff>
    </xdr:from>
    <xdr:to>
      <xdr:col>15</xdr:col>
      <xdr:colOff>627530</xdr:colOff>
      <xdr:row>31</xdr:row>
      <xdr:rowOff>1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27</xdr:row>
          <xdr:rowOff>171450</xdr:rowOff>
        </xdr:from>
        <xdr:to>
          <xdr:col>6</xdr:col>
          <xdr:colOff>828675</xdr:colOff>
          <xdr:row>28</xdr:row>
          <xdr:rowOff>171450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28</xdr:row>
          <xdr:rowOff>171450</xdr:rowOff>
        </xdr:from>
        <xdr:to>
          <xdr:col>6</xdr:col>
          <xdr:colOff>809625</xdr:colOff>
          <xdr:row>29</xdr:row>
          <xdr:rowOff>133350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142875</xdr:rowOff>
        </xdr:from>
        <xdr:to>
          <xdr:col>1</xdr:col>
          <xdr:colOff>704850</xdr:colOff>
          <xdr:row>30</xdr:row>
          <xdr:rowOff>161925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</xdr:row>
          <xdr:rowOff>238125</xdr:rowOff>
        </xdr:from>
        <xdr:to>
          <xdr:col>10</xdr:col>
          <xdr:colOff>209550</xdr:colOff>
          <xdr:row>5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</xdr:row>
          <xdr:rowOff>9525</xdr:rowOff>
        </xdr:from>
        <xdr:to>
          <xdr:col>10</xdr:col>
          <xdr:colOff>209550</xdr:colOff>
          <xdr:row>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6</xdr:row>
          <xdr:rowOff>9525</xdr:rowOff>
        </xdr:from>
        <xdr:to>
          <xdr:col>10</xdr:col>
          <xdr:colOff>209550</xdr:colOff>
          <xdr:row>6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7</xdr:row>
          <xdr:rowOff>38100</xdr:rowOff>
        </xdr:from>
        <xdr:to>
          <xdr:col>10</xdr:col>
          <xdr:colOff>209550</xdr:colOff>
          <xdr:row>7</xdr:row>
          <xdr:rowOff>247650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39"/>
  <sheetViews>
    <sheetView tabSelected="1" zoomScale="70" zoomScaleNormal="70" zoomScaleSheetLayoutView="85" workbookViewId="0">
      <selection activeCell="A29" sqref="A29:A31"/>
    </sheetView>
  </sheetViews>
  <sheetFormatPr defaultRowHeight="16.5" x14ac:dyDescent="0.25"/>
  <cols>
    <col min="1" max="1" width="23.5" customWidth="1"/>
    <col min="2" max="2" width="13.625" customWidth="1"/>
    <col min="3" max="4" width="9.875" bestFit="1" customWidth="1"/>
    <col min="5" max="5" width="8.75" bestFit="1" customWidth="1"/>
    <col min="6" max="6" width="9.25" bestFit="1" customWidth="1"/>
    <col min="7" max="7" width="12" customWidth="1"/>
    <col min="8" max="8" width="3.375" style="14" customWidth="1"/>
    <col min="9" max="9" width="11.875" bestFit="1" customWidth="1"/>
  </cols>
  <sheetData>
    <row r="1" spans="1:16" ht="30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27.75" x14ac:dyDescent="0.25">
      <c r="A2" s="39" t="s">
        <v>42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19.5" customHeight="1" thickBot="1" x14ac:dyDescent="0.3">
      <c r="A3" s="1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20.25" thickBot="1" x14ac:dyDescent="0.3">
      <c r="A4" s="1" t="s">
        <v>1</v>
      </c>
      <c r="B4" s="35"/>
      <c r="C4" s="35"/>
      <c r="D4" s="35"/>
      <c r="E4" s="27"/>
      <c r="F4" s="27"/>
      <c r="G4" s="27"/>
      <c r="H4" s="27"/>
      <c r="I4" s="2" t="s">
        <v>2</v>
      </c>
      <c r="J4" s="43"/>
      <c r="K4" s="44"/>
      <c r="L4" s="44"/>
      <c r="M4" s="44"/>
      <c r="N4" s="44"/>
      <c r="O4" s="44"/>
      <c r="P4" s="45"/>
    </row>
    <row r="5" spans="1:16" ht="17.25" thickBot="1" x14ac:dyDescent="0.3">
      <c r="A5" s="40" t="s">
        <v>3</v>
      </c>
      <c r="B5" s="35"/>
      <c r="C5" s="35"/>
      <c r="D5" s="35"/>
      <c r="E5" s="27"/>
      <c r="F5" s="27"/>
      <c r="G5" s="27"/>
      <c r="H5" s="27"/>
      <c r="I5" s="40" t="s">
        <v>4</v>
      </c>
      <c r="J5" s="43" t="s">
        <v>23</v>
      </c>
      <c r="K5" s="44"/>
      <c r="L5" s="44"/>
      <c r="M5" s="44"/>
      <c r="N5" s="44"/>
      <c r="O5" s="44"/>
      <c r="P5" s="45"/>
    </row>
    <row r="6" spans="1:16" ht="17.25" thickBot="1" x14ac:dyDescent="0.3">
      <c r="A6" s="47"/>
      <c r="B6" s="35"/>
      <c r="C6" s="35"/>
      <c r="D6" s="35"/>
      <c r="E6" s="27"/>
      <c r="F6" s="27"/>
      <c r="G6" s="27"/>
      <c r="H6" s="27"/>
      <c r="I6" s="41"/>
      <c r="J6" s="43" t="s">
        <v>24</v>
      </c>
      <c r="K6" s="44"/>
      <c r="L6" s="44"/>
      <c r="M6" s="44"/>
      <c r="N6" s="44"/>
      <c r="O6" s="44"/>
      <c r="P6" s="45"/>
    </row>
    <row r="7" spans="1:16" ht="20.25" thickBot="1" x14ac:dyDescent="0.3">
      <c r="A7" s="3" t="s">
        <v>5</v>
      </c>
      <c r="B7" s="35"/>
      <c r="C7" s="27"/>
      <c r="D7" s="27"/>
      <c r="E7" s="1" t="s">
        <v>27</v>
      </c>
      <c r="F7" s="36"/>
      <c r="G7" s="27"/>
      <c r="H7" s="27"/>
      <c r="I7" s="41"/>
      <c r="J7" s="46" t="s">
        <v>26</v>
      </c>
      <c r="K7" s="44"/>
      <c r="L7" s="44"/>
      <c r="M7" s="44"/>
      <c r="N7" s="44"/>
      <c r="O7" s="44"/>
      <c r="P7" s="45"/>
    </row>
    <row r="8" spans="1:16" ht="20.25" thickBot="1" x14ac:dyDescent="0.3">
      <c r="A8" s="3" t="s">
        <v>18</v>
      </c>
      <c r="B8" s="35"/>
      <c r="C8" s="35"/>
      <c r="D8" s="35"/>
      <c r="E8" s="27"/>
      <c r="F8" s="27"/>
      <c r="G8" s="27"/>
      <c r="H8" s="27"/>
      <c r="I8" s="42"/>
      <c r="J8" s="43" t="s">
        <v>25</v>
      </c>
      <c r="K8" s="44"/>
      <c r="L8" s="44"/>
      <c r="M8" s="44"/>
      <c r="N8" s="44"/>
      <c r="O8" s="44"/>
      <c r="P8" s="45"/>
    </row>
    <row r="9" spans="1:16" ht="17.25" thickBot="1" x14ac:dyDescent="0.3">
      <c r="A9" s="4"/>
    </row>
    <row r="10" spans="1:16" s="17" customFormat="1" ht="22.5" customHeight="1" thickBot="1" x14ac:dyDescent="0.3">
      <c r="A10" s="33" t="s">
        <v>6</v>
      </c>
      <c r="B10" s="33" t="s">
        <v>7</v>
      </c>
      <c r="C10" s="29" t="s">
        <v>8</v>
      </c>
      <c r="D10" s="30"/>
      <c r="E10" s="29" t="s">
        <v>9</v>
      </c>
      <c r="F10" s="30"/>
      <c r="G10" s="19" t="s">
        <v>28</v>
      </c>
      <c r="H10" s="16"/>
    </row>
    <row r="11" spans="1:16" s="17" customFormat="1" ht="20.25" thickBot="1" x14ac:dyDescent="0.3">
      <c r="A11" s="34"/>
      <c r="B11" s="34"/>
      <c r="C11" s="18" t="s">
        <v>10</v>
      </c>
      <c r="D11" s="18" t="s">
        <v>11</v>
      </c>
      <c r="E11" s="18" t="s">
        <v>10</v>
      </c>
      <c r="F11" s="18" t="s">
        <v>11</v>
      </c>
      <c r="G11" s="19" t="s">
        <v>11</v>
      </c>
      <c r="H11" s="16"/>
    </row>
    <row r="12" spans="1:16" ht="17.25" thickBot="1" x14ac:dyDescent="0.3">
      <c r="A12" s="5" t="s">
        <v>29</v>
      </c>
      <c r="B12" s="6">
        <v>31</v>
      </c>
      <c r="C12" s="21"/>
      <c r="D12" s="22">
        <f>C12/$B12</f>
        <v>0</v>
      </c>
      <c r="E12" s="21"/>
      <c r="F12" s="22">
        <f>E12/$B12</f>
        <v>0</v>
      </c>
      <c r="G12" s="23">
        <f>D12*0.3+F12*0.7</f>
        <v>0</v>
      </c>
      <c r="H12" s="15"/>
    </row>
    <row r="13" spans="1:16" ht="17.25" thickBot="1" x14ac:dyDescent="0.3">
      <c r="A13" s="5" t="s">
        <v>30</v>
      </c>
      <c r="B13" s="6">
        <v>18</v>
      </c>
      <c r="C13" s="21"/>
      <c r="D13" s="22">
        <f t="shared" ref="D13:F24" si="0">C13/$B13</f>
        <v>0</v>
      </c>
      <c r="E13" s="21"/>
      <c r="F13" s="22">
        <f t="shared" si="0"/>
        <v>0</v>
      </c>
      <c r="G13" s="23">
        <f t="shared" ref="G13:G24" si="1">D13*0.3+F13*0.7</f>
        <v>0</v>
      </c>
      <c r="H13" s="15"/>
    </row>
    <row r="14" spans="1:16" ht="17.25" thickBot="1" x14ac:dyDescent="0.3">
      <c r="A14" s="5" t="s">
        <v>31</v>
      </c>
      <c r="B14" s="6">
        <v>18</v>
      </c>
      <c r="C14" s="21"/>
      <c r="D14" s="22">
        <f t="shared" si="0"/>
        <v>0</v>
      </c>
      <c r="E14" s="21"/>
      <c r="F14" s="22">
        <f t="shared" si="0"/>
        <v>0</v>
      </c>
      <c r="G14" s="23">
        <f t="shared" si="1"/>
        <v>0</v>
      </c>
      <c r="H14" s="15"/>
    </row>
    <row r="15" spans="1:16" ht="17.25" thickBot="1" x14ac:dyDescent="0.3">
      <c r="A15" s="5" t="s">
        <v>32</v>
      </c>
      <c r="B15" s="6">
        <v>42</v>
      </c>
      <c r="C15" s="21"/>
      <c r="D15" s="22">
        <f t="shared" si="0"/>
        <v>0</v>
      </c>
      <c r="E15" s="21"/>
      <c r="F15" s="22">
        <f t="shared" si="0"/>
        <v>0</v>
      </c>
      <c r="G15" s="23">
        <f t="shared" si="1"/>
        <v>0</v>
      </c>
      <c r="H15" s="15"/>
    </row>
    <row r="16" spans="1:16" ht="17.25" thickBot="1" x14ac:dyDescent="0.3">
      <c r="A16" s="5" t="s">
        <v>33</v>
      </c>
      <c r="B16" s="6">
        <v>6</v>
      </c>
      <c r="C16" s="21"/>
      <c r="D16" s="22">
        <f t="shared" si="0"/>
        <v>0</v>
      </c>
      <c r="E16" s="21"/>
      <c r="F16" s="22">
        <f t="shared" si="0"/>
        <v>0</v>
      </c>
      <c r="G16" s="23">
        <f t="shared" si="1"/>
        <v>0</v>
      </c>
      <c r="H16" s="15"/>
    </row>
    <row r="17" spans="1:8" ht="17.25" thickBot="1" x14ac:dyDescent="0.3">
      <c r="A17" s="5" t="s">
        <v>34</v>
      </c>
      <c r="B17" s="6">
        <v>12</v>
      </c>
      <c r="C17" s="21"/>
      <c r="D17" s="22">
        <f t="shared" si="0"/>
        <v>0</v>
      </c>
      <c r="E17" s="21"/>
      <c r="F17" s="22">
        <f t="shared" si="0"/>
        <v>0</v>
      </c>
      <c r="G17" s="23">
        <f t="shared" si="1"/>
        <v>0</v>
      </c>
      <c r="H17" s="15"/>
    </row>
    <row r="18" spans="1:8" ht="17.25" thickBot="1" x14ac:dyDescent="0.3">
      <c r="A18" s="5" t="s">
        <v>35</v>
      </c>
      <c r="B18" s="6">
        <v>9</v>
      </c>
      <c r="C18" s="21"/>
      <c r="D18" s="22">
        <f t="shared" si="0"/>
        <v>0</v>
      </c>
      <c r="E18" s="21"/>
      <c r="F18" s="22">
        <f t="shared" si="0"/>
        <v>0</v>
      </c>
      <c r="G18" s="23">
        <f t="shared" si="1"/>
        <v>0</v>
      </c>
      <c r="H18" s="15"/>
    </row>
    <row r="19" spans="1:8" ht="17.25" thickBot="1" x14ac:dyDescent="0.3">
      <c r="A19" s="5" t="s">
        <v>36</v>
      </c>
      <c r="B19" s="6">
        <v>12</v>
      </c>
      <c r="C19" s="21"/>
      <c r="D19" s="22">
        <f t="shared" si="0"/>
        <v>0</v>
      </c>
      <c r="E19" s="21"/>
      <c r="F19" s="22">
        <f t="shared" si="0"/>
        <v>0</v>
      </c>
      <c r="G19" s="23">
        <f t="shared" si="1"/>
        <v>0</v>
      </c>
      <c r="H19" s="15"/>
    </row>
    <row r="20" spans="1:8" ht="17.25" thickBot="1" x14ac:dyDescent="0.3">
      <c r="A20" s="5" t="s">
        <v>37</v>
      </c>
      <c r="B20" s="6">
        <v>9</v>
      </c>
      <c r="C20" s="21"/>
      <c r="D20" s="22">
        <f t="shared" si="0"/>
        <v>0</v>
      </c>
      <c r="E20" s="21"/>
      <c r="F20" s="22">
        <f t="shared" si="0"/>
        <v>0</v>
      </c>
      <c r="G20" s="23">
        <f t="shared" si="1"/>
        <v>0</v>
      </c>
      <c r="H20" s="15"/>
    </row>
    <row r="21" spans="1:8" ht="17.25" thickBot="1" x14ac:dyDescent="0.3">
      <c r="A21" s="5" t="s">
        <v>38</v>
      </c>
      <c r="B21" s="6">
        <v>9</v>
      </c>
      <c r="C21" s="21"/>
      <c r="D21" s="22">
        <f t="shared" si="0"/>
        <v>0</v>
      </c>
      <c r="E21" s="21"/>
      <c r="F21" s="22">
        <f t="shared" si="0"/>
        <v>0</v>
      </c>
      <c r="G21" s="23">
        <f t="shared" si="1"/>
        <v>0</v>
      </c>
      <c r="H21" s="15"/>
    </row>
    <row r="22" spans="1:8" ht="17.25" thickBot="1" x14ac:dyDescent="0.3">
      <c r="A22" s="5" t="s">
        <v>39</v>
      </c>
      <c r="B22" s="6">
        <v>21</v>
      </c>
      <c r="C22" s="21"/>
      <c r="D22" s="22">
        <f t="shared" si="0"/>
        <v>0</v>
      </c>
      <c r="E22" s="21"/>
      <c r="F22" s="22">
        <f t="shared" si="0"/>
        <v>0</v>
      </c>
      <c r="G22" s="23">
        <f t="shared" si="1"/>
        <v>0</v>
      </c>
      <c r="H22" s="15"/>
    </row>
    <row r="23" spans="1:8" ht="17.25" thickBot="1" x14ac:dyDescent="0.3">
      <c r="A23" s="5" t="s">
        <v>40</v>
      </c>
      <c r="B23" s="6">
        <v>9</v>
      </c>
      <c r="C23" s="21"/>
      <c r="D23" s="22">
        <f t="shared" si="0"/>
        <v>0</v>
      </c>
      <c r="E23" s="21"/>
      <c r="F23" s="22">
        <f t="shared" si="0"/>
        <v>0</v>
      </c>
      <c r="G23" s="23">
        <f t="shared" si="1"/>
        <v>0</v>
      </c>
      <c r="H23" s="15"/>
    </row>
    <row r="24" spans="1:8" ht="17.25" thickBot="1" x14ac:dyDescent="0.3">
      <c r="A24" s="5" t="s">
        <v>41</v>
      </c>
      <c r="B24" s="6">
        <v>6</v>
      </c>
      <c r="C24" s="21"/>
      <c r="D24" s="22">
        <f t="shared" si="0"/>
        <v>0</v>
      </c>
      <c r="E24" s="21"/>
      <c r="F24" s="22">
        <f t="shared" si="0"/>
        <v>0</v>
      </c>
      <c r="G24" s="23">
        <f t="shared" si="1"/>
        <v>0</v>
      </c>
      <c r="H24" s="15"/>
    </row>
    <row r="25" spans="1:8" ht="17.25" thickBot="1" x14ac:dyDescent="0.3">
      <c r="A25" s="7" t="s">
        <v>12</v>
      </c>
      <c r="B25" s="20">
        <f>SUM(B12:B24)</f>
        <v>202</v>
      </c>
      <c r="C25" s="20">
        <f t="shared" ref="C25:E25" si="2">SUM(C12:C24)</f>
        <v>0</v>
      </c>
      <c r="D25" s="25">
        <f>AVERAGE(D12:D24)</f>
        <v>0</v>
      </c>
      <c r="E25" s="20">
        <f t="shared" si="2"/>
        <v>0</v>
      </c>
      <c r="F25" s="24">
        <f>AVERAGE(F12:F24)</f>
        <v>0</v>
      </c>
      <c r="G25" s="24">
        <f>AVERAGE(G12:G24)</f>
        <v>0</v>
      </c>
      <c r="H25" s="15"/>
    </row>
    <row r="26" spans="1:8" ht="17.25" thickBot="1" x14ac:dyDescent="0.3">
      <c r="A26" s="8"/>
      <c r="H26" s="15"/>
    </row>
    <row r="27" spans="1:8" ht="17.25" thickBot="1" x14ac:dyDescent="0.3">
      <c r="A27" s="28" t="s">
        <v>13</v>
      </c>
      <c r="B27" s="28"/>
      <c r="C27" s="27"/>
      <c r="D27" s="27"/>
      <c r="E27" s="27"/>
      <c r="F27" s="27"/>
      <c r="G27" s="27"/>
      <c r="H27" s="15"/>
    </row>
    <row r="28" spans="1:8" ht="17.25" thickBot="1" x14ac:dyDescent="0.3">
      <c r="A28" s="12" t="s">
        <v>14</v>
      </c>
      <c r="B28" s="31" t="s">
        <v>19</v>
      </c>
      <c r="C28" s="27"/>
      <c r="D28" s="27"/>
      <c r="E28" s="27"/>
      <c r="F28" s="27"/>
      <c r="G28" s="27"/>
      <c r="H28" s="15"/>
    </row>
    <row r="29" spans="1:8" ht="17.25" thickBot="1" x14ac:dyDescent="0.3">
      <c r="A29" s="31" t="s">
        <v>15</v>
      </c>
      <c r="B29" s="28" t="s">
        <v>20</v>
      </c>
      <c r="C29" s="27"/>
      <c r="D29" s="27"/>
      <c r="E29" s="27"/>
      <c r="F29" s="27"/>
      <c r="G29" s="27"/>
      <c r="H29" s="15"/>
    </row>
    <row r="30" spans="1:8" ht="17.25" thickBot="1" x14ac:dyDescent="0.3">
      <c r="A30" s="32"/>
      <c r="B30" s="28" t="s">
        <v>21</v>
      </c>
      <c r="C30" s="27"/>
      <c r="D30" s="27"/>
      <c r="E30" s="27"/>
      <c r="F30" s="27"/>
      <c r="G30" s="27"/>
      <c r="H30" s="15"/>
    </row>
    <row r="31" spans="1:8" ht="17.25" thickBot="1" x14ac:dyDescent="0.3">
      <c r="A31" s="32"/>
      <c r="B31" s="28" t="s">
        <v>22</v>
      </c>
      <c r="C31" s="27"/>
      <c r="D31" s="27"/>
      <c r="E31" s="27"/>
      <c r="F31" s="27"/>
      <c r="G31" s="27"/>
      <c r="H31" s="15"/>
    </row>
    <row r="32" spans="1:8" ht="17.25" thickBot="1" x14ac:dyDescent="0.3">
      <c r="A32" s="9"/>
      <c r="B32" s="13"/>
    </row>
    <row r="33" spans="1:16" ht="17.25" thickBot="1" x14ac:dyDescent="0.3">
      <c r="A33" s="26" t="s">
        <v>16</v>
      </c>
      <c r="B33" s="27"/>
      <c r="C33" s="27"/>
      <c r="D33" s="27"/>
      <c r="E33" s="27"/>
      <c r="F33" s="27"/>
      <c r="G33" s="27"/>
      <c r="H33" s="27"/>
      <c r="I33" s="26" t="s">
        <v>17</v>
      </c>
      <c r="J33" s="27"/>
      <c r="K33" s="27"/>
      <c r="L33" s="27"/>
      <c r="M33" s="27"/>
      <c r="N33" s="27"/>
      <c r="O33" s="27"/>
      <c r="P33" s="27"/>
    </row>
    <row r="34" spans="1:16" ht="17.25" thickBot="1" x14ac:dyDescent="0.3">
      <c r="A34" s="26" t="s">
        <v>44</v>
      </c>
      <c r="B34" s="27"/>
      <c r="C34" s="27"/>
      <c r="D34" s="26" t="s">
        <v>45</v>
      </c>
      <c r="E34" s="27"/>
      <c r="F34" s="27"/>
      <c r="G34" s="27"/>
      <c r="H34" s="27"/>
      <c r="I34" s="26" t="s">
        <v>44</v>
      </c>
      <c r="J34" s="27"/>
      <c r="K34" s="27"/>
      <c r="L34" s="27"/>
      <c r="M34" s="26" t="s">
        <v>45</v>
      </c>
      <c r="N34" s="27"/>
      <c r="O34" s="27"/>
      <c r="P34" s="27"/>
    </row>
    <row r="35" spans="1:16" ht="30.75" customHeight="1" thickBo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ht="30.75" customHeight="1" thickBo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 ht="17.25" customHeight="1" x14ac:dyDescent="0.25">
      <c r="A37" t="s">
        <v>47</v>
      </c>
      <c r="E37" t="s">
        <v>46</v>
      </c>
      <c r="H37"/>
      <c r="O37" s="48" t="s">
        <v>43</v>
      </c>
      <c r="P37" s="48"/>
    </row>
    <row r="38" spans="1:16" x14ac:dyDescent="0.25">
      <c r="H38"/>
    </row>
    <row r="39" spans="1:16" x14ac:dyDescent="0.25">
      <c r="H39"/>
    </row>
  </sheetData>
  <mergeCells count="39">
    <mergeCell ref="O37:P37"/>
    <mergeCell ref="B4:H4"/>
    <mergeCell ref="B5:H6"/>
    <mergeCell ref="F7:H7"/>
    <mergeCell ref="B8:H8"/>
    <mergeCell ref="A1:P1"/>
    <mergeCell ref="A2:P2"/>
    <mergeCell ref="B7:D7"/>
    <mergeCell ref="I5:I8"/>
    <mergeCell ref="J4:P4"/>
    <mergeCell ref="J5:P5"/>
    <mergeCell ref="J6:P6"/>
    <mergeCell ref="J7:P7"/>
    <mergeCell ref="J8:P8"/>
    <mergeCell ref="A5:A6"/>
    <mergeCell ref="B30:G30"/>
    <mergeCell ref="B31:G31"/>
    <mergeCell ref="B29:G29"/>
    <mergeCell ref="E10:F10"/>
    <mergeCell ref="A29:A31"/>
    <mergeCell ref="A27:G27"/>
    <mergeCell ref="B28:G28"/>
    <mergeCell ref="A10:A11"/>
    <mergeCell ref="B10:B11"/>
    <mergeCell ref="C10:D10"/>
    <mergeCell ref="I34:L34"/>
    <mergeCell ref="I35:L35"/>
    <mergeCell ref="I36:L36"/>
    <mergeCell ref="I33:P33"/>
    <mergeCell ref="A33:H33"/>
    <mergeCell ref="D34:H34"/>
    <mergeCell ref="D35:H35"/>
    <mergeCell ref="D36:H36"/>
    <mergeCell ref="A36:C36"/>
    <mergeCell ref="A35:C35"/>
    <mergeCell ref="A34:C34"/>
    <mergeCell ref="M35:P35"/>
    <mergeCell ref="M36:P36"/>
    <mergeCell ref="M34:P34"/>
  </mergeCells>
  <phoneticPr fontId="9" type="noConversion"/>
  <printOptions horizontalCentered="1"/>
  <pageMargins left="0" right="0" top="0" bottom="0.59055118110236227" header="0" footer="0.31496062992125984"/>
  <pageSetup paperSize="9" scale="80" orientation="landscape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28575</xdr:colOff>
                    <xdr:row>27</xdr:row>
                    <xdr:rowOff>171450</xdr:rowOff>
                  </from>
                  <to>
                    <xdr:col>6</xdr:col>
                    <xdr:colOff>828675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28575</xdr:colOff>
                    <xdr:row>28</xdr:row>
                    <xdr:rowOff>171450</xdr:rowOff>
                  </from>
                  <to>
                    <xdr:col>6</xdr:col>
                    <xdr:colOff>809625</xdr:colOff>
                    <xdr:row>29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142875</xdr:rowOff>
                  </from>
                  <to>
                    <xdr:col>1</xdr:col>
                    <xdr:colOff>704850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9</xdr:col>
                    <xdr:colOff>47625</xdr:colOff>
                    <xdr:row>3</xdr:row>
                    <xdr:rowOff>238125</xdr:rowOff>
                  </from>
                  <to>
                    <xdr:col>10</xdr:col>
                    <xdr:colOff>209550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47625</xdr:colOff>
                    <xdr:row>5</xdr:row>
                    <xdr:rowOff>9525</xdr:rowOff>
                  </from>
                  <to>
                    <xdr:col>10</xdr:col>
                    <xdr:colOff>209550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47625</xdr:colOff>
                    <xdr:row>6</xdr:row>
                    <xdr:rowOff>9525</xdr:rowOff>
                  </from>
                  <to>
                    <xdr:col>10</xdr:col>
                    <xdr:colOff>209550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47625</xdr:colOff>
                    <xdr:row>7</xdr:row>
                    <xdr:rowOff>38100</xdr:rowOff>
                  </from>
                  <to>
                    <xdr:col>10</xdr:col>
                    <xdr:colOff>209550</xdr:colOff>
                    <xdr:row>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空白</vt:lpstr>
      <vt:lpstr>空白!bookmark1</vt:lpstr>
      <vt:lpstr>空白!Print_Area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2023-03-13T05:25:15Z</dcterms:modified>
</cp:coreProperties>
</file>