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ThisWorkbook" defaultThemeVersion="124226"/>
  <xr:revisionPtr revIDLastSave="0" documentId="13_ncr:1_{A31D8B7C-7BCF-4648-84EC-BE51E9B0A8E8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PFMEA" sheetId="1" r:id="rId1"/>
    <sheet name="資料庫" sheetId="2" r:id="rId2"/>
    <sheet name="項目異常" sheetId="4" r:id="rId3"/>
    <sheet name="嚴重度 (S)" sheetId="5" r:id="rId4"/>
    <sheet name="發生率 (O)" sheetId="6" r:id="rId5"/>
    <sheet name="偵測度 (D)" sheetId="7" r:id="rId6"/>
    <sheet name="R.P.N值" sheetId="8" r:id="rId7"/>
  </sheets>
  <definedNames>
    <definedName name="_xlnm._FilterDatabase" localSheetId="2" hidden="1">項目異常!$A$1:$L$150</definedName>
    <definedName name="_xlnm._FilterDatabase" localSheetId="1" hidden="1">資料庫!$D$1:$J$87</definedName>
    <definedName name="_xlnm.Print_Area" localSheetId="0">PFMEA!$D$1:$X$25</definedName>
    <definedName name="控制偵測">資料庫!$B$16:$B$24</definedName>
    <definedName name="控制預防">資料庫!$A$16:$A$17</definedName>
    <definedName name="製程">資料庫!$E$2:INDEX(資料庫!$E:$E,COUNTA(資料庫!$E:$E))</definedName>
    <definedName name="製程基準">資料庫!$E$1</definedName>
    <definedName name="潛在失效模式">INDIRECT("F"&amp;MATCH(資料庫!$D19,製程,0),TRUE):INDIRECT("I"&amp;MATCH(資料庫!$D19,製程,0),TRUE)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1" l="1"/>
  <c r="C21" i="1"/>
  <c r="C22" i="1"/>
  <c r="C23" i="1"/>
  <c r="C24" i="1"/>
  <c r="C25" i="1"/>
  <c r="C19" i="1"/>
  <c r="R19" i="1" s="1"/>
  <c r="R25" i="1"/>
  <c r="R24" i="1"/>
  <c r="R23" i="1"/>
  <c r="R22" i="1"/>
  <c r="R21" i="1"/>
  <c r="R20" i="1"/>
  <c r="I19" i="1"/>
  <c r="L19" i="1" l="1"/>
  <c r="X25" i="1"/>
  <c r="X24" i="1"/>
  <c r="X23" i="1"/>
  <c r="X22" i="1"/>
  <c r="X21" i="1"/>
  <c r="X20" i="1"/>
  <c r="X19" i="1"/>
  <c r="O19" i="1" l="1"/>
  <c r="P25" i="1"/>
  <c r="O25" i="1"/>
  <c r="N25" i="1"/>
  <c r="M25" i="1"/>
  <c r="L25" i="1"/>
  <c r="J25" i="1"/>
  <c r="H25" i="1"/>
  <c r="I25" i="1"/>
  <c r="F25" i="1"/>
  <c r="Q25" i="1" l="1"/>
  <c r="K25" i="1"/>
  <c r="N19" i="1"/>
  <c r="P19" i="1"/>
  <c r="H19" i="1"/>
  <c r="F19" i="1"/>
  <c r="J19" i="1"/>
  <c r="M19" i="1"/>
  <c r="K19" i="1" l="1"/>
  <c r="O20" i="1"/>
  <c r="P20" i="1"/>
  <c r="N20" i="1"/>
  <c r="L20" i="1"/>
  <c r="M20" i="1"/>
  <c r="J20" i="1"/>
  <c r="H20" i="1"/>
  <c r="I20" i="1"/>
  <c r="F20" i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2" i="4"/>
  <c r="Q20" i="1" l="1"/>
  <c r="K20" i="1"/>
  <c r="O24" i="1" l="1"/>
  <c r="M24" i="1"/>
  <c r="J24" i="1"/>
  <c r="H24" i="1"/>
  <c r="F24" i="1"/>
  <c r="P24" i="1"/>
  <c r="N24" i="1"/>
  <c r="L24" i="1"/>
  <c r="I24" i="1"/>
  <c r="O22" i="1" l="1"/>
  <c r="M22" i="1"/>
  <c r="J22" i="1"/>
  <c r="P22" i="1"/>
  <c r="N22" i="1"/>
  <c r="L22" i="1"/>
  <c r="H22" i="1"/>
  <c r="I22" i="1"/>
  <c r="F22" i="1"/>
  <c r="O23" i="1"/>
  <c r="M23" i="1"/>
  <c r="J23" i="1"/>
  <c r="H23" i="1"/>
  <c r="I23" i="1"/>
  <c r="F23" i="1"/>
  <c r="P23" i="1"/>
  <c r="N23" i="1"/>
  <c r="L23" i="1"/>
  <c r="O21" i="1"/>
  <c r="M21" i="1"/>
  <c r="J21" i="1"/>
  <c r="H21" i="1"/>
  <c r="I21" i="1"/>
  <c r="F21" i="1"/>
  <c r="P21" i="1"/>
  <c r="N21" i="1"/>
  <c r="L21" i="1"/>
  <c r="K24" i="1"/>
  <c r="Q24" i="1"/>
  <c r="Q19" i="1"/>
  <c r="Q23" i="1" l="1"/>
  <c r="K23" i="1"/>
  <c r="K21" i="1"/>
  <c r="Q21" i="1"/>
  <c r="K22" i="1"/>
  <c r="Q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作者: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應以「物理的」或「技術用語」描述，而非
以顧客觀察到的現象描述
</t>
        </r>
      </text>
    </comment>
    <comment ref="F1" authorId="0" shapeId="0" xr:uid="{00000000-0006-0000-0200-000002000000}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
1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細明體"/>
            <family val="3"/>
            <charset val="136"/>
          </rPr>
          <t>符合安全和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細明體"/>
            <family val="3"/>
            <charset val="136"/>
          </rPr>
          <t>或法規要求之失效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 xml:space="preserve">可能危害操作者
</t>
        </r>
        <r>
          <rPr>
            <sz val="9"/>
            <color indexed="81"/>
            <rFont val="Tahoma"/>
            <family val="2"/>
          </rPr>
          <t xml:space="preserve">    (</t>
        </r>
        <r>
          <rPr>
            <sz val="9"/>
            <color indexed="81"/>
            <rFont val="細明體"/>
            <family val="3"/>
            <charset val="136"/>
          </rPr>
          <t>機構或組裝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而無預警
</t>
        </r>
        <r>
          <rPr>
            <sz val="9"/>
            <color indexed="81"/>
            <rFont val="Tahoma"/>
            <family val="2"/>
          </rPr>
          <t xml:space="preserve">9  </t>
        </r>
        <r>
          <rPr>
            <sz val="9"/>
            <color indexed="81"/>
            <rFont val="細明體"/>
            <family val="3"/>
            <charset val="136"/>
          </rPr>
          <t xml:space="preserve">可能危害操作者
</t>
        </r>
        <r>
          <rPr>
            <sz val="9"/>
            <color indexed="81"/>
            <rFont val="Tahoma"/>
            <family val="2"/>
          </rPr>
          <t xml:space="preserve">    (</t>
        </r>
        <r>
          <rPr>
            <sz val="9"/>
            <color indexed="81"/>
            <rFont val="細明體"/>
            <family val="3"/>
            <charset val="136"/>
          </rPr>
          <t>機構或組裝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而有預警
</t>
        </r>
        <r>
          <rPr>
            <sz val="9"/>
            <color indexed="81"/>
            <rFont val="Tahoma"/>
            <family val="2"/>
          </rPr>
          <t xml:space="preserve">8 </t>
        </r>
        <r>
          <rPr>
            <sz val="9"/>
            <color indexed="81"/>
            <rFont val="細明體"/>
            <family val="3"/>
            <charset val="136"/>
          </rPr>
          <t>嚴重阻礙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產品可能必須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廢棄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生產線停止或出貨中止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 xml:space="preserve">失去主要功能產品無法正常運轉作動
</t>
        </r>
        <r>
          <rPr>
            <sz val="9"/>
            <color indexed="81"/>
            <rFont val="Tahoma"/>
            <family val="2"/>
          </rPr>
          <t xml:space="preserve">7 </t>
        </r>
        <r>
          <rPr>
            <sz val="9"/>
            <color indexed="81"/>
            <rFont val="細明體"/>
            <family val="3"/>
            <charset val="136"/>
          </rPr>
          <t>顯著阻礙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部分產品必須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 xml:space="preserve">廢棄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降低主要功能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產品可運轉作動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但精度有所降低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6 </t>
        </r>
        <r>
          <rPr>
            <sz val="9"/>
            <color indexed="81"/>
            <rFont val="細明體"/>
            <family val="3"/>
            <charset val="136"/>
          </rPr>
          <t>中等阻礙</t>
        </r>
        <r>
          <rPr>
            <sz val="9"/>
            <color indexed="81"/>
            <rFont val="Tahoma"/>
            <family val="2"/>
          </rPr>
          <t xml:space="preserve"> 100%</t>
        </r>
        <r>
          <rPr>
            <sz val="9"/>
            <color indexed="81"/>
            <rFont val="細明體"/>
            <family val="3"/>
            <charset val="136"/>
          </rPr>
          <t>生產中產品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必須線外重工和合格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失去次要功能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產品可運轉作動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但產品無法乘載正常載重量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5 </t>
        </r>
        <r>
          <rPr>
            <sz val="9"/>
            <color indexed="81"/>
            <rFont val="細明體"/>
            <family val="3"/>
            <charset val="136"/>
          </rPr>
          <t>部分生產中產品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必須線外重工和合格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降低次要功能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產品可運轉作動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但產品可乘載載重量降低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4 </t>
        </r>
        <r>
          <rPr>
            <sz val="9"/>
            <color indexed="81"/>
            <rFont val="細明體"/>
            <family val="3"/>
            <charset val="136"/>
          </rPr>
          <t>中等阻礙</t>
        </r>
        <r>
          <rPr>
            <sz val="9"/>
            <color indexed="81"/>
            <rFont val="Tahoma"/>
            <family val="2"/>
          </rPr>
          <t xml:space="preserve"> 100%</t>
        </r>
        <r>
          <rPr>
            <sz val="9"/>
            <color indexed="81"/>
            <rFont val="細明體"/>
            <family val="3"/>
            <charset val="136"/>
          </rPr>
          <t>生產中產品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必須於生產工站重工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外觀或可聽見噪音產品運轉作動大多數顧客會有感覺到不舒適</t>
        </r>
        <r>
          <rPr>
            <sz val="9"/>
            <color indexed="81"/>
            <rFont val="Tahoma"/>
            <family val="2"/>
          </rPr>
          <t>(&gt;75%)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細明體"/>
            <family val="3"/>
            <charset val="136"/>
          </rPr>
          <t>部分生產中產品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必須於生產工站重工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於投入生產前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外觀或可聽見噪音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產品運轉作動多數顧客會有感覺到不舒適</t>
        </r>
        <r>
          <rPr>
            <sz val="9"/>
            <color indexed="81"/>
            <rFont val="Tahoma"/>
            <family val="2"/>
          </rPr>
          <t>(50%)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細明體"/>
            <family val="3"/>
            <charset val="136"/>
          </rPr>
          <t>次要阻礙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在製程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操作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或對操作者有輕微不方便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外觀或可聽見噪音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產品運轉作動顧客會有感覺到不舒適</t>
        </r>
        <r>
          <rPr>
            <sz val="9"/>
            <color indexed="81"/>
            <rFont val="Tahoma"/>
            <family val="2"/>
          </rPr>
          <t>(&lt;25%)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細明體"/>
            <family val="3"/>
            <charset val="136"/>
          </rPr>
          <t>無影響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 xml:space="preserve">無可辨別的影響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 xml:space="preserve">無可辨別的影響
</t>
        </r>
        <r>
          <rPr>
            <sz val="9"/>
            <color indexed="81"/>
            <rFont val="Tahoma"/>
            <family val="2"/>
          </rPr>
          <t xml:space="preserve">  </t>
        </r>
      </text>
    </comment>
    <comment ref="H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10  </t>
        </r>
        <r>
          <rPr>
            <sz val="9"/>
            <color indexed="81"/>
            <rFont val="細明體"/>
            <family val="3"/>
            <charset val="136"/>
          </rPr>
          <t xml:space="preserve">很高 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≧</t>
        </r>
        <r>
          <rPr>
            <sz val="9"/>
            <color indexed="81"/>
            <rFont val="Tahoma"/>
            <family val="2"/>
          </rPr>
          <t>100/1,000</t>
        </r>
        <r>
          <rPr>
            <sz val="9"/>
            <color indexed="81"/>
            <rFont val="細明體"/>
            <family val="3"/>
            <charset val="136"/>
          </rPr>
          <t>或≧</t>
        </r>
        <r>
          <rPr>
            <sz val="9"/>
            <color indexed="81"/>
            <rFont val="Tahoma"/>
            <family val="2"/>
          </rPr>
          <t xml:space="preserve">1/10
09  </t>
        </r>
        <r>
          <rPr>
            <sz val="9"/>
            <color indexed="81"/>
            <rFont val="細明體"/>
            <family val="3"/>
            <charset val="136"/>
          </rPr>
          <t>高</t>
        </r>
        <r>
          <rPr>
            <sz val="9"/>
            <color indexed="81"/>
            <rFont val="Tahoma"/>
            <family val="2"/>
          </rPr>
          <t xml:space="preserve">       50/1,000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1/20
08  </t>
        </r>
        <r>
          <rPr>
            <sz val="9"/>
            <color indexed="81"/>
            <rFont val="細明體"/>
            <family val="3"/>
            <charset val="136"/>
          </rPr>
          <t xml:space="preserve">高    </t>
        </r>
        <r>
          <rPr>
            <sz val="9"/>
            <color indexed="81"/>
            <rFont val="Tahoma"/>
            <family val="2"/>
          </rPr>
          <t xml:space="preserve"> 20/1,000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1/50
07  </t>
        </r>
        <r>
          <rPr>
            <sz val="9"/>
            <color indexed="81"/>
            <rFont val="細明體"/>
            <family val="3"/>
            <charset val="136"/>
          </rPr>
          <t xml:space="preserve">高    </t>
        </r>
        <r>
          <rPr>
            <sz val="9"/>
            <color indexed="81"/>
            <rFont val="Tahoma"/>
            <family val="2"/>
          </rPr>
          <t xml:space="preserve"> 10/1,000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1/100
06  </t>
        </r>
        <r>
          <rPr>
            <sz val="9"/>
            <color indexed="81"/>
            <rFont val="細明體"/>
            <family val="3"/>
            <charset val="136"/>
          </rPr>
          <t xml:space="preserve">中等  </t>
        </r>
        <r>
          <rPr>
            <sz val="9"/>
            <color indexed="81"/>
            <rFont val="Tahoma"/>
            <family val="2"/>
          </rPr>
          <t xml:space="preserve"> 2/1,000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1/500
05  </t>
        </r>
        <r>
          <rPr>
            <sz val="9"/>
            <color indexed="81"/>
            <rFont val="細明體"/>
            <family val="3"/>
            <charset val="136"/>
          </rPr>
          <t xml:space="preserve">中等  </t>
        </r>
        <r>
          <rPr>
            <sz val="9"/>
            <color indexed="81"/>
            <rFont val="Tahoma"/>
            <family val="2"/>
          </rPr>
          <t xml:space="preserve"> 0.5/1,000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1/2,000
04  </t>
        </r>
        <r>
          <rPr>
            <sz val="9"/>
            <color indexed="81"/>
            <rFont val="細明體"/>
            <family val="3"/>
            <charset val="136"/>
          </rPr>
          <t xml:space="preserve">中等  </t>
        </r>
        <r>
          <rPr>
            <sz val="9"/>
            <color indexed="81"/>
            <rFont val="Tahoma"/>
            <family val="2"/>
          </rPr>
          <t xml:space="preserve"> 0.1/1,000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1/10,000
03  </t>
        </r>
        <r>
          <rPr>
            <sz val="9"/>
            <color indexed="81"/>
            <rFont val="細明體"/>
            <family val="3"/>
            <charset val="136"/>
          </rPr>
          <t xml:space="preserve">低    </t>
        </r>
        <r>
          <rPr>
            <sz val="9"/>
            <color indexed="81"/>
            <rFont val="Tahoma"/>
            <family val="2"/>
          </rPr>
          <t xml:space="preserve"> 0.01/1,000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1/100,000
02  </t>
        </r>
        <r>
          <rPr>
            <sz val="9"/>
            <color indexed="81"/>
            <rFont val="細明體"/>
            <family val="3"/>
            <charset val="136"/>
          </rPr>
          <t xml:space="preserve">低   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≦</t>
        </r>
        <r>
          <rPr>
            <sz val="9"/>
            <color indexed="81"/>
            <rFont val="Tahoma"/>
            <family val="2"/>
          </rPr>
          <t>0.001/1,000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1/1,000,000
01  </t>
        </r>
        <r>
          <rPr>
            <sz val="9"/>
            <color indexed="81"/>
            <rFont val="細明體"/>
            <family val="3"/>
            <charset val="136"/>
          </rPr>
          <t xml:space="preserve">很低 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透過預防管制阻止失效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10 </t>
        </r>
        <r>
          <rPr>
            <sz val="9"/>
            <color indexed="81"/>
            <rFont val="細明體"/>
            <family val="3"/>
            <charset val="136"/>
          </rPr>
          <t xml:space="preserve">幾乎不可能
</t>
        </r>
        <r>
          <rPr>
            <sz val="9"/>
            <color indexed="81"/>
            <rFont val="Tahoma"/>
            <family val="2"/>
          </rPr>
          <t xml:space="preserve">9   </t>
        </r>
        <r>
          <rPr>
            <sz val="9"/>
            <color indexed="81"/>
            <rFont val="細明體"/>
            <family val="3"/>
            <charset val="136"/>
          </rPr>
          <t xml:space="preserve">可能性極小
</t>
        </r>
        <r>
          <rPr>
            <sz val="9"/>
            <color indexed="81"/>
            <rFont val="Tahoma"/>
            <family val="2"/>
          </rPr>
          <t xml:space="preserve">8   </t>
        </r>
        <r>
          <rPr>
            <sz val="9"/>
            <color indexed="81"/>
            <rFont val="細明體"/>
            <family val="3"/>
            <charset val="136"/>
          </rPr>
          <t xml:space="preserve">可能性極小
</t>
        </r>
        <r>
          <rPr>
            <sz val="9"/>
            <color indexed="81"/>
            <rFont val="Tahoma"/>
            <family val="2"/>
          </rPr>
          <t xml:space="preserve">7   </t>
        </r>
        <r>
          <rPr>
            <sz val="9"/>
            <color indexed="81"/>
            <rFont val="細明體"/>
            <family val="3"/>
            <charset val="136"/>
          </rPr>
          <t xml:space="preserve">非常低
</t>
        </r>
        <r>
          <rPr>
            <sz val="9"/>
            <color indexed="81"/>
            <rFont val="Tahoma"/>
            <family val="2"/>
          </rPr>
          <t xml:space="preserve">6   </t>
        </r>
        <r>
          <rPr>
            <sz val="9"/>
            <color indexed="81"/>
            <rFont val="細明體"/>
            <family val="3"/>
            <charset val="136"/>
          </rPr>
          <t xml:space="preserve">低
</t>
        </r>
        <r>
          <rPr>
            <sz val="9"/>
            <color indexed="81"/>
            <rFont val="Tahoma"/>
            <family val="2"/>
          </rPr>
          <t xml:space="preserve">5   </t>
        </r>
        <r>
          <rPr>
            <sz val="9"/>
            <color indexed="81"/>
            <rFont val="細明體"/>
            <family val="3"/>
            <charset val="136"/>
          </rPr>
          <t xml:space="preserve">中等
</t>
        </r>
        <r>
          <rPr>
            <sz val="9"/>
            <color indexed="81"/>
            <rFont val="Tahoma"/>
            <family val="2"/>
          </rPr>
          <t xml:space="preserve">4   </t>
        </r>
        <r>
          <rPr>
            <sz val="9"/>
            <color indexed="81"/>
            <rFont val="細明體"/>
            <family val="3"/>
            <charset val="136"/>
          </rPr>
          <t xml:space="preserve">高中等
</t>
        </r>
        <r>
          <rPr>
            <sz val="9"/>
            <color indexed="81"/>
            <rFont val="Tahoma"/>
            <family val="2"/>
          </rPr>
          <t xml:space="preserve">3   </t>
        </r>
        <r>
          <rPr>
            <sz val="9"/>
            <color indexed="81"/>
            <rFont val="細明體"/>
            <family val="3"/>
            <charset val="136"/>
          </rPr>
          <t xml:space="preserve">高
</t>
        </r>
        <r>
          <rPr>
            <sz val="9"/>
            <color indexed="81"/>
            <rFont val="Tahoma"/>
            <family val="2"/>
          </rPr>
          <t xml:space="preserve">2   </t>
        </r>
        <r>
          <rPr>
            <sz val="9"/>
            <color indexed="81"/>
            <rFont val="細明體"/>
            <family val="3"/>
            <charset val="136"/>
          </rPr>
          <t xml:space="preserve">極高
</t>
        </r>
        <r>
          <rPr>
            <sz val="9"/>
            <color indexed="81"/>
            <rFont val="Tahoma"/>
            <family val="2"/>
          </rPr>
          <t xml:space="preserve">1   </t>
        </r>
        <r>
          <rPr>
            <sz val="9"/>
            <color indexed="81"/>
            <rFont val="細明體"/>
            <family val="3"/>
            <charset val="136"/>
          </rPr>
          <t>幾乎確定</t>
        </r>
      </text>
    </comment>
  </commentList>
</comments>
</file>

<file path=xl/sharedStrings.xml><?xml version="1.0" encoding="utf-8"?>
<sst xmlns="http://schemas.openxmlformats.org/spreadsheetml/2006/main" count="1832" uniqueCount="703">
  <si>
    <t>NO.</t>
  </si>
  <si>
    <t>1~50</t>
  </si>
  <si>
    <t>51~100</t>
  </si>
  <si>
    <t>101~200</t>
  </si>
  <si>
    <t>9~10</t>
  </si>
  <si>
    <t>201~1000</t>
  </si>
  <si>
    <t xml:space="preserve"> Failure Mode</t>
  </si>
  <si>
    <t>RPN</t>
  </si>
  <si>
    <t>S</t>
  </si>
  <si>
    <t>O</t>
  </si>
  <si>
    <t>D</t>
  </si>
  <si>
    <t>嚴重度
(S)</t>
    <phoneticPr fontId="10" type="noConversion"/>
  </si>
  <si>
    <t>PFMEA</t>
    <phoneticPr fontId="10" type="noConversion"/>
  </si>
  <si>
    <r>
      <rPr>
        <sz val="9"/>
        <color theme="1"/>
        <rFont val="標楷體"/>
        <family val="4"/>
        <charset val="136"/>
      </rPr>
      <t>產品編號</t>
    </r>
    <phoneticPr fontId="10" type="noConversion"/>
  </si>
  <si>
    <r>
      <rPr>
        <sz val="9"/>
        <color theme="1"/>
        <rFont val="標楷體"/>
        <family val="4"/>
        <charset val="136"/>
      </rPr>
      <t xml:space="preserve">嚴重度
</t>
    </r>
    <r>
      <rPr>
        <sz val="9"/>
        <color theme="1"/>
        <rFont val="Times New Roman"/>
        <family val="1"/>
      </rPr>
      <t>(S)</t>
    </r>
    <phoneticPr fontId="10" type="noConversion"/>
  </si>
  <si>
    <r>
      <rPr>
        <sz val="9"/>
        <color theme="1"/>
        <rFont val="標楷體"/>
        <family val="4"/>
        <charset val="136"/>
      </rPr>
      <t xml:space="preserve">發生率
</t>
    </r>
    <r>
      <rPr>
        <sz val="9"/>
        <color theme="1"/>
        <rFont val="Times New Roman"/>
        <family val="1"/>
      </rPr>
      <t>(O)</t>
    </r>
    <phoneticPr fontId="10" type="noConversion"/>
  </si>
  <si>
    <r>
      <rPr>
        <sz val="9"/>
        <color theme="1"/>
        <rFont val="標楷體"/>
        <family val="4"/>
        <charset val="136"/>
      </rPr>
      <t xml:space="preserve">偵測度
</t>
    </r>
    <r>
      <rPr>
        <sz val="9"/>
        <color theme="1"/>
        <rFont val="Times New Roman"/>
        <family val="1"/>
      </rPr>
      <t>(D)</t>
    </r>
    <phoneticPr fontId="10" type="noConversion"/>
  </si>
  <si>
    <r>
      <rPr>
        <sz val="9"/>
        <color theme="1"/>
        <rFont val="標楷體"/>
        <family val="4"/>
        <charset val="136"/>
      </rPr>
      <t xml:space="preserve">風險優先指數
</t>
    </r>
    <r>
      <rPr>
        <sz val="9"/>
        <color theme="1"/>
        <rFont val="Times New Roman"/>
        <family val="1"/>
      </rPr>
      <t>(RPN)</t>
    </r>
    <phoneticPr fontId="10" type="noConversion"/>
  </si>
  <si>
    <r>
      <rPr>
        <sz val="9"/>
        <color theme="1"/>
        <rFont val="標楷體"/>
        <family val="4"/>
        <charset val="136"/>
      </rPr>
      <t>相關部門</t>
    </r>
    <phoneticPr fontId="10" type="noConversion"/>
  </si>
  <si>
    <r>
      <rPr>
        <sz val="9"/>
        <color theme="1"/>
        <rFont val="標楷體"/>
        <family val="4"/>
        <charset val="136"/>
      </rPr>
      <t>分類</t>
    </r>
    <phoneticPr fontId="10" type="noConversion"/>
  </si>
  <si>
    <r>
      <rPr>
        <sz val="9"/>
        <color theme="1"/>
        <rFont val="標楷體"/>
        <family val="4"/>
        <charset val="136"/>
      </rPr>
      <t>高</t>
    </r>
    <phoneticPr fontId="10" type="noConversion"/>
  </si>
  <si>
    <r>
      <rPr>
        <sz val="9"/>
        <color theme="1"/>
        <rFont val="標楷體"/>
        <family val="4"/>
        <charset val="136"/>
      </rPr>
      <t>低</t>
    </r>
    <phoneticPr fontId="10" type="noConversion"/>
  </si>
  <si>
    <r>
      <rPr>
        <sz val="9"/>
        <color theme="1"/>
        <rFont val="標楷體"/>
        <family val="4"/>
        <charset val="136"/>
      </rPr>
      <t>管理課</t>
    </r>
    <phoneticPr fontId="10" type="noConversion"/>
  </si>
  <si>
    <r>
      <rPr>
        <sz val="9"/>
        <color theme="1"/>
        <rFont val="標楷體"/>
        <family val="4"/>
        <charset val="136"/>
      </rPr>
      <t>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標楷體"/>
        <family val="4"/>
        <charset val="136"/>
      </rPr>
      <t>零件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標楷體"/>
        <family val="4"/>
        <charset val="136"/>
      </rPr>
      <t>□組合件</t>
    </r>
    <phoneticPr fontId="10" type="noConversion"/>
  </si>
  <si>
    <r>
      <rPr>
        <sz val="9"/>
        <color theme="1"/>
        <rFont val="標楷體"/>
        <family val="4"/>
        <charset val="136"/>
      </rPr>
      <t>技術課</t>
    </r>
    <phoneticPr fontId="10" type="noConversion"/>
  </si>
  <si>
    <r>
      <rPr>
        <sz val="9"/>
        <color theme="1"/>
        <rFont val="標楷體"/>
        <family val="4"/>
        <charset val="136"/>
      </rPr>
      <t>規格描述</t>
    </r>
    <phoneticPr fontId="10" type="noConversion"/>
  </si>
  <si>
    <r>
      <rPr>
        <sz val="9"/>
        <color theme="1"/>
        <rFont val="標楷體"/>
        <family val="4"/>
        <charset val="136"/>
      </rPr>
      <t>普通</t>
    </r>
    <phoneticPr fontId="10" type="noConversion"/>
  </si>
  <si>
    <r>
      <rPr>
        <sz val="9"/>
        <color theme="1"/>
        <rFont val="標楷體"/>
        <family val="4"/>
        <charset val="136"/>
      </rPr>
      <t>業務組</t>
    </r>
    <phoneticPr fontId="10" type="noConversion"/>
  </si>
  <si>
    <r>
      <rPr>
        <sz val="9"/>
        <color theme="1"/>
        <rFont val="標楷體"/>
        <family val="4"/>
        <charset val="136"/>
      </rPr>
      <t>品保組</t>
    </r>
    <phoneticPr fontId="10" type="noConversion"/>
  </si>
  <si>
    <r>
      <rPr>
        <sz val="9"/>
        <color theme="1"/>
        <rFont val="標楷體"/>
        <family val="4"/>
        <charset val="136"/>
      </rPr>
      <t>產品名稱</t>
    </r>
    <phoneticPr fontId="10" type="noConversion"/>
  </si>
  <si>
    <r>
      <rPr>
        <sz val="9"/>
        <color theme="1"/>
        <rFont val="標楷體"/>
        <family val="4"/>
        <charset val="136"/>
      </rPr>
      <t>倉管組</t>
    </r>
    <phoneticPr fontId="10" type="noConversion"/>
  </si>
  <si>
    <r>
      <rPr>
        <sz val="9"/>
        <color theme="1"/>
        <rFont val="標楷體"/>
        <family val="4"/>
        <charset val="136"/>
      </rPr>
      <t>採購組</t>
    </r>
    <phoneticPr fontId="10" type="noConversion"/>
  </si>
  <si>
    <r>
      <rPr>
        <sz val="9"/>
        <color theme="1"/>
        <rFont val="標楷體"/>
        <family val="4"/>
        <charset val="136"/>
      </rPr>
      <t>客戶名稱</t>
    </r>
    <phoneticPr fontId="10" type="noConversion"/>
  </si>
  <si>
    <r>
      <rPr>
        <sz val="9"/>
        <color theme="1"/>
        <rFont val="標楷體"/>
        <family val="4"/>
        <charset val="136"/>
      </rPr>
      <t>非常高</t>
    </r>
    <phoneticPr fontId="10" type="noConversion"/>
  </si>
  <si>
    <r>
      <rPr>
        <sz val="9"/>
        <color theme="1"/>
        <rFont val="標楷體"/>
        <family val="4"/>
        <charset val="136"/>
      </rPr>
      <t>生管組</t>
    </r>
    <phoneticPr fontId="10" type="noConversion"/>
  </si>
  <si>
    <r>
      <rPr>
        <sz val="9"/>
        <color theme="1"/>
        <rFont val="標楷體"/>
        <family val="4"/>
        <charset val="136"/>
      </rPr>
      <t>生產課</t>
    </r>
    <phoneticPr fontId="10" type="noConversion"/>
  </si>
  <si>
    <r>
      <rPr>
        <sz val="9"/>
        <color theme="1"/>
        <rFont val="標楷體"/>
        <family val="4"/>
        <charset val="136"/>
      </rPr>
      <t>項目</t>
    </r>
  </si>
  <si>
    <r>
      <rPr>
        <sz val="9"/>
        <color theme="1"/>
        <rFont val="標楷體"/>
        <family val="4"/>
        <charset val="136"/>
      </rPr>
      <t>要求</t>
    </r>
  </si>
  <si>
    <r>
      <rPr>
        <sz val="9"/>
        <color theme="1"/>
        <rFont val="標楷體"/>
        <family val="4"/>
        <charset val="136"/>
      </rPr>
      <t>分類</t>
    </r>
  </si>
  <si>
    <r>
      <rPr>
        <sz val="9"/>
        <color theme="1"/>
        <rFont val="標楷體"/>
        <family val="4"/>
        <charset val="136"/>
      </rPr>
      <t>現行設計管制</t>
    </r>
  </si>
  <si>
    <r>
      <rPr>
        <sz val="9"/>
        <color theme="1"/>
        <rFont val="標楷體"/>
        <family val="4"/>
        <charset val="136"/>
      </rPr>
      <t>措施結果</t>
    </r>
  </si>
  <si>
    <r>
      <rPr>
        <sz val="9"/>
        <color theme="1"/>
        <rFont val="標楷體"/>
        <family val="4"/>
        <charset val="136"/>
      </rPr>
      <t>評價</t>
    </r>
  </si>
  <si>
    <t>無影響</t>
  </si>
  <si>
    <t>2~3</t>
    <phoneticPr fontId="10" type="noConversion"/>
  </si>
  <si>
    <t>次要阻礙</t>
  </si>
  <si>
    <t>中等阻礙</t>
  </si>
  <si>
    <t>3~6</t>
    <phoneticPr fontId="10" type="noConversion"/>
  </si>
  <si>
    <t>顯著阻礙</t>
  </si>
  <si>
    <t>嚴重阻礙</t>
  </si>
  <si>
    <t>符合安全和/或法規要求之失效</t>
    <phoneticPr fontId="10" type="noConversion"/>
  </si>
  <si>
    <t>4~6</t>
    <phoneticPr fontId="10" type="noConversion"/>
  </si>
  <si>
    <t>7~9</t>
    <phoneticPr fontId="10" type="noConversion"/>
  </si>
  <si>
    <t>8~9</t>
    <phoneticPr fontId="10" type="noConversion"/>
  </si>
  <si>
    <r>
      <rPr>
        <sz val="18"/>
        <color theme="1"/>
        <rFont val="標楷體"/>
        <family val="4"/>
        <charset val="136"/>
      </rPr>
      <t>超正齒輪科技有限公司</t>
    </r>
    <phoneticPr fontId="10" type="noConversion"/>
  </si>
  <si>
    <r>
      <rPr>
        <sz val="14"/>
        <color theme="1"/>
        <rFont val="標楷體"/>
        <family val="4"/>
        <charset val="136"/>
      </rPr>
      <t>潛在失效模式及效應分析</t>
    </r>
    <phoneticPr fontId="10" type="noConversion"/>
  </si>
  <si>
    <t>責任目標
完成日</t>
    <phoneticPr fontId="10" type="noConversion"/>
  </si>
  <si>
    <t>失效潛在
原因</t>
    <phoneticPr fontId="10" type="noConversion"/>
  </si>
  <si>
    <t>潛在失效模式</t>
    <phoneticPr fontId="10" type="noConversion"/>
  </si>
  <si>
    <t>採行措施
生效日期</t>
    <phoneticPr fontId="10" type="noConversion"/>
  </si>
  <si>
    <r>
      <rPr>
        <sz val="9"/>
        <color theme="1"/>
        <rFont val="標楷體"/>
        <family val="4"/>
        <charset val="136"/>
      </rPr>
      <t>編號</t>
    </r>
    <phoneticPr fontId="10" type="noConversion"/>
  </si>
  <si>
    <r>
      <rPr>
        <sz val="9"/>
        <color theme="1"/>
        <rFont val="標楷體"/>
        <family val="4"/>
        <charset val="136"/>
      </rPr>
      <t>日期</t>
    </r>
    <phoneticPr fontId="10" type="noConversion"/>
  </si>
  <si>
    <r>
      <rPr>
        <sz val="9"/>
        <color theme="1"/>
        <rFont val="標楷體"/>
        <family val="4"/>
        <charset val="136"/>
      </rPr>
      <t>修訂內容</t>
    </r>
    <phoneticPr fontId="10" type="noConversion"/>
  </si>
  <si>
    <r>
      <rPr>
        <sz val="9"/>
        <color theme="1"/>
        <rFont val="標楷體"/>
        <family val="4"/>
        <charset val="136"/>
      </rPr>
      <t>批准</t>
    </r>
    <phoneticPr fontId="10" type="noConversion"/>
  </si>
  <si>
    <r>
      <rPr>
        <sz val="9"/>
        <color theme="1"/>
        <rFont val="標楷體"/>
        <family val="4"/>
        <charset val="136"/>
      </rPr>
      <t>檢查</t>
    </r>
    <phoneticPr fontId="10" type="noConversion"/>
  </si>
  <si>
    <r>
      <rPr>
        <sz val="9"/>
        <color theme="1"/>
        <rFont val="標楷體"/>
        <family val="4"/>
        <charset val="136"/>
      </rPr>
      <t>準備</t>
    </r>
    <phoneticPr fontId="10" type="noConversion"/>
  </si>
  <si>
    <t>(PFMEA)</t>
    <phoneticPr fontId="10" type="noConversion"/>
  </si>
  <si>
    <t>符合安全
和/或
法規要求之失效</t>
    <phoneticPr fontId="10" type="noConversion"/>
  </si>
  <si>
    <t>符合安全
和/或
法規要求之失效</t>
    <phoneticPr fontId="10" type="noConversion"/>
  </si>
  <si>
    <t>車床</t>
    <phoneticPr fontId="10" type="noConversion"/>
  </si>
  <si>
    <t>skiving</t>
  </si>
  <si>
    <t>孔位異常</t>
    <phoneticPr fontId="10" type="noConversion"/>
  </si>
  <si>
    <t>滾齒參數錯誤</t>
    <phoneticPr fontId="10" type="noConversion"/>
  </si>
  <si>
    <t>滾齒中心偏移</t>
    <phoneticPr fontId="10" type="noConversion"/>
  </si>
  <si>
    <t>雷刻位置錯誤</t>
    <phoneticPr fontId="10" type="noConversion"/>
  </si>
  <si>
    <t>防碳厚度不足</t>
    <phoneticPr fontId="10" type="noConversion"/>
  </si>
  <si>
    <t>鎖螺絲深度不足</t>
    <phoneticPr fontId="10" type="noConversion"/>
  </si>
  <si>
    <t>攻牙深度不足</t>
    <phoneticPr fontId="10" type="noConversion"/>
  </si>
  <si>
    <r>
      <rPr>
        <sz val="12"/>
        <color theme="1"/>
        <rFont val="標楷體"/>
        <family val="4"/>
        <charset val="136"/>
      </rPr>
      <t>滾齒</t>
    </r>
  </si>
  <si>
    <r>
      <rPr>
        <sz val="12"/>
        <color theme="1"/>
        <rFont val="標楷體"/>
        <family val="4"/>
        <charset val="136"/>
      </rPr>
      <t>線割</t>
    </r>
  </si>
  <si>
    <r>
      <rPr>
        <sz val="12"/>
        <color theme="1"/>
        <rFont val="標楷體"/>
        <family val="4"/>
        <charset val="136"/>
      </rPr>
      <t>平研</t>
    </r>
  </si>
  <si>
    <r>
      <rPr>
        <sz val="12"/>
        <color theme="1"/>
        <rFont val="標楷體"/>
        <family val="4"/>
        <charset val="136"/>
      </rPr>
      <t>外研</t>
    </r>
  </si>
  <si>
    <r>
      <rPr>
        <sz val="12"/>
        <color theme="1"/>
        <rFont val="標楷體"/>
        <family val="4"/>
        <charset val="136"/>
      </rPr>
      <t>齒研</t>
    </r>
  </si>
  <si>
    <r>
      <rPr>
        <sz val="12"/>
        <color theme="1"/>
        <rFont val="標楷體"/>
        <family val="4"/>
        <charset val="136"/>
      </rPr>
      <t>放電</t>
    </r>
  </si>
  <si>
    <r>
      <rPr>
        <sz val="12"/>
        <color theme="1"/>
        <rFont val="標楷體"/>
        <family val="4"/>
        <charset val="136"/>
      </rPr>
      <t>精銑鍵槽</t>
    </r>
  </si>
  <si>
    <r>
      <rPr>
        <sz val="12"/>
        <color theme="1"/>
        <rFont val="標楷體"/>
        <family val="4"/>
        <charset val="136"/>
      </rPr>
      <t>雷刻</t>
    </r>
  </si>
  <si>
    <r>
      <rPr>
        <sz val="12"/>
        <color theme="1"/>
        <rFont val="標楷體"/>
        <family val="4"/>
        <charset val="136"/>
      </rPr>
      <t>粗銑</t>
    </r>
  </si>
  <si>
    <r>
      <rPr>
        <sz val="12"/>
        <color theme="1"/>
        <rFont val="標楷體"/>
        <family val="4"/>
        <charset val="136"/>
      </rPr>
      <t>防碳</t>
    </r>
  </si>
  <si>
    <r>
      <rPr>
        <sz val="12"/>
        <color theme="1"/>
        <rFont val="標楷體"/>
        <family val="4"/>
        <charset val="136"/>
      </rPr>
      <t>鎖螺絲</t>
    </r>
  </si>
  <si>
    <r>
      <rPr>
        <sz val="12"/>
        <color theme="1"/>
        <rFont val="標楷體"/>
        <family val="4"/>
        <charset val="136"/>
      </rPr>
      <t>打毛邊</t>
    </r>
  </si>
  <si>
    <r>
      <rPr>
        <sz val="12"/>
        <color theme="1"/>
        <rFont val="標楷體"/>
        <family val="4"/>
        <charset val="136"/>
      </rPr>
      <t>精滾</t>
    </r>
  </si>
  <si>
    <r>
      <rPr>
        <sz val="12"/>
        <color theme="1"/>
        <rFont val="標楷體"/>
        <family val="4"/>
        <charset val="136"/>
      </rPr>
      <t>粗滾</t>
    </r>
  </si>
  <si>
    <r>
      <rPr>
        <sz val="12"/>
        <color theme="1"/>
        <rFont val="標楷體"/>
        <family val="4"/>
        <charset val="136"/>
      </rPr>
      <t>攻牙</t>
    </r>
  </si>
  <si>
    <r>
      <rPr>
        <sz val="12"/>
        <color theme="1"/>
        <rFont val="標楷體"/>
        <family val="4"/>
        <charset val="136"/>
      </rPr>
      <t>精車</t>
    </r>
  </si>
  <si>
    <r>
      <rPr>
        <sz val="12"/>
        <color theme="1"/>
        <rFont val="標楷體"/>
        <family val="4"/>
        <charset val="136"/>
      </rPr>
      <t>銑鍵槽</t>
    </r>
  </si>
  <si>
    <r>
      <rPr>
        <sz val="12"/>
        <color theme="1"/>
        <rFont val="標楷體"/>
        <family val="4"/>
        <charset val="136"/>
      </rPr>
      <t>鑽、攻</t>
    </r>
  </si>
  <si>
    <r>
      <rPr>
        <sz val="12"/>
        <color theme="1"/>
        <rFont val="標楷體"/>
        <family val="4"/>
        <charset val="136"/>
      </rPr>
      <t>齒部外研</t>
    </r>
  </si>
  <si>
    <r>
      <rPr>
        <sz val="12"/>
        <color theme="1"/>
        <rFont val="標楷體"/>
        <family val="4"/>
        <charset val="136"/>
      </rPr>
      <t>線割鍵槽</t>
    </r>
  </si>
  <si>
    <r>
      <rPr>
        <sz val="12"/>
        <color theme="1"/>
        <rFont val="標楷體"/>
        <family val="4"/>
        <charset val="136"/>
      </rPr>
      <t>線割雙鍵槽</t>
    </r>
  </si>
  <si>
    <r>
      <rPr>
        <sz val="12"/>
        <color theme="1"/>
        <rFont val="標楷體"/>
        <family val="4"/>
        <charset val="136"/>
      </rPr>
      <t>粗外研</t>
    </r>
  </si>
  <si>
    <r>
      <rPr>
        <sz val="12"/>
        <color theme="1"/>
        <rFont val="標楷體"/>
        <family val="4"/>
        <charset val="136"/>
      </rPr>
      <t>兩面平研</t>
    </r>
  </si>
  <si>
    <r>
      <rPr>
        <sz val="12"/>
        <color theme="1"/>
        <rFont val="標楷體"/>
        <family val="4"/>
        <charset val="136"/>
      </rPr>
      <t>穿心軸外研</t>
    </r>
  </si>
  <si>
    <r>
      <rPr>
        <sz val="12"/>
        <color theme="1"/>
        <rFont val="標楷體"/>
        <family val="4"/>
        <charset val="136"/>
      </rPr>
      <t>粗車</t>
    </r>
  </si>
  <si>
    <r>
      <rPr>
        <sz val="12"/>
        <color theme="1"/>
        <rFont val="標楷體"/>
        <family val="4"/>
        <charset val="136"/>
      </rPr>
      <t>線割內花鍵</t>
    </r>
  </si>
  <si>
    <r>
      <rPr>
        <sz val="12"/>
        <color theme="1"/>
        <rFont val="標楷體"/>
        <family val="4"/>
        <charset val="136"/>
      </rPr>
      <t>組裝</t>
    </r>
  </si>
  <si>
    <r>
      <rPr>
        <sz val="12"/>
        <color theme="1"/>
        <rFont val="標楷體"/>
        <family val="4"/>
        <charset val="136"/>
      </rPr>
      <t>切斷</t>
    </r>
  </si>
  <si>
    <r>
      <rPr>
        <sz val="12"/>
        <color theme="1"/>
        <rFont val="標楷體"/>
        <family val="4"/>
        <charset val="136"/>
      </rPr>
      <t>結合</t>
    </r>
  </si>
  <si>
    <r>
      <rPr>
        <sz val="12"/>
        <color theme="1"/>
        <rFont val="標楷體"/>
        <family val="4"/>
        <charset val="136"/>
      </rPr>
      <t>粗磨見光</t>
    </r>
  </si>
  <si>
    <r>
      <rPr>
        <sz val="12"/>
        <color theme="1"/>
        <rFont val="標楷體"/>
        <family val="4"/>
        <charset val="136"/>
      </rPr>
      <t>中心孔研</t>
    </r>
  </si>
  <si>
    <r>
      <rPr>
        <sz val="12"/>
        <color theme="1"/>
        <rFont val="標楷體"/>
        <family val="4"/>
        <charset val="136"/>
      </rPr>
      <t>車內孔</t>
    </r>
  </si>
  <si>
    <r>
      <rPr>
        <sz val="12"/>
        <color theme="1"/>
        <rFont val="標楷體"/>
        <family val="4"/>
        <charset val="136"/>
      </rPr>
      <t>銑對位</t>
    </r>
  </si>
  <si>
    <r>
      <rPr>
        <sz val="12"/>
        <color theme="1"/>
        <rFont val="標楷體"/>
        <family val="4"/>
        <charset val="136"/>
      </rPr>
      <t>精車內孔</t>
    </r>
  </si>
  <si>
    <r>
      <rPr>
        <sz val="12"/>
        <color theme="1"/>
        <rFont val="標楷體"/>
        <family val="4"/>
        <charset val="136"/>
      </rPr>
      <t>切除料</t>
    </r>
  </si>
  <si>
    <r>
      <rPr>
        <sz val="12"/>
        <color theme="1"/>
        <rFont val="標楷體"/>
        <family val="4"/>
        <charset val="136"/>
      </rPr>
      <t>合檔片</t>
    </r>
  </si>
  <si>
    <r>
      <rPr>
        <sz val="12"/>
        <color theme="1"/>
        <rFont val="標楷體"/>
        <family val="4"/>
        <charset val="136"/>
      </rPr>
      <t>合螺帽</t>
    </r>
  </si>
  <si>
    <r>
      <rPr>
        <sz val="12"/>
        <color theme="1"/>
        <rFont val="標楷體"/>
        <family val="4"/>
        <charset val="136"/>
      </rPr>
      <t>鉸孔</t>
    </r>
  </si>
  <si>
    <r>
      <rPr>
        <sz val="12"/>
        <color theme="1"/>
        <rFont val="標楷體"/>
        <family val="4"/>
        <charset val="136"/>
      </rPr>
      <t>車牙</t>
    </r>
  </si>
  <si>
    <r>
      <rPr>
        <sz val="12"/>
        <color theme="1"/>
        <rFont val="標楷體"/>
        <family val="4"/>
        <charset val="136"/>
      </rPr>
      <t>全檢</t>
    </r>
  </si>
  <si>
    <r>
      <rPr>
        <sz val="12"/>
        <color theme="1"/>
        <rFont val="標楷體"/>
        <family val="4"/>
        <charset val="136"/>
      </rPr>
      <t>銑對齒頂</t>
    </r>
  </si>
  <si>
    <r>
      <rPr>
        <sz val="12"/>
        <color theme="1"/>
        <rFont val="標楷體"/>
        <family val="4"/>
        <charset val="136"/>
      </rPr>
      <t>精銑孔位</t>
    </r>
  </si>
  <si>
    <r>
      <rPr>
        <sz val="12"/>
        <color theme="1"/>
        <rFont val="標楷體"/>
        <family val="4"/>
        <charset val="136"/>
      </rPr>
      <t>精銑齒部</t>
    </r>
  </si>
  <si>
    <r>
      <rPr>
        <sz val="12"/>
        <color theme="1"/>
        <rFont val="標楷體"/>
        <family val="4"/>
        <charset val="136"/>
      </rPr>
      <t>內孔精車端面</t>
    </r>
  </si>
  <si>
    <r>
      <rPr>
        <sz val="12"/>
        <color theme="1"/>
        <rFont val="標楷體"/>
        <family val="4"/>
        <charset val="136"/>
      </rPr>
      <t>拋光</t>
    </r>
  </si>
  <si>
    <r>
      <rPr>
        <sz val="12"/>
        <color theme="1"/>
        <rFont val="標楷體"/>
        <family val="4"/>
        <charset val="136"/>
      </rPr>
      <t>外齒研</t>
    </r>
  </si>
  <si>
    <r>
      <rPr>
        <sz val="12"/>
        <color theme="1"/>
        <rFont val="標楷體"/>
        <family val="4"/>
        <charset val="136"/>
      </rPr>
      <t>齒輪熱配端研</t>
    </r>
  </si>
  <si>
    <r>
      <rPr>
        <sz val="12"/>
        <color theme="1"/>
        <rFont val="標楷體"/>
        <family val="4"/>
        <charset val="136"/>
      </rPr>
      <t>合模具</t>
    </r>
  </si>
  <si>
    <r>
      <rPr>
        <sz val="12"/>
        <color theme="1"/>
        <rFont val="標楷體"/>
        <family val="4"/>
        <charset val="136"/>
      </rPr>
      <t>銑對正鍵槽</t>
    </r>
  </si>
  <si>
    <r>
      <rPr>
        <sz val="12"/>
        <color theme="1"/>
        <rFont val="標楷體"/>
        <family val="4"/>
        <charset val="136"/>
      </rPr>
      <t>銑倒角</t>
    </r>
  </si>
  <si>
    <r>
      <rPr>
        <sz val="12"/>
        <color theme="1"/>
        <rFont val="標楷體"/>
        <family val="4"/>
        <charset val="136"/>
      </rPr>
      <t>熱配</t>
    </r>
  </si>
  <si>
    <r>
      <rPr>
        <sz val="12"/>
        <color theme="1"/>
        <rFont val="標楷體"/>
        <family val="4"/>
        <charset val="136"/>
      </rPr>
      <t>焊補</t>
    </r>
  </si>
  <si>
    <r>
      <rPr>
        <sz val="12"/>
        <color theme="1"/>
        <rFont val="標楷體"/>
        <family val="4"/>
        <charset val="136"/>
      </rPr>
      <t>銅刷除毛邊</t>
    </r>
  </si>
  <si>
    <r>
      <rPr>
        <sz val="12"/>
        <color theme="1"/>
        <rFont val="標楷體"/>
        <family val="4"/>
        <charset val="136"/>
      </rPr>
      <t>修孔</t>
    </r>
  </si>
  <si>
    <r>
      <rPr>
        <sz val="12"/>
        <color theme="1"/>
        <rFont val="標楷體"/>
        <family val="4"/>
        <charset val="136"/>
      </rPr>
      <t>車床合擋片</t>
    </r>
  </si>
  <si>
    <r>
      <rPr>
        <sz val="12"/>
        <color theme="1"/>
        <rFont val="標楷體"/>
        <family val="4"/>
        <charset val="136"/>
      </rPr>
      <t>合工件</t>
    </r>
  </si>
  <si>
    <r>
      <rPr>
        <sz val="12"/>
        <color theme="1"/>
        <rFont val="標楷體"/>
        <family val="4"/>
        <charset val="136"/>
      </rPr>
      <t>線割齒部</t>
    </r>
  </si>
  <si>
    <r>
      <rPr>
        <sz val="12"/>
        <color theme="1"/>
        <rFont val="標楷體"/>
        <family val="4"/>
        <charset val="136"/>
      </rPr>
      <t>銑對齒底</t>
    </r>
  </si>
  <si>
    <r>
      <rPr>
        <sz val="12"/>
        <color theme="1"/>
        <rFont val="標楷體"/>
        <family val="4"/>
        <charset val="136"/>
      </rPr>
      <t>檢查內孔</t>
    </r>
  </si>
  <si>
    <r>
      <rPr>
        <sz val="12"/>
        <color theme="1"/>
        <rFont val="標楷體"/>
        <family val="4"/>
        <charset val="136"/>
      </rPr>
      <t>線割對圖面</t>
    </r>
  </si>
  <si>
    <r>
      <rPr>
        <sz val="12"/>
        <color theme="1"/>
        <rFont val="標楷體"/>
        <family val="4"/>
        <charset val="136"/>
      </rPr>
      <t>結合齒研</t>
    </r>
  </si>
  <si>
    <r>
      <rPr>
        <sz val="12"/>
        <color theme="1"/>
        <rFont val="標楷體"/>
        <family val="4"/>
        <charset val="136"/>
      </rPr>
      <t>銑對正齒頂</t>
    </r>
  </si>
  <si>
    <r>
      <rPr>
        <sz val="12"/>
        <color theme="1"/>
        <rFont val="標楷體"/>
        <family val="4"/>
        <charset val="136"/>
      </rPr>
      <t>倒角</t>
    </r>
  </si>
  <si>
    <r>
      <rPr>
        <sz val="12"/>
        <color theme="1"/>
        <rFont val="標楷體"/>
        <family val="4"/>
        <charset val="136"/>
      </rPr>
      <t>刷毛邊</t>
    </r>
  </si>
  <si>
    <r>
      <rPr>
        <sz val="12"/>
        <color theme="1"/>
        <rFont val="標楷體"/>
        <family val="4"/>
        <charset val="136"/>
      </rPr>
      <t>精銑牙</t>
    </r>
  </si>
  <si>
    <r>
      <rPr>
        <sz val="12"/>
        <color theme="1"/>
        <rFont val="標楷體"/>
        <family val="4"/>
        <charset val="136"/>
      </rPr>
      <t>材料</t>
    </r>
  </si>
  <si>
    <r>
      <rPr>
        <sz val="12"/>
        <color theme="1"/>
        <rFont val="標楷體"/>
        <family val="4"/>
        <charset val="136"/>
      </rPr>
      <t>快走絲</t>
    </r>
  </si>
  <si>
    <r>
      <rPr>
        <sz val="12"/>
        <color theme="1"/>
        <rFont val="標楷體"/>
        <family val="4"/>
        <charset val="136"/>
      </rPr>
      <t>焊接</t>
    </r>
  </si>
  <si>
    <r>
      <rPr>
        <sz val="12"/>
        <color theme="1"/>
        <rFont val="標楷體"/>
        <family val="4"/>
        <charset val="136"/>
      </rPr>
      <t>中心孔倒角</t>
    </r>
  </si>
  <si>
    <r>
      <rPr>
        <sz val="12"/>
        <color theme="1"/>
        <rFont val="標楷體"/>
        <family val="4"/>
        <charset val="136"/>
      </rPr>
      <t>甲苯清洗</t>
    </r>
  </si>
  <si>
    <r>
      <rPr>
        <sz val="12"/>
        <color theme="1"/>
        <rFont val="標楷體"/>
        <family val="4"/>
        <charset val="136"/>
      </rPr>
      <t>壓配</t>
    </r>
  </si>
  <si>
    <r>
      <rPr>
        <sz val="12"/>
        <color theme="1"/>
        <rFont val="標楷體"/>
        <family val="4"/>
        <charset val="136"/>
      </rPr>
      <t>牛皮去毛邊</t>
    </r>
  </si>
  <si>
    <r>
      <rPr>
        <sz val="12"/>
        <color theme="1"/>
        <rFont val="標楷體"/>
        <family val="4"/>
        <charset val="136"/>
      </rPr>
      <t>打中心孔</t>
    </r>
  </si>
  <si>
    <r>
      <rPr>
        <sz val="12"/>
        <color theme="1"/>
        <rFont val="標楷體"/>
        <family val="4"/>
        <charset val="136"/>
      </rPr>
      <t>鎖螺絲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防碳</t>
    </r>
  </si>
  <si>
    <r>
      <rPr>
        <sz val="12"/>
        <color theme="1"/>
        <rFont val="標楷體"/>
        <family val="4"/>
        <charset val="136"/>
      </rPr>
      <t>精車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含平面</t>
    </r>
    <r>
      <rPr>
        <sz val="12"/>
        <color theme="1"/>
        <rFont val="Times New Roman"/>
        <family val="1"/>
      </rPr>
      <t>)</t>
    </r>
  </si>
  <si>
    <r>
      <rPr>
        <sz val="12"/>
        <color theme="1"/>
        <rFont val="標楷體"/>
        <family val="4"/>
        <charset val="136"/>
      </rPr>
      <t>車床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車中心孔牙</t>
    </r>
  </si>
  <si>
    <r>
      <rPr>
        <sz val="12"/>
        <color theme="1"/>
        <rFont val="標楷體"/>
        <family val="4"/>
        <charset val="136"/>
      </rPr>
      <t>車床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車牙</t>
    </r>
  </si>
  <si>
    <r>
      <rPr>
        <sz val="12"/>
        <color theme="1"/>
        <rFont val="標楷體"/>
        <family val="4"/>
        <charset val="136"/>
      </rPr>
      <t>打</t>
    </r>
    <r>
      <rPr>
        <sz val="12"/>
        <color theme="1"/>
        <rFont val="Times New Roman"/>
        <family val="1"/>
      </rPr>
      <t>PIN</t>
    </r>
  </si>
  <si>
    <r>
      <rPr>
        <sz val="12"/>
        <color theme="1"/>
        <rFont val="標楷體"/>
        <family val="4"/>
        <charset val="136"/>
      </rPr>
      <t>車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車中心孔</t>
    </r>
  </si>
  <si>
    <r>
      <rPr>
        <sz val="12"/>
        <color theme="1"/>
        <rFont val="標楷體"/>
        <family val="4"/>
        <charset val="136"/>
      </rPr>
      <t>車床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檢查螺孔</t>
    </r>
  </si>
  <si>
    <r>
      <rPr>
        <sz val="12"/>
        <color theme="1"/>
        <rFont val="標楷體"/>
        <family val="4"/>
        <charset val="136"/>
      </rPr>
      <t>粗外研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中心孔研</t>
    </r>
  </si>
  <si>
    <t>研磨過磨</t>
    <phoneticPr fontId="10" type="noConversion"/>
  </si>
  <si>
    <t>組裝未確實</t>
    <phoneticPr fontId="10" type="noConversion"/>
  </si>
  <si>
    <t>切斷長度異常</t>
    <phoneticPr fontId="10" type="noConversion"/>
  </si>
  <si>
    <t>結合未確實</t>
    <phoneticPr fontId="10" type="noConversion"/>
  </si>
  <si>
    <t>結合方向錯誤</t>
    <phoneticPr fontId="10" type="noConversion"/>
  </si>
  <si>
    <t>組裝方向錯誤</t>
    <phoneticPr fontId="10" type="noConversion"/>
  </si>
  <si>
    <t>中心孔研磨偏移</t>
    <phoneticPr fontId="10" type="noConversion"/>
  </si>
  <si>
    <t>合檔片未確實</t>
    <phoneticPr fontId="10" type="noConversion"/>
  </si>
  <si>
    <t>螺牙未鎖到底</t>
    <phoneticPr fontId="10" type="noConversion"/>
  </si>
  <si>
    <t>螺帽規格錯誤</t>
    <phoneticPr fontId="10" type="noConversion"/>
  </si>
  <si>
    <t>絞孔擴孔</t>
    <phoneticPr fontId="10" type="noConversion"/>
  </si>
  <si>
    <t>螺牙規格錯誤</t>
    <phoneticPr fontId="10" type="noConversion"/>
  </si>
  <si>
    <t>外徑過大</t>
    <phoneticPr fontId="10" type="noConversion"/>
  </si>
  <si>
    <t>長度不足</t>
    <phoneticPr fontId="10" type="noConversion"/>
  </si>
  <si>
    <t>中心孔未打</t>
    <phoneticPr fontId="10" type="noConversion"/>
  </si>
  <si>
    <t>鑽孔尺寸錯誤</t>
    <phoneticPr fontId="10" type="noConversion"/>
  </si>
  <si>
    <t>加工深度不足</t>
    <phoneticPr fontId="10" type="noConversion"/>
  </si>
  <si>
    <t>線割尺寸過小</t>
    <phoneticPr fontId="10" type="noConversion"/>
  </si>
  <si>
    <t>線割深度過深</t>
    <phoneticPr fontId="10" type="noConversion"/>
  </si>
  <si>
    <t>部分未見光</t>
    <phoneticPr fontId="10" type="noConversion"/>
  </si>
  <si>
    <t>代號</t>
    <phoneticPr fontId="10" type="noConversion"/>
  </si>
  <si>
    <t>尺寸過小</t>
    <phoneticPr fontId="10" type="noConversion"/>
  </si>
  <si>
    <t>加工位置錯誤</t>
    <phoneticPr fontId="10" type="noConversion"/>
  </si>
  <si>
    <t>孔位偏移</t>
    <phoneticPr fontId="10" type="noConversion"/>
  </si>
  <si>
    <t>孔深不足</t>
    <phoneticPr fontId="10" type="noConversion"/>
  </si>
  <si>
    <t>中心偏移</t>
    <phoneticPr fontId="10" type="noConversion"/>
  </si>
  <si>
    <t>參數設定錯誤</t>
    <phoneticPr fontId="10" type="noConversion"/>
  </si>
  <si>
    <t>中心定位不佳</t>
    <phoneticPr fontId="10" type="noConversion"/>
  </si>
  <si>
    <t>端面研磨尺寸過磨</t>
    <phoneticPr fontId="10" type="noConversion"/>
  </si>
  <si>
    <t>內孔加工過大</t>
    <phoneticPr fontId="10" type="noConversion"/>
  </si>
  <si>
    <t>加工尺寸過大</t>
    <phoneticPr fontId="10" type="noConversion"/>
  </si>
  <si>
    <t>平行度不佳</t>
    <phoneticPr fontId="10" type="noConversion"/>
  </si>
  <si>
    <t>中心孔牙牙深不足</t>
    <phoneticPr fontId="10" type="noConversion"/>
  </si>
  <si>
    <t>中心位置偏移</t>
    <phoneticPr fontId="10" type="noConversion"/>
  </si>
  <si>
    <t>牙部參數設定錯誤</t>
    <phoneticPr fontId="10" type="noConversion"/>
  </si>
  <si>
    <t>倒角角度不足</t>
    <phoneticPr fontId="10" type="noConversion"/>
  </si>
  <si>
    <t>加工尺寸過小</t>
    <phoneticPr fontId="10" type="noConversion"/>
  </si>
  <si>
    <t>深度不足</t>
    <phoneticPr fontId="10" type="noConversion"/>
  </si>
  <si>
    <t>合模具方向錯誤</t>
    <phoneticPr fontId="10" type="noConversion"/>
  </si>
  <si>
    <t>熱配未確實</t>
    <phoneticPr fontId="10" type="noConversion"/>
  </si>
  <si>
    <t>焊補不足</t>
    <phoneticPr fontId="10" type="noConversion"/>
  </si>
  <si>
    <t>除毛邊未確實</t>
    <phoneticPr fontId="10" type="noConversion"/>
  </si>
  <si>
    <t>合工件過大</t>
    <phoneticPr fontId="10" type="noConversion"/>
  </si>
  <si>
    <t>齒部數據設定錯誤</t>
    <phoneticPr fontId="10" type="noConversion"/>
  </si>
  <si>
    <t>花鍵數據設定錯誤</t>
    <phoneticPr fontId="10" type="noConversion"/>
  </si>
  <si>
    <t>去毛邊未確實</t>
    <phoneticPr fontId="10" type="noConversion"/>
  </si>
  <si>
    <t>刷毛邊未確實</t>
    <phoneticPr fontId="10" type="noConversion"/>
  </si>
  <si>
    <t>外徑尺寸錯誤</t>
    <phoneticPr fontId="10" type="noConversion"/>
  </si>
  <si>
    <t>料嚴重偏斜</t>
    <phoneticPr fontId="10" type="noConversion"/>
  </si>
  <si>
    <t>深度過深</t>
    <phoneticPr fontId="10" type="noConversion"/>
  </si>
  <si>
    <t>焊接未確實</t>
    <phoneticPr fontId="10" type="noConversion"/>
  </si>
  <si>
    <t>倒角過小</t>
    <phoneticPr fontId="10" type="noConversion"/>
  </si>
  <si>
    <t>清潔未確實</t>
    <phoneticPr fontId="10" type="noConversion"/>
  </si>
  <si>
    <t>壓配未確實</t>
    <phoneticPr fontId="10" type="noConversion"/>
  </si>
  <si>
    <t>倒角角度錯誤</t>
    <phoneticPr fontId="10" type="noConversion"/>
  </si>
  <si>
    <t>檢查未確實</t>
    <phoneticPr fontId="10" type="noConversion"/>
  </si>
  <si>
    <t>檢驗未確實</t>
    <phoneticPr fontId="10" type="noConversion"/>
  </si>
  <si>
    <t>功能</t>
    <phoneticPr fontId="10" type="noConversion"/>
  </si>
  <si>
    <r>
      <rPr>
        <sz val="9"/>
        <color theme="1"/>
        <rFont val="標楷體"/>
        <family val="4"/>
        <charset val="136"/>
      </rPr>
      <t xml:space="preserve">嚴重度
</t>
    </r>
    <r>
      <rPr>
        <sz val="9"/>
        <color theme="1"/>
        <rFont val="Times New Roman"/>
        <family val="1"/>
      </rPr>
      <t>(S)</t>
    </r>
    <phoneticPr fontId="10" type="noConversion"/>
  </si>
  <si>
    <r>
      <rPr>
        <sz val="9"/>
        <color theme="1"/>
        <rFont val="標楷體"/>
        <family val="4"/>
        <charset val="136"/>
      </rPr>
      <t xml:space="preserve">發生率
</t>
    </r>
    <r>
      <rPr>
        <sz val="9"/>
        <color theme="1"/>
        <rFont val="Times New Roman"/>
        <family val="1"/>
      </rPr>
      <t>(O)</t>
    </r>
    <phoneticPr fontId="10" type="noConversion"/>
  </si>
  <si>
    <t>控制預防</t>
    <phoneticPr fontId="10" type="noConversion"/>
  </si>
  <si>
    <t>控制偵測</t>
    <phoneticPr fontId="10" type="noConversion"/>
  </si>
  <si>
    <r>
      <rPr>
        <sz val="9"/>
        <color theme="1"/>
        <rFont val="標楷體"/>
        <family val="4"/>
        <charset val="136"/>
      </rPr>
      <t xml:space="preserve">偵測度
</t>
    </r>
    <r>
      <rPr>
        <sz val="9"/>
        <color theme="1"/>
        <rFont val="Times New Roman"/>
        <family val="1"/>
      </rPr>
      <t>(D)</t>
    </r>
    <phoneticPr fontId="10" type="noConversion"/>
  </si>
  <si>
    <t>建議措施</t>
    <phoneticPr fontId="10" type="noConversion"/>
  </si>
  <si>
    <t>製程</t>
    <phoneticPr fontId="10" type="noConversion"/>
  </si>
  <si>
    <t>優先判別</t>
    <phoneticPr fontId="10" type="noConversion"/>
  </si>
  <si>
    <t>銑床</t>
    <phoneticPr fontId="10" type="noConversion"/>
  </si>
  <si>
    <t>判別用</t>
    <phoneticPr fontId="10" type="noConversion"/>
  </si>
  <si>
    <t>失效模式潛在後果</t>
    <phoneticPr fontId="10" type="noConversion"/>
  </si>
  <si>
    <t>線割_線割尺寸過小</t>
    <phoneticPr fontId="10" type="noConversion"/>
  </si>
  <si>
    <t>影響</t>
  </si>
  <si>
    <t>等級</t>
  </si>
  <si>
    <t>主要功能</t>
  </si>
  <si>
    <t>失效或降低</t>
  </si>
  <si>
    <t>失去主要功能產品無法正常運轉作動</t>
  </si>
  <si>
    <t>次要功能</t>
  </si>
  <si>
    <t>失效</t>
  </si>
  <si>
    <t>使用者煩惱</t>
  </si>
  <si>
    <t>無可辨別的影響</t>
  </si>
  <si>
    <t>產品可能必須100%廢棄,生產線停止或出貨中止</t>
  </si>
  <si>
    <t>降低主要功能(產品可運轉作動,但精度有所降低)</t>
  </si>
  <si>
    <t>部分產品必須100%廢棄,變異來自於前製程,包括降低生產線流速或增加人力</t>
  </si>
  <si>
    <t>失去次要功能(產品可運轉作動,但產品無法乘載正常載重量)</t>
  </si>
  <si>
    <t>100%生產中產品,必須線外重工和合格</t>
  </si>
  <si>
    <t>降低次要功能(產品可運轉作動,但產品可乘載載重量降低)</t>
  </si>
  <si>
    <t>部分生產中產品,必須線外重工和合格</t>
  </si>
  <si>
    <t>外觀或可聽見噪音產品運轉作動大多數顧客會有感覺到不舒適(&gt;75%)</t>
  </si>
  <si>
    <t>100%生產中產品,必須於生產工站重工,於投入生產前</t>
  </si>
  <si>
    <t>外觀或可聽見噪音, 產品運轉作動多數顧客會有感覺到不舒適(50%)</t>
  </si>
  <si>
    <t>部分生產中產品, 必須於生產工站重工,於投入生產前</t>
  </si>
  <si>
    <t>外觀或可聽見噪音,產品運轉作動顧客會有感覺到不舒適(&lt;25%)</t>
  </si>
  <si>
    <t>在製程,操作,或對操作者有輕微不方便</t>
  </si>
  <si>
    <t>標準:產品之影響嚴重程度(客戶影響)</t>
    <phoneticPr fontId="10" type="noConversion"/>
  </si>
  <si>
    <t>標準:製程之影響嚴重程度(製程/組裝影響)</t>
    <phoneticPr fontId="10" type="noConversion"/>
  </si>
  <si>
    <t>潛在的失效模式影響到產品安全操作,及/或與政府法規不符,而無預警</t>
    <phoneticPr fontId="10" type="noConversion"/>
  </si>
  <si>
    <t>可能危害操作者(機構或組裝)而無預警</t>
    <phoneticPr fontId="10" type="noConversion"/>
  </si>
  <si>
    <t>潛在的失效模式影響到產品安全操作,及/或與政府法規不符,而有預警</t>
    <phoneticPr fontId="10" type="noConversion"/>
  </si>
  <si>
    <t>可能危害操作者(機構或組裝)而有預警</t>
    <phoneticPr fontId="10" type="noConversion"/>
  </si>
  <si>
    <t>可能失效</t>
  </si>
  <si>
    <r>
      <t>標準</t>
    </r>
    <r>
      <rPr>
        <sz val="12"/>
        <color theme="1"/>
        <rFont val="Times New Roman"/>
        <family val="1"/>
      </rPr>
      <t>:</t>
    </r>
    <r>
      <rPr>
        <sz val="12"/>
        <color theme="1"/>
        <rFont val="標楷體"/>
        <family val="4"/>
        <charset val="136"/>
      </rPr>
      <t>發生原因</t>
    </r>
    <r>
      <rPr>
        <sz val="12"/>
        <color theme="1"/>
        <rFont val="Times New Roman"/>
        <family val="1"/>
      </rPr>
      <t>-PFMEA</t>
    </r>
  </si>
  <si>
    <t>很高</t>
  </si>
  <si>
    <r>
      <t>≧</t>
    </r>
    <r>
      <rPr>
        <sz val="12"/>
        <color theme="1"/>
        <rFont val="Times New Roman"/>
        <family val="1"/>
      </rPr>
      <t>100/1,000</t>
    </r>
    <r>
      <rPr>
        <sz val="12"/>
        <color theme="1"/>
        <rFont val="標楷體"/>
        <family val="4"/>
        <charset val="136"/>
      </rPr>
      <t>或≧</t>
    </r>
    <r>
      <rPr>
        <sz val="12"/>
        <color theme="1"/>
        <rFont val="Times New Roman"/>
        <family val="1"/>
      </rPr>
      <t>1/10</t>
    </r>
  </si>
  <si>
    <t>高</t>
  </si>
  <si>
    <r>
      <t>50/1,000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1/20</t>
    </r>
  </si>
  <si>
    <r>
      <t>20/1,000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1/50</t>
    </r>
  </si>
  <si>
    <r>
      <t>10/1,000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1/100</t>
    </r>
  </si>
  <si>
    <t>中等</t>
  </si>
  <si>
    <r>
      <t>2/1,000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1/500</t>
    </r>
  </si>
  <si>
    <r>
      <t>0.5/1,000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1/2,000</t>
    </r>
  </si>
  <si>
    <r>
      <t>0.1/1,000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1/10,000</t>
    </r>
  </si>
  <si>
    <t>低</t>
  </si>
  <si>
    <r>
      <t>0.01/1,000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1/100,000</t>
    </r>
  </si>
  <si>
    <r>
      <t>≦</t>
    </r>
    <r>
      <rPr>
        <sz val="12"/>
        <color theme="1"/>
        <rFont val="Times New Roman"/>
        <family val="1"/>
      </rPr>
      <t>0.001/1,000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1/1,000,000</t>
    </r>
  </si>
  <si>
    <t>很低</t>
  </si>
  <si>
    <t>透過預防管制阻止失效</t>
  </si>
  <si>
    <t>偵測機會</t>
  </si>
  <si>
    <r>
      <t>標準</t>
    </r>
    <r>
      <rPr>
        <sz val="12"/>
        <color theme="1"/>
        <rFont val="Times New Roman"/>
        <family val="1"/>
      </rPr>
      <t>:</t>
    </r>
    <r>
      <rPr>
        <sz val="12"/>
        <color theme="1"/>
        <rFont val="標楷體"/>
        <family val="4"/>
        <charset val="136"/>
      </rPr>
      <t>偵測性經由製程管制</t>
    </r>
  </si>
  <si>
    <t>偵測可能性</t>
  </si>
  <si>
    <t>無偵測機會</t>
  </si>
  <si>
    <t>無現行製程管制；無法偵測或分析</t>
  </si>
  <si>
    <t>幾乎不可能</t>
  </si>
  <si>
    <r>
      <t>失效模式和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或錯誤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無法偵測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亦即</t>
    </r>
    <r>
      <rPr>
        <sz val="12"/>
        <color theme="1"/>
        <rFont val="Times New Roman"/>
        <family val="1"/>
      </rPr>
      <t>:</t>
    </r>
    <r>
      <rPr>
        <sz val="12"/>
        <color theme="1"/>
        <rFont val="標楷體"/>
        <family val="4"/>
        <charset val="136"/>
      </rPr>
      <t>亂數稽核</t>
    </r>
    <r>
      <rPr>
        <sz val="12"/>
        <color theme="1"/>
        <rFont val="Times New Roman"/>
        <family val="1"/>
      </rPr>
      <t>)</t>
    </r>
  </si>
  <si>
    <t>可能性極小</t>
  </si>
  <si>
    <r>
      <t>後製程失效模式偵測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經由操作員之視覺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觸覺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聽覺的手段</t>
    </r>
  </si>
  <si>
    <t>問題偵查來源</t>
  </si>
  <si>
    <r>
      <t>製程工站失效模式偵測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經由操作員之視覺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觸覺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聽覺的手段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或後製程之計數值量測</t>
    </r>
    <r>
      <rPr>
        <sz val="12"/>
        <color theme="1"/>
        <rFont val="Times New Roman"/>
        <family val="1"/>
      </rPr>
      <t>(Go/No-Go,</t>
    </r>
    <r>
      <rPr>
        <sz val="12"/>
        <color theme="1"/>
        <rFont val="標楷體"/>
        <family val="4"/>
        <charset val="136"/>
      </rPr>
      <t>扭力板手</t>
    </r>
    <r>
      <rPr>
        <sz val="12"/>
        <color theme="1"/>
        <rFont val="Times New Roman"/>
        <family val="1"/>
      </rPr>
      <t>…</t>
    </r>
    <r>
      <rPr>
        <sz val="12"/>
        <color theme="1"/>
        <rFont val="標楷體"/>
        <family val="4"/>
        <charset val="136"/>
      </rPr>
      <t>等</t>
    </r>
    <r>
      <rPr>
        <sz val="12"/>
        <color theme="1"/>
        <rFont val="Times New Roman"/>
        <family val="1"/>
      </rPr>
      <t>)</t>
    </r>
  </si>
  <si>
    <t>非常低</t>
  </si>
  <si>
    <r>
      <t>後製程失效模式偵測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經由操作員之計量值量測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或製程之計數值量測</t>
    </r>
    <r>
      <rPr>
        <sz val="12"/>
        <color theme="1"/>
        <rFont val="Times New Roman"/>
        <family val="1"/>
      </rPr>
      <t>(Go/No-Go,</t>
    </r>
    <r>
      <rPr>
        <sz val="12"/>
        <color theme="1"/>
        <rFont val="標楷體"/>
        <family val="4"/>
        <charset val="136"/>
      </rPr>
      <t>扭力板手</t>
    </r>
    <r>
      <rPr>
        <sz val="12"/>
        <color theme="1"/>
        <rFont val="Times New Roman"/>
        <family val="1"/>
      </rPr>
      <t>…</t>
    </r>
    <r>
      <rPr>
        <sz val="12"/>
        <color theme="1"/>
        <rFont val="標楷體"/>
        <family val="4"/>
        <charset val="136"/>
      </rPr>
      <t>等</t>
    </r>
    <r>
      <rPr>
        <sz val="12"/>
        <color theme="1"/>
        <rFont val="Times New Roman"/>
        <family val="1"/>
      </rPr>
      <t>)</t>
    </r>
  </si>
  <si>
    <r>
      <t>製程工站失效模式或錯誤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經由操作員之計量值量測或製程工站自動控制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其將偵測異常零件和通知操作員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燈號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蜂鳴器</t>
    </r>
    <r>
      <rPr>
        <sz val="12"/>
        <color theme="1"/>
        <rFont val="Times New Roman"/>
        <family val="1"/>
      </rPr>
      <t>…</t>
    </r>
    <r>
      <rPr>
        <sz val="12"/>
        <color theme="1"/>
        <rFont val="標楷體"/>
        <family val="4"/>
        <charset val="136"/>
      </rPr>
      <t>等</t>
    </r>
    <r>
      <rPr>
        <sz val="12"/>
        <color theme="1"/>
        <rFont val="Times New Roman"/>
        <family val="1"/>
      </rPr>
      <t>)</t>
    </r>
  </si>
  <si>
    <r>
      <t>後製程失效模式偵測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經由自動控制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其將偵測異常零件和自動鎖定於製程工站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防止流入製程</t>
    </r>
  </si>
  <si>
    <t>高中等</t>
  </si>
  <si>
    <r>
      <t>製程工站失效模式偵測錯誤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經由自動控制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其將偵測異常零件和自動鎖定於製程工站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防止流入製程</t>
    </r>
  </si>
  <si>
    <r>
      <t>製程工站錯誤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經由自動控制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其將偵測錯誤和防止零件被生產</t>
    </r>
  </si>
  <si>
    <t>極高</t>
  </si>
  <si>
    <t>幾乎確定</t>
  </si>
  <si>
    <t>任何階段不可偵測</t>
    <phoneticPr fontId="10" type="noConversion"/>
  </si>
  <si>
    <t>後製程偵測問題</t>
    <phoneticPr fontId="10" type="noConversion"/>
  </si>
  <si>
    <t>後製程問題偵測</t>
    <phoneticPr fontId="10" type="noConversion"/>
  </si>
  <si>
    <r>
      <t>錯誤偵測和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貨問題預防</t>
    </r>
    <phoneticPr fontId="10" type="noConversion"/>
  </si>
  <si>
    <t>不適用偵測；缺失預防</t>
    <phoneticPr fontId="10" type="noConversion"/>
  </si>
  <si>
    <r>
      <t>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預防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經由治具設計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機械設計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零件設計。
異常零件無法被生產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因為於產品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製程設計已設定防誤裝置</t>
    </r>
    <phoneticPr fontId="10" type="noConversion"/>
  </si>
  <si>
    <t>組裝</t>
  </si>
  <si>
    <r>
      <rPr>
        <sz val="12"/>
        <color theme="1"/>
        <rFont val="標楷體"/>
        <family val="4"/>
        <charset val="136"/>
      </rPr>
      <t xml:space="preserve">嚴重度
</t>
    </r>
    <r>
      <rPr>
        <sz val="12"/>
        <color theme="1"/>
        <rFont val="Times New Roman"/>
        <family val="1"/>
      </rPr>
      <t>(S)</t>
    </r>
    <phoneticPr fontId="10" type="noConversion"/>
  </si>
  <si>
    <r>
      <rPr>
        <sz val="12"/>
        <color theme="1"/>
        <rFont val="標楷體"/>
        <family val="4"/>
        <charset val="136"/>
      </rPr>
      <t xml:space="preserve">發生率
</t>
    </r>
    <r>
      <rPr>
        <sz val="12"/>
        <color theme="1"/>
        <rFont val="Times New Roman"/>
        <family val="1"/>
      </rPr>
      <t>(O)</t>
    </r>
    <phoneticPr fontId="10" type="noConversion"/>
  </si>
  <si>
    <r>
      <rPr>
        <sz val="12"/>
        <color theme="1"/>
        <rFont val="標楷體"/>
        <family val="4"/>
        <charset val="136"/>
      </rPr>
      <t xml:space="preserve">偵測度
</t>
    </r>
    <r>
      <rPr>
        <sz val="12"/>
        <color theme="1"/>
        <rFont val="Times New Roman"/>
        <family val="1"/>
      </rPr>
      <t>(D)</t>
    </r>
    <phoneticPr fontId="10" type="noConversion"/>
  </si>
  <si>
    <t>組裝</t>
    <phoneticPr fontId="10" type="noConversion"/>
  </si>
  <si>
    <t>後製程加工</t>
  </si>
  <si>
    <t>後製程加工</t>
    <phoneticPr fontId="10" type="noConversion"/>
  </si>
  <si>
    <t>功能</t>
    <phoneticPr fontId="10" type="noConversion"/>
  </si>
  <si>
    <t>組裝</t>
    <phoneticPr fontId="10" type="noConversion"/>
  </si>
  <si>
    <t>組裝</t>
    <phoneticPr fontId="10" type="noConversion"/>
  </si>
  <si>
    <t>失效模式潛在後果</t>
    <phoneticPr fontId="10" type="noConversion"/>
  </si>
  <si>
    <t>齒輪咬合</t>
    <phoneticPr fontId="10" type="noConversion"/>
  </si>
  <si>
    <t>齒部研磨</t>
  </si>
  <si>
    <t>齒部研磨</t>
    <phoneticPr fontId="10" type="noConversion"/>
  </si>
  <si>
    <t>產品辨識</t>
    <phoneticPr fontId="10" type="noConversion"/>
  </si>
  <si>
    <t>齒輪咬合度</t>
    <phoneticPr fontId="10" type="noConversion"/>
  </si>
  <si>
    <t>品質控管</t>
    <phoneticPr fontId="10" type="noConversion"/>
  </si>
  <si>
    <t>外觀</t>
    <phoneticPr fontId="10" type="noConversion"/>
  </si>
  <si>
    <t>齒輪研磨</t>
    <phoneticPr fontId="10" type="noConversion"/>
  </si>
  <si>
    <t>換檔順暢度</t>
    <phoneticPr fontId="10" type="noConversion"/>
  </si>
  <si>
    <t>齒部加工</t>
    <phoneticPr fontId="10" type="noConversion"/>
  </si>
  <si>
    <t>無法組裝</t>
    <phoneticPr fontId="10" type="noConversion"/>
  </si>
  <si>
    <t>部分零件無法組裝</t>
    <phoneticPr fontId="10" type="noConversion"/>
  </si>
  <si>
    <t>後製程無法加工</t>
    <phoneticPr fontId="10" type="noConversion"/>
  </si>
  <si>
    <t>無法傳動</t>
    <phoneticPr fontId="10" type="noConversion"/>
  </si>
  <si>
    <t>項目</t>
    <phoneticPr fontId="10" type="noConversion"/>
  </si>
  <si>
    <t>車床_外徑過大</t>
  </si>
  <si>
    <t>車床_長度不足</t>
  </si>
  <si>
    <t>車床_中心孔未打</t>
  </si>
  <si>
    <t>銑床_孔位異常</t>
  </si>
  <si>
    <t>銑床_鑽孔尺寸錯誤</t>
  </si>
  <si>
    <t>銑床_螺牙規格錯誤</t>
  </si>
  <si>
    <t>銑床_加工深度不足</t>
  </si>
  <si>
    <t>滾齒_滾齒參數錯誤</t>
  </si>
  <si>
    <t>滾齒_滾齒中心偏移</t>
  </si>
  <si>
    <t>線割_線割深度過深</t>
  </si>
  <si>
    <t>線割_加工位置錯誤</t>
  </si>
  <si>
    <t>平研_研磨過磨</t>
  </si>
  <si>
    <t>平研_部分未見光</t>
  </si>
  <si>
    <t>外研_研磨過磨</t>
  </si>
  <si>
    <t>齒研_中心定位不佳</t>
  </si>
  <si>
    <t>齒研_參數設定錯誤</t>
  </si>
  <si>
    <t>放電_尺寸過小</t>
  </si>
  <si>
    <t>放電_加工位置錯誤</t>
  </si>
  <si>
    <t>精銑鍵槽_加工位置錯誤</t>
  </si>
  <si>
    <t>精銑鍵槽_加工深度不足</t>
  </si>
  <si>
    <t>雷刻_雷刻位置錯誤</t>
  </si>
  <si>
    <t>粗銑_孔位異常</t>
  </si>
  <si>
    <t>粗銑_鑽孔尺寸錯誤</t>
  </si>
  <si>
    <t>粗銑_螺牙規格錯誤</t>
  </si>
  <si>
    <t>防碳_防碳厚度不足</t>
  </si>
  <si>
    <t>鎖螺絲_鎖螺絲深度不足</t>
  </si>
  <si>
    <t>精滾_滾齒參數錯誤</t>
  </si>
  <si>
    <t>精滾_滾齒中心偏移</t>
  </si>
  <si>
    <t>粗滾_滾齒參數錯誤</t>
  </si>
  <si>
    <t>粗滾_滾齒中心偏移</t>
  </si>
  <si>
    <t>攻牙_攻牙深度不足</t>
  </si>
  <si>
    <t>精車_加工尺寸過大</t>
  </si>
  <si>
    <t>銑鍵槽_加工位置錯誤</t>
  </si>
  <si>
    <t>銑鍵槽_加工深度不足</t>
  </si>
  <si>
    <t>鑽、攻_孔位異常</t>
  </si>
  <si>
    <t>鑽、攻_鑽孔尺寸錯誤</t>
  </si>
  <si>
    <t>鑽、攻_螺牙規格錯誤</t>
  </si>
  <si>
    <t>齒部外研_研磨過磨</t>
  </si>
  <si>
    <t>線割鍵槽_線割尺寸過小</t>
  </si>
  <si>
    <t>線割鍵槽_線割深度過深</t>
  </si>
  <si>
    <t>線割鍵槽_加工位置錯誤</t>
  </si>
  <si>
    <t>線割雙鍵槽_線割尺寸過小</t>
  </si>
  <si>
    <t>線割雙鍵槽_線割深度過深</t>
  </si>
  <si>
    <t>線割雙鍵槽_加工位置錯誤</t>
  </si>
  <si>
    <t>粗外研_研磨過磨</t>
  </si>
  <si>
    <t>兩面平研_研磨過磨</t>
  </si>
  <si>
    <t>穿心軸外研_研磨過磨</t>
  </si>
  <si>
    <t>粗車_外徑過大</t>
  </si>
  <si>
    <t>粗車_長度不足</t>
  </si>
  <si>
    <t>粗車_中心孔未打</t>
  </si>
  <si>
    <t>線割內花鍵_花鍵數據設定錯誤</t>
  </si>
  <si>
    <t>組裝_組裝未確實</t>
  </si>
  <si>
    <t>組裝_組裝方向錯誤</t>
  </si>
  <si>
    <t>切斷_切斷長度異常</t>
  </si>
  <si>
    <t>結合_結合未確實</t>
  </si>
  <si>
    <t>結合_結合方向錯誤</t>
  </si>
  <si>
    <t>粗磨見光_研磨過磨</t>
  </si>
  <si>
    <t>中心孔研_中心孔研磨偏移</t>
  </si>
  <si>
    <t>車內孔_內孔加工過大</t>
  </si>
  <si>
    <t>銑對位_孔位異常</t>
  </si>
  <si>
    <t>銑對位_鑽孔尺寸錯誤</t>
  </si>
  <si>
    <t>銑對位_螺牙規格錯誤</t>
  </si>
  <si>
    <t>精車內孔_內孔加工過大</t>
  </si>
  <si>
    <t>切除料_切斷長度異常</t>
  </si>
  <si>
    <t>合檔片_合檔片未確實</t>
  </si>
  <si>
    <t>鎖螺絲+防碳_防碳厚度不足</t>
  </si>
  <si>
    <t>鎖螺絲+防碳_螺牙未鎖到底</t>
  </si>
  <si>
    <t>鎖螺絲_螺牙未鎖到底</t>
  </si>
  <si>
    <t>合螺帽_螺帽規格錯誤</t>
  </si>
  <si>
    <t>鉸孔_絞孔擴孔</t>
  </si>
  <si>
    <t>車牙_螺牙規格錯誤</t>
  </si>
  <si>
    <t>精車(含平面)_加工尺寸過大</t>
  </si>
  <si>
    <t>精車(含平面)_平行度不佳</t>
  </si>
  <si>
    <t>全檢_檢驗未確實</t>
  </si>
  <si>
    <t>銑對齒頂_孔位異常</t>
  </si>
  <si>
    <t>銑對齒頂_鑽孔尺寸錯誤</t>
  </si>
  <si>
    <t>銑對齒頂_螺牙規格錯誤</t>
  </si>
  <si>
    <t>精銑孔位_孔位異常</t>
  </si>
  <si>
    <t>精銑孔位_鑽孔尺寸錯誤</t>
  </si>
  <si>
    <t>精銑孔位_螺牙規格錯誤</t>
  </si>
  <si>
    <t>內孔精車端面_加工尺寸過大</t>
  </si>
  <si>
    <t>內孔精車端面_平行度不佳</t>
  </si>
  <si>
    <t>拋光_加工尺寸過小</t>
  </si>
  <si>
    <t>車床+車中心孔牙_外徑過大</t>
  </si>
  <si>
    <t>車床+車中心孔牙_長度不足</t>
  </si>
  <si>
    <t>車床+車中心孔牙_中心孔牙牙深不足</t>
  </si>
  <si>
    <t>車床+車牙_外徑過大</t>
  </si>
  <si>
    <t>車床+車牙_長度不足</t>
  </si>
  <si>
    <t>車床+車牙_螺牙規格錯誤</t>
  </si>
  <si>
    <t>外齒研_研磨過磨</t>
  </si>
  <si>
    <t>齒輪熱配端研_端面研磨尺寸過磨</t>
  </si>
  <si>
    <t>打PIN_深度不足</t>
  </si>
  <si>
    <t>合模具_合模具方向錯誤</t>
  </si>
  <si>
    <t>銑對正鍵槽_孔位異常</t>
  </si>
  <si>
    <t>銑對正鍵槽_鑽孔尺寸錯誤</t>
  </si>
  <si>
    <t>銑對正鍵槽_螺牙規格錯誤</t>
  </si>
  <si>
    <t>銑倒角_倒角角度不足</t>
  </si>
  <si>
    <t>熱配_熱配未確實</t>
  </si>
  <si>
    <t>焊補_焊補不足</t>
  </si>
  <si>
    <t>銅刷除毛邊_除毛邊未確實</t>
  </si>
  <si>
    <t>修孔_加工尺寸過大</t>
  </si>
  <si>
    <t>車床合擋片_加工尺寸過大</t>
  </si>
  <si>
    <t>合工件_合工件過大</t>
  </si>
  <si>
    <t>車+車中心孔_外徑過大</t>
  </si>
  <si>
    <t>車+車中心孔_長度不足</t>
  </si>
  <si>
    <t>車+車中心孔_中心孔未打</t>
  </si>
  <si>
    <t>線割齒部_齒部數據設定錯誤</t>
  </si>
  <si>
    <t>銑對齒底_孔位異常</t>
  </si>
  <si>
    <t>銑對齒底_鑽孔尺寸錯誤</t>
  </si>
  <si>
    <t>銑對齒底_螺牙規格錯誤</t>
  </si>
  <si>
    <t>檢查內孔_檢查未確實</t>
  </si>
  <si>
    <t>線割對圖面_線割尺寸過小</t>
  </si>
  <si>
    <t>線割對圖面_線割深度過深</t>
  </si>
  <si>
    <t>線割對圖面_加工位置錯誤</t>
  </si>
  <si>
    <t>車床+檢查螺孔_外徑過大</t>
  </si>
  <si>
    <t>車床+檢查螺孔_長度不足</t>
  </si>
  <si>
    <t>結合齒研_中心定位不佳</t>
  </si>
  <si>
    <t>結合齒研_參數設定錯誤</t>
  </si>
  <si>
    <t>銑對正齒頂_孔位異常</t>
  </si>
  <si>
    <t>銑對正齒頂_鑽孔尺寸錯誤</t>
  </si>
  <si>
    <t>銑對正齒頂_螺牙規格錯誤</t>
  </si>
  <si>
    <t>倒角_倒角角度錯誤</t>
  </si>
  <si>
    <t>倒角_深度不足</t>
  </si>
  <si>
    <t>刷毛邊_刷毛邊未確實</t>
  </si>
  <si>
    <t>精銑牙_中心位置偏移</t>
  </si>
  <si>
    <t>精銑牙_牙部參數設定錯誤</t>
  </si>
  <si>
    <t>材料_外徑尺寸錯誤</t>
  </si>
  <si>
    <t>材料_長度不足</t>
  </si>
  <si>
    <t>材料_料嚴重偏斜</t>
  </si>
  <si>
    <t>快走絲_尺寸過小</t>
  </si>
  <si>
    <t>快走絲_深度過深</t>
  </si>
  <si>
    <t>快走絲_加工位置錯誤</t>
  </si>
  <si>
    <t>焊接_焊接未確實</t>
  </si>
  <si>
    <t>中心孔倒角_倒角過小</t>
  </si>
  <si>
    <t>甲苯清洗_清潔未確實</t>
  </si>
  <si>
    <t>壓配_壓配未確實</t>
  </si>
  <si>
    <t>牛皮去毛邊_去毛邊未確實</t>
  </si>
  <si>
    <t>打中心孔_孔位偏移</t>
  </si>
  <si>
    <t>打中心孔_孔深不足</t>
  </si>
  <si>
    <t>skiving_中心偏移</t>
  </si>
  <si>
    <t>skiving_參數設定錯誤</t>
  </si>
  <si>
    <t>粗外研+中心孔研_研磨過磨</t>
  </si>
  <si>
    <t>粗外研+中心孔研_中心孔研磨偏移</t>
  </si>
  <si>
    <t>銑床孔位異常</t>
    <phoneticPr fontId="10" type="noConversion"/>
  </si>
  <si>
    <t>組裝孔位無法對正</t>
    <phoneticPr fontId="10" type="noConversion"/>
  </si>
  <si>
    <t>銑床鑽孔尺寸錯誤</t>
    <phoneticPr fontId="10" type="noConversion"/>
  </si>
  <si>
    <t>車床外徑過大</t>
    <phoneticPr fontId="10" type="noConversion"/>
  </si>
  <si>
    <t>長度不足</t>
    <phoneticPr fontId="10" type="noConversion"/>
  </si>
  <si>
    <t>車床長度不足</t>
    <phoneticPr fontId="10" type="noConversion"/>
  </si>
  <si>
    <t>車床中心孔未打</t>
    <phoneticPr fontId="10" type="noConversion"/>
  </si>
  <si>
    <t>後續加工無法固定</t>
    <phoneticPr fontId="10" type="noConversion"/>
  </si>
  <si>
    <t>組裝尺寸不合</t>
    <phoneticPr fontId="10" type="noConversion"/>
  </si>
  <si>
    <t>銑床螺牙規格錯誤</t>
    <phoneticPr fontId="10" type="noConversion"/>
  </si>
  <si>
    <t>組裝孔無法鎖付</t>
    <phoneticPr fontId="10" type="noConversion"/>
  </si>
  <si>
    <t>銑床加工深度不足</t>
    <phoneticPr fontId="10" type="noConversion"/>
  </si>
  <si>
    <t>配件安裝尺寸過高</t>
    <phoneticPr fontId="10" type="noConversion"/>
  </si>
  <si>
    <t>滾齒參數錯誤</t>
    <phoneticPr fontId="10" type="noConversion"/>
  </si>
  <si>
    <t>齒輪無法咬合</t>
    <phoneticPr fontId="10" type="noConversion"/>
  </si>
  <si>
    <t>滾齒中心偏移</t>
    <phoneticPr fontId="10" type="noConversion"/>
  </si>
  <si>
    <t>齒輪研磨不佳</t>
    <phoneticPr fontId="10" type="noConversion"/>
  </si>
  <si>
    <t>線割加工位置錯誤</t>
  </si>
  <si>
    <t>平研部分未見光</t>
  </si>
  <si>
    <t>齒研中心定位不佳</t>
  </si>
  <si>
    <t>精滾滾齒參數錯誤</t>
  </si>
  <si>
    <t>精滾滾齒中心偏移</t>
  </si>
  <si>
    <t>粗滾滾齒參數錯誤</t>
  </si>
  <si>
    <t>精車加工尺寸過大</t>
  </si>
  <si>
    <t>粗車長度不足</t>
  </si>
  <si>
    <t>粗車中心孔未打</t>
  </si>
  <si>
    <t>外齒研研磨過磨</t>
  </si>
  <si>
    <t>倒角深度不足</t>
  </si>
  <si>
    <t>材料外徑尺寸錯誤</t>
  </si>
  <si>
    <t>材料長度不足</t>
  </si>
  <si>
    <t>快走絲尺寸過小</t>
  </si>
  <si>
    <t>快走絲深度過深</t>
  </si>
  <si>
    <t>線割尺寸過小</t>
    <phoneticPr fontId="10" type="noConversion"/>
  </si>
  <si>
    <t>線割深度過深</t>
    <phoneticPr fontId="10" type="noConversion"/>
  </si>
  <si>
    <t>配件無法安裝</t>
    <phoneticPr fontId="10" type="noConversion"/>
  </si>
  <si>
    <t>配件安裝尺寸過低</t>
    <phoneticPr fontId="10" type="noConversion"/>
  </si>
  <si>
    <t>對手件無法組裝</t>
    <phoneticPr fontId="10" type="noConversion"/>
  </si>
  <si>
    <t>平研過磨</t>
    <phoneticPr fontId="10" type="noConversion"/>
  </si>
  <si>
    <t>外研過磨</t>
    <phoneticPr fontId="10" type="noConversion"/>
  </si>
  <si>
    <t>組裝間隙過大</t>
    <phoneticPr fontId="10" type="noConversion"/>
  </si>
  <si>
    <t>運轉零件鬆脫</t>
    <phoneticPr fontId="10" type="noConversion"/>
  </si>
  <si>
    <t>組裝間隙過大</t>
    <phoneticPr fontId="10" type="noConversion"/>
  </si>
  <si>
    <t>中心孔研磨偏移</t>
    <phoneticPr fontId="10" type="noConversion"/>
  </si>
  <si>
    <t>粗外研研磨過磨</t>
    <phoneticPr fontId="10" type="noConversion"/>
  </si>
  <si>
    <t>參數設定錯誤</t>
    <phoneticPr fontId="10" type="noConversion"/>
  </si>
  <si>
    <t>中心偏移</t>
    <phoneticPr fontId="10" type="noConversion"/>
  </si>
  <si>
    <t>中心孔孔深不足</t>
    <phoneticPr fontId="10" type="noConversion"/>
  </si>
  <si>
    <t>中心孔孔位偏移</t>
    <phoneticPr fontId="10" type="noConversion"/>
  </si>
  <si>
    <t>去毛邊未確實</t>
    <phoneticPr fontId="10" type="noConversion"/>
  </si>
  <si>
    <t>壓配未確實</t>
    <phoneticPr fontId="10" type="noConversion"/>
  </si>
  <si>
    <t>清潔未確實</t>
    <phoneticPr fontId="10" type="noConversion"/>
  </si>
  <si>
    <t>中心孔倒角過小</t>
    <phoneticPr fontId="10" type="noConversion"/>
  </si>
  <si>
    <t>焊接未確實</t>
    <phoneticPr fontId="10" type="noConversion"/>
  </si>
  <si>
    <t>快走絲加工位置錯誤</t>
    <phoneticPr fontId="10" type="noConversion"/>
  </si>
  <si>
    <t>材料嚴重偏斜</t>
    <phoneticPr fontId="10" type="noConversion"/>
  </si>
  <si>
    <t>精銑牙部參數設定錯誤</t>
    <phoneticPr fontId="10" type="noConversion"/>
  </si>
  <si>
    <t>精銑牙中心位置偏移</t>
    <phoneticPr fontId="10" type="noConversion"/>
  </si>
  <si>
    <t>刷毛邊未確實</t>
    <phoneticPr fontId="10" type="noConversion"/>
  </si>
  <si>
    <t>倒角角度錯誤</t>
    <phoneticPr fontId="10" type="noConversion"/>
  </si>
  <si>
    <t>螺牙規格錯誤</t>
    <phoneticPr fontId="10" type="noConversion"/>
  </si>
  <si>
    <t>鑽孔尺寸錯誤</t>
    <phoneticPr fontId="10" type="noConversion"/>
  </si>
  <si>
    <t>孔位異常</t>
    <phoneticPr fontId="10" type="noConversion"/>
  </si>
  <si>
    <t>齒研參數設定錯誤</t>
    <phoneticPr fontId="10" type="noConversion"/>
  </si>
  <si>
    <t>齒研中心定位不佳</t>
    <phoneticPr fontId="10" type="noConversion"/>
  </si>
  <si>
    <t>線割加工位置錯誤</t>
    <phoneticPr fontId="10" type="noConversion"/>
  </si>
  <si>
    <t>內孔檢查未確實</t>
    <phoneticPr fontId="10" type="noConversion"/>
  </si>
  <si>
    <t>線割齒部數據設定錯誤</t>
    <phoneticPr fontId="10" type="noConversion"/>
  </si>
  <si>
    <t>合工件過大</t>
    <phoneticPr fontId="10" type="noConversion"/>
  </si>
  <si>
    <t>車床加工尺寸過大</t>
    <phoneticPr fontId="10" type="noConversion"/>
  </si>
  <si>
    <t>修孔加工尺寸過大</t>
    <phoneticPr fontId="10" type="noConversion"/>
  </si>
  <si>
    <t>除毛邊未確實</t>
    <phoneticPr fontId="10" type="noConversion"/>
  </si>
  <si>
    <t>焊補不足</t>
    <phoneticPr fontId="10" type="noConversion"/>
  </si>
  <si>
    <t>熱配未確實</t>
    <phoneticPr fontId="10" type="noConversion"/>
  </si>
  <si>
    <t>倒角角度不足</t>
    <phoneticPr fontId="10" type="noConversion"/>
  </si>
  <si>
    <t>合模具方向錯誤</t>
    <phoneticPr fontId="10" type="noConversion"/>
  </si>
  <si>
    <t>打PIN深度不足</t>
    <phoneticPr fontId="10" type="noConversion"/>
  </si>
  <si>
    <t>熱配端面研磨尺寸過磨</t>
    <phoneticPr fontId="10" type="noConversion"/>
  </si>
  <si>
    <t>中心孔牙牙深不足</t>
    <phoneticPr fontId="10" type="noConversion"/>
  </si>
  <si>
    <t>拋光尺寸過小</t>
    <phoneticPr fontId="10" type="noConversion"/>
  </si>
  <si>
    <t>端面平行度不佳</t>
    <phoneticPr fontId="10" type="noConversion"/>
  </si>
  <si>
    <t>內孔加工尺寸過大</t>
    <phoneticPr fontId="10" type="noConversion"/>
  </si>
  <si>
    <t>精車平行度不佳</t>
    <phoneticPr fontId="10" type="noConversion"/>
  </si>
  <si>
    <t>精車加工尺寸過大</t>
    <phoneticPr fontId="10" type="noConversion"/>
  </si>
  <si>
    <t>檢驗未確實</t>
    <phoneticPr fontId="10" type="noConversion"/>
  </si>
  <si>
    <t>絞孔擴孔</t>
    <phoneticPr fontId="10" type="noConversion"/>
  </si>
  <si>
    <t>螺帽規格錯誤</t>
    <phoneticPr fontId="10" type="noConversion"/>
  </si>
  <si>
    <t>防碳厚度不足</t>
    <phoneticPr fontId="10" type="noConversion"/>
  </si>
  <si>
    <t>合檔片未確實</t>
    <phoneticPr fontId="10" type="noConversion"/>
  </si>
  <si>
    <t>切斷長度異常</t>
    <phoneticPr fontId="10" type="noConversion"/>
  </si>
  <si>
    <t>內孔加工過大</t>
    <phoneticPr fontId="10" type="noConversion"/>
  </si>
  <si>
    <t>粗磨研磨過磨</t>
    <phoneticPr fontId="10" type="noConversion"/>
  </si>
  <si>
    <t>結合方向錯誤</t>
    <phoneticPr fontId="10" type="noConversion"/>
  </si>
  <si>
    <t>結合未確實</t>
    <phoneticPr fontId="10" type="noConversion"/>
  </si>
  <si>
    <t>組裝方向錯誤</t>
    <phoneticPr fontId="10" type="noConversion"/>
  </si>
  <si>
    <t>組裝未確實</t>
    <phoneticPr fontId="10" type="noConversion"/>
  </si>
  <si>
    <t>線割花鍵數據設定錯誤</t>
    <phoneticPr fontId="10" type="noConversion"/>
  </si>
  <si>
    <t>外研研磨過磨</t>
    <phoneticPr fontId="10" type="noConversion"/>
  </si>
  <si>
    <t>平研研磨過磨</t>
    <phoneticPr fontId="10" type="noConversion"/>
  </si>
  <si>
    <t>齒部外研研磨過磨</t>
    <phoneticPr fontId="10" type="noConversion"/>
  </si>
  <si>
    <t>加工深度不足</t>
    <phoneticPr fontId="10" type="noConversion"/>
  </si>
  <si>
    <t>加工位置錯誤</t>
    <phoneticPr fontId="10" type="noConversion"/>
  </si>
  <si>
    <t>攻牙深度不足</t>
    <phoneticPr fontId="10" type="noConversion"/>
  </si>
  <si>
    <t>粗滾滾齒中心偏移</t>
    <phoneticPr fontId="10" type="noConversion"/>
  </si>
  <si>
    <t>打毛邊深度過深</t>
    <phoneticPr fontId="10" type="noConversion"/>
  </si>
  <si>
    <t>打毛邊深度不足</t>
    <phoneticPr fontId="10" type="noConversion"/>
  </si>
  <si>
    <t>打毛邊深度不足</t>
    <phoneticPr fontId="10" type="noConversion"/>
  </si>
  <si>
    <t>打毛邊深度過深</t>
    <phoneticPr fontId="10" type="noConversion"/>
  </si>
  <si>
    <t>打毛邊_打毛邊深度過深</t>
    <phoneticPr fontId="10" type="noConversion"/>
  </si>
  <si>
    <t>打毛邊_打毛邊深度不足</t>
    <phoneticPr fontId="10" type="noConversion"/>
  </si>
  <si>
    <t>鎖螺絲深度不足</t>
    <phoneticPr fontId="10" type="noConversion"/>
  </si>
  <si>
    <t>雷刻位置錯誤</t>
    <phoneticPr fontId="10" type="noConversion"/>
  </si>
  <si>
    <t>精銑齒部中心偏移</t>
    <phoneticPr fontId="10" type="noConversion"/>
  </si>
  <si>
    <t>精銑齒部參數錯誤</t>
    <phoneticPr fontId="10" type="noConversion"/>
  </si>
  <si>
    <t>精銑齒部_參數錯誤</t>
    <phoneticPr fontId="10" type="noConversion"/>
  </si>
  <si>
    <t>精銑齒部_中心偏移</t>
    <phoneticPr fontId="10" type="noConversion"/>
  </si>
  <si>
    <t>中心偏移</t>
    <phoneticPr fontId="10" type="noConversion"/>
  </si>
  <si>
    <t>參數錯誤</t>
    <phoneticPr fontId="10" type="noConversion"/>
  </si>
  <si>
    <t>齒輪咬合不佳</t>
    <phoneticPr fontId="10" type="noConversion"/>
  </si>
  <si>
    <t>傳動不佳、異音</t>
    <phoneticPr fontId="10" type="noConversion"/>
  </si>
  <si>
    <t>齒輪咬合間隙過大、異音</t>
    <phoneticPr fontId="10" type="noConversion"/>
  </si>
  <si>
    <t>齒研過磨</t>
    <phoneticPr fontId="10" type="noConversion"/>
  </si>
  <si>
    <t>齒部咬合面過小、傳動不良</t>
    <phoneticPr fontId="10" type="noConversion"/>
  </si>
  <si>
    <t>放電尺寸過小</t>
    <phoneticPr fontId="10" type="noConversion"/>
  </si>
  <si>
    <t>傳動不良或無法傳動</t>
    <phoneticPr fontId="10" type="noConversion"/>
  </si>
  <si>
    <t>產品強度降低</t>
    <phoneticPr fontId="10" type="noConversion"/>
  </si>
  <si>
    <t>產品損壞機率提高</t>
    <phoneticPr fontId="10" type="noConversion"/>
  </si>
  <si>
    <t>無法固定</t>
    <phoneticPr fontId="10" type="noConversion"/>
  </si>
  <si>
    <t>固定強度降低</t>
    <phoneticPr fontId="10" type="noConversion"/>
  </si>
  <si>
    <t>運轉異常</t>
    <phoneticPr fontId="10" type="noConversion"/>
  </si>
  <si>
    <t>後續加工中心偏移</t>
    <phoneticPr fontId="10" type="noConversion"/>
  </si>
  <si>
    <t>對手件無法鎖固</t>
    <phoneticPr fontId="10" type="noConversion"/>
  </si>
  <si>
    <t>運轉鬆脫導致機台異常</t>
    <phoneticPr fontId="10" type="noConversion"/>
  </si>
  <si>
    <t>安裝後無法產品品名</t>
    <phoneticPr fontId="10" type="noConversion"/>
  </si>
  <si>
    <t>替換產品時不易辨別</t>
    <phoneticPr fontId="10" type="noConversion"/>
  </si>
  <si>
    <t>組裝固定深度不足</t>
    <phoneticPr fontId="10" type="noConversion"/>
  </si>
  <si>
    <t>運轉最大強度降低，機台提早損壞</t>
    <phoneticPr fontId="10" type="noConversion"/>
  </si>
  <si>
    <t>咬合不順</t>
    <phoneticPr fontId="10" type="noConversion"/>
  </si>
  <si>
    <t>運轉異音</t>
    <phoneticPr fontId="10" type="noConversion"/>
  </si>
  <si>
    <t>毛邊脫落導致咬合有異物</t>
    <phoneticPr fontId="10" type="noConversion"/>
  </si>
  <si>
    <t>組裝干涉</t>
    <phoneticPr fontId="10" type="noConversion"/>
  </si>
  <si>
    <t>粗車外徑過大</t>
    <phoneticPr fontId="10" type="noConversion"/>
  </si>
  <si>
    <t>齒研偏擺</t>
    <phoneticPr fontId="10" type="noConversion"/>
  </si>
  <si>
    <t>運轉偏心</t>
    <phoneticPr fontId="10" type="noConversion"/>
  </si>
  <si>
    <t>後製加工異常</t>
    <phoneticPr fontId="10" type="noConversion"/>
  </si>
  <si>
    <t>無法鎖固</t>
    <phoneticPr fontId="10" type="noConversion"/>
  </si>
  <si>
    <t>組裝不確實</t>
    <phoneticPr fontId="10" type="noConversion"/>
  </si>
  <si>
    <t>組裝困難</t>
    <phoneticPr fontId="10" type="noConversion"/>
  </si>
  <si>
    <t>外觀不佳</t>
    <phoneticPr fontId="10" type="noConversion"/>
  </si>
  <si>
    <t>外觀孔洞易積油垢</t>
    <phoneticPr fontId="10" type="noConversion"/>
  </si>
  <si>
    <t>加工長度不足</t>
    <phoneticPr fontId="10" type="noConversion"/>
  </si>
  <si>
    <t>內孔異物影響組裝</t>
    <phoneticPr fontId="10" type="noConversion"/>
  </si>
  <si>
    <t>換檔不順</t>
    <phoneticPr fontId="10" type="noConversion"/>
  </si>
  <si>
    <t>換檔異音</t>
    <phoneticPr fontId="10" type="noConversion"/>
  </si>
  <si>
    <t>組裝干涉</t>
    <phoneticPr fontId="10" type="noConversion"/>
  </si>
  <si>
    <t>異常品混料</t>
    <phoneticPr fontId="10" type="noConversion"/>
  </si>
  <si>
    <t>合檔片過鬆</t>
    <phoneticPr fontId="10" type="noConversion"/>
  </si>
  <si>
    <t>加工錯誤</t>
    <phoneticPr fontId="10" type="noConversion"/>
  </si>
  <si>
    <t>強度不足</t>
    <phoneticPr fontId="10" type="noConversion"/>
  </si>
  <si>
    <t>加工程式設定錯誤</t>
    <phoneticPr fontId="10" type="noConversion"/>
  </si>
  <si>
    <t>廠商尺寸拿錯</t>
    <phoneticPr fontId="10" type="noConversion"/>
  </si>
  <si>
    <t>加工放置未到底</t>
    <phoneticPr fontId="10" type="noConversion"/>
  </si>
  <si>
    <t>加工參數設定錯誤</t>
    <phoneticPr fontId="10" type="noConversion"/>
  </si>
  <si>
    <t>加工放置定位不佳</t>
    <phoneticPr fontId="10" type="noConversion"/>
  </si>
  <si>
    <t>加工尺寸量測異常</t>
    <phoneticPr fontId="10" type="noConversion"/>
  </si>
  <si>
    <t>前製程預留不足</t>
    <phoneticPr fontId="10" type="noConversion"/>
  </si>
  <si>
    <t>中心確認未確實</t>
    <phoneticPr fontId="10" type="noConversion"/>
  </si>
  <si>
    <t>加工治具錯誤</t>
    <phoneticPr fontId="10" type="noConversion"/>
  </si>
  <si>
    <t>視圖錯誤</t>
    <phoneticPr fontId="10" type="noConversion"/>
  </si>
  <si>
    <t>操作不當</t>
    <phoneticPr fontId="10" type="noConversion"/>
  </si>
  <si>
    <t>動作不確實</t>
    <phoneticPr fontId="10" type="noConversion"/>
  </si>
  <si>
    <t>廠商尺寸設定錯誤</t>
    <phoneticPr fontId="10" type="noConversion"/>
  </si>
  <si>
    <t>廠商切料歪斜</t>
    <phoneticPr fontId="10" type="noConversion"/>
  </si>
  <si>
    <t>首件確認</t>
    <phoneticPr fontId="10" type="noConversion"/>
  </si>
  <si>
    <t>1.首件確認
2.製程中定量抽樣</t>
    <phoneticPr fontId="10" type="noConversion"/>
  </si>
  <si>
    <t>1.首件上檢驗機確認
2.製程中定量抽樣</t>
    <phoneticPr fontId="10" type="noConversion"/>
  </si>
  <si>
    <t>R.P.N值</t>
    <phoneticPr fontId="10" type="noConversion"/>
  </si>
  <si>
    <t>1≦RPN≦26</t>
    <phoneticPr fontId="10" type="noConversion"/>
  </si>
  <si>
    <t xml:space="preserve">27≦RPN≦63 </t>
    <phoneticPr fontId="10" type="noConversion"/>
  </si>
  <si>
    <t xml:space="preserve">64≦RPN≦400 </t>
    <phoneticPr fontId="10" type="noConversion"/>
  </si>
  <si>
    <t xml:space="preserve">400≦RPN </t>
    <phoneticPr fontId="10" type="noConversion"/>
  </si>
  <si>
    <t>輕微的製造或商業風險，不需改善。</t>
    <phoneticPr fontId="10" type="noConversion"/>
  </si>
  <si>
    <t>低度風險，由專案負責人自行判斷是否採取措施 ，由專案負責人自行判斷是否採取措施。</t>
    <phoneticPr fontId="10" type="noConversion"/>
  </si>
  <si>
    <t>中度風險，須對設計做評價後 ，須對設計做評價後，再作改善。</t>
    <phoneticPr fontId="10" type="noConversion"/>
  </si>
  <si>
    <t>高度風險，須對設計作重新變更 ，須對設計作重新變更。</t>
    <phoneticPr fontId="10" type="noConversion"/>
  </si>
  <si>
    <t>說明</t>
    <phoneticPr fontId="10" type="noConversion"/>
  </si>
  <si>
    <t>a.400≦RPN時，須對設計作重新變更 須對設計作重新變更。 
b.當P (發生頻率指數)或D(探測度)大於7時，建議改善措施必須能降到 建議改善措施必須能降到3以下。 
c.當S(嚴重度指數)大於9時，P(發生頻率指數)和D(探測度)必須是2或是更低。 
d.當其中任何一項是大於 d.當其中任何一項是大於9時，必須進行設計變更或是適當的處置 必須進行設計變更或是適當的處置，使其降為3 以下 。</t>
    <phoneticPr fontId="10" type="noConversion"/>
  </si>
  <si>
    <t>控制預防</t>
    <phoneticPr fontId="10" type="noConversion"/>
  </si>
  <si>
    <t>控制偵測</t>
    <phoneticPr fontId="10" type="noConversion"/>
  </si>
  <si>
    <t>SOP</t>
  </si>
  <si>
    <t>SOP</t>
    <phoneticPr fontId="10" type="noConversion"/>
  </si>
  <si>
    <t>目視檢驗</t>
  </si>
  <si>
    <t>目視檢驗</t>
    <phoneticPr fontId="10" type="noConversion"/>
  </si>
  <si>
    <t>卡尺檢驗</t>
  </si>
  <si>
    <t>卡尺檢驗</t>
    <phoneticPr fontId="10" type="noConversion"/>
  </si>
  <si>
    <t>檢具檢驗</t>
  </si>
  <si>
    <t>檢具檢驗</t>
    <phoneticPr fontId="10" type="noConversion"/>
  </si>
  <si>
    <t>分厘卡檢驗</t>
  </si>
  <si>
    <t>分厘卡檢驗</t>
    <phoneticPr fontId="10" type="noConversion"/>
  </si>
  <si>
    <t>側微器檢驗</t>
  </si>
  <si>
    <t>側微器檢驗</t>
    <phoneticPr fontId="10" type="noConversion"/>
  </si>
  <si>
    <t>三次元檢驗</t>
  </si>
  <si>
    <t>三次元檢驗</t>
    <phoneticPr fontId="10" type="noConversion"/>
  </si>
  <si>
    <t>齒輪檢測機</t>
  </si>
  <si>
    <t>齒輪檢測機</t>
    <phoneticPr fontId="10" type="noConversion"/>
  </si>
  <si>
    <t>無</t>
  </si>
  <si>
    <t>無</t>
    <phoneticPr fontId="10" type="noConversion"/>
  </si>
  <si>
    <t>無</t>
    <phoneticPr fontId="10" type="noConversion"/>
  </si>
  <si>
    <t>高度計</t>
  </si>
  <si>
    <t>高度計</t>
    <phoneticPr fontId="10" type="noConversion"/>
  </si>
  <si>
    <t>需選擇</t>
    <phoneticPr fontId="10" type="noConversion"/>
  </si>
  <si>
    <t>自填</t>
    <phoneticPr fontId="10" type="noConversion"/>
  </si>
  <si>
    <t>F5
~
H14自填</t>
    <phoneticPr fontId="10" type="noConversion"/>
  </si>
  <si>
    <r>
      <rPr>
        <sz val="9"/>
        <color theme="1"/>
        <rFont val="細明體"/>
        <family val="3"/>
        <charset val="136"/>
      </rPr>
      <t>不須建議措施</t>
    </r>
    <r>
      <rPr>
        <sz val="9"/>
        <color theme="1"/>
        <rFont val="Times New Roman"/>
        <family val="1"/>
      </rPr>
      <t>RPN</t>
    </r>
    <phoneticPr fontId="10" type="noConversion"/>
  </si>
  <si>
    <t>新增文件</t>
    <phoneticPr fontId="10" type="noConversion"/>
  </si>
  <si>
    <t>何沐桐</t>
    <phoneticPr fontId="10" type="noConversion"/>
  </si>
  <si>
    <r>
      <rPr>
        <sz val="9"/>
        <rFont val="標楷體"/>
        <family val="4"/>
        <charset val="136"/>
      </rPr>
      <t>次要阻礙</t>
    </r>
    <phoneticPr fontId="10" type="noConversion"/>
  </si>
  <si>
    <r>
      <rPr>
        <sz val="9"/>
        <rFont val="標楷體"/>
        <family val="4"/>
        <charset val="136"/>
      </rPr>
      <t>極高</t>
    </r>
    <phoneticPr fontId="10" type="noConversion"/>
  </si>
  <si>
    <r>
      <rPr>
        <sz val="9"/>
        <rFont val="標楷體"/>
        <family val="4"/>
        <charset val="136"/>
      </rPr>
      <t>中等阻礙</t>
    </r>
    <phoneticPr fontId="10" type="noConversion"/>
  </si>
  <si>
    <r>
      <rPr>
        <sz val="9"/>
        <rFont val="標楷體"/>
        <family val="4"/>
        <charset val="136"/>
      </rPr>
      <t>低</t>
    </r>
    <phoneticPr fontId="10" type="noConversion"/>
  </si>
  <si>
    <r>
      <rPr>
        <sz val="9"/>
        <rFont val="標楷體"/>
        <family val="4"/>
        <charset val="136"/>
      </rPr>
      <t>高</t>
    </r>
    <phoneticPr fontId="10" type="noConversion"/>
  </si>
  <si>
    <r>
      <rPr>
        <sz val="9"/>
        <rFont val="標楷體"/>
        <family val="4"/>
        <charset val="136"/>
      </rPr>
      <t>顯著阻礙</t>
    </r>
    <phoneticPr fontId="10" type="noConversion"/>
  </si>
  <si>
    <r>
      <rPr>
        <sz val="9"/>
        <rFont val="標楷體"/>
        <family val="4"/>
        <charset val="136"/>
      </rPr>
      <t>高中等</t>
    </r>
    <phoneticPr fontId="10" type="noConversion"/>
  </si>
  <si>
    <r>
      <rPr>
        <sz val="9"/>
        <rFont val="標楷體"/>
        <family val="4"/>
        <charset val="136"/>
      </rPr>
      <t>嚴重阻礙</t>
    </r>
    <phoneticPr fontId="10" type="noConversion"/>
  </si>
  <si>
    <r>
      <rPr>
        <sz val="9"/>
        <rFont val="標楷體"/>
        <family val="4"/>
        <charset val="136"/>
      </rPr>
      <t>中等</t>
    </r>
    <phoneticPr fontId="10" type="noConversion"/>
  </si>
  <si>
    <r>
      <rPr>
        <sz val="9"/>
        <rFont val="標楷體"/>
        <family val="4"/>
        <charset val="136"/>
      </rPr>
      <t>符合安全
和</t>
    </r>
    <r>
      <rPr>
        <sz val="9"/>
        <rFont val="Times New Roman"/>
        <family val="1"/>
      </rPr>
      <t>/</t>
    </r>
    <r>
      <rPr>
        <sz val="9"/>
        <rFont val="標楷體"/>
        <family val="4"/>
        <charset val="136"/>
      </rPr>
      <t>或
法規要求之失效</t>
    </r>
    <phoneticPr fontId="10" type="noConversion"/>
  </si>
  <si>
    <r>
      <rPr>
        <sz val="9"/>
        <rFont val="標楷體"/>
        <family val="4"/>
        <charset val="136"/>
      </rPr>
      <t>非常低</t>
    </r>
    <phoneticPr fontId="10" type="noConversion"/>
  </si>
  <si>
    <r>
      <rPr>
        <sz val="9"/>
        <rFont val="標楷體"/>
        <family val="4"/>
        <charset val="136"/>
      </rPr>
      <t>可能性極小</t>
    </r>
    <phoneticPr fontId="10" type="noConversion"/>
  </si>
  <si>
    <r>
      <rPr>
        <sz val="9"/>
        <rFont val="標楷體"/>
        <family val="4"/>
        <charset val="136"/>
      </rPr>
      <t>很高</t>
    </r>
    <phoneticPr fontId="10" type="noConversion"/>
  </si>
  <si>
    <r>
      <rPr>
        <sz val="9"/>
        <rFont val="標楷體"/>
        <family val="4"/>
        <charset val="136"/>
      </rPr>
      <t>幾乎不可能</t>
    </r>
    <phoneticPr fontId="10" type="noConversion"/>
  </si>
  <si>
    <r>
      <rPr>
        <sz val="9"/>
        <rFont val="標楷體"/>
        <family val="4"/>
        <charset val="136"/>
      </rPr>
      <t>無影響</t>
    </r>
    <phoneticPr fontId="10" type="noConversion"/>
  </si>
  <si>
    <r>
      <rPr>
        <sz val="9"/>
        <rFont val="標楷體"/>
        <family val="4"/>
        <charset val="136"/>
      </rPr>
      <t>很低</t>
    </r>
    <phoneticPr fontId="10" type="noConversion"/>
  </si>
  <si>
    <r>
      <rPr>
        <sz val="9"/>
        <rFont val="標楷體"/>
        <family val="4"/>
        <charset val="136"/>
      </rPr>
      <t>幾乎確定</t>
    </r>
    <phoneticPr fontId="10" type="noConversion"/>
  </si>
  <si>
    <t>v</t>
    <phoneticPr fontId="10" type="noConversion"/>
  </si>
  <si>
    <t>擇一填寫</t>
    <phoneticPr fontId="10" type="noConversion"/>
  </si>
  <si>
    <t>只有廠內製程需填寫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</si>
</sst>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_ "/>
  </numFmts>
  <fonts count="33" x14ac:knownFonts="1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0"/>
      <color theme="1"/>
      <name val="Times New Roman"/>
      <family val="1"/>
    </font>
    <font>
      <sz val="14"/>
      <color theme="1"/>
      <name val="Times New Roman"/>
      <family val="1"/>
    </font>
    <font>
      <sz val="18"/>
      <color theme="1"/>
      <name val="標楷體"/>
      <family val="4"/>
      <charset val="136"/>
    </font>
    <font>
      <sz val="18"/>
      <color theme="1"/>
      <name val="Times New Roman"/>
      <family val="1"/>
    </font>
    <font>
      <sz val="14"/>
      <color theme="1"/>
      <name val="標楷體"/>
      <family val="4"/>
      <charset val="136"/>
    </font>
    <font>
      <sz val="12"/>
      <color theme="1"/>
      <name val="Times New Roman"/>
      <family val="1"/>
    </font>
    <font>
      <sz val="6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9"/>
      <name val="新細明體"/>
      <family val="3"/>
      <charset val="136"/>
      <scheme val="minor"/>
    </font>
    <font>
      <sz val="9"/>
      <color theme="1"/>
      <name val="細明體"/>
      <family val="3"/>
      <charset val="136"/>
    </font>
    <font>
      <sz val="9"/>
      <color theme="1"/>
      <name val="新細明體"/>
      <family val="2"/>
      <scheme val="minor"/>
    </font>
    <font>
      <sz val="9"/>
      <color theme="1"/>
      <name val="Times New Roman"/>
      <family val="1"/>
    </font>
    <font>
      <sz val="9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9"/>
      <name val="細明體"/>
      <family val="3"/>
      <charset val="136"/>
    </font>
    <font>
      <sz val="12"/>
      <name val="新細明體"/>
      <family val="2"/>
      <scheme val="minor"/>
    </font>
    <font>
      <sz val="11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8"/>
      <color theme="1"/>
      <name val="標楷體"/>
      <family val="4"/>
      <charset val="136"/>
    </font>
    <font>
      <b/>
      <sz val="12"/>
      <color theme="1"/>
      <name val="細明體"/>
      <family val="3"/>
      <charset val="136"/>
    </font>
    <font>
      <sz val="9"/>
      <name val="Times New Roman"/>
      <family val="1"/>
    </font>
    <font>
      <sz val="9"/>
      <name val="標楷體"/>
      <family val="4"/>
      <charset val="136"/>
    </font>
    <font>
      <sz val="9"/>
      <name val="新細明體"/>
      <family val="2"/>
      <scheme val="minor"/>
    </font>
    <font>
      <sz val="10"/>
      <name val="標楷體"/>
      <family val="4"/>
      <charset val="136"/>
    </font>
    <font>
      <sz val="8"/>
      <name val="標楷體"/>
      <family val="4"/>
      <charset val="136"/>
    </font>
    <font>
      <sz val="12"/>
      <color rgb="FF000000"/>
      <name val="微軟正黑體"/>
      <family val="2"/>
      <charset val="136"/>
    </font>
    <font>
      <sz val="26"/>
      <color rgb="FFFF0000"/>
      <name val="標楷體"/>
      <family val="4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4">
    <border>
      <left/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50">
    <xf numFmtId="0" fontId="0" fillId="0" borderId="0" xfId="0"/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0" fontId="7" fillId="0" borderId="0" xfId="0" applyFont="1"/>
    <xf numFmtId="0" fontId="13" fillId="0" borderId="0" xfId="0" applyFont="1"/>
    <xf numFmtId="0" fontId="7" fillId="0" borderId="0" xfId="0" applyFont="1" applyAlignment="1">
      <alignment wrapText="1"/>
    </xf>
    <xf numFmtId="0" fontId="7" fillId="0" borderId="0" xfId="0" applyFont="1" applyAlignment="1">
      <alignment shrinkToFit="1"/>
    </xf>
    <xf numFmtId="0" fontId="13" fillId="0" borderId="0" xfId="0" applyFont="1" applyAlignment="1">
      <alignment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shrinkToFit="1"/>
    </xf>
    <xf numFmtId="0" fontId="13" fillId="0" borderId="13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14" fillId="0" borderId="42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3" fillId="0" borderId="48" xfId="0" applyFont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shrinkToFit="1"/>
    </xf>
    <xf numFmtId="0" fontId="13" fillId="0" borderId="40" xfId="0" applyFont="1" applyBorder="1" applyAlignment="1">
      <alignment horizontal="center" vertical="center" shrinkToFit="1"/>
    </xf>
    <xf numFmtId="0" fontId="13" fillId="0" borderId="59" xfId="0" applyFont="1" applyBorder="1" applyAlignment="1">
      <alignment horizontal="center" vertical="center" shrinkToFit="1"/>
    </xf>
    <xf numFmtId="0" fontId="13" fillId="0" borderId="57" xfId="0" applyFont="1" applyBorder="1" applyAlignment="1">
      <alignment horizontal="center" vertical="center" shrinkToFit="1"/>
    </xf>
    <xf numFmtId="0" fontId="13" fillId="0" borderId="60" xfId="0" applyFont="1" applyBorder="1" applyAlignment="1">
      <alignment horizontal="center" vertical="center" shrinkToFit="1"/>
    </xf>
    <xf numFmtId="0" fontId="13" fillId="0" borderId="7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176" fontId="13" fillId="0" borderId="11" xfId="0" applyNumberFormat="1" applyFont="1" applyBorder="1" applyAlignment="1">
      <alignment horizontal="center" vertical="center" shrinkToFit="1"/>
    </xf>
    <xf numFmtId="176" fontId="13" fillId="0" borderId="17" xfId="0" applyNumberFormat="1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3" borderId="0" xfId="0" applyFont="1" applyFill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0" fontId="15" fillId="4" borderId="0" xfId="0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7" fillId="0" borderId="0" xfId="1" quotePrefix="1" applyNumberFormat="1" applyFont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14" fillId="0" borderId="54" xfId="0" applyFont="1" applyBorder="1" applyAlignment="1">
      <alignment horizontal="center" vertical="center" wrapText="1"/>
    </xf>
    <xf numFmtId="0" fontId="14" fillId="0" borderId="50" xfId="0" applyFont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4" borderId="0" xfId="1" applyFont="1" applyFill="1" applyAlignment="1">
      <alignment horizontal="center" vertical="center"/>
    </xf>
    <xf numFmtId="0" fontId="15" fillId="4" borderId="0" xfId="0" applyFont="1" applyFill="1" applyAlignment="1">
      <alignment horizontal="left" vertical="center"/>
    </xf>
    <xf numFmtId="177" fontId="15" fillId="4" borderId="0" xfId="1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5" fillId="4" borderId="0" xfId="1" applyFont="1" applyFill="1">
      <alignment vertical="center"/>
    </xf>
    <xf numFmtId="0" fontId="15" fillId="0" borderId="0" xfId="1" quotePrefix="1" applyFont="1">
      <alignment vertical="center"/>
    </xf>
    <xf numFmtId="0" fontId="7" fillId="0" borderId="0" xfId="1" quotePrefix="1" applyFont="1">
      <alignment vertical="center"/>
    </xf>
    <xf numFmtId="0" fontId="9" fillId="0" borderId="11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2" borderId="0" xfId="0" applyFont="1" applyFill="1" applyAlignment="1">
      <alignment horizontal="center" vertical="center" shrinkToFit="1"/>
    </xf>
    <xf numFmtId="0" fontId="14" fillId="0" borderId="41" xfId="0" applyFont="1" applyBorder="1" applyAlignment="1">
      <alignment horizontal="center" vertical="center" wrapText="1"/>
    </xf>
    <xf numFmtId="0" fontId="15" fillId="0" borderId="61" xfId="0" applyFont="1" applyBorder="1" applyAlignment="1">
      <alignment horizontal="center" vertical="center" wrapText="1"/>
    </xf>
    <xf numFmtId="0" fontId="15" fillId="0" borderId="62" xfId="0" applyFont="1" applyBorder="1" applyAlignment="1">
      <alignment horizontal="center" vertical="center" wrapText="1"/>
    </xf>
    <xf numFmtId="0" fontId="15" fillId="0" borderId="63" xfId="0" applyFont="1" applyBorder="1" applyAlignment="1">
      <alignment horizontal="center" vertical="center" wrapText="1"/>
    </xf>
    <xf numFmtId="0" fontId="15" fillId="0" borderId="64" xfId="0" applyFont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 wrapText="1"/>
    </xf>
    <xf numFmtId="0" fontId="7" fillId="0" borderId="66" xfId="0" applyFont="1" applyBorder="1" applyAlignment="1">
      <alignment horizontal="center" vertical="center" wrapText="1"/>
    </xf>
    <xf numFmtId="0" fontId="7" fillId="0" borderId="65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5" fillId="0" borderId="6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justify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 shrinkToFit="1"/>
    </xf>
    <xf numFmtId="0" fontId="1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15" fillId="4" borderId="0" xfId="0" applyFont="1" applyFill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25" fillId="7" borderId="0" xfId="0" applyFont="1" applyFill="1" applyAlignment="1">
      <alignment horizontal="center" vertical="center"/>
    </xf>
    <xf numFmtId="0" fontId="25" fillId="8" borderId="0" xfId="0" applyFont="1" applyFill="1" applyAlignment="1">
      <alignment horizontal="center" vertical="center" wrapText="1"/>
    </xf>
    <xf numFmtId="0" fontId="13" fillId="0" borderId="70" xfId="0" applyFont="1" applyBorder="1" applyAlignment="1">
      <alignment horizontal="center" vertical="center" wrapText="1"/>
    </xf>
    <xf numFmtId="0" fontId="14" fillId="0" borderId="71" xfId="0" applyFont="1" applyBorder="1" applyAlignment="1">
      <alignment horizontal="center" vertical="center" wrapText="1"/>
    </xf>
    <xf numFmtId="0" fontId="13" fillId="0" borderId="70" xfId="0" applyFont="1" applyBorder="1" applyAlignment="1">
      <alignment horizontal="center" vertical="center" shrinkToFit="1"/>
    </xf>
    <xf numFmtId="0" fontId="13" fillId="0" borderId="73" xfId="0" applyFont="1" applyBorder="1" applyAlignment="1">
      <alignment horizontal="center" vertical="center" shrinkToFit="1"/>
    </xf>
    <xf numFmtId="0" fontId="14" fillId="0" borderId="32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176" fontId="13" fillId="0" borderId="71" xfId="0" applyNumberFormat="1" applyFont="1" applyBorder="1" applyAlignment="1">
      <alignment horizontal="center" vertical="center" shrinkToFit="1"/>
    </xf>
    <xf numFmtId="176" fontId="13" fillId="0" borderId="28" xfId="0" applyNumberFormat="1" applyFont="1" applyBorder="1" applyAlignment="1">
      <alignment horizontal="center" vertical="center" shrinkToFit="1"/>
    </xf>
    <xf numFmtId="0" fontId="13" fillId="0" borderId="7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4" fillId="0" borderId="38" xfId="0" applyFont="1" applyBorder="1" applyAlignment="1">
      <alignment horizontal="center" vertical="center" wrapText="1"/>
    </xf>
    <xf numFmtId="0" fontId="24" fillId="0" borderId="72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7" fillId="0" borderId="42" xfId="0" applyFont="1" applyBorder="1" applyAlignment="1">
      <alignment horizontal="center" vertical="center" wrapText="1"/>
    </xf>
    <xf numFmtId="0" fontId="26" fillId="0" borderId="40" xfId="0" applyFont="1" applyBorder="1" applyAlignment="1">
      <alignment horizontal="center" vertical="center" shrinkToFit="1"/>
    </xf>
    <xf numFmtId="0" fontId="30" fillId="0" borderId="38" xfId="0" applyFont="1" applyBorder="1" applyAlignment="1">
      <alignment horizontal="center" vertical="center" wrapText="1"/>
    </xf>
    <xf numFmtId="0" fontId="26" fillId="0" borderId="59" xfId="0" applyFont="1" applyBorder="1" applyAlignment="1">
      <alignment horizontal="center" vertical="center" shrinkToFit="1"/>
    </xf>
    <xf numFmtId="0" fontId="27" fillId="0" borderId="36" xfId="0" applyFont="1" applyBorder="1" applyAlignment="1">
      <alignment horizontal="center" vertical="center" wrapText="1"/>
    </xf>
    <xf numFmtId="0" fontId="27" fillId="0" borderId="41" xfId="0" applyFont="1" applyBorder="1" applyAlignment="1">
      <alignment horizontal="center" vertical="center" wrapText="1"/>
    </xf>
    <xf numFmtId="176" fontId="26" fillId="0" borderId="42" xfId="0" applyNumberFormat="1" applyFont="1" applyBorder="1" applyAlignment="1">
      <alignment horizontal="center" vertical="center" shrinkToFit="1"/>
    </xf>
    <xf numFmtId="176" fontId="26" fillId="0" borderId="41" xfId="0" applyNumberFormat="1" applyFont="1" applyBorder="1" applyAlignment="1">
      <alignment horizontal="center" vertical="center" shrinkToFit="1"/>
    </xf>
    <xf numFmtId="0" fontId="26" fillId="0" borderId="42" xfId="0" applyFont="1" applyBorder="1" applyAlignment="1">
      <alignment horizontal="center" vertical="center" shrinkToFit="1"/>
    </xf>
    <xf numFmtId="0" fontId="26" fillId="0" borderId="43" xfId="0" applyFont="1" applyBorder="1" applyAlignment="1">
      <alignment horizontal="center" vertical="center" shrinkToFit="1"/>
    </xf>
    <xf numFmtId="0" fontId="27" fillId="0" borderId="11" xfId="0" applyFont="1" applyBorder="1" applyAlignment="1">
      <alignment horizontal="center" vertical="center" wrapText="1"/>
    </xf>
    <xf numFmtId="0" fontId="26" fillId="0" borderId="57" xfId="0" applyFont="1" applyBorder="1" applyAlignment="1">
      <alignment horizontal="center" vertical="center" shrinkToFit="1"/>
    </xf>
    <xf numFmtId="176" fontId="26" fillId="0" borderId="11" xfId="0" applyNumberFormat="1" applyFont="1" applyBorder="1" applyAlignment="1">
      <alignment horizontal="center" vertical="center" shrinkToFit="1"/>
    </xf>
    <xf numFmtId="176" fontId="26" fillId="0" borderId="17" xfId="0" applyNumberFormat="1" applyFont="1" applyBorder="1" applyAlignment="1">
      <alignment horizontal="center" vertical="center" shrinkToFit="1"/>
    </xf>
    <xf numFmtId="0" fontId="26" fillId="0" borderId="11" xfId="0" applyFont="1" applyBorder="1" applyAlignment="1">
      <alignment horizontal="center" vertical="center" shrinkToFit="1"/>
    </xf>
    <xf numFmtId="0" fontId="26" fillId="0" borderId="34" xfId="0" applyFont="1" applyBorder="1" applyAlignment="1">
      <alignment horizontal="center" vertical="center" shrinkToFit="1"/>
    </xf>
    <xf numFmtId="0" fontId="26" fillId="0" borderId="10" xfId="0" applyFont="1" applyBorder="1" applyAlignment="1">
      <alignment horizontal="center" vertical="center" shrinkToFit="1"/>
    </xf>
    <xf numFmtId="0" fontId="30" fillId="0" borderId="12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 wrapText="1"/>
    </xf>
    <xf numFmtId="0" fontId="30" fillId="0" borderId="36" xfId="0" applyFont="1" applyBorder="1" applyAlignment="1">
      <alignment horizontal="left" vertical="center" wrapText="1"/>
    </xf>
    <xf numFmtId="0" fontId="30" fillId="0" borderId="20" xfId="0" applyFont="1" applyBorder="1" applyAlignment="1">
      <alignment horizontal="left" vertical="center" wrapText="1"/>
    </xf>
    <xf numFmtId="0" fontId="24" fillId="0" borderId="36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6" fillId="0" borderId="29" xfId="0" applyFont="1" applyBorder="1" applyAlignment="1">
      <alignment horizontal="center" vertical="center" wrapText="1"/>
    </xf>
    <xf numFmtId="0" fontId="28" fillId="0" borderId="30" xfId="0" applyFont="1" applyBorder="1" applyAlignment="1">
      <alignment wrapText="1"/>
    </xf>
    <xf numFmtId="0" fontId="28" fillId="0" borderId="6" xfId="0" applyFont="1" applyBorder="1" applyAlignment="1">
      <alignment wrapText="1"/>
    </xf>
    <xf numFmtId="0" fontId="28" fillId="0" borderId="23" xfId="0" applyFont="1" applyBorder="1" applyAlignment="1">
      <alignment wrapText="1"/>
    </xf>
    <xf numFmtId="0" fontId="28" fillId="0" borderId="31" xfId="0" applyFont="1" applyBorder="1" applyAlignment="1">
      <alignment wrapText="1"/>
    </xf>
    <xf numFmtId="0" fontId="28" fillId="0" borderId="32" xfId="0" applyFont="1" applyBorder="1" applyAlignment="1">
      <alignment wrapText="1"/>
    </xf>
    <xf numFmtId="0" fontId="26" fillId="0" borderId="26" xfId="0" applyFont="1" applyBorder="1" applyAlignment="1">
      <alignment horizontal="center" vertical="center" wrapText="1"/>
    </xf>
    <xf numFmtId="0" fontId="28" fillId="0" borderId="27" xfId="0" applyFont="1" applyBorder="1" applyAlignment="1">
      <alignment wrapText="1"/>
    </xf>
    <xf numFmtId="0" fontId="28" fillId="0" borderId="22" xfId="0" applyFont="1" applyBorder="1" applyAlignment="1">
      <alignment wrapText="1"/>
    </xf>
    <xf numFmtId="0" fontId="28" fillId="0" borderId="2" xfId="0" applyFont="1" applyBorder="1" applyAlignment="1">
      <alignment wrapText="1"/>
    </xf>
    <xf numFmtId="0" fontId="28" fillId="0" borderId="28" xfId="0" applyFont="1" applyBorder="1" applyAlignment="1">
      <alignment wrapText="1"/>
    </xf>
    <xf numFmtId="0" fontId="28" fillId="0" borderId="1" xfId="0" applyFont="1" applyBorder="1" applyAlignment="1">
      <alignment wrapText="1"/>
    </xf>
    <xf numFmtId="0" fontId="26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wrapText="1"/>
    </xf>
    <xf numFmtId="0" fontId="28" fillId="0" borderId="10" xfId="0" applyFont="1" applyBorder="1" applyAlignment="1">
      <alignment wrapText="1"/>
    </xf>
    <xf numFmtId="0" fontId="13" fillId="0" borderId="7" xfId="0" applyFont="1" applyBorder="1" applyAlignment="1">
      <alignment horizontal="center" vertical="center" wrapText="1"/>
    </xf>
    <xf numFmtId="0" fontId="13" fillId="0" borderId="10" xfId="0" applyFont="1" applyBorder="1" applyAlignment="1">
      <alignment vertical="center" wrapText="1"/>
    </xf>
    <xf numFmtId="0" fontId="13" fillId="0" borderId="47" xfId="0" applyFont="1" applyBorder="1" applyAlignment="1">
      <alignment vertical="center" wrapText="1"/>
    </xf>
    <xf numFmtId="0" fontId="14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vertical="center" wrapText="1"/>
    </xf>
    <xf numFmtId="0" fontId="13" fillId="0" borderId="50" xfId="0" applyFont="1" applyBorder="1" applyAlignment="1">
      <alignment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32" fillId="0" borderId="0" xfId="0" applyFont="1" applyAlignment="1">
      <alignment horizontal="left" vertical="top" wrapText="1"/>
    </xf>
    <xf numFmtId="0" fontId="32" fillId="0" borderId="0" xfId="0" applyFont="1" applyAlignment="1">
      <alignment horizontal="left" vertical="top"/>
    </xf>
    <xf numFmtId="0" fontId="25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5" fillId="8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wrapText="1"/>
    </xf>
    <xf numFmtId="0" fontId="14" fillId="0" borderId="14" xfId="0" applyFont="1" applyBorder="1" applyAlignment="1">
      <alignment horizontal="center" vertical="center" wrapText="1"/>
    </xf>
    <xf numFmtId="0" fontId="14" fillId="0" borderId="15" xfId="0" applyFont="1" applyBorder="1" applyAlignment="1">
      <alignment wrapText="1"/>
    </xf>
    <xf numFmtId="0" fontId="26" fillId="0" borderId="13" xfId="0" applyFont="1" applyBorder="1" applyAlignment="1">
      <alignment horizontal="center" vertical="center" wrapText="1"/>
    </xf>
    <xf numFmtId="0" fontId="26" fillId="0" borderId="14" xfId="0" applyFont="1" applyBorder="1" applyAlignment="1">
      <alignment wrapText="1"/>
    </xf>
    <xf numFmtId="0" fontId="26" fillId="0" borderId="12" xfId="0" applyFont="1" applyBorder="1" applyAlignment="1">
      <alignment horizontal="center" vertical="center" wrapText="1"/>
    </xf>
    <xf numFmtId="0" fontId="26" fillId="0" borderId="12" xfId="0" applyFont="1" applyBorder="1" applyAlignment="1">
      <alignment wrapText="1"/>
    </xf>
    <xf numFmtId="0" fontId="28" fillId="0" borderId="12" xfId="0" applyFont="1" applyBorder="1" applyAlignment="1">
      <alignment wrapText="1"/>
    </xf>
    <xf numFmtId="0" fontId="26" fillId="0" borderId="33" xfId="0" applyFont="1" applyBorder="1" applyAlignment="1">
      <alignment horizontal="center" vertical="center" wrapText="1"/>
    </xf>
    <xf numFmtId="0" fontId="26" fillId="0" borderId="20" xfId="0" applyFont="1" applyBorder="1" applyAlignment="1">
      <alignment wrapText="1"/>
    </xf>
    <xf numFmtId="0" fontId="26" fillId="0" borderId="11" xfId="0" applyFont="1" applyBorder="1" applyAlignment="1">
      <alignment wrapText="1"/>
    </xf>
    <xf numFmtId="0" fontId="26" fillId="0" borderId="10" xfId="0" applyFont="1" applyBorder="1" applyAlignment="1">
      <alignment wrapText="1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wrapText="1"/>
    </xf>
    <xf numFmtId="0" fontId="13" fillId="0" borderId="20" xfId="0" applyFont="1" applyBorder="1" applyAlignment="1">
      <alignment horizontal="center" vertical="center" wrapText="1"/>
    </xf>
    <xf numFmtId="0" fontId="13" fillId="0" borderId="11" xfId="0" applyFont="1" applyBorder="1" applyAlignment="1">
      <alignment wrapText="1"/>
    </xf>
    <xf numFmtId="0" fontId="13" fillId="0" borderId="14" xfId="0" applyFont="1" applyBorder="1" applyAlignment="1">
      <alignment horizontal="center" vertical="center" wrapText="1"/>
    </xf>
    <xf numFmtId="0" fontId="13" fillId="0" borderId="15" xfId="0" applyFont="1" applyBorder="1" applyAlignment="1">
      <alignment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wrapText="1"/>
    </xf>
    <xf numFmtId="0" fontId="26" fillId="0" borderId="39" xfId="0" applyFont="1" applyBorder="1" applyAlignment="1">
      <alignment horizontal="center" vertical="center" wrapText="1"/>
    </xf>
    <xf numFmtId="0" fontId="26" fillId="0" borderId="21" xfId="0" applyFont="1" applyBorder="1" applyAlignment="1">
      <alignment wrapText="1"/>
    </xf>
    <xf numFmtId="0" fontId="13" fillId="0" borderId="21" xfId="0" applyFont="1" applyBorder="1" applyAlignment="1">
      <alignment horizontal="center" vertical="center" wrapText="1"/>
    </xf>
    <xf numFmtId="0" fontId="13" fillId="0" borderId="14" xfId="0" applyFont="1" applyBorder="1" applyAlignment="1">
      <alignment wrapText="1"/>
    </xf>
    <xf numFmtId="0" fontId="13" fillId="0" borderId="14" xfId="0" applyFont="1" applyBorder="1"/>
    <xf numFmtId="0" fontId="13" fillId="0" borderId="34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3" fillId="0" borderId="11" xfId="0" applyFont="1" applyBorder="1" applyAlignment="1">
      <alignment vertical="center" wrapText="1"/>
    </xf>
    <xf numFmtId="0" fontId="13" fillId="0" borderId="48" xfId="0" applyFont="1" applyBorder="1" applyAlignment="1">
      <alignment vertical="center" wrapText="1"/>
    </xf>
    <xf numFmtId="0" fontId="14" fillId="0" borderId="19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center" wrapText="1"/>
    </xf>
    <xf numFmtId="0" fontId="13" fillId="0" borderId="54" xfId="0" applyFont="1" applyBorder="1" applyAlignment="1">
      <alignment vertical="center" wrapText="1"/>
    </xf>
    <xf numFmtId="0" fontId="13" fillId="0" borderId="56" xfId="0" applyFont="1" applyBorder="1" applyAlignment="1">
      <alignment horizontal="center" vertical="center" wrapText="1"/>
    </xf>
    <xf numFmtId="0" fontId="13" fillId="0" borderId="57" xfId="0" applyFont="1" applyBorder="1" applyAlignment="1">
      <alignment vertical="center" wrapText="1"/>
    </xf>
    <xf numFmtId="0" fontId="13" fillId="0" borderId="58" xfId="0" applyFont="1" applyBorder="1" applyAlignment="1">
      <alignment vertical="center" wrapText="1"/>
    </xf>
    <xf numFmtId="0" fontId="14" fillId="0" borderId="17" xfId="0" applyFont="1" applyBorder="1" applyAlignment="1">
      <alignment horizontal="center" vertical="center" wrapText="1"/>
    </xf>
    <xf numFmtId="0" fontId="13" fillId="0" borderId="50" xfId="0" applyFont="1" applyBorder="1" applyAlignment="1">
      <alignment horizontal="center" vertical="center" wrapText="1"/>
    </xf>
    <xf numFmtId="0" fontId="14" fillId="0" borderId="11" xfId="0" applyFont="1" applyBorder="1"/>
    <xf numFmtId="0" fontId="13" fillId="0" borderId="8" xfId="0" applyFont="1" applyBorder="1"/>
    <xf numFmtId="0" fontId="14" fillId="0" borderId="12" xfId="0" applyFont="1" applyBorder="1"/>
    <xf numFmtId="0" fontId="13" fillId="0" borderId="9" xfId="0" applyFont="1" applyBorder="1"/>
    <xf numFmtId="0" fontId="13" fillId="0" borderId="15" xfId="0" applyFont="1" applyBorder="1"/>
    <xf numFmtId="0" fontId="13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wrapText="1"/>
    </xf>
    <xf numFmtId="0" fontId="12" fillId="0" borderId="40" xfId="0" applyFont="1" applyBorder="1" applyAlignment="1">
      <alignment wrapText="1"/>
    </xf>
    <xf numFmtId="0" fontId="13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wrapText="1"/>
    </xf>
    <xf numFmtId="0" fontId="12" fillId="0" borderId="22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2" fillId="0" borderId="41" xfId="0" applyFont="1" applyBorder="1" applyAlignment="1">
      <alignment wrapText="1"/>
    </xf>
    <xf numFmtId="0" fontId="12" fillId="0" borderId="43" xfId="0" applyFont="1" applyBorder="1" applyAlignment="1">
      <alignment wrapText="1"/>
    </xf>
    <xf numFmtId="0" fontId="13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wrapText="1"/>
    </xf>
    <xf numFmtId="0" fontId="12" fillId="0" borderId="35" xfId="0" applyFont="1" applyBorder="1" applyAlignment="1">
      <alignment wrapText="1"/>
    </xf>
    <xf numFmtId="0" fontId="12" fillId="0" borderId="36" xfId="0" applyFont="1" applyBorder="1" applyAlignment="1">
      <alignment wrapText="1"/>
    </xf>
    <xf numFmtId="0" fontId="13" fillId="0" borderId="37" xfId="0" applyFont="1" applyBorder="1" applyAlignment="1">
      <alignment wrapText="1"/>
    </xf>
    <xf numFmtId="0" fontId="12" fillId="0" borderId="38" xfId="0" applyFont="1" applyBorder="1" applyAlignment="1">
      <alignment wrapText="1"/>
    </xf>
    <xf numFmtId="0" fontId="13" fillId="0" borderId="19" xfId="0" applyFont="1" applyBorder="1" applyAlignment="1">
      <alignment horizontal="center" vertical="center" wrapText="1"/>
    </xf>
    <xf numFmtId="0" fontId="13" fillId="0" borderId="8" xfId="0" applyFont="1" applyBorder="1" applyAlignment="1">
      <alignment wrapText="1"/>
    </xf>
    <xf numFmtId="0" fontId="13" fillId="0" borderId="11" xfId="0" applyFont="1" applyBorder="1"/>
    <xf numFmtId="0" fontId="26" fillId="0" borderId="17" xfId="0" applyFont="1" applyBorder="1" applyAlignment="1">
      <alignment horizontal="center" vertical="center" wrapText="1"/>
    </xf>
    <xf numFmtId="0" fontId="26" fillId="0" borderId="34" xfId="0" applyFont="1" applyBorder="1" applyAlignment="1">
      <alignment wrapText="1"/>
    </xf>
    <xf numFmtId="0" fontId="28" fillId="0" borderId="34" xfId="0" applyFont="1" applyBorder="1" applyAlignment="1">
      <alignment wrapText="1"/>
    </xf>
    <xf numFmtId="0" fontId="28" fillId="0" borderId="20" xfId="0" applyFont="1" applyBorder="1" applyAlignment="1">
      <alignment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44" xfId="0" applyFont="1" applyBorder="1" applyAlignment="1">
      <alignment wrapText="1"/>
    </xf>
    <xf numFmtId="0" fontId="13" fillId="0" borderId="35" xfId="0" applyFont="1" applyBorder="1" applyAlignment="1">
      <alignment wrapText="1"/>
    </xf>
    <xf numFmtId="0" fontId="13" fillId="0" borderId="36" xfId="0" applyFont="1" applyBorder="1" applyAlignment="1">
      <alignment wrapText="1"/>
    </xf>
    <xf numFmtId="0" fontId="13" fillId="0" borderId="45" xfId="0" applyFont="1" applyBorder="1" applyAlignment="1">
      <alignment horizontal="center" vertical="center" wrapText="1"/>
    </xf>
    <xf numFmtId="0" fontId="13" fillId="0" borderId="4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41" xfId="0" applyFont="1" applyBorder="1" applyAlignment="1">
      <alignment wrapText="1"/>
    </xf>
    <xf numFmtId="0" fontId="13" fillId="0" borderId="46" xfId="0" applyFont="1" applyBorder="1" applyAlignment="1">
      <alignment wrapText="1"/>
    </xf>
    <xf numFmtId="0" fontId="13" fillId="0" borderId="43" xfId="0" applyFont="1" applyBorder="1" applyAlignment="1">
      <alignment wrapText="1"/>
    </xf>
    <xf numFmtId="0" fontId="13" fillId="0" borderId="17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47" xfId="0" applyFont="1" applyBorder="1" applyAlignment="1">
      <alignment horizontal="center" vertical="center" wrapText="1"/>
    </xf>
    <xf numFmtId="0" fontId="14" fillId="0" borderId="51" xfId="0" applyFont="1" applyBorder="1" applyAlignment="1">
      <alignment horizontal="center" vertical="center" wrapText="1"/>
    </xf>
    <xf numFmtId="0" fontId="13" fillId="0" borderId="52" xfId="0" applyFont="1" applyBorder="1" applyAlignment="1">
      <alignment vertical="center" wrapText="1"/>
    </xf>
    <xf numFmtId="0" fontId="13" fillId="0" borderId="53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49" xfId="0" applyFont="1" applyBorder="1" applyAlignment="1">
      <alignment vertical="center" wrapText="1"/>
    </xf>
  </cellXfs>
  <cellStyles count="2">
    <cellStyle name="一般" xfId="0" builtinId="0"/>
    <cellStyle name="一般 2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146050</xdr:colOff>
          <xdr:row>11</xdr:row>
          <xdr:rowOff>95250</xdr:rowOff>
        </xdr:from>
        <xdr:to>
          <xdr:col>1</xdr:col>
          <xdr:colOff>508000</xdr:colOff>
          <xdr:row>15</xdr:row>
          <xdr:rowOff>50800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清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3" tint="0.39997558519241921"/>
    <pageSetUpPr fitToPage="1"/>
  </sheetPr>
  <dimension ref="A1:Y33"/>
  <sheetViews>
    <sheetView tabSelected="1" workbookViewId="0">
      <selection activeCell="B3" sqref="B3"/>
    </sheetView>
  </sheetViews>
  <sheetFormatPr defaultColWidth="9" defaultRowHeight="15.5" x14ac:dyDescent="0.35"/>
  <cols>
    <col min="1" max="1" width="3.453125" style="3" customWidth="1"/>
    <col min="2" max="2" width="7.90625" style="3" customWidth="1"/>
    <col min="3" max="3" width="4.26953125" style="3" customWidth="1"/>
    <col min="4" max="4" width="5.08984375" style="3" customWidth="1"/>
    <col min="5" max="5" width="8.6328125" style="3" customWidth="1"/>
    <col min="6" max="6" width="7.453125" style="3" customWidth="1"/>
    <col min="7" max="7" width="6.453125" style="3" customWidth="1"/>
    <col min="8" max="9" width="7.453125" style="3" customWidth="1"/>
    <col min="10" max="10" width="4.7265625" style="3" customWidth="1"/>
    <col min="11" max="12" width="7.26953125" style="3" customWidth="1"/>
    <col min="13" max="13" width="4.7265625" style="3" customWidth="1"/>
    <col min="14" max="15" width="7.453125" style="3" customWidth="1"/>
    <col min="16" max="16" width="4.7265625" style="3" customWidth="1"/>
    <col min="17" max="17" width="5.36328125" style="3" customWidth="1"/>
    <col min="18" max="18" width="14.26953125" style="3" customWidth="1"/>
    <col min="19" max="19" width="8.26953125" style="3" bestFit="1" customWidth="1"/>
    <col min="20" max="20" width="7.453125" style="3" bestFit="1" customWidth="1"/>
    <col min="21" max="23" width="4.453125" style="3" customWidth="1"/>
    <col min="24" max="24" width="5.36328125" style="3" customWidth="1"/>
    <col min="25" max="25" width="3.453125" style="3" customWidth="1"/>
    <col min="26" max="16384" width="9" style="3"/>
  </cols>
  <sheetData>
    <row r="1" spans="1:25" ht="25.5" thickTop="1" x14ac:dyDescent="0.4">
      <c r="D1" s="218" t="s">
        <v>53</v>
      </c>
      <c r="E1" s="219"/>
      <c r="F1" s="219"/>
      <c r="G1" s="219"/>
      <c r="H1" s="219"/>
      <c r="I1" s="219"/>
      <c r="J1" s="219"/>
      <c r="K1" s="219"/>
      <c r="L1" s="219"/>
      <c r="M1" s="219"/>
      <c r="N1" s="220"/>
      <c r="O1" s="24"/>
      <c r="P1" s="170"/>
      <c r="Q1" s="192"/>
      <c r="R1" s="25"/>
      <c r="S1" s="170"/>
      <c r="T1" s="192"/>
      <c r="U1" s="170"/>
      <c r="V1" s="192"/>
      <c r="W1" s="170"/>
      <c r="X1" s="194"/>
    </row>
    <row r="2" spans="1:25" ht="19.5" x14ac:dyDescent="0.4">
      <c r="D2" s="221" t="s">
        <v>54</v>
      </c>
      <c r="E2" s="219"/>
      <c r="F2" s="219"/>
      <c r="G2" s="219"/>
      <c r="H2" s="219"/>
      <c r="I2" s="219"/>
      <c r="J2" s="219"/>
      <c r="K2" s="219"/>
      <c r="L2" s="219"/>
      <c r="M2" s="219"/>
      <c r="N2" s="220"/>
      <c r="O2" s="8">
        <v>1</v>
      </c>
      <c r="P2" s="164">
        <v>20241111</v>
      </c>
      <c r="Q2" s="213"/>
      <c r="R2" s="17" t="s">
        <v>681</v>
      </c>
      <c r="S2" s="151"/>
      <c r="T2" s="191"/>
      <c r="U2" s="151"/>
      <c r="V2" s="191"/>
      <c r="W2" s="151" t="s">
        <v>682</v>
      </c>
      <c r="X2" s="193"/>
    </row>
    <row r="3" spans="1:25" ht="17.5" thickBot="1" x14ac:dyDescent="0.45">
      <c r="D3" s="222" t="s">
        <v>65</v>
      </c>
      <c r="E3" s="219"/>
      <c r="F3" s="219"/>
      <c r="G3" s="219"/>
      <c r="H3" s="219"/>
      <c r="I3" s="219"/>
      <c r="J3" s="219"/>
      <c r="K3" s="219"/>
      <c r="L3" s="219"/>
      <c r="M3" s="219"/>
      <c r="N3" s="220"/>
      <c r="O3" s="10" t="s">
        <v>59</v>
      </c>
      <c r="P3" s="168" t="s">
        <v>60</v>
      </c>
      <c r="Q3" s="176"/>
      <c r="R3" s="11" t="s">
        <v>61</v>
      </c>
      <c r="S3" s="168" t="s">
        <v>62</v>
      </c>
      <c r="T3" s="176"/>
      <c r="U3" s="168" t="s">
        <v>63</v>
      </c>
      <c r="V3" s="176"/>
      <c r="W3" s="168" t="s">
        <v>64</v>
      </c>
      <c r="X3" s="195"/>
    </row>
    <row r="4" spans="1:25" ht="8.25" customHeight="1" thickTop="1" thickBot="1" x14ac:dyDescent="0.4"/>
    <row r="5" spans="1:25" s="7" customFormat="1" ht="32.25" customHeight="1" thickTop="1" x14ac:dyDescent="0.25">
      <c r="C5" s="149" t="s">
        <v>679</v>
      </c>
      <c r="D5" s="227" t="s">
        <v>13</v>
      </c>
      <c r="E5" s="228"/>
      <c r="F5" s="231"/>
      <c r="G5" s="232"/>
      <c r="H5" s="233"/>
      <c r="I5" s="137" t="s">
        <v>14</v>
      </c>
      <c r="J5" s="170"/>
      <c r="K5" s="212"/>
      <c r="L5" s="171"/>
      <c r="M5" s="137" t="s">
        <v>15</v>
      </c>
      <c r="N5" s="170"/>
      <c r="O5" s="171"/>
      <c r="P5" s="137" t="s">
        <v>16</v>
      </c>
      <c r="Q5" s="170"/>
      <c r="R5" s="171"/>
      <c r="S5" s="137" t="s">
        <v>17</v>
      </c>
      <c r="T5" s="170"/>
      <c r="U5" s="171"/>
      <c r="V5" s="211" t="s">
        <v>18</v>
      </c>
      <c r="W5" s="212"/>
      <c r="X5" s="171"/>
    </row>
    <row r="6" spans="1:25" s="7" customFormat="1" ht="12.5" x14ac:dyDescent="0.3">
      <c r="C6" s="150"/>
      <c r="D6" s="229"/>
      <c r="E6" s="230"/>
      <c r="F6" s="234"/>
      <c r="G6" s="235"/>
      <c r="H6" s="236"/>
      <c r="I6" s="160" t="s">
        <v>697</v>
      </c>
      <c r="J6" s="217"/>
      <c r="K6" s="214">
        <v>1</v>
      </c>
      <c r="L6" s="216"/>
      <c r="M6" s="134" t="s">
        <v>698</v>
      </c>
      <c r="N6" s="162"/>
      <c r="O6" s="157">
        <v>1</v>
      </c>
      <c r="P6" s="160" t="s">
        <v>699</v>
      </c>
      <c r="Q6" s="161"/>
      <c r="R6" s="95">
        <v>1</v>
      </c>
      <c r="S6" s="196" t="s">
        <v>21</v>
      </c>
      <c r="T6" s="199" t="s">
        <v>1</v>
      </c>
      <c r="U6" s="200"/>
      <c r="V6" s="205" t="s">
        <v>22</v>
      </c>
      <c r="W6" s="206"/>
      <c r="X6" s="209"/>
    </row>
    <row r="7" spans="1:25" s="7" customFormat="1" ht="16.5" customHeight="1" x14ac:dyDescent="0.3">
      <c r="C7" s="150"/>
      <c r="D7" s="143" t="s">
        <v>19</v>
      </c>
      <c r="E7" s="237"/>
      <c r="F7" s="164" t="s">
        <v>12</v>
      </c>
      <c r="G7" s="167"/>
      <c r="H7" s="165"/>
      <c r="I7" s="160" t="s">
        <v>683</v>
      </c>
      <c r="J7" s="217"/>
      <c r="K7" s="214">
        <v>2</v>
      </c>
      <c r="L7" s="216"/>
      <c r="M7" s="163"/>
      <c r="N7" s="162"/>
      <c r="O7" s="158"/>
      <c r="P7" s="160" t="s">
        <v>684</v>
      </c>
      <c r="Q7" s="161"/>
      <c r="R7" s="95">
        <v>2</v>
      </c>
      <c r="S7" s="197"/>
      <c r="T7" s="201"/>
      <c r="U7" s="202"/>
      <c r="V7" s="207"/>
      <c r="W7" s="208"/>
      <c r="X7" s="210"/>
    </row>
    <row r="8" spans="1:25" s="7" customFormat="1" ht="12.5" x14ac:dyDescent="0.3">
      <c r="A8" s="242" t="s">
        <v>680</v>
      </c>
      <c r="B8" s="243"/>
      <c r="C8" s="150"/>
      <c r="D8" s="143"/>
      <c r="E8" s="237"/>
      <c r="F8" s="164" t="s">
        <v>23</v>
      </c>
      <c r="G8" s="167"/>
      <c r="H8" s="165"/>
      <c r="I8" s="160" t="s">
        <v>685</v>
      </c>
      <c r="J8" s="217"/>
      <c r="K8" s="214" t="s">
        <v>46</v>
      </c>
      <c r="L8" s="216"/>
      <c r="M8" s="134" t="s">
        <v>686</v>
      </c>
      <c r="N8" s="162"/>
      <c r="O8" s="157" t="s">
        <v>43</v>
      </c>
      <c r="P8" s="160" t="s">
        <v>687</v>
      </c>
      <c r="Q8" s="161"/>
      <c r="R8" s="95">
        <v>3</v>
      </c>
      <c r="S8" s="198"/>
      <c r="T8" s="203"/>
      <c r="U8" s="204"/>
      <c r="V8" s="166" t="s">
        <v>24</v>
      </c>
      <c r="W8" s="167"/>
      <c r="X8" s="95" t="s">
        <v>700</v>
      </c>
    </row>
    <row r="9" spans="1:25" s="7" customFormat="1" ht="16.5" customHeight="1" x14ac:dyDescent="0.3">
      <c r="A9" s="243"/>
      <c r="B9" s="243"/>
      <c r="C9" s="150"/>
      <c r="D9" s="143" t="s">
        <v>25</v>
      </c>
      <c r="E9" s="237"/>
      <c r="F9" s="164"/>
      <c r="G9" s="164"/>
      <c r="H9" s="165"/>
      <c r="I9" s="160" t="s">
        <v>688</v>
      </c>
      <c r="J9" s="217"/>
      <c r="K9" s="214">
        <v>7</v>
      </c>
      <c r="L9" s="216"/>
      <c r="M9" s="163"/>
      <c r="N9" s="162"/>
      <c r="O9" s="158"/>
      <c r="P9" s="160" t="s">
        <v>689</v>
      </c>
      <c r="Q9" s="161"/>
      <c r="R9" s="95">
        <v>4</v>
      </c>
      <c r="S9" s="143" t="s">
        <v>26</v>
      </c>
      <c r="T9" s="164" t="s">
        <v>2</v>
      </c>
      <c r="U9" s="165"/>
      <c r="V9" s="166" t="s">
        <v>27</v>
      </c>
      <c r="W9" s="167"/>
      <c r="X9" s="12"/>
    </row>
    <row r="10" spans="1:25" s="7" customFormat="1" ht="17" x14ac:dyDescent="0.25">
      <c r="A10" s="240">
        <v>100</v>
      </c>
      <c r="B10" s="241"/>
      <c r="C10" s="150"/>
      <c r="D10" s="143"/>
      <c r="E10" s="237"/>
      <c r="F10" s="164"/>
      <c r="G10" s="164"/>
      <c r="H10" s="165"/>
      <c r="I10" s="160" t="s">
        <v>690</v>
      </c>
      <c r="J10" s="161"/>
      <c r="K10" s="214">
        <v>8</v>
      </c>
      <c r="L10" s="215"/>
      <c r="M10" s="134" t="s">
        <v>691</v>
      </c>
      <c r="N10" s="162"/>
      <c r="O10" s="157" t="s">
        <v>50</v>
      </c>
      <c r="P10" s="160" t="s">
        <v>691</v>
      </c>
      <c r="Q10" s="161"/>
      <c r="R10" s="95">
        <v>5</v>
      </c>
      <c r="S10" s="143"/>
      <c r="T10" s="164"/>
      <c r="U10" s="165"/>
      <c r="V10" s="166" t="s">
        <v>28</v>
      </c>
      <c r="W10" s="167"/>
      <c r="X10" s="12" t="s">
        <v>700</v>
      </c>
    </row>
    <row r="11" spans="1:25" s="7" customFormat="1" ht="12" customHeight="1" x14ac:dyDescent="0.25">
      <c r="C11" s="150"/>
      <c r="D11" s="143" t="s">
        <v>29</v>
      </c>
      <c r="E11" s="237"/>
      <c r="F11" s="151"/>
      <c r="G11" s="151"/>
      <c r="H11" s="152"/>
      <c r="I11" s="122" t="s">
        <v>692</v>
      </c>
      <c r="J11" s="123"/>
      <c r="K11" s="128" t="s">
        <v>4</v>
      </c>
      <c r="L11" s="129"/>
      <c r="M11" s="163"/>
      <c r="N11" s="162"/>
      <c r="O11" s="158"/>
      <c r="P11" s="160" t="s">
        <v>686</v>
      </c>
      <c r="Q11" s="161"/>
      <c r="R11" s="95">
        <v>6</v>
      </c>
      <c r="S11" s="143" t="s">
        <v>20</v>
      </c>
      <c r="T11" s="164" t="s">
        <v>3</v>
      </c>
      <c r="U11" s="165"/>
      <c r="V11" s="166" t="s">
        <v>30</v>
      </c>
      <c r="W11" s="167"/>
      <c r="X11" s="12"/>
    </row>
    <row r="12" spans="1:25" s="7" customFormat="1" ht="15.75" customHeight="1" x14ac:dyDescent="0.25">
      <c r="C12" s="150"/>
      <c r="D12" s="143"/>
      <c r="E12" s="237"/>
      <c r="F12" s="151"/>
      <c r="G12" s="151"/>
      <c r="H12" s="152"/>
      <c r="I12" s="124"/>
      <c r="J12" s="125"/>
      <c r="K12" s="130"/>
      <c r="L12" s="131"/>
      <c r="M12" s="134" t="s">
        <v>687</v>
      </c>
      <c r="N12" s="135"/>
      <c r="O12" s="157" t="s">
        <v>51</v>
      </c>
      <c r="P12" s="160" t="s">
        <v>693</v>
      </c>
      <c r="Q12" s="161"/>
      <c r="R12" s="95">
        <v>7</v>
      </c>
      <c r="S12" s="143"/>
      <c r="T12" s="164"/>
      <c r="U12" s="165"/>
      <c r="V12" s="166" t="s">
        <v>31</v>
      </c>
      <c r="W12" s="167"/>
      <c r="X12" s="12"/>
    </row>
    <row r="13" spans="1:25" s="7" customFormat="1" ht="12.75" customHeight="1" x14ac:dyDescent="0.25">
      <c r="A13" s="225" t="s">
        <v>223</v>
      </c>
      <c r="C13" s="150"/>
      <c r="D13" s="143" t="s">
        <v>32</v>
      </c>
      <c r="E13" s="237"/>
      <c r="F13" s="151"/>
      <c r="G13" s="151"/>
      <c r="H13" s="152"/>
      <c r="I13" s="124"/>
      <c r="J13" s="125"/>
      <c r="K13" s="130"/>
      <c r="L13" s="131"/>
      <c r="M13" s="136"/>
      <c r="N13" s="135"/>
      <c r="O13" s="159"/>
      <c r="P13" s="160" t="s">
        <v>694</v>
      </c>
      <c r="Q13" s="161"/>
      <c r="R13" s="95" t="s">
        <v>52</v>
      </c>
      <c r="S13" s="143" t="s">
        <v>33</v>
      </c>
      <c r="T13" s="164" t="s">
        <v>5</v>
      </c>
      <c r="U13" s="165"/>
      <c r="V13" s="166" t="s">
        <v>34</v>
      </c>
      <c r="W13" s="167"/>
      <c r="X13" s="12" t="s">
        <v>700</v>
      </c>
    </row>
    <row r="14" spans="1:25" s="7" customFormat="1" ht="23.25" customHeight="1" thickBot="1" x14ac:dyDescent="0.3">
      <c r="A14" s="226"/>
      <c r="C14" s="150"/>
      <c r="D14" s="144"/>
      <c r="E14" s="238"/>
      <c r="F14" s="153"/>
      <c r="G14" s="153"/>
      <c r="H14" s="154"/>
      <c r="I14" s="126"/>
      <c r="J14" s="127"/>
      <c r="K14" s="132"/>
      <c r="L14" s="133"/>
      <c r="M14" s="155" t="s">
        <v>695</v>
      </c>
      <c r="N14" s="156"/>
      <c r="O14" s="96">
        <v>10</v>
      </c>
      <c r="P14" s="172" t="s">
        <v>696</v>
      </c>
      <c r="Q14" s="173"/>
      <c r="R14" s="96">
        <v>10</v>
      </c>
      <c r="S14" s="144"/>
      <c r="T14" s="168"/>
      <c r="U14" s="169"/>
      <c r="V14" s="174" t="s">
        <v>35</v>
      </c>
      <c r="W14" s="175"/>
      <c r="X14" s="13" t="s">
        <v>700</v>
      </c>
    </row>
    <row r="15" spans="1:25" s="4" customFormat="1" ht="8.25" customHeight="1" thickTop="1" thickBot="1" x14ac:dyDescent="0.3">
      <c r="A15" s="226"/>
      <c r="D15" s="1"/>
    </row>
    <row r="16" spans="1:25" s="4" customFormat="1" ht="12" customHeight="1" thickTop="1" x14ac:dyDescent="0.25">
      <c r="A16" s="226"/>
      <c r="D16" s="137" t="s">
        <v>0</v>
      </c>
      <c r="E16" s="170" t="s">
        <v>36</v>
      </c>
      <c r="F16" s="180" t="s">
        <v>215</v>
      </c>
      <c r="G16" s="170" t="s">
        <v>37</v>
      </c>
      <c r="H16" s="180" t="s">
        <v>57</v>
      </c>
      <c r="I16" s="140" t="s">
        <v>226</v>
      </c>
      <c r="J16" s="137" t="s">
        <v>216</v>
      </c>
      <c r="K16" s="179" t="s">
        <v>38</v>
      </c>
      <c r="L16" s="245" t="s">
        <v>56</v>
      </c>
      <c r="M16" s="186" t="s">
        <v>217</v>
      </c>
      <c r="N16" s="211" t="s">
        <v>39</v>
      </c>
      <c r="O16" s="239"/>
      <c r="P16" s="186" t="s">
        <v>220</v>
      </c>
      <c r="Q16" s="186" t="s">
        <v>17</v>
      </c>
      <c r="R16" s="183" t="s">
        <v>221</v>
      </c>
      <c r="S16" s="180" t="s">
        <v>55</v>
      </c>
      <c r="T16" s="170" t="s">
        <v>40</v>
      </c>
      <c r="U16" s="170"/>
      <c r="V16" s="170"/>
      <c r="W16" s="170"/>
      <c r="X16" s="179"/>
      <c r="Y16" s="2"/>
    </row>
    <row r="17" spans="1:25" s="4" customFormat="1" ht="12" customHeight="1" x14ac:dyDescent="0.25">
      <c r="A17" s="223" t="s">
        <v>701</v>
      </c>
      <c r="B17" s="224"/>
      <c r="C17" s="68"/>
      <c r="D17" s="143"/>
      <c r="E17" s="181"/>
      <c r="F17" s="181"/>
      <c r="G17" s="181"/>
      <c r="H17" s="181" t="s">
        <v>6</v>
      </c>
      <c r="I17" s="141"/>
      <c r="J17" s="138"/>
      <c r="K17" s="248"/>
      <c r="L17" s="246"/>
      <c r="M17" s="187"/>
      <c r="N17" s="184"/>
      <c r="O17" s="141"/>
      <c r="P17" s="187"/>
      <c r="Q17" s="187"/>
      <c r="R17" s="184"/>
      <c r="S17" s="181"/>
      <c r="T17" s="189" t="s">
        <v>58</v>
      </c>
      <c r="U17" s="164" t="s">
        <v>41</v>
      </c>
      <c r="V17" s="164"/>
      <c r="W17" s="164"/>
      <c r="X17" s="177" t="s">
        <v>7</v>
      </c>
      <c r="Y17" s="2"/>
    </row>
    <row r="18" spans="1:25" s="4" customFormat="1" ht="12" customHeight="1" thickBot="1" x14ac:dyDescent="0.3">
      <c r="A18" s="43" t="s">
        <v>178</v>
      </c>
      <c r="B18" s="43" t="s">
        <v>222</v>
      </c>
      <c r="C18" s="69"/>
      <c r="D18" s="244"/>
      <c r="E18" s="182"/>
      <c r="F18" s="182"/>
      <c r="G18" s="182"/>
      <c r="H18" s="182"/>
      <c r="I18" s="142"/>
      <c r="J18" s="139"/>
      <c r="K18" s="249"/>
      <c r="L18" s="247"/>
      <c r="M18" s="188"/>
      <c r="N18" s="37" t="s">
        <v>218</v>
      </c>
      <c r="O18" s="38" t="s">
        <v>219</v>
      </c>
      <c r="P18" s="188"/>
      <c r="Q18" s="188"/>
      <c r="R18" s="185"/>
      <c r="S18" s="182"/>
      <c r="T18" s="190"/>
      <c r="U18" s="18" t="s">
        <v>8</v>
      </c>
      <c r="V18" s="18" t="s">
        <v>9</v>
      </c>
      <c r="W18" s="18" t="s">
        <v>10</v>
      </c>
      <c r="X18" s="178"/>
      <c r="Y18" s="2"/>
    </row>
    <row r="19" spans="1:25" s="4" customFormat="1" ht="33" customHeight="1" x14ac:dyDescent="0.25">
      <c r="A19" s="49"/>
      <c r="B19" s="50"/>
      <c r="C19" s="50" t="str">
        <f>IF($A19="",IF($B19="","",$B19),IF(ISERROR(MATCH($A19,資料庫!D:D,0)),"",VLOOKUP($A19,資料庫!$D$2:$E$87,2)))</f>
        <v/>
      </c>
      <c r="D19" s="14">
        <v>1</v>
      </c>
      <c r="E19" s="97"/>
      <c r="F19" s="98" t="str">
        <f>IF($E19="","",VLOOKUP($C19&amp;"_"&amp;$E19,項目異常!$A$2:$L$150,MATCH(F$16,項目異常!$B$1:$L$1,0)+1,FALSE))</f>
        <v/>
      </c>
      <c r="G19" s="98"/>
      <c r="H19" s="98" t="str">
        <f>IF($E19="","",VLOOKUP($C19&amp;"_"&amp;$E19,項目異常!$A$2:$L$150,MATCH(H$16,項目異常!$B$1:$L$1,0)+1,FALSE))</f>
        <v/>
      </c>
      <c r="I19" s="98" t="str">
        <f>IF($E19="","",VLOOKUP($C19&amp;"_"&amp;$E19,項目異常!$A$2:$L$150,MATCH(I$16,項目異常!$B$1:$L$1,0)+1,FALSE))</f>
        <v/>
      </c>
      <c r="J19" s="99" t="str">
        <f>IF($E19="","",VLOOKUP($C19&amp;"_"&amp;$E19,項目異常!$A$2:$L$150,MATCH(J$16,項目異常!$B$1:$L$1,0)+1,FALSE))</f>
        <v/>
      </c>
      <c r="K19" s="100" t="str">
        <f>IF($J19="","",IF($J19&gt;=9,"關鍵特性",IF(OR(AND($J19&gt;=5,$J19&lt;=8),AND($M19&gt;=4,$M19&lt;=10)),"重要特性","一般特性")))</f>
        <v/>
      </c>
      <c r="L19" s="98" t="str">
        <f>IF($E19="","",VLOOKUP($C19&amp;"_"&amp;$E19,項目異常!$A$2:$L$150,MATCH(L$16,項目異常!$B$1:$L$1,0)+1,FALSE))</f>
        <v/>
      </c>
      <c r="M19" s="101" t="str">
        <f>IF($E19="","",VLOOKUP($C19&amp;"_"&amp;$E19,項目異常!$A$2:$L$150,MATCH(M$16,項目異常!$B$1:$L$1,0)+1,FALSE))</f>
        <v/>
      </c>
      <c r="N19" s="102" t="str">
        <f>IF($E19="","",VLOOKUP($C19&amp;"_"&amp;$E19,項目異常!$A$2:$L$150,MATCH(N$18,項目異常!$B$1:$L$1,0)+1,FALSE))</f>
        <v/>
      </c>
      <c r="O19" s="103" t="str">
        <f>IF($E19="","",VLOOKUP($C19&amp;"_"&amp;$E19,項目異常!$A$2:$L$150,MATCH(O$18,項目異常!$B$1:$L$1,0)+1,FALSE))</f>
        <v/>
      </c>
      <c r="P19" s="101" t="str">
        <f>IF($E19="","",VLOOKUP($C19&amp;"_"&amp;$E19,項目異常!$A$2:$L$150,MATCH(P$16,項目異常!$B$1:$L$1,0)+1,FALSE))</f>
        <v/>
      </c>
      <c r="Q19" s="101" t="str">
        <f>IF(OR($J19="",$M19="",$P19=""),"",$J19*$M19*$P19)</f>
        <v/>
      </c>
      <c r="R19" s="118" t="str">
        <f>IF($E19="","",VLOOKUP($C19&amp;"_"&amp;$E19,項目異常!$A$2:$L$150,MATCH(R$16,項目異常!$B$1:$L$1,0)+1,FALSE))</f>
        <v/>
      </c>
      <c r="S19" s="104"/>
      <c r="T19" s="105"/>
      <c r="U19" s="106"/>
      <c r="V19" s="106"/>
      <c r="W19" s="106"/>
      <c r="X19" s="107" t="str">
        <f>IF(OR($U19="",$V19="",$W19=""),"",$U19*$V19*$W19)</f>
        <v/>
      </c>
      <c r="Y19" s="2"/>
    </row>
    <row r="20" spans="1:25" s="4" customFormat="1" ht="33" customHeight="1" x14ac:dyDescent="0.25">
      <c r="A20" s="49"/>
      <c r="B20" s="50"/>
      <c r="C20" s="50" t="str">
        <f>IF($A20="",IF($B20="","",$B20),IF(ISERROR(MATCH($A20,資料庫!D:D,0)),"",VLOOKUP($A20,資料庫!$D$2:$E$87,2)))</f>
        <v/>
      </c>
      <c r="D20" s="8">
        <v>2</v>
      </c>
      <c r="E20" s="97"/>
      <c r="F20" s="98" t="str">
        <f>IF($E20="","",VLOOKUP($C20&amp;"_"&amp;$E20,項目異常!$A$2:$L$150,MATCH(F$16,項目異常!$B$1:$L$1,0)+1,FALSE))</f>
        <v/>
      </c>
      <c r="G20" s="108"/>
      <c r="H20" s="108" t="str">
        <f>IF($E20="","",VLOOKUP($C20&amp;"_"&amp;$E20,項目異常!$A$2:$L$150,MATCH(H$16,項目異常!$B$1:$L$1,0)+1,FALSE))</f>
        <v/>
      </c>
      <c r="I20" s="98" t="str">
        <f>IF($E20="","",VLOOKUP($C20&amp;"_"&amp;$E20,項目異常!$A$2:$L$150,MATCH(I$16,項目異常!$B$1:$L$1,0)+1,FALSE))</f>
        <v/>
      </c>
      <c r="J20" s="99" t="str">
        <f>IF($E20="","",VLOOKUP($C20&amp;"_"&amp;$E20,項目異常!$A$2:$L$150,MATCH(J$16,項目異常!$B$1:$L$1,0)+1,FALSE))</f>
        <v/>
      </c>
      <c r="K20" s="100" t="str">
        <f t="shared" ref="K20:K25" si="0">IF($J20="","",IF($J20&gt;=9,"關鍵特性",IF(OR(AND($J20&gt;=5,$J20&lt;=8),AND($M20&gt;=4,$M20&lt;=10)),"重要特性","一般特性")))</f>
        <v/>
      </c>
      <c r="L20" s="98" t="str">
        <f>IF($E20="","",VLOOKUP($C20&amp;"_"&amp;$E20,項目異常!$A$2:$L$150,MATCH(L$16,項目異常!$B$1:$L$1,0)+1,FALSE))</f>
        <v/>
      </c>
      <c r="M20" s="101" t="str">
        <f>IF($E20="","",VLOOKUP($C20&amp;"_"&amp;$E20,項目異常!$A$2:$L$150,MATCH(M$16,項目異常!$B$1:$L$1,0)+1,FALSE))</f>
        <v/>
      </c>
      <c r="N20" s="102" t="str">
        <f>IF($E20="","",VLOOKUP($C20&amp;"_"&amp;$E20,項目異常!$A$2:$L$150,MATCH(N$18,項目異常!$B$1:$L$1,0)+1,FALSE))</f>
        <v/>
      </c>
      <c r="O20" s="103" t="str">
        <f>IF($E20="","",VLOOKUP($C20&amp;"_"&amp;$E20,項目異常!$A$2:$L$150,MATCH(O$18,項目異常!$B$1:$L$1,0)+1,FALSE))</f>
        <v/>
      </c>
      <c r="P20" s="101" t="str">
        <f>IF($E20="","",VLOOKUP($C20&amp;"_"&amp;$E20,項目異常!$A$2:$L$150,MATCH(P$16,項目異常!$B$1:$L$1,0)+1,FALSE))</f>
        <v/>
      </c>
      <c r="Q20" s="109" t="str">
        <f t="shared" ref="Q20:Q25" si="1">IF(OR($J20="",$M20="",$P20=""),"",$J20*$M20*$P20)</f>
        <v/>
      </c>
      <c r="R20" s="118" t="str">
        <f>IF($E20="","",VLOOKUP($C20&amp;"_"&amp;$E20,項目異常!$A$2:$L$150,MATCH(R$16,項目異常!$B$1:$L$1,0)+1,FALSE))</f>
        <v/>
      </c>
      <c r="S20" s="110"/>
      <c r="T20" s="111"/>
      <c r="U20" s="112"/>
      <c r="V20" s="112"/>
      <c r="W20" s="112"/>
      <c r="X20" s="113" t="str">
        <f t="shared" ref="X20:X25" si="2">IF(OR($U20="",$V20="",$W20=""),"",$U20*$V20*$W20)</f>
        <v/>
      </c>
      <c r="Y20" s="2"/>
    </row>
    <row r="21" spans="1:25" s="4" customFormat="1" ht="33" customHeight="1" x14ac:dyDescent="0.25">
      <c r="A21" s="49"/>
      <c r="B21" s="50"/>
      <c r="C21" s="50" t="str">
        <f>IF($A21="",IF($B21="","",$B21),IF(ISERROR(MATCH($A21,資料庫!D:D,0)),"",VLOOKUP($A21,資料庫!$D$2:$E$87,2)))</f>
        <v/>
      </c>
      <c r="D21" s="8">
        <v>3</v>
      </c>
      <c r="E21" s="97"/>
      <c r="F21" s="98" t="str">
        <f>IF($E21="","",VLOOKUP($C21&amp;"_"&amp;$E21,項目異常!$A$2:$L$150,MATCH(F$16,項目異常!$B$1:$L$1,0)+1,FALSE))</f>
        <v/>
      </c>
      <c r="G21" s="108"/>
      <c r="H21" s="98" t="str">
        <f>IF($E21="","",VLOOKUP($C21&amp;"_"&amp;$E21,項目異常!$A$2:$L$150,MATCH(H$16,項目異常!$B$1:$L$1,0)+1,FALSE))</f>
        <v/>
      </c>
      <c r="I21" s="98" t="str">
        <f>IF($E21="","",VLOOKUP($C21&amp;"_"&amp;$E21,項目異常!$A$2:$L$150,MATCH(I$16,項目異常!$B$1:$L$1,0)+1,FALSE))</f>
        <v/>
      </c>
      <c r="J21" s="99" t="str">
        <f>IF($E21="","",VLOOKUP($C21&amp;"_"&amp;$E21,項目異常!$A$2:$L$150,MATCH(J$16,項目異常!$B$1:$L$1,0)+1,FALSE))</f>
        <v/>
      </c>
      <c r="K21" s="100" t="str">
        <f t="shared" si="0"/>
        <v/>
      </c>
      <c r="L21" s="98" t="str">
        <f>IF($E21="","",VLOOKUP($C21&amp;"_"&amp;$E21,項目異常!$A$2:$L$150,MATCH(L$16,項目異常!$B$1:$L$1,0)+1,FALSE))</f>
        <v/>
      </c>
      <c r="M21" s="101" t="str">
        <f>IF($E21="","",VLOOKUP($C21&amp;"_"&amp;$E21,項目異常!$A$2:$L$150,MATCH(M$16,項目異常!$B$1:$L$1,0)+1,FALSE))</f>
        <v/>
      </c>
      <c r="N21" s="102" t="str">
        <f>IF($E21="","",VLOOKUP($C21&amp;"_"&amp;$E21,項目異常!$A$2:$L$150,MATCH(N$18,項目異常!$B$1:$L$1,0)+1,FALSE))</f>
        <v/>
      </c>
      <c r="O21" s="103" t="str">
        <f>IF($E21="","",VLOOKUP($C21&amp;"_"&amp;$E21,項目異常!$A$2:$L$150,MATCH(O$18,項目異常!$B$1:$L$1,0)+1,FALSE))</f>
        <v/>
      </c>
      <c r="P21" s="101" t="str">
        <f>IF($E21="","",VLOOKUP($C21&amp;"_"&amp;$E21,項目異常!$A$2:$L$150,MATCH(P$16,項目異常!$B$1:$L$1,0)+1,FALSE))</f>
        <v/>
      </c>
      <c r="Q21" s="109" t="str">
        <f t="shared" si="1"/>
        <v/>
      </c>
      <c r="R21" s="118" t="str">
        <f>IF($E21="","",VLOOKUP($C21&amp;"_"&amp;$E21,項目異常!$A$2:$L$150,MATCH(R$16,項目異常!$B$1:$L$1,0)+1,FALSE))</f>
        <v/>
      </c>
      <c r="S21" s="110"/>
      <c r="T21" s="111"/>
      <c r="U21" s="112"/>
      <c r="V21" s="112"/>
      <c r="W21" s="112"/>
      <c r="X21" s="113" t="str">
        <f t="shared" si="2"/>
        <v/>
      </c>
      <c r="Y21" s="2"/>
    </row>
    <row r="22" spans="1:25" s="4" customFormat="1" ht="33" customHeight="1" x14ac:dyDescent="0.25">
      <c r="A22" s="49"/>
      <c r="B22" s="50"/>
      <c r="C22" s="50" t="str">
        <f>IF($A22="",IF($B22="","",$B22),IF(ISERROR(MATCH($A22,資料庫!D:D,0)),"",VLOOKUP($A22,資料庫!$D$2:$E$87,2)))</f>
        <v/>
      </c>
      <c r="D22" s="8">
        <v>4</v>
      </c>
      <c r="E22" s="97"/>
      <c r="F22" s="108" t="str">
        <f>IF($E22="","",VLOOKUP($C22&amp;"_"&amp;$E22,項目異常!$A$2:$L$150,MATCH(F$16,項目異常!$B$1:$L$1,0)+1,FALSE))</f>
        <v/>
      </c>
      <c r="G22" s="108"/>
      <c r="H22" s="108" t="str">
        <f>IF($E22="","",VLOOKUP($C22&amp;"_"&amp;$E22,項目異常!$A$2:$L$150,MATCH(H$16,項目異常!$B$1:$L$1,0)+1,FALSE))</f>
        <v/>
      </c>
      <c r="I22" s="108" t="str">
        <f>IF($E22="","",VLOOKUP($C22&amp;"_"&amp;$E22,項目異常!$A$2:$L$150,MATCH(I$16,項目異常!$B$1:$L$1,0)+1,FALSE))</f>
        <v/>
      </c>
      <c r="J22" s="114" t="str">
        <f>IF($E22="","",VLOOKUP($C22&amp;"_"&amp;$E22,項目異常!$A$2:$L$150,MATCH(J$16,項目異常!$B$1:$L$1,0)+1,FALSE))</f>
        <v/>
      </c>
      <c r="K22" s="115" t="str">
        <f t="shared" si="0"/>
        <v/>
      </c>
      <c r="L22" s="108" t="str">
        <f>IF($E22="","",VLOOKUP($C22&amp;"_"&amp;$E22,項目異常!$A$2:$L$150,MATCH(L$16,項目異常!$B$1:$L$1,0)+1,FALSE))</f>
        <v/>
      </c>
      <c r="M22" s="109" t="str">
        <f>IF($E22="","",VLOOKUP($C22&amp;"_"&amp;$E22,項目異常!$A$2:$L$150,MATCH(M$16,項目異常!$B$1:$L$1,0)+1,FALSE))</f>
        <v/>
      </c>
      <c r="N22" s="116" t="str">
        <f>IF($E22="","",VLOOKUP($C22&amp;"_"&amp;$E22,項目異常!$A$2:$L$150,MATCH(N$18,項目異常!$B$1:$L$1,0)+1,FALSE))</f>
        <v/>
      </c>
      <c r="O22" s="117" t="str">
        <f>IF($E22="","",VLOOKUP($C22&amp;"_"&amp;$E22,項目異常!$A$2:$L$150,MATCH(O$18,項目異常!$B$1:$L$1,0)+1,FALSE))</f>
        <v/>
      </c>
      <c r="P22" s="109" t="str">
        <f>IF($E22="","",VLOOKUP($C22&amp;"_"&amp;$E22,項目異常!$A$2:$L$150,MATCH(P$16,項目異常!$B$1:$L$1,0)+1,FALSE))</f>
        <v/>
      </c>
      <c r="Q22" s="109" t="str">
        <f t="shared" si="1"/>
        <v/>
      </c>
      <c r="R22" s="119" t="str">
        <f>IF($E22="","",VLOOKUP($C22&amp;"_"&amp;$E22,項目異常!$A$2:$L$150,MATCH(R$16,項目異常!$B$1:$L$1,0)+1,FALSE))</f>
        <v/>
      </c>
      <c r="S22" s="110"/>
      <c r="T22" s="111"/>
      <c r="U22" s="112"/>
      <c r="V22" s="112"/>
      <c r="W22" s="112"/>
      <c r="X22" s="113" t="str">
        <f t="shared" si="2"/>
        <v/>
      </c>
      <c r="Y22" s="2"/>
    </row>
    <row r="23" spans="1:25" s="4" customFormat="1" ht="33" customHeight="1" x14ac:dyDescent="0.25">
      <c r="A23" s="49"/>
      <c r="B23" s="50"/>
      <c r="C23" s="50" t="str">
        <f>IF($A23="",IF($B23="","",$B23),IF(ISERROR(MATCH($A23,資料庫!D:D,0)),"",VLOOKUP($A23,資料庫!$D$2:$E$87,2)))</f>
        <v/>
      </c>
      <c r="D23" s="8">
        <v>5</v>
      </c>
      <c r="E23" s="97"/>
      <c r="F23" s="98" t="str">
        <f>IF($E23="","",VLOOKUP($C23&amp;"_"&amp;$E23,項目異常!$A$2:$L$150,MATCH(F$16,項目異常!$B$1:$L$1,0)+1,FALSE))</f>
        <v/>
      </c>
      <c r="G23" s="108"/>
      <c r="H23" s="98" t="str">
        <f>IF($E23="","",VLOOKUP($C23&amp;"_"&amp;$E23,項目異常!$A$2:$L$150,MATCH(H$16,項目異常!$B$1:$L$1,0)+1,FALSE))</f>
        <v/>
      </c>
      <c r="I23" s="98" t="str">
        <f>IF($E23="","",VLOOKUP($C23&amp;"_"&amp;$E23,項目異常!$A$2:$L$150,MATCH(I$16,項目異常!$B$1:$L$1,0)+1,FALSE))</f>
        <v/>
      </c>
      <c r="J23" s="99" t="str">
        <f>IF($E23="","",VLOOKUP($C23&amp;"_"&amp;$E23,項目異常!$A$2:$L$150,MATCH(J$16,項目異常!$B$1:$L$1,0)+1,FALSE))</f>
        <v/>
      </c>
      <c r="K23" s="100" t="str">
        <f t="shared" si="0"/>
        <v/>
      </c>
      <c r="L23" s="98" t="str">
        <f>IF($E23="","",VLOOKUP($C23&amp;"_"&amp;$E23,項目異常!$A$2:$L$150,MATCH(L$16,項目異常!$B$1:$L$1,0)+1,FALSE))</f>
        <v/>
      </c>
      <c r="M23" s="101" t="str">
        <f>IF($E23="","",VLOOKUP($C23&amp;"_"&amp;$E23,項目異常!$A$2:$L$150,MATCH(M$16,項目異常!$B$1:$L$1,0)+1,FALSE))</f>
        <v/>
      </c>
      <c r="N23" s="102" t="str">
        <f>IF($E23="","",VLOOKUP($C23&amp;"_"&amp;$E23,項目異常!$A$2:$L$150,MATCH(N$18,項目異常!$B$1:$L$1,0)+1,FALSE))</f>
        <v/>
      </c>
      <c r="O23" s="103" t="str">
        <f>IF($E23="","",VLOOKUP($C23&amp;"_"&amp;$E23,項目異常!$A$2:$L$150,MATCH(O$18,項目異常!$B$1:$L$1,0)+1,FALSE))</f>
        <v/>
      </c>
      <c r="P23" s="101" t="str">
        <f>IF($E23="","",VLOOKUP($C23&amp;"_"&amp;$E23,項目異常!$A$2:$L$150,MATCH(P$16,項目異常!$B$1:$L$1,0)+1,FALSE))</f>
        <v/>
      </c>
      <c r="Q23" s="109" t="str">
        <f t="shared" si="1"/>
        <v/>
      </c>
      <c r="R23" s="118" t="str">
        <f>IF($E23="","",VLOOKUP($C23&amp;"_"&amp;$E23,項目異常!$A$2:$L$150,MATCH(R$16,項目異常!$B$1:$L$1,0)+1,FALSE))</f>
        <v/>
      </c>
      <c r="S23" s="110"/>
      <c r="T23" s="111"/>
      <c r="U23" s="112"/>
      <c r="V23" s="112"/>
      <c r="W23" s="112"/>
      <c r="X23" s="113" t="str">
        <f t="shared" si="2"/>
        <v/>
      </c>
      <c r="Y23" s="2"/>
    </row>
    <row r="24" spans="1:25" s="4" customFormat="1" ht="33" customHeight="1" x14ac:dyDescent="0.25">
      <c r="A24" s="49"/>
      <c r="B24" s="50"/>
      <c r="C24" s="50" t="str">
        <f>IF($A24="",IF($B24="","",$B24),IF(ISERROR(MATCH($A24,資料庫!D:D,0)),"",VLOOKUP($A24,資料庫!$D$2:$E$87,2)))</f>
        <v/>
      </c>
      <c r="D24" s="8">
        <v>6</v>
      </c>
      <c r="E24" s="47"/>
      <c r="F24" s="16" t="str">
        <f>IF($E24="","",VLOOKUP($C24&amp;"_"&amp;$E24,項目異常!$A$2:$L$150,MATCH(F$16,項目異常!$B$1:$L$1,0)+1,FALSE))</f>
        <v/>
      </c>
      <c r="G24" s="17"/>
      <c r="H24" s="16" t="str">
        <f>IF($E24="","",VLOOKUP($C24&amp;"_"&amp;$E24,項目異常!$A$2:$L$150,MATCH(H$16,項目異常!$B$1:$L$1,0)+1,FALSE))</f>
        <v/>
      </c>
      <c r="I24" s="16" t="str">
        <f>IF($E24="","",VLOOKUP($C24&amp;"_"&amp;$E24,項目異常!$A$2:$L$150,MATCH(I$16,項目異常!$B$1:$L$1,0)+1,FALSE))</f>
        <v/>
      </c>
      <c r="J24" s="20" t="str">
        <f>IF($E24="","",VLOOKUP($C24&amp;"_"&amp;$E24,項目異常!$A$2:$L$150,MATCH(J$16,項目異常!$B$1:$L$1,0)+1,FALSE))</f>
        <v/>
      </c>
      <c r="K24" s="92" t="str">
        <f t="shared" si="0"/>
        <v/>
      </c>
      <c r="L24" s="16" t="str">
        <f>IF($E24="","",VLOOKUP($C24&amp;"_"&amp;$E24,項目異常!$A$2:$L$150,MATCH(L$16,項目異常!$B$1:$L$1,0)+1,FALSE))</f>
        <v/>
      </c>
      <c r="M24" s="21" t="str">
        <f>IF($E24="","",VLOOKUP($C24&amp;"_"&amp;$E24,項目異常!$A$2:$L$150,MATCH(M$16,項目異常!$B$1:$L$1,0)+1,FALSE))</f>
        <v/>
      </c>
      <c r="N24" s="15" t="str">
        <f>IF($E24="","",VLOOKUP($C24&amp;"_"&amp;$E24,項目異常!$A$2:$L$150,MATCH(N$18,項目異常!$B$1:$L$1,0)+1,FALSE))</f>
        <v/>
      </c>
      <c r="O24" s="52" t="str">
        <f>IF($E24="","",VLOOKUP($C24&amp;"_"&amp;$E24,項目異常!$A$2:$L$150,MATCH(O$18,項目異常!$B$1:$L$1,0)+1,FALSE))</f>
        <v/>
      </c>
      <c r="P24" s="21" t="str">
        <f>IF($E24="","",VLOOKUP($C24&amp;"_"&amp;$E24,項目異常!$A$2:$L$150,MATCH(P$16,項目異常!$B$1:$L$1,0)+1,FALSE))</f>
        <v/>
      </c>
      <c r="Q24" s="22" t="str">
        <f t="shared" si="1"/>
        <v/>
      </c>
      <c r="R24" s="120" t="str">
        <f>IF($E24="","",VLOOKUP($C24&amp;"_"&amp;$E24,項目異常!$A$2:$L$150,MATCH(R$16,項目異常!$B$1:$L$1,0)+1,FALSE))</f>
        <v/>
      </c>
      <c r="S24" s="26"/>
      <c r="T24" s="27"/>
      <c r="U24" s="9"/>
      <c r="V24" s="9"/>
      <c r="W24" s="9"/>
      <c r="X24" s="19" t="str">
        <f t="shared" si="2"/>
        <v/>
      </c>
      <c r="Y24" s="2"/>
    </row>
    <row r="25" spans="1:25" s="4" customFormat="1" ht="33" customHeight="1" thickBot="1" x14ac:dyDescent="0.3">
      <c r="A25" s="49"/>
      <c r="B25" s="50"/>
      <c r="C25" s="50" t="str">
        <f>IF($A25="",IF($B25="","",$B25),IF(ISERROR(MATCH($A25,資料庫!D:D,0)),"",VLOOKUP($A25,資料庫!$D$2:$E$87,2)))</f>
        <v/>
      </c>
      <c r="D25" s="82">
        <v>7</v>
      </c>
      <c r="E25" s="48"/>
      <c r="F25" s="83" t="str">
        <f>IF($E25="","",VLOOKUP($C25&amp;"_"&amp;$E25,項目異常!$A$2:$L$150,MATCH(F$16,項目異常!$B$1:$L$1,0)+1,FALSE))</f>
        <v/>
      </c>
      <c r="G25" s="94"/>
      <c r="H25" s="83" t="str">
        <f>IF($E25="","",VLOOKUP($C25&amp;"_"&amp;$E25,項目異常!$A$2:$L$150,MATCH(H$16,項目異常!$B$1:$L$1,0)+1,FALSE))</f>
        <v/>
      </c>
      <c r="I25" s="83" t="str">
        <f>IF($E25="","",VLOOKUP($C25&amp;"_"&amp;$E25,項目異常!$A$2:$L$150,MATCH(I$16,項目異常!$B$1:$L$1,0)+1,FALSE))</f>
        <v/>
      </c>
      <c r="J25" s="84" t="str">
        <f>IF($E25="","",VLOOKUP($C25&amp;"_"&amp;$E25,項目異常!$A$2:$L$150,MATCH(J$16,項目異常!$B$1:$L$1,0)+1,FALSE))</f>
        <v/>
      </c>
      <c r="K25" s="93" t="str">
        <f t="shared" si="0"/>
        <v/>
      </c>
      <c r="L25" s="83" t="str">
        <f>IF($E25="","",VLOOKUP($C25&amp;"_"&amp;$E25,項目異常!$A$2:$L$150,MATCH(L$16,項目異常!$B$1:$L$1,0)+1,FALSE))</f>
        <v/>
      </c>
      <c r="M25" s="85" t="str">
        <f>IF($E25="","",VLOOKUP($C25&amp;"_"&amp;$E25,項目異常!$A$2:$L$150,MATCH(M$16,項目異常!$B$1:$L$1,0)+1,FALSE))</f>
        <v/>
      </c>
      <c r="N25" s="86" t="str">
        <f>IF($E25="","",VLOOKUP($C25&amp;"_"&amp;$E25,項目異常!$A$2:$L$150,MATCH(N$18,項目異常!$B$1:$L$1,0)+1,FALSE))</f>
        <v/>
      </c>
      <c r="O25" s="87" t="str">
        <f>IF($E25="","",VLOOKUP($C25&amp;"_"&amp;$E25,項目異常!$A$2:$L$150,MATCH(O$18,項目異常!$B$1:$L$1,0)+1,FALSE))</f>
        <v/>
      </c>
      <c r="P25" s="85" t="str">
        <f>IF($E25="","",VLOOKUP($C25&amp;"_"&amp;$E25,項目異常!$A$2:$L$150,MATCH(P$16,項目異常!$B$1:$L$1,0)+1,FALSE))</f>
        <v/>
      </c>
      <c r="Q25" s="23" t="str">
        <f t="shared" si="1"/>
        <v/>
      </c>
      <c r="R25" s="121" t="str">
        <f>IF($E25="","",VLOOKUP($C25&amp;"_"&amp;$E25,項目異常!$A$2:$L$150,MATCH(R$16,項目異常!$B$1:$L$1,0)+1,FALSE))</f>
        <v/>
      </c>
      <c r="S25" s="88"/>
      <c r="T25" s="89"/>
      <c r="U25" s="90"/>
      <c r="V25" s="90"/>
      <c r="W25" s="90"/>
      <c r="X25" s="91" t="str">
        <f t="shared" si="2"/>
        <v/>
      </c>
      <c r="Y25" s="2"/>
    </row>
    <row r="26" spans="1:25" ht="17.5" thickTop="1" x14ac:dyDescent="0.35">
      <c r="E26" s="80" t="s">
        <v>677</v>
      </c>
      <c r="F26" s="5"/>
      <c r="G26" s="81" t="s">
        <v>678</v>
      </c>
      <c r="S26" s="147" t="s">
        <v>678</v>
      </c>
      <c r="T26" s="148"/>
      <c r="U26" s="148"/>
      <c r="V26" s="148"/>
      <c r="W26" s="148"/>
      <c r="X26" s="6"/>
    </row>
    <row r="27" spans="1:25" ht="31.5" customHeight="1" x14ac:dyDescent="0.35">
      <c r="E27" s="145" t="s">
        <v>702</v>
      </c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S27" s="6"/>
      <c r="T27" s="6"/>
      <c r="U27" s="6"/>
      <c r="V27" s="6"/>
      <c r="W27" s="6"/>
      <c r="X27" s="6"/>
    </row>
    <row r="28" spans="1:25" ht="31.5" customHeight="1" x14ac:dyDescent="0.35"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S28" s="6"/>
      <c r="T28" s="6"/>
      <c r="U28" s="6"/>
      <c r="V28" s="6"/>
      <c r="W28" s="6"/>
      <c r="X28" s="6"/>
    </row>
    <row r="29" spans="1:25" ht="31.5" customHeight="1" x14ac:dyDescent="0.35">
      <c r="S29" s="6"/>
      <c r="T29" s="6"/>
      <c r="U29" s="6"/>
      <c r="V29" s="6"/>
      <c r="W29" s="6"/>
      <c r="X29" s="6"/>
    </row>
    <row r="30" spans="1:25" ht="31.5" customHeight="1" x14ac:dyDescent="0.35">
      <c r="S30" s="6"/>
      <c r="T30" s="6"/>
      <c r="U30" s="6"/>
      <c r="V30" s="6"/>
      <c r="W30" s="6"/>
      <c r="X30" s="6"/>
    </row>
    <row r="31" spans="1:25" ht="31.5" customHeight="1" x14ac:dyDescent="0.35">
      <c r="S31" s="6"/>
      <c r="T31" s="6"/>
      <c r="U31" s="6"/>
      <c r="V31" s="6"/>
      <c r="W31" s="6"/>
      <c r="X31" s="6"/>
    </row>
    <row r="32" spans="1:25" ht="31.5" customHeight="1" x14ac:dyDescent="0.35">
      <c r="E32" s="5"/>
      <c r="F32" s="5"/>
      <c r="G32" s="5"/>
      <c r="S32" s="6"/>
      <c r="T32" s="6"/>
      <c r="U32" s="6"/>
      <c r="V32" s="6"/>
      <c r="W32" s="6"/>
      <c r="X32" s="6"/>
    </row>
    <row r="33" spans="5:24" ht="31.5" customHeight="1" x14ac:dyDescent="0.35">
      <c r="E33" s="5"/>
      <c r="F33" s="5"/>
      <c r="G33" s="5"/>
      <c r="H33" s="5"/>
      <c r="I33" s="5"/>
      <c r="J33" s="6"/>
      <c r="K33" s="5"/>
      <c r="L33" s="5"/>
      <c r="M33" s="6"/>
      <c r="P33" s="6"/>
      <c r="Q33" s="6"/>
      <c r="R33" s="5"/>
      <c r="S33" s="6"/>
      <c r="T33" s="6"/>
      <c r="U33" s="6"/>
      <c r="V33" s="6"/>
      <c r="W33" s="6"/>
      <c r="X33" s="6"/>
    </row>
  </sheetData>
  <mergeCells count="104">
    <mergeCell ref="D3:N3"/>
    <mergeCell ref="A17:B17"/>
    <mergeCell ref="A13:A16"/>
    <mergeCell ref="D5:E6"/>
    <mergeCell ref="F5:H6"/>
    <mergeCell ref="M6:N7"/>
    <mergeCell ref="M8:N9"/>
    <mergeCell ref="D7:E8"/>
    <mergeCell ref="D9:E10"/>
    <mergeCell ref="D11:E12"/>
    <mergeCell ref="D13:E14"/>
    <mergeCell ref="N16:O17"/>
    <mergeCell ref="F7:H7"/>
    <mergeCell ref="F8:H8"/>
    <mergeCell ref="A10:B10"/>
    <mergeCell ref="A8:B9"/>
    <mergeCell ref="D16:D18"/>
    <mergeCell ref="E16:E18"/>
    <mergeCell ref="F16:F18"/>
    <mergeCell ref="G16:G18"/>
    <mergeCell ref="H16:H18"/>
    <mergeCell ref="M16:M18"/>
    <mergeCell ref="L16:L18"/>
    <mergeCell ref="K16:K18"/>
    <mergeCell ref="P1:Q1"/>
    <mergeCell ref="P2:Q2"/>
    <mergeCell ref="P3:Q3"/>
    <mergeCell ref="K10:L10"/>
    <mergeCell ref="K9:L9"/>
    <mergeCell ref="I5:L5"/>
    <mergeCell ref="M5:O5"/>
    <mergeCell ref="K8:L8"/>
    <mergeCell ref="K7:L7"/>
    <mergeCell ref="O6:O7"/>
    <mergeCell ref="P5:R5"/>
    <mergeCell ref="I6:J6"/>
    <mergeCell ref="K6:L6"/>
    <mergeCell ref="P6:Q6"/>
    <mergeCell ref="P7:Q7"/>
    <mergeCell ref="P8:Q8"/>
    <mergeCell ref="P9:Q9"/>
    <mergeCell ref="P10:Q10"/>
    <mergeCell ref="I7:J7"/>
    <mergeCell ref="I8:J8"/>
    <mergeCell ref="I9:J9"/>
    <mergeCell ref="I10:J10"/>
    <mergeCell ref="D1:N1"/>
    <mergeCell ref="D2:N2"/>
    <mergeCell ref="S2:T2"/>
    <mergeCell ref="S1:T1"/>
    <mergeCell ref="T9:U10"/>
    <mergeCell ref="T11:U12"/>
    <mergeCell ref="W2:X2"/>
    <mergeCell ref="W1:X1"/>
    <mergeCell ref="U1:V1"/>
    <mergeCell ref="U2:V2"/>
    <mergeCell ref="U3:V3"/>
    <mergeCell ref="W3:X3"/>
    <mergeCell ref="S6:S8"/>
    <mergeCell ref="T6:U8"/>
    <mergeCell ref="V6:W7"/>
    <mergeCell ref="X6:X7"/>
    <mergeCell ref="V5:X5"/>
    <mergeCell ref="S9:S10"/>
    <mergeCell ref="S11:S12"/>
    <mergeCell ref="V12:W12"/>
    <mergeCell ref="T13:U14"/>
    <mergeCell ref="S5:U5"/>
    <mergeCell ref="P14:Q14"/>
    <mergeCell ref="V13:W13"/>
    <mergeCell ref="V14:W14"/>
    <mergeCell ref="S3:T3"/>
    <mergeCell ref="X17:X18"/>
    <mergeCell ref="T16:X16"/>
    <mergeCell ref="S16:S18"/>
    <mergeCell ref="P11:Q11"/>
    <mergeCell ref="R16:R18"/>
    <mergeCell ref="Q16:Q18"/>
    <mergeCell ref="P16:P18"/>
    <mergeCell ref="T17:T18"/>
    <mergeCell ref="I11:J14"/>
    <mergeCell ref="K11:L14"/>
    <mergeCell ref="M12:N13"/>
    <mergeCell ref="J16:J18"/>
    <mergeCell ref="I16:I18"/>
    <mergeCell ref="S13:S14"/>
    <mergeCell ref="E27:O28"/>
    <mergeCell ref="S26:W26"/>
    <mergeCell ref="C5:C14"/>
    <mergeCell ref="F13:H14"/>
    <mergeCell ref="M14:N14"/>
    <mergeCell ref="O8:O9"/>
    <mergeCell ref="O12:O13"/>
    <mergeCell ref="P13:Q13"/>
    <mergeCell ref="P12:Q12"/>
    <mergeCell ref="M10:N11"/>
    <mergeCell ref="U17:W17"/>
    <mergeCell ref="F9:H10"/>
    <mergeCell ref="V8:W8"/>
    <mergeCell ref="V9:W9"/>
    <mergeCell ref="V10:W10"/>
    <mergeCell ref="V11:W11"/>
    <mergeCell ref="O10:O11"/>
    <mergeCell ref="F11:H12"/>
  </mergeCells>
  <phoneticPr fontId="10" type="noConversion"/>
  <dataValidations count="4">
    <dataValidation type="list" allowBlank="1" sqref="R22:R25" xr:uid="{00000000-0002-0000-0000-000000000000}">
      <formula1>"首件須以檢驗機量測"</formula1>
    </dataValidation>
    <dataValidation type="list" allowBlank="1" showInputMessage="1" showErrorMessage="1" sqref="B19:B25" xr:uid="{00000000-0002-0000-0000-000001000000}">
      <formula1>製程</formula1>
    </dataValidation>
    <dataValidation type="list" allowBlank="1" showInputMessage="1" showErrorMessage="1" sqref="E19:E25" xr:uid="{00000000-0002-0000-0000-000002000000}">
      <formula1>OFFSET(製程基準,MATCH($C19,製程,0),1,,COUNTA(OFFSET(製程基準,MATCH($C19,製程,0),1,,10)))</formula1>
    </dataValidation>
    <dataValidation allowBlank="1" sqref="R19:R21" xr:uid="{F3AAF71A-DE16-4CBA-B543-B638E180736B}"/>
  </dataValidations>
  <pageMargins left="0.25" right="0.25" top="0.75" bottom="0.75" header="0.3" footer="0.3"/>
  <pageSetup paperSize="9" orientation="landscape" horizontalDpi="180" verticalDpi="180" r:id="rId1"/>
  <headerFooter>
    <oddFooter>&amp;R&amp;"Arial Unicode MS,標準"3-TD-01-02</oddFooter>
  </headerFooter>
  <ignoredErrors>
    <ignoredError sqref="Q19 K19:K2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清除">
                <anchor moveWithCells="1" sizeWithCells="1">
                  <from>
                    <xdr:col>1</xdr:col>
                    <xdr:colOff>146050</xdr:colOff>
                    <xdr:row>11</xdr:row>
                    <xdr:rowOff>95250</xdr:rowOff>
                  </from>
                  <to>
                    <xdr:col>1</xdr:col>
                    <xdr:colOff>508000</xdr:colOff>
                    <xdr:row>15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L180"/>
  <sheetViews>
    <sheetView zoomScaleNormal="100" workbookViewId="0">
      <pane ySplit="1" topLeftCell="A2" activePane="bottomLeft" state="frozen"/>
      <selection pane="bottomLeft" activeCell="B25" sqref="B25"/>
    </sheetView>
  </sheetViews>
  <sheetFormatPr defaultColWidth="9" defaultRowHeight="17" x14ac:dyDescent="0.4"/>
  <cols>
    <col min="1" max="1" width="11.6328125" style="28" bestFit="1" customWidth="1"/>
    <col min="2" max="2" width="16.08984375" style="29" bestFit="1" customWidth="1"/>
    <col min="3" max="3" width="6.453125" style="28" customWidth="1"/>
    <col min="4" max="4" width="9" style="33"/>
    <col min="5" max="5" width="17.36328125" style="34" bestFit="1" customWidth="1"/>
    <col min="6" max="6" width="18.36328125" style="29" bestFit="1" customWidth="1"/>
    <col min="7" max="7" width="13.90625" style="29" bestFit="1" customWidth="1"/>
    <col min="8" max="8" width="18.36328125" style="29" bestFit="1" customWidth="1"/>
    <col min="9" max="9" width="13.90625" style="29" bestFit="1" customWidth="1"/>
    <col min="10" max="12" width="9" style="29"/>
    <col min="13" max="16384" width="9" style="28"/>
  </cols>
  <sheetData>
    <row r="1" spans="1:9" ht="34" x14ac:dyDescent="0.4">
      <c r="A1" s="31" t="s">
        <v>11</v>
      </c>
      <c r="D1" s="42" t="s">
        <v>178</v>
      </c>
      <c r="E1" s="44" t="s">
        <v>222</v>
      </c>
      <c r="F1" s="41" t="s">
        <v>57</v>
      </c>
    </row>
    <row r="2" spans="1:9" x14ac:dyDescent="0.4">
      <c r="A2" s="28">
        <v>1</v>
      </c>
      <c r="B2" s="29" t="s">
        <v>42</v>
      </c>
      <c r="D2" s="35">
        <v>1</v>
      </c>
      <c r="E2" s="45" t="s">
        <v>68</v>
      </c>
      <c r="F2" s="29" t="s">
        <v>170</v>
      </c>
      <c r="G2" s="29" t="s">
        <v>171</v>
      </c>
      <c r="H2" s="29" t="s">
        <v>172</v>
      </c>
    </row>
    <row r="3" spans="1:9" x14ac:dyDescent="0.4">
      <c r="A3" s="28">
        <v>2</v>
      </c>
      <c r="B3" s="29" t="s">
        <v>44</v>
      </c>
      <c r="D3" s="35">
        <v>2</v>
      </c>
      <c r="E3" s="45" t="s">
        <v>224</v>
      </c>
      <c r="F3" s="29" t="s">
        <v>70</v>
      </c>
      <c r="G3" s="29" t="s">
        <v>173</v>
      </c>
      <c r="H3" s="29" t="s">
        <v>169</v>
      </c>
      <c r="I3" s="29" t="s">
        <v>174</v>
      </c>
    </row>
    <row r="4" spans="1:9" x14ac:dyDescent="0.4">
      <c r="A4" s="28">
        <v>3</v>
      </c>
      <c r="B4" s="29" t="s">
        <v>45</v>
      </c>
      <c r="D4" s="35">
        <v>4</v>
      </c>
      <c r="E4" s="46" t="s">
        <v>77</v>
      </c>
      <c r="F4" s="29" t="s">
        <v>71</v>
      </c>
      <c r="G4" s="29" t="s">
        <v>72</v>
      </c>
    </row>
    <row r="5" spans="1:9" x14ac:dyDescent="0.4">
      <c r="A5" s="28">
        <v>4</v>
      </c>
      <c r="B5" s="29" t="s">
        <v>45</v>
      </c>
      <c r="D5" s="35">
        <v>8</v>
      </c>
      <c r="E5" s="46" t="s">
        <v>78</v>
      </c>
      <c r="F5" s="29" t="s">
        <v>175</v>
      </c>
      <c r="G5" s="29" t="s">
        <v>176</v>
      </c>
      <c r="H5" s="29" t="s">
        <v>180</v>
      </c>
    </row>
    <row r="6" spans="1:9" x14ac:dyDescent="0.4">
      <c r="A6" s="28">
        <v>5</v>
      </c>
      <c r="B6" s="29" t="s">
        <v>45</v>
      </c>
      <c r="D6" s="35">
        <v>10</v>
      </c>
      <c r="E6" s="46" t="s">
        <v>79</v>
      </c>
      <c r="F6" s="29" t="s">
        <v>158</v>
      </c>
      <c r="G6" s="29" t="s">
        <v>177</v>
      </c>
    </row>
    <row r="7" spans="1:9" x14ac:dyDescent="0.4">
      <c r="A7" s="28">
        <v>6</v>
      </c>
      <c r="B7" s="29" t="s">
        <v>45</v>
      </c>
      <c r="D7" s="35">
        <v>11</v>
      </c>
      <c r="E7" s="46" t="s">
        <v>80</v>
      </c>
      <c r="F7" s="29" t="s">
        <v>158</v>
      </c>
    </row>
    <row r="8" spans="1:9" x14ac:dyDescent="0.4">
      <c r="A8" s="28">
        <v>7</v>
      </c>
      <c r="B8" s="29" t="s">
        <v>47</v>
      </c>
      <c r="D8" s="35">
        <v>12</v>
      </c>
      <c r="E8" s="46" t="s">
        <v>81</v>
      </c>
      <c r="F8" s="29" t="s">
        <v>185</v>
      </c>
      <c r="G8" s="29" t="s">
        <v>184</v>
      </c>
    </row>
    <row r="9" spans="1:9" x14ac:dyDescent="0.4">
      <c r="A9" s="28">
        <v>8</v>
      </c>
      <c r="B9" s="29" t="s">
        <v>48</v>
      </c>
      <c r="D9" s="35">
        <v>13</v>
      </c>
      <c r="E9" s="46" t="s">
        <v>82</v>
      </c>
      <c r="F9" s="29" t="s">
        <v>179</v>
      </c>
      <c r="G9" s="29" t="s">
        <v>180</v>
      </c>
    </row>
    <row r="10" spans="1:9" ht="22.5" x14ac:dyDescent="0.4">
      <c r="A10" s="28">
        <v>9</v>
      </c>
      <c r="B10" s="36" t="s">
        <v>67</v>
      </c>
      <c r="D10" s="35">
        <v>15</v>
      </c>
      <c r="E10" s="46" t="s">
        <v>83</v>
      </c>
      <c r="F10" s="29" t="s">
        <v>180</v>
      </c>
      <c r="G10" s="29" t="s">
        <v>174</v>
      </c>
    </row>
    <row r="11" spans="1:9" ht="22.5" x14ac:dyDescent="0.4">
      <c r="A11" s="28">
        <v>10</v>
      </c>
      <c r="B11" s="36" t="s">
        <v>66</v>
      </c>
      <c r="D11" s="35">
        <v>16</v>
      </c>
      <c r="E11" s="46" t="s">
        <v>84</v>
      </c>
      <c r="F11" s="29" t="s">
        <v>73</v>
      </c>
    </row>
    <row r="12" spans="1:9" x14ac:dyDescent="0.4">
      <c r="D12" s="35">
        <v>19</v>
      </c>
      <c r="E12" s="46" t="s">
        <v>85</v>
      </c>
      <c r="F12" s="29" t="s">
        <v>70</v>
      </c>
      <c r="G12" s="29" t="s">
        <v>173</v>
      </c>
      <c r="H12" s="29" t="s">
        <v>169</v>
      </c>
    </row>
    <row r="13" spans="1:9" x14ac:dyDescent="0.4">
      <c r="D13" s="35">
        <v>21</v>
      </c>
      <c r="E13" s="46" t="s">
        <v>86</v>
      </c>
      <c r="F13" s="29" t="s">
        <v>74</v>
      </c>
    </row>
    <row r="14" spans="1:9" x14ac:dyDescent="0.4">
      <c r="D14" s="35">
        <v>22</v>
      </c>
      <c r="E14" s="46" t="s">
        <v>87</v>
      </c>
      <c r="F14" s="29" t="s">
        <v>75</v>
      </c>
    </row>
    <row r="15" spans="1:9" x14ac:dyDescent="0.4">
      <c r="A15" s="32" t="s">
        <v>654</v>
      </c>
      <c r="B15" s="32" t="s">
        <v>655</v>
      </c>
      <c r="D15" s="35">
        <v>25</v>
      </c>
      <c r="E15" s="46" t="s">
        <v>88</v>
      </c>
      <c r="F15" s="29" t="s">
        <v>573</v>
      </c>
      <c r="G15" s="29" t="s">
        <v>574</v>
      </c>
    </row>
    <row r="16" spans="1:9" x14ac:dyDescent="0.4">
      <c r="A16" s="28" t="s">
        <v>673</v>
      </c>
      <c r="B16" s="28" t="s">
        <v>674</v>
      </c>
      <c r="D16" s="35">
        <v>27</v>
      </c>
      <c r="E16" s="46" t="s">
        <v>89</v>
      </c>
      <c r="F16" s="29" t="s">
        <v>71</v>
      </c>
      <c r="G16" s="29" t="s">
        <v>72</v>
      </c>
    </row>
    <row r="17" spans="1:8" x14ac:dyDescent="0.4">
      <c r="A17" s="28" t="s">
        <v>657</v>
      </c>
      <c r="B17" s="28" t="s">
        <v>659</v>
      </c>
      <c r="D17" s="35">
        <v>34</v>
      </c>
      <c r="E17" s="46" t="s">
        <v>90</v>
      </c>
      <c r="F17" s="29" t="s">
        <v>71</v>
      </c>
      <c r="G17" s="29" t="s">
        <v>72</v>
      </c>
    </row>
    <row r="18" spans="1:8" x14ac:dyDescent="0.4">
      <c r="B18" s="28" t="s">
        <v>663</v>
      </c>
      <c r="D18" s="35">
        <v>37</v>
      </c>
      <c r="E18" s="46" t="s">
        <v>91</v>
      </c>
      <c r="F18" s="29" t="s">
        <v>76</v>
      </c>
    </row>
    <row r="19" spans="1:8" x14ac:dyDescent="0.4">
      <c r="B19" s="28" t="s">
        <v>661</v>
      </c>
      <c r="D19" s="35">
        <v>39</v>
      </c>
      <c r="E19" s="46" t="s">
        <v>92</v>
      </c>
      <c r="F19" s="29" t="s">
        <v>188</v>
      </c>
    </row>
    <row r="20" spans="1:8" x14ac:dyDescent="0.4">
      <c r="B20" s="28" t="s">
        <v>665</v>
      </c>
      <c r="D20" s="35">
        <v>42</v>
      </c>
      <c r="E20" s="46" t="s">
        <v>93</v>
      </c>
      <c r="F20" s="29" t="s">
        <v>180</v>
      </c>
      <c r="G20" s="29" t="s">
        <v>174</v>
      </c>
    </row>
    <row r="21" spans="1:8" x14ac:dyDescent="0.4">
      <c r="B21" s="28" t="s">
        <v>667</v>
      </c>
      <c r="D21" s="35">
        <v>43</v>
      </c>
      <c r="E21" s="46" t="s">
        <v>94</v>
      </c>
      <c r="F21" s="29" t="s">
        <v>70</v>
      </c>
      <c r="G21" s="29" t="s">
        <v>173</v>
      </c>
      <c r="H21" s="29" t="s">
        <v>169</v>
      </c>
    </row>
    <row r="22" spans="1:8" x14ac:dyDescent="0.4">
      <c r="B22" s="28" t="s">
        <v>669</v>
      </c>
      <c r="D22" s="35">
        <v>48</v>
      </c>
      <c r="E22" s="46" t="s">
        <v>95</v>
      </c>
      <c r="F22" s="29" t="s">
        <v>158</v>
      </c>
    </row>
    <row r="23" spans="1:8" x14ac:dyDescent="0.4">
      <c r="B23" s="28" t="s">
        <v>671</v>
      </c>
      <c r="D23" s="35">
        <v>50</v>
      </c>
      <c r="E23" s="46" t="s">
        <v>96</v>
      </c>
      <c r="F23" s="29" t="s">
        <v>175</v>
      </c>
      <c r="G23" s="29" t="s">
        <v>176</v>
      </c>
      <c r="H23" s="29" t="s">
        <v>180</v>
      </c>
    </row>
    <row r="24" spans="1:8" x14ac:dyDescent="0.4">
      <c r="B24" s="28" t="s">
        <v>676</v>
      </c>
      <c r="D24" s="35">
        <v>51</v>
      </c>
      <c r="E24" s="46" t="s">
        <v>97</v>
      </c>
      <c r="F24" s="29" t="s">
        <v>175</v>
      </c>
      <c r="G24" s="29" t="s">
        <v>176</v>
      </c>
      <c r="H24" s="29" t="s">
        <v>180</v>
      </c>
    </row>
    <row r="25" spans="1:8" x14ac:dyDescent="0.4">
      <c r="D25" s="35">
        <v>56</v>
      </c>
      <c r="E25" s="46" t="s">
        <v>98</v>
      </c>
      <c r="F25" s="29" t="s">
        <v>158</v>
      </c>
    </row>
    <row r="26" spans="1:8" x14ac:dyDescent="0.4">
      <c r="D26" s="35">
        <v>61</v>
      </c>
      <c r="E26" s="46" t="s">
        <v>99</v>
      </c>
      <c r="F26" s="29" t="s">
        <v>158</v>
      </c>
    </row>
    <row r="27" spans="1:8" x14ac:dyDescent="0.4">
      <c r="D27" s="35">
        <v>62</v>
      </c>
      <c r="E27" s="46" t="s">
        <v>100</v>
      </c>
      <c r="F27" s="29" t="s">
        <v>158</v>
      </c>
    </row>
    <row r="28" spans="1:8" x14ac:dyDescent="0.4">
      <c r="D28" s="35">
        <v>74</v>
      </c>
      <c r="E28" s="46" t="s">
        <v>92</v>
      </c>
      <c r="F28" s="29" t="s">
        <v>188</v>
      </c>
    </row>
    <row r="29" spans="1:8" x14ac:dyDescent="0.4">
      <c r="D29" s="35">
        <v>75</v>
      </c>
      <c r="E29" s="46" t="s">
        <v>101</v>
      </c>
      <c r="F29" s="29" t="s">
        <v>170</v>
      </c>
      <c r="G29" s="29" t="s">
        <v>171</v>
      </c>
      <c r="H29" s="29" t="s">
        <v>172</v>
      </c>
    </row>
    <row r="30" spans="1:8" x14ac:dyDescent="0.4">
      <c r="D30" s="35">
        <v>84</v>
      </c>
      <c r="E30" s="46" t="s">
        <v>102</v>
      </c>
      <c r="F30" s="29" t="s">
        <v>202</v>
      </c>
    </row>
    <row r="31" spans="1:8" x14ac:dyDescent="0.4">
      <c r="D31" s="35">
        <v>87</v>
      </c>
      <c r="E31" s="46" t="s">
        <v>103</v>
      </c>
      <c r="F31" s="29" t="s">
        <v>159</v>
      </c>
      <c r="G31" s="29" t="s">
        <v>163</v>
      </c>
    </row>
    <row r="32" spans="1:8" x14ac:dyDescent="0.4">
      <c r="D32" s="35">
        <v>88</v>
      </c>
      <c r="E32" s="46" t="s">
        <v>104</v>
      </c>
      <c r="F32" s="29" t="s">
        <v>160</v>
      </c>
    </row>
    <row r="33" spans="4:8" x14ac:dyDescent="0.4">
      <c r="D33" s="35">
        <v>89</v>
      </c>
      <c r="E33" s="46" t="s">
        <v>105</v>
      </c>
      <c r="F33" s="29" t="s">
        <v>161</v>
      </c>
      <c r="G33" s="29" t="s">
        <v>162</v>
      </c>
    </row>
    <row r="34" spans="4:8" x14ac:dyDescent="0.4">
      <c r="D34" s="35">
        <v>91</v>
      </c>
      <c r="E34" s="46" t="s">
        <v>106</v>
      </c>
      <c r="F34" s="29" t="s">
        <v>158</v>
      </c>
    </row>
    <row r="35" spans="4:8" x14ac:dyDescent="0.4">
      <c r="D35" s="35">
        <v>92</v>
      </c>
      <c r="E35" s="46" t="s">
        <v>107</v>
      </c>
      <c r="F35" s="29" t="s">
        <v>164</v>
      </c>
    </row>
    <row r="36" spans="4:8" x14ac:dyDescent="0.4">
      <c r="D36" s="35">
        <v>100</v>
      </c>
      <c r="E36" s="46" t="s">
        <v>108</v>
      </c>
      <c r="F36" s="29" t="s">
        <v>187</v>
      </c>
    </row>
    <row r="37" spans="4:8" x14ac:dyDescent="0.4">
      <c r="D37" s="35">
        <v>102</v>
      </c>
      <c r="E37" s="46" t="s">
        <v>109</v>
      </c>
      <c r="F37" s="29" t="s">
        <v>70</v>
      </c>
      <c r="G37" s="29" t="s">
        <v>173</v>
      </c>
      <c r="H37" s="29" t="s">
        <v>169</v>
      </c>
    </row>
    <row r="38" spans="4:8" x14ac:dyDescent="0.4">
      <c r="D38" s="35">
        <v>104</v>
      </c>
      <c r="E38" s="46" t="s">
        <v>110</v>
      </c>
      <c r="F38" s="29" t="s">
        <v>187</v>
      </c>
    </row>
    <row r="39" spans="4:8" x14ac:dyDescent="0.4">
      <c r="D39" s="35">
        <v>106</v>
      </c>
      <c r="E39" s="46" t="s">
        <v>111</v>
      </c>
      <c r="F39" s="29" t="s">
        <v>160</v>
      </c>
    </row>
    <row r="40" spans="4:8" x14ac:dyDescent="0.4">
      <c r="D40" s="35">
        <v>107</v>
      </c>
      <c r="E40" s="46" t="s">
        <v>112</v>
      </c>
      <c r="F40" s="29" t="s">
        <v>165</v>
      </c>
    </row>
    <row r="41" spans="4:8" x14ac:dyDescent="0.4">
      <c r="D41" s="35">
        <v>109</v>
      </c>
      <c r="E41" s="46" t="s">
        <v>150</v>
      </c>
      <c r="F41" s="29" t="s">
        <v>74</v>
      </c>
      <c r="G41" s="29" t="s">
        <v>166</v>
      </c>
    </row>
    <row r="42" spans="4:8" x14ac:dyDescent="0.4">
      <c r="D42" s="35">
        <v>110</v>
      </c>
      <c r="E42" s="46" t="s">
        <v>87</v>
      </c>
      <c r="F42" s="29" t="s">
        <v>166</v>
      </c>
    </row>
    <row r="43" spans="4:8" x14ac:dyDescent="0.4">
      <c r="D43" s="35">
        <v>111</v>
      </c>
      <c r="E43" s="46" t="s">
        <v>113</v>
      </c>
      <c r="F43" s="29" t="s">
        <v>167</v>
      </c>
    </row>
    <row r="44" spans="4:8" x14ac:dyDescent="0.4">
      <c r="D44" s="35">
        <v>112</v>
      </c>
      <c r="E44" s="46" t="s">
        <v>114</v>
      </c>
      <c r="F44" s="29" t="s">
        <v>168</v>
      </c>
    </row>
    <row r="45" spans="4:8" x14ac:dyDescent="0.4">
      <c r="D45" s="35">
        <v>113</v>
      </c>
      <c r="E45" s="46" t="s">
        <v>115</v>
      </c>
      <c r="F45" s="29" t="s">
        <v>169</v>
      </c>
    </row>
    <row r="46" spans="4:8" x14ac:dyDescent="0.4">
      <c r="D46" s="35">
        <v>114</v>
      </c>
      <c r="E46" s="46" t="s">
        <v>151</v>
      </c>
      <c r="F46" s="29" t="s">
        <v>188</v>
      </c>
      <c r="G46" s="29" t="s">
        <v>189</v>
      </c>
    </row>
    <row r="47" spans="4:8" x14ac:dyDescent="0.4">
      <c r="D47" s="35">
        <v>115</v>
      </c>
      <c r="E47" s="46" t="s">
        <v>116</v>
      </c>
      <c r="F47" s="29" t="s">
        <v>214</v>
      </c>
    </row>
    <row r="48" spans="4:8" x14ac:dyDescent="0.4">
      <c r="D48" s="35">
        <v>116</v>
      </c>
      <c r="E48" s="46" t="s">
        <v>117</v>
      </c>
      <c r="F48" s="29" t="s">
        <v>70</v>
      </c>
      <c r="G48" s="29" t="s">
        <v>173</v>
      </c>
      <c r="H48" s="29" t="s">
        <v>169</v>
      </c>
    </row>
    <row r="49" spans="4:8" x14ac:dyDescent="0.4">
      <c r="D49" s="35">
        <v>117</v>
      </c>
      <c r="E49" s="46" t="s">
        <v>118</v>
      </c>
      <c r="F49" s="29" t="s">
        <v>70</v>
      </c>
      <c r="G49" s="29" t="s">
        <v>173</v>
      </c>
      <c r="H49" s="29" t="s">
        <v>169</v>
      </c>
    </row>
    <row r="50" spans="4:8" x14ac:dyDescent="0.4">
      <c r="D50" s="35">
        <v>118</v>
      </c>
      <c r="E50" s="46" t="s">
        <v>119</v>
      </c>
      <c r="F50" s="29" t="s">
        <v>583</v>
      </c>
      <c r="G50" s="29" t="s">
        <v>584</v>
      </c>
    </row>
    <row r="51" spans="4:8" x14ac:dyDescent="0.4">
      <c r="D51" s="35">
        <v>119</v>
      </c>
      <c r="E51" s="46" t="s">
        <v>120</v>
      </c>
      <c r="F51" s="29" t="s">
        <v>188</v>
      </c>
      <c r="G51" s="29" t="s">
        <v>189</v>
      </c>
    </row>
    <row r="52" spans="4:8" x14ac:dyDescent="0.4">
      <c r="D52" s="35">
        <v>120</v>
      </c>
      <c r="E52" s="46" t="s">
        <v>121</v>
      </c>
      <c r="F52" s="29" t="s">
        <v>194</v>
      </c>
    </row>
    <row r="53" spans="4:8" x14ac:dyDescent="0.4">
      <c r="D53" s="35">
        <v>121</v>
      </c>
      <c r="E53" s="46" t="s">
        <v>152</v>
      </c>
      <c r="F53" s="29" t="s">
        <v>170</v>
      </c>
      <c r="G53" s="29" t="s">
        <v>171</v>
      </c>
      <c r="H53" s="29" t="s">
        <v>190</v>
      </c>
    </row>
    <row r="54" spans="4:8" x14ac:dyDescent="0.4">
      <c r="D54" s="35">
        <v>123</v>
      </c>
      <c r="E54" s="46" t="s">
        <v>153</v>
      </c>
      <c r="F54" s="29" t="s">
        <v>170</v>
      </c>
      <c r="G54" s="29" t="s">
        <v>171</v>
      </c>
      <c r="H54" s="29" t="s">
        <v>169</v>
      </c>
    </row>
    <row r="55" spans="4:8" x14ac:dyDescent="0.4">
      <c r="D55" s="35">
        <v>126</v>
      </c>
      <c r="E55" s="46" t="s">
        <v>122</v>
      </c>
      <c r="F55" s="29" t="s">
        <v>158</v>
      </c>
    </row>
    <row r="56" spans="4:8" x14ac:dyDescent="0.4">
      <c r="D56" s="35">
        <v>127</v>
      </c>
      <c r="E56" s="46" t="s">
        <v>123</v>
      </c>
      <c r="F56" s="29" t="s">
        <v>186</v>
      </c>
    </row>
    <row r="57" spans="4:8" x14ac:dyDescent="0.4">
      <c r="D57" s="35">
        <v>128</v>
      </c>
      <c r="E57" s="46" t="s">
        <v>154</v>
      </c>
      <c r="F57" s="29" t="s">
        <v>195</v>
      </c>
    </row>
    <row r="58" spans="4:8" x14ac:dyDescent="0.4">
      <c r="D58" s="35">
        <v>129</v>
      </c>
      <c r="E58" s="46" t="s">
        <v>124</v>
      </c>
      <c r="F58" s="29" t="s">
        <v>196</v>
      </c>
    </row>
    <row r="59" spans="4:8" x14ac:dyDescent="0.4">
      <c r="D59" s="35">
        <v>134</v>
      </c>
      <c r="E59" s="46" t="s">
        <v>125</v>
      </c>
      <c r="F59" s="29" t="s">
        <v>70</v>
      </c>
      <c r="G59" s="29" t="s">
        <v>173</v>
      </c>
      <c r="H59" s="29" t="s">
        <v>169</v>
      </c>
    </row>
    <row r="60" spans="4:8" x14ac:dyDescent="0.4">
      <c r="D60" s="35">
        <v>135</v>
      </c>
      <c r="E60" s="46" t="s">
        <v>126</v>
      </c>
      <c r="F60" s="29" t="s">
        <v>193</v>
      </c>
    </row>
    <row r="61" spans="4:8" x14ac:dyDescent="0.4">
      <c r="D61" s="35">
        <v>136</v>
      </c>
      <c r="E61" s="46" t="s">
        <v>127</v>
      </c>
      <c r="F61" s="29" t="s">
        <v>197</v>
      </c>
    </row>
    <row r="62" spans="4:8" x14ac:dyDescent="0.4">
      <c r="D62" s="35">
        <v>137</v>
      </c>
      <c r="E62" s="46" t="s">
        <v>128</v>
      </c>
      <c r="F62" s="29" t="s">
        <v>198</v>
      </c>
    </row>
    <row r="63" spans="4:8" x14ac:dyDescent="0.4">
      <c r="D63" s="35">
        <v>140</v>
      </c>
      <c r="E63" s="46" t="s">
        <v>129</v>
      </c>
      <c r="F63" s="29" t="s">
        <v>199</v>
      </c>
    </row>
    <row r="64" spans="4:8" x14ac:dyDescent="0.4">
      <c r="D64" s="35">
        <v>144</v>
      </c>
      <c r="E64" s="46" t="s">
        <v>130</v>
      </c>
      <c r="F64" s="29" t="s">
        <v>188</v>
      </c>
    </row>
    <row r="65" spans="4:8" x14ac:dyDescent="0.4">
      <c r="D65" s="35">
        <v>146</v>
      </c>
      <c r="E65" s="46" t="s">
        <v>131</v>
      </c>
      <c r="F65" s="29" t="s">
        <v>188</v>
      </c>
    </row>
    <row r="66" spans="4:8" x14ac:dyDescent="0.4">
      <c r="D66" s="35">
        <v>147</v>
      </c>
      <c r="E66" s="46" t="s">
        <v>132</v>
      </c>
      <c r="F66" s="29" t="s">
        <v>200</v>
      </c>
    </row>
    <row r="67" spans="4:8" x14ac:dyDescent="0.4">
      <c r="D67" s="35">
        <v>148</v>
      </c>
      <c r="E67" s="46" t="s">
        <v>155</v>
      </c>
      <c r="F67" s="29" t="s">
        <v>170</v>
      </c>
      <c r="G67" s="29" t="s">
        <v>171</v>
      </c>
      <c r="H67" s="29" t="s">
        <v>172</v>
      </c>
    </row>
    <row r="68" spans="4:8" x14ac:dyDescent="0.4">
      <c r="D68" s="35">
        <v>149</v>
      </c>
      <c r="E68" s="46" t="s">
        <v>133</v>
      </c>
      <c r="F68" s="29" t="s">
        <v>201</v>
      </c>
    </row>
    <row r="69" spans="4:8" x14ac:dyDescent="0.4">
      <c r="D69" s="35">
        <v>151</v>
      </c>
      <c r="E69" s="46" t="s">
        <v>134</v>
      </c>
      <c r="F69" s="29" t="s">
        <v>70</v>
      </c>
      <c r="G69" s="29" t="s">
        <v>173</v>
      </c>
      <c r="H69" s="29" t="s">
        <v>169</v>
      </c>
    </row>
    <row r="70" spans="4:8" x14ac:dyDescent="0.4">
      <c r="D70" s="35">
        <v>152</v>
      </c>
      <c r="E70" s="46" t="s">
        <v>135</v>
      </c>
      <c r="F70" s="29" t="s">
        <v>213</v>
      </c>
    </row>
    <row r="71" spans="4:8" x14ac:dyDescent="0.4">
      <c r="D71" s="35">
        <v>153</v>
      </c>
      <c r="E71" s="46" t="s">
        <v>136</v>
      </c>
      <c r="F71" s="29" t="s">
        <v>175</v>
      </c>
      <c r="G71" s="29" t="s">
        <v>176</v>
      </c>
      <c r="H71" s="29" t="s">
        <v>180</v>
      </c>
    </row>
    <row r="72" spans="4:8" x14ac:dyDescent="0.4">
      <c r="D72" s="35">
        <v>155</v>
      </c>
      <c r="E72" s="46" t="s">
        <v>156</v>
      </c>
      <c r="F72" s="29" t="s">
        <v>170</v>
      </c>
      <c r="G72" s="29" t="s">
        <v>171</v>
      </c>
    </row>
    <row r="73" spans="4:8" x14ac:dyDescent="0.4">
      <c r="D73" s="35">
        <v>156</v>
      </c>
      <c r="E73" s="46" t="s">
        <v>137</v>
      </c>
      <c r="F73" s="29" t="s">
        <v>185</v>
      </c>
      <c r="G73" s="29" t="s">
        <v>184</v>
      </c>
    </row>
    <row r="74" spans="4:8" x14ac:dyDescent="0.4">
      <c r="D74" s="35">
        <v>158</v>
      </c>
      <c r="E74" s="46" t="s">
        <v>138</v>
      </c>
      <c r="F74" s="29" t="s">
        <v>70</v>
      </c>
      <c r="G74" s="29" t="s">
        <v>173</v>
      </c>
      <c r="H74" s="29" t="s">
        <v>169</v>
      </c>
    </row>
    <row r="75" spans="4:8" x14ac:dyDescent="0.4">
      <c r="D75" s="35">
        <v>159</v>
      </c>
      <c r="E75" s="46" t="s">
        <v>139</v>
      </c>
      <c r="F75" s="29" t="s">
        <v>212</v>
      </c>
      <c r="G75" s="29" t="s">
        <v>195</v>
      </c>
    </row>
    <row r="76" spans="4:8" x14ac:dyDescent="0.4">
      <c r="D76" s="35">
        <v>160</v>
      </c>
      <c r="E76" s="46" t="s">
        <v>140</v>
      </c>
      <c r="F76" s="29" t="s">
        <v>204</v>
      </c>
    </row>
    <row r="77" spans="4:8" x14ac:dyDescent="0.4">
      <c r="D77" s="35">
        <v>162</v>
      </c>
      <c r="E77" s="46" t="s">
        <v>141</v>
      </c>
      <c r="F77" s="29" t="s">
        <v>191</v>
      </c>
      <c r="G77" s="29" t="s">
        <v>192</v>
      </c>
    </row>
    <row r="78" spans="4:8" x14ac:dyDescent="0.4">
      <c r="D78" s="35">
        <v>170</v>
      </c>
      <c r="E78" s="46" t="s">
        <v>142</v>
      </c>
      <c r="F78" s="29" t="s">
        <v>205</v>
      </c>
      <c r="G78" s="29" t="s">
        <v>171</v>
      </c>
      <c r="H78" s="29" t="s">
        <v>206</v>
      </c>
    </row>
    <row r="79" spans="4:8" x14ac:dyDescent="0.4">
      <c r="D79" s="35">
        <v>172</v>
      </c>
      <c r="E79" s="46" t="s">
        <v>143</v>
      </c>
      <c r="F79" s="29" t="s">
        <v>179</v>
      </c>
      <c r="G79" s="29" t="s">
        <v>207</v>
      </c>
      <c r="H79" s="29" t="s">
        <v>180</v>
      </c>
    </row>
    <row r="80" spans="4:8" x14ac:dyDescent="0.4">
      <c r="D80" s="35">
        <v>173</v>
      </c>
      <c r="E80" s="46" t="s">
        <v>144</v>
      </c>
      <c r="F80" s="29" t="s">
        <v>208</v>
      </c>
    </row>
    <row r="81" spans="4:7" x14ac:dyDescent="0.4">
      <c r="D81" s="35">
        <v>180</v>
      </c>
      <c r="E81" s="46" t="s">
        <v>145</v>
      </c>
      <c r="F81" s="29" t="s">
        <v>209</v>
      </c>
    </row>
    <row r="82" spans="4:7" x14ac:dyDescent="0.4">
      <c r="D82" s="35">
        <v>181</v>
      </c>
      <c r="E82" s="46" t="s">
        <v>146</v>
      </c>
      <c r="F82" s="29" t="s">
        <v>210</v>
      </c>
    </row>
    <row r="83" spans="4:7" x14ac:dyDescent="0.4">
      <c r="D83" s="35">
        <v>185</v>
      </c>
      <c r="E83" s="46" t="s">
        <v>147</v>
      </c>
      <c r="F83" s="29" t="s">
        <v>211</v>
      </c>
    </row>
    <row r="84" spans="4:7" x14ac:dyDescent="0.4">
      <c r="D84" s="35">
        <v>188</v>
      </c>
      <c r="E84" s="46" t="s">
        <v>148</v>
      </c>
      <c r="F84" s="29" t="s">
        <v>203</v>
      </c>
    </row>
    <row r="85" spans="4:7" x14ac:dyDescent="0.4">
      <c r="D85" s="35">
        <v>192</v>
      </c>
      <c r="E85" s="46" t="s">
        <v>149</v>
      </c>
      <c r="F85" s="29" t="s">
        <v>181</v>
      </c>
      <c r="G85" s="29" t="s">
        <v>182</v>
      </c>
    </row>
    <row r="86" spans="4:7" x14ac:dyDescent="0.4">
      <c r="D86" s="35">
        <v>199</v>
      </c>
      <c r="E86" s="46" t="s">
        <v>69</v>
      </c>
      <c r="F86" s="29" t="s">
        <v>183</v>
      </c>
      <c r="G86" s="29" t="s">
        <v>184</v>
      </c>
    </row>
    <row r="87" spans="4:7" x14ac:dyDescent="0.4">
      <c r="D87" s="35">
        <v>200</v>
      </c>
      <c r="E87" s="46" t="s">
        <v>157</v>
      </c>
      <c r="F87" s="29" t="s">
        <v>158</v>
      </c>
      <c r="G87" s="29" t="s">
        <v>164</v>
      </c>
    </row>
    <row r="88" spans="4:7" x14ac:dyDescent="0.4">
      <c r="D88" s="35"/>
      <c r="E88" s="46"/>
    </row>
    <row r="89" spans="4:7" x14ac:dyDescent="0.4">
      <c r="D89" s="35"/>
      <c r="E89" s="46"/>
    </row>
    <row r="90" spans="4:7" x14ac:dyDescent="0.4">
      <c r="D90" s="35"/>
      <c r="E90" s="46"/>
    </row>
    <row r="91" spans="4:7" x14ac:dyDescent="0.4">
      <c r="D91" s="35"/>
      <c r="E91" s="46"/>
    </row>
    <row r="92" spans="4:7" x14ac:dyDescent="0.4">
      <c r="D92" s="35"/>
      <c r="E92" s="46"/>
    </row>
    <row r="93" spans="4:7" x14ac:dyDescent="0.4">
      <c r="D93" s="35"/>
      <c r="E93" s="46"/>
    </row>
    <row r="94" spans="4:7" x14ac:dyDescent="0.4">
      <c r="D94" s="35"/>
      <c r="E94" s="46"/>
    </row>
    <row r="95" spans="4:7" x14ac:dyDescent="0.4">
      <c r="D95" s="35"/>
      <c r="E95" s="46"/>
    </row>
    <row r="96" spans="4:7" x14ac:dyDescent="0.4">
      <c r="D96" s="35"/>
      <c r="E96" s="46"/>
    </row>
    <row r="97" spans="4:5" x14ac:dyDescent="0.4">
      <c r="D97" s="35"/>
      <c r="E97" s="46"/>
    </row>
    <row r="98" spans="4:5" x14ac:dyDescent="0.4">
      <c r="D98" s="35"/>
      <c r="E98" s="46"/>
    </row>
    <row r="99" spans="4:5" x14ac:dyDescent="0.4">
      <c r="D99" s="35"/>
      <c r="E99" s="46"/>
    </row>
    <row r="100" spans="4:5" x14ac:dyDescent="0.4">
      <c r="D100" s="35"/>
      <c r="E100" s="46"/>
    </row>
    <row r="101" spans="4:5" x14ac:dyDescent="0.4">
      <c r="D101" s="35"/>
      <c r="E101" s="46"/>
    </row>
    <row r="102" spans="4:5" x14ac:dyDescent="0.4">
      <c r="D102" s="35"/>
      <c r="E102" s="46"/>
    </row>
    <row r="103" spans="4:5" x14ac:dyDescent="0.4">
      <c r="D103" s="35"/>
      <c r="E103" s="46"/>
    </row>
    <row r="104" spans="4:5" x14ac:dyDescent="0.4">
      <c r="D104" s="35"/>
      <c r="E104" s="46"/>
    </row>
    <row r="105" spans="4:5" x14ac:dyDescent="0.4">
      <c r="D105" s="35"/>
      <c r="E105" s="46"/>
    </row>
    <row r="106" spans="4:5" x14ac:dyDescent="0.4">
      <c r="D106" s="35"/>
      <c r="E106" s="46"/>
    </row>
    <row r="107" spans="4:5" x14ac:dyDescent="0.4">
      <c r="D107" s="35"/>
      <c r="E107" s="46"/>
    </row>
    <row r="108" spans="4:5" x14ac:dyDescent="0.4">
      <c r="D108" s="35"/>
      <c r="E108" s="46"/>
    </row>
    <row r="109" spans="4:5" x14ac:dyDescent="0.4">
      <c r="D109" s="35"/>
      <c r="E109" s="46"/>
    </row>
    <row r="110" spans="4:5" x14ac:dyDescent="0.4">
      <c r="D110" s="35"/>
      <c r="E110" s="46"/>
    </row>
    <row r="111" spans="4:5" x14ac:dyDescent="0.4">
      <c r="D111" s="35"/>
      <c r="E111" s="46"/>
    </row>
    <row r="112" spans="4:5" x14ac:dyDescent="0.4">
      <c r="D112" s="35"/>
      <c r="E112" s="46"/>
    </row>
    <row r="113" spans="4:5" x14ac:dyDescent="0.4">
      <c r="D113" s="35"/>
      <c r="E113" s="46"/>
    </row>
    <row r="114" spans="4:5" x14ac:dyDescent="0.4">
      <c r="D114" s="35"/>
      <c r="E114" s="46"/>
    </row>
    <row r="115" spans="4:5" x14ac:dyDescent="0.4">
      <c r="D115" s="35"/>
      <c r="E115" s="46"/>
    </row>
    <row r="116" spans="4:5" x14ac:dyDescent="0.4">
      <c r="D116" s="35"/>
      <c r="E116" s="46"/>
    </row>
    <row r="117" spans="4:5" x14ac:dyDescent="0.4">
      <c r="D117" s="35"/>
      <c r="E117" s="46"/>
    </row>
    <row r="118" spans="4:5" x14ac:dyDescent="0.4">
      <c r="D118" s="35"/>
      <c r="E118" s="46"/>
    </row>
    <row r="119" spans="4:5" x14ac:dyDescent="0.4">
      <c r="D119" s="35"/>
      <c r="E119" s="46"/>
    </row>
    <row r="120" spans="4:5" x14ac:dyDescent="0.4">
      <c r="D120" s="35"/>
      <c r="E120" s="46"/>
    </row>
    <row r="121" spans="4:5" x14ac:dyDescent="0.4">
      <c r="D121" s="35"/>
      <c r="E121" s="46"/>
    </row>
    <row r="122" spans="4:5" x14ac:dyDescent="0.4">
      <c r="D122" s="35"/>
      <c r="E122" s="46"/>
    </row>
    <row r="123" spans="4:5" x14ac:dyDescent="0.4">
      <c r="D123" s="35"/>
      <c r="E123" s="46"/>
    </row>
    <row r="124" spans="4:5" x14ac:dyDescent="0.4">
      <c r="D124" s="35"/>
      <c r="E124" s="46"/>
    </row>
    <row r="125" spans="4:5" x14ac:dyDescent="0.4">
      <c r="D125" s="35"/>
      <c r="E125" s="46"/>
    </row>
    <row r="126" spans="4:5" x14ac:dyDescent="0.4">
      <c r="D126" s="35"/>
      <c r="E126" s="46"/>
    </row>
    <row r="127" spans="4:5" x14ac:dyDescent="0.4">
      <c r="D127" s="35"/>
      <c r="E127" s="46"/>
    </row>
    <row r="128" spans="4:5" x14ac:dyDescent="0.4">
      <c r="D128" s="35"/>
      <c r="E128" s="46"/>
    </row>
    <row r="129" spans="4:5" x14ac:dyDescent="0.4">
      <c r="D129" s="35"/>
      <c r="E129" s="46"/>
    </row>
    <row r="130" spans="4:5" x14ac:dyDescent="0.4">
      <c r="D130" s="35"/>
      <c r="E130" s="46"/>
    </row>
    <row r="131" spans="4:5" x14ac:dyDescent="0.4">
      <c r="D131" s="35"/>
      <c r="E131" s="46"/>
    </row>
    <row r="132" spans="4:5" x14ac:dyDescent="0.4">
      <c r="D132" s="35"/>
      <c r="E132" s="46"/>
    </row>
    <row r="133" spans="4:5" x14ac:dyDescent="0.4">
      <c r="D133" s="35"/>
      <c r="E133" s="46"/>
    </row>
    <row r="134" spans="4:5" x14ac:dyDescent="0.4">
      <c r="D134" s="35"/>
      <c r="E134" s="46"/>
    </row>
    <row r="135" spans="4:5" x14ac:dyDescent="0.4">
      <c r="D135" s="35"/>
      <c r="E135" s="46"/>
    </row>
    <row r="136" spans="4:5" x14ac:dyDescent="0.4">
      <c r="D136" s="35"/>
      <c r="E136" s="46"/>
    </row>
    <row r="137" spans="4:5" x14ac:dyDescent="0.4">
      <c r="D137" s="35"/>
      <c r="E137" s="46"/>
    </row>
    <row r="138" spans="4:5" x14ac:dyDescent="0.4">
      <c r="D138" s="35"/>
      <c r="E138" s="46"/>
    </row>
    <row r="139" spans="4:5" x14ac:dyDescent="0.4">
      <c r="D139" s="35"/>
      <c r="E139" s="46"/>
    </row>
    <row r="140" spans="4:5" x14ac:dyDescent="0.4">
      <c r="D140" s="35"/>
      <c r="E140" s="46"/>
    </row>
    <row r="141" spans="4:5" x14ac:dyDescent="0.4">
      <c r="D141" s="35"/>
      <c r="E141" s="46"/>
    </row>
    <row r="142" spans="4:5" x14ac:dyDescent="0.4">
      <c r="D142" s="35"/>
      <c r="E142" s="46"/>
    </row>
    <row r="143" spans="4:5" x14ac:dyDescent="0.4">
      <c r="D143" s="35"/>
      <c r="E143" s="46"/>
    </row>
    <row r="144" spans="4:5" x14ac:dyDescent="0.4">
      <c r="D144" s="35"/>
      <c r="E144" s="46"/>
    </row>
    <row r="145" spans="4:5" x14ac:dyDescent="0.4">
      <c r="D145" s="35"/>
      <c r="E145" s="46"/>
    </row>
    <row r="146" spans="4:5" x14ac:dyDescent="0.4">
      <c r="D146" s="35"/>
      <c r="E146" s="46"/>
    </row>
    <row r="147" spans="4:5" x14ac:dyDescent="0.4">
      <c r="D147" s="35"/>
      <c r="E147" s="46"/>
    </row>
    <row r="148" spans="4:5" x14ac:dyDescent="0.4">
      <c r="D148" s="35"/>
      <c r="E148" s="46"/>
    </row>
    <row r="149" spans="4:5" x14ac:dyDescent="0.4">
      <c r="D149" s="35"/>
      <c r="E149" s="46"/>
    </row>
    <row r="150" spans="4:5" x14ac:dyDescent="0.4">
      <c r="D150" s="35"/>
      <c r="E150" s="46"/>
    </row>
    <row r="151" spans="4:5" x14ac:dyDescent="0.4">
      <c r="D151" s="35"/>
      <c r="E151" s="46"/>
    </row>
    <row r="152" spans="4:5" x14ac:dyDescent="0.4">
      <c r="D152" s="35"/>
      <c r="E152" s="46"/>
    </row>
    <row r="153" spans="4:5" x14ac:dyDescent="0.4">
      <c r="D153" s="35"/>
      <c r="E153" s="46"/>
    </row>
    <row r="154" spans="4:5" x14ac:dyDescent="0.4">
      <c r="D154" s="35"/>
      <c r="E154" s="46"/>
    </row>
    <row r="155" spans="4:5" x14ac:dyDescent="0.4">
      <c r="D155" s="35"/>
      <c r="E155" s="46"/>
    </row>
    <row r="156" spans="4:5" x14ac:dyDescent="0.4">
      <c r="D156" s="35"/>
      <c r="E156" s="46"/>
    </row>
    <row r="157" spans="4:5" x14ac:dyDescent="0.4">
      <c r="D157" s="35"/>
      <c r="E157" s="46"/>
    </row>
    <row r="158" spans="4:5" x14ac:dyDescent="0.4">
      <c r="D158" s="35"/>
      <c r="E158" s="46"/>
    </row>
    <row r="159" spans="4:5" x14ac:dyDescent="0.4">
      <c r="D159" s="35"/>
      <c r="E159" s="46"/>
    </row>
    <row r="160" spans="4:5" x14ac:dyDescent="0.4">
      <c r="D160" s="35"/>
      <c r="E160" s="46"/>
    </row>
    <row r="161" spans="4:5" x14ac:dyDescent="0.4">
      <c r="D161" s="35"/>
      <c r="E161" s="46"/>
    </row>
    <row r="162" spans="4:5" x14ac:dyDescent="0.4">
      <c r="D162" s="35"/>
      <c r="E162" s="46"/>
    </row>
    <row r="163" spans="4:5" x14ac:dyDescent="0.4">
      <c r="D163" s="35"/>
      <c r="E163" s="46"/>
    </row>
    <row r="164" spans="4:5" x14ac:dyDescent="0.4">
      <c r="D164" s="35"/>
      <c r="E164" s="46"/>
    </row>
    <row r="165" spans="4:5" x14ac:dyDescent="0.4">
      <c r="D165" s="35"/>
      <c r="E165" s="46"/>
    </row>
    <row r="166" spans="4:5" x14ac:dyDescent="0.4">
      <c r="D166" s="35"/>
      <c r="E166" s="46"/>
    </row>
    <row r="167" spans="4:5" x14ac:dyDescent="0.4">
      <c r="D167" s="35"/>
      <c r="E167" s="46"/>
    </row>
    <row r="168" spans="4:5" x14ac:dyDescent="0.4">
      <c r="D168" s="35"/>
      <c r="E168" s="46"/>
    </row>
    <row r="169" spans="4:5" x14ac:dyDescent="0.4">
      <c r="D169" s="35"/>
      <c r="E169" s="46"/>
    </row>
    <row r="170" spans="4:5" x14ac:dyDescent="0.4">
      <c r="D170" s="35"/>
      <c r="E170" s="46"/>
    </row>
    <row r="171" spans="4:5" x14ac:dyDescent="0.4">
      <c r="D171" s="35"/>
      <c r="E171" s="46"/>
    </row>
    <row r="172" spans="4:5" x14ac:dyDescent="0.4">
      <c r="D172" s="35"/>
      <c r="E172" s="46"/>
    </row>
    <row r="173" spans="4:5" x14ac:dyDescent="0.4">
      <c r="D173" s="35"/>
      <c r="E173" s="46"/>
    </row>
    <row r="174" spans="4:5" x14ac:dyDescent="0.4">
      <c r="D174" s="35"/>
      <c r="E174" s="46"/>
    </row>
    <row r="175" spans="4:5" x14ac:dyDescent="0.4">
      <c r="D175" s="35"/>
      <c r="E175" s="46"/>
    </row>
    <row r="176" spans="4:5" x14ac:dyDescent="0.4">
      <c r="D176" s="35"/>
      <c r="E176" s="46"/>
    </row>
    <row r="177" spans="4:5" x14ac:dyDescent="0.4">
      <c r="D177" s="35"/>
      <c r="E177" s="46"/>
    </row>
    <row r="178" spans="4:5" x14ac:dyDescent="0.4">
      <c r="D178" s="35"/>
      <c r="E178" s="46"/>
    </row>
    <row r="179" spans="4:5" x14ac:dyDescent="0.4">
      <c r="D179" s="35"/>
      <c r="E179" s="46"/>
    </row>
    <row r="180" spans="4:5" x14ac:dyDescent="0.4">
      <c r="D180" s="35"/>
      <c r="E180" s="46"/>
    </row>
  </sheetData>
  <sortState xmlns:xlrd2="http://schemas.microsoft.com/office/spreadsheetml/2017/richdata2" ref="D2:E182">
    <sortCondition ref="D2:D182"/>
  </sortState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M242"/>
  <sheetViews>
    <sheetView workbookViewId="0">
      <pane xSplit="3" ySplit="1" topLeftCell="D5" activePane="bottomRight" state="frozen"/>
      <selection pane="topRight" activeCell="D1" sqref="D1"/>
      <selection pane="bottomLeft" activeCell="A2" sqref="A2"/>
      <selection pane="bottomRight" activeCell="B8" sqref="B8"/>
    </sheetView>
  </sheetViews>
  <sheetFormatPr defaultColWidth="9" defaultRowHeight="17" x14ac:dyDescent="0.4"/>
  <cols>
    <col min="1" max="1" width="10" style="71" customWidth="1"/>
    <col min="2" max="2" width="20.26953125" style="28" customWidth="1"/>
    <col min="3" max="3" width="17" style="29" customWidth="1"/>
    <col min="4" max="4" width="11.6328125" style="29" bestFit="1" customWidth="1"/>
    <col min="5" max="5" width="14.36328125" style="70" customWidth="1"/>
    <col min="6" max="6" width="7.26953125" style="34" customWidth="1"/>
    <col min="7" max="7" width="10" style="39" customWidth="1"/>
    <col min="8" max="8" width="9" style="34"/>
    <col min="9" max="9" width="9" style="28"/>
    <col min="10" max="10" width="9" style="79"/>
    <col min="11" max="11" width="9" style="34"/>
    <col min="12" max="12" width="20.90625" style="72" customWidth="1"/>
    <col min="13" max="16384" width="9" style="73"/>
  </cols>
  <sheetData>
    <row r="1" spans="1:13" s="34" customFormat="1" ht="34" x14ac:dyDescent="0.4">
      <c r="A1" s="51" t="s">
        <v>225</v>
      </c>
      <c r="B1" s="40" t="s">
        <v>324</v>
      </c>
      <c r="C1" s="32" t="s">
        <v>57</v>
      </c>
      <c r="D1" s="32" t="s">
        <v>306</v>
      </c>
      <c r="E1" s="31" t="s">
        <v>309</v>
      </c>
      <c r="F1" s="67" t="s">
        <v>300</v>
      </c>
      <c r="G1" s="31" t="s">
        <v>56</v>
      </c>
      <c r="H1" s="67" t="s">
        <v>301</v>
      </c>
      <c r="I1" s="32" t="s">
        <v>218</v>
      </c>
      <c r="J1" s="78" t="s">
        <v>219</v>
      </c>
      <c r="K1" s="67" t="s">
        <v>302</v>
      </c>
      <c r="L1" s="31" t="s">
        <v>221</v>
      </c>
    </row>
    <row r="2" spans="1:13" ht="34" x14ac:dyDescent="0.4">
      <c r="A2" s="71" t="s">
        <v>325</v>
      </c>
      <c r="B2" s="45" t="s">
        <v>471</v>
      </c>
      <c r="C2" s="29" t="s">
        <v>607</v>
      </c>
      <c r="D2" s="29" t="s">
        <v>307</v>
      </c>
      <c r="E2" s="70" t="s">
        <v>320</v>
      </c>
      <c r="F2" s="34">
        <v>8</v>
      </c>
      <c r="G2" s="39" t="s">
        <v>626</v>
      </c>
      <c r="H2" s="34">
        <v>4</v>
      </c>
      <c r="I2" s="28" t="s">
        <v>672</v>
      </c>
      <c r="J2" s="79" t="s">
        <v>660</v>
      </c>
      <c r="K2" s="34">
        <v>5</v>
      </c>
      <c r="L2" s="39" t="s">
        <v>641</v>
      </c>
      <c r="M2" s="73">
        <f>F2*H2*K2</f>
        <v>160</v>
      </c>
    </row>
    <row r="3" spans="1:13" ht="34" x14ac:dyDescent="0.4">
      <c r="A3" s="71" t="s">
        <v>326</v>
      </c>
      <c r="B3" s="45" t="s">
        <v>473</v>
      </c>
      <c r="C3" s="29" t="s">
        <v>472</v>
      </c>
      <c r="D3" s="29" t="s">
        <v>308</v>
      </c>
      <c r="E3" s="70" t="s">
        <v>321</v>
      </c>
      <c r="F3" s="34">
        <v>7</v>
      </c>
      <c r="G3" s="39" t="s">
        <v>626</v>
      </c>
      <c r="H3" s="34">
        <v>1</v>
      </c>
      <c r="I3" s="28" t="s">
        <v>672</v>
      </c>
      <c r="J3" s="79" t="s">
        <v>660</v>
      </c>
      <c r="K3" s="34">
        <v>5</v>
      </c>
      <c r="L3" s="39" t="s">
        <v>641</v>
      </c>
      <c r="M3" s="73">
        <f t="shared" ref="M3:M66" si="0">F3*H3*K3</f>
        <v>35</v>
      </c>
    </row>
    <row r="4" spans="1:13" ht="34" x14ac:dyDescent="0.4">
      <c r="A4" s="71" t="s">
        <v>327</v>
      </c>
      <c r="B4" s="45" t="s">
        <v>474</v>
      </c>
      <c r="C4" s="29" t="s">
        <v>475</v>
      </c>
      <c r="D4" s="29" t="s">
        <v>305</v>
      </c>
      <c r="E4" s="70" t="s">
        <v>322</v>
      </c>
      <c r="F4" s="34">
        <v>4</v>
      </c>
      <c r="G4" s="39" t="s">
        <v>626</v>
      </c>
      <c r="H4" s="34">
        <v>1</v>
      </c>
      <c r="I4" s="28" t="s">
        <v>672</v>
      </c>
      <c r="J4" s="79" t="s">
        <v>658</v>
      </c>
      <c r="K4" s="34">
        <v>5</v>
      </c>
      <c r="L4" s="39" t="s">
        <v>641</v>
      </c>
      <c r="M4" s="73">
        <f t="shared" si="0"/>
        <v>20</v>
      </c>
    </row>
    <row r="5" spans="1:13" ht="34" x14ac:dyDescent="0.4">
      <c r="A5" s="71" t="s">
        <v>328</v>
      </c>
      <c r="B5" s="45" t="s">
        <v>468</v>
      </c>
      <c r="C5" s="29" t="s">
        <v>469</v>
      </c>
      <c r="D5" s="29" t="s">
        <v>303</v>
      </c>
      <c r="E5" s="70" t="s">
        <v>320</v>
      </c>
      <c r="F5" s="34">
        <v>8</v>
      </c>
      <c r="G5" s="39" t="s">
        <v>626</v>
      </c>
      <c r="H5" s="34">
        <v>3</v>
      </c>
      <c r="I5" s="28" t="s">
        <v>656</v>
      </c>
      <c r="J5" s="79" t="s">
        <v>660</v>
      </c>
      <c r="K5" s="34">
        <v>5</v>
      </c>
      <c r="L5" s="39" t="s">
        <v>641</v>
      </c>
      <c r="M5" s="73">
        <f t="shared" si="0"/>
        <v>120</v>
      </c>
    </row>
    <row r="6" spans="1:13" ht="34" x14ac:dyDescent="0.4">
      <c r="A6" s="71" t="s">
        <v>329</v>
      </c>
      <c r="B6" s="45" t="s">
        <v>470</v>
      </c>
      <c r="C6" s="29" t="s">
        <v>476</v>
      </c>
      <c r="D6" s="29" t="s">
        <v>303</v>
      </c>
      <c r="E6" s="70" t="s">
        <v>320</v>
      </c>
      <c r="F6" s="34">
        <v>8</v>
      </c>
      <c r="G6" s="39" t="s">
        <v>626</v>
      </c>
      <c r="H6" s="34">
        <v>3</v>
      </c>
      <c r="I6" s="28" t="s">
        <v>656</v>
      </c>
      <c r="J6" s="79" t="s">
        <v>662</v>
      </c>
      <c r="K6" s="34">
        <v>5</v>
      </c>
      <c r="L6" s="39" t="s">
        <v>641</v>
      </c>
      <c r="M6" s="73">
        <f t="shared" si="0"/>
        <v>120</v>
      </c>
    </row>
    <row r="7" spans="1:13" ht="34" x14ac:dyDescent="0.4">
      <c r="A7" s="71" t="s">
        <v>330</v>
      </c>
      <c r="B7" s="45" t="s">
        <v>477</v>
      </c>
      <c r="C7" s="29" t="s">
        <v>478</v>
      </c>
      <c r="D7" s="29" t="s">
        <v>303</v>
      </c>
      <c r="E7" s="70" t="s">
        <v>320</v>
      </c>
      <c r="F7" s="34">
        <v>4</v>
      </c>
      <c r="G7" s="39" t="s">
        <v>626</v>
      </c>
      <c r="H7" s="34">
        <v>3</v>
      </c>
      <c r="I7" s="28" t="s">
        <v>656</v>
      </c>
      <c r="J7" s="79" t="s">
        <v>662</v>
      </c>
      <c r="K7" s="34">
        <v>5</v>
      </c>
      <c r="L7" s="39" t="s">
        <v>641</v>
      </c>
      <c r="M7" s="73">
        <f t="shared" si="0"/>
        <v>60</v>
      </c>
    </row>
    <row r="8" spans="1:13" ht="34" x14ac:dyDescent="0.4">
      <c r="A8" s="71" t="s">
        <v>331</v>
      </c>
      <c r="B8" s="45" t="s">
        <v>479</v>
      </c>
      <c r="C8" s="29" t="s">
        <v>480</v>
      </c>
      <c r="D8" s="29" t="s">
        <v>303</v>
      </c>
      <c r="E8" s="70" t="s">
        <v>320</v>
      </c>
      <c r="F8" s="34">
        <v>4</v>
      </c>
      <c r="G8" s="39" t="s">
        <v>626</v>
      </c>
      <c r="H8" s="34">
        <v>3</v>
      </c>
      <c r="I8" s="28" t="s">
        <v>656</v>
      </c>
      <c r="J8" s="79" t="s">
        <v>662</v>
      </c>
      <c r="K8" s="34">
        <v>5</v>
      </c>
      <c r="L8" s="39" t="s">
        <v>641</v>
      </c>
      <c r="M8" s="73">
        <f t="shared" si="0"/>
        <v>60</v>
      </c>
    </row>
    <row r="9" spans="1:13" ht="34" x14ac:dyDescent="0.4">
      <c r="A9" s="71" t="s">
        <v>332</v>
      </c>
      <c r="B9" s="45" t="s">
        <v>481</v>
      </c>
      <c r="C9" s="70" t="s">
        <v>482</v>
      </c>
      <c r="D9" s="29" t="s">
        <v>310</v>
      </c>
      <c r="E9" s="70" t="s">
        <v>323</v>
      </c>
      <c r="F9" s="34">
        <v>8</v>
      </c>
      <c r="G9" s="39" t="s">
        <v>629</v>
      </c>
      <c r="H9" s="34">
        <v>2</v>
      </c>
      <c r="I9" s="28" t="s">
        <v>656</v>
      </c>
      <c r="J9" s="79" t="s">
        <v>664</v>
      </c>
      <c r="K9" s="34">
        <v>2</v>
      </c>
      <c r="L9" s="39" t="s">
        <v>641</v>
      </c>
      <c r="M9" s="73">
        <f t="shared" si="0"/>
        <v>32</v>
      </c>
    </row>
    <row r="10" spans="1:13" ht="34" x14ac:dyDescent="0.4">
      <c r="A10" s="71" t="s">
        <v>333</v>
      </c>
      <c r="B10" s="45" t="s">
        <v>483</v>
      </c>
      <c r="C10" s="29" t="s">
        <v>588</v>
      </c>
      <c r="D10" s="29" t="s">
        <v>312</v>
      </c>
      <c r="E10" s="70" t="s">
        <v>587</v>
      </c>
      <c r="F10" s="34">
        <v>4</v>
      </c>
      <c r="G10" s="39" t="s">
        <v>630</v>
      </c>
      <c r="H10" s="34">
        <v>6</v>
      </c>
      <c r="I10" s="28" t="s">
        <v>672</v>
      </c>
      <c r="J10" s="79" t="s">
        <v>670</v>
      </c>
      <c r="K10" s="34">
        <v>10</v>
      </c>
      <c r="L10" s="39" t="s">
        <v>642</v>
      </c>
      <c r="M10" s="73">
        <f t="shared" si="0"/>
        <v>240</v>
      </c>
    </row>
    <row r="11" spans="1:13" ht="34" x14ac:dyDescent="0.4">
      <c r="A11" s="71" t="s">
        <v>227</v>
      </c>
      <c r="B11" s="45" t="s">
        <v>500</v>
      </c>
      <c r="C11" s="29" t="s">
        <v>502</v>
      </c>
      <c r="D11" s="29" t="s">
        <v>303</v>
      </c>
      <c r="E11" s="70" t="s">
        <v>320</v>
      </c>
      <c r="F11" s="34">
        <v>4</v>
      </c>
      <c r="G11" s="39" t="s">
        <v>626</v>
      </c>
      <c r="H11" s="34">
        <v>3</v>
      </c>
      <c r="I11" s="28" t="s">
        <v>656</v>
      </c>
      <c r="J11" s="79" t="s">
        <v>662</v>
      </c>
      <c r="K11" s="34">
        <v>3</v>
      </c>
      <c r="L11" s="39" t="s">
        <v>641</v>
      </c>
      <c r="M11" s="73">
        <f t="shared" si="0"/>
        <v>36</v>
      </c>
    </row>
    <row r="12" spans="1:13" ht="34" x14ac:dyDescent="0.4">
      <c r="A12" s="71" t="s">
        <v>334</v>
      </c>
      <c r="B12" s="45" t="s">
        <v>501</v>
      </c>
      <c r="C12" s="29" t="s">
        <v>503</v>
      </c>
      <c r="D12" s="29" t="s">
        <v>303</v>
      </c>
      <c r="E12" s="70" t="s">
        <v>323</v>
      </c>
      <c r="F12" s="34">
        <v>8</v>
      </c>
      <c r="G12" s="39" t="s">
        <v>626</v>
      </c>
      <c r="H12" s="34">
        <v>3</v>
      </c>
      <c r="I12" s="28" t="s">
        <v>656</v>
      </c>
      <c r="J12" s="79" t="s">
        <v>660</v>
      </c>
      <c r="K12" s="34">
        <v>3</v>
      </c>
      <c r="L12" s="39" t="s">
        <v>641</v>
      </c>
      <c r="M12" s="73">
        <f t="shared" si="0"/>
        <v>72</v>
      </c>
    </row>
    <row r="13" spans="1:13" ht="34" x14ac:dyDescent="0.4">
      <c r="A13" s="71" t="s">
        <v>335</v>
      </c>
      <c r="B13" s="45" t="s">
        <v>485</v>
      </c>
      <c r="C13" s="29" t="s">
        <v>504</v>
      </c>
      <c r="D13" s="29" t="s">
        <v>303</v>
      </c>
      <c r="E13" s="70" t="s">
        <v>320</v>
      </c>
      <c r="F13" s="34">
        <v>4</v>
      </c>
      <c r="G13" s="39" t="s">
        <v>630</v>
      </c>
      <c r="H13" s="34">
        <v>3</v>
      </c>
      <c r="I13" s="28" t="s">
        <v>672</v>
      </c>
      <c r="J13" s="79" t="s">
        <v>658</v>
      </c>
      <c r="K13" s="34">
        <v>2</v>
      </c>
      <c r="L13" s="39" t="s">
        <v>641</v>
      </c>
      <c r="M13" s="73">
        <f t="shared" si="0"/>
        <v>24</v>
      </c>
    </row>
    <row r="14" spans="1:13" ht="34" x14ac:dyDescent="0.4">
      <c r="A14" s="71" t="s">
        <v>336</v>
      </c>
      <c r="B14" s="45" t="s">
        <v>505</v>
      </c>
      <c r="C14" s="29" t="s">
        <v>507</v>
      </c>
      <c r="D14" s="29" t="s">
        <v>303</v>
      </c>
      <c r="E14" s="70" t="s">
        <v>508</v>
      </c>
      <c r="F14" s="34">
        <v>7</v>
      </c>
      <c r="G14" s="39" t="s">
        <v>631</v>
      </c>
      <c r="H14" s="34">
        <v>4</v>
      </c>
      <c r="I14" s="28" t="s">
        <v>656</v>
      </c>
      <c r="J14" s="79" t="s">
        <v>666</v>
      </c>
      <c r="K14" s="34">
        <v>5</v>
      </c>
      <c r="L14" s="39" t="s">
        <v>641</v>
      </c>
      <c r="M14" s="73">
        <f t="shared" si="0"/>
        <v>140</v>
      </c>
    </row>
    <row r="15" spans="1:13" ht="34" x14ac:dyDescent="0.4">
      <c r="A15" s="71" t="s">
        <v>337</v>
      </c>
      <c r="B15" s="45" t="s">
        <v>486</v>
      </c>
      <c r="C15" s="29" t="s">
        <v>607</v>
      </c>
      <c r="D15" s="29" t="s">
        <v>303</v>
      </c>
      <c r="E15" s="70" t="s">
        <v>320</v>
      </c>
      <c r="F15" s="34">
        <v>4</v>
      </c>
      <c r="G15" s="39" t="s">
        <v>632</v>
      </c>
      <c r="H15" s="34">
        <v>4</v>
      </c>
      <c r="I15" s="28" t="s">
        <v>656</v>
      </c>
      <c r="J15" s="79" t="s">
        <v>658</v>
      </c>
      <c r="K15" s="34">
        <v>2</v>
      </c>
      <c r="L15" s="39" t="s">
        <v>641</v>
      </c>
      <c r="M15" s="73">
        <f t="shared" si="0"/>
        <v>32</v>
      </c>
    </row>
    <row r="16" spans="1:13" ht="34" x14ac:dyDescent="0.4">
      <c r="A16" s="71" t="s">
        <v>338</v>
      </c>
      <c r="B16" s="45" t="s">
        <v>506</v>
      </c>
      <c r="C16" s="29" t="s">
        <v>507</v>
      </c>
      <c r="D16" s="29" t="s">
        <v>303</v>
      </c>
      <c r="E16" s="70" t="s">
        <v>508</v>
      </c>
      <c r="F16" s="34">
        <v>7</v>
      </c>
      <c r="G16" s="39" t="s">
        <v>631</v>
      </c>
      <c r="H16" s="34">
        <v>4</v>
      </c>
      <c r="I16" s="28" t="s">
        <v>656</v>
      </c>
      <c r="J16" s="79" t="s">
        <v>666</v>
      </c>
      <c r="K16" s="34">
        <v>5</v>
      </c>
      <c r="L16" s="39" t="s">
        <v>641</v>
      </c>
      <c r="M16" s="73">
        <f t="shared" si="0"/>
        <v>140</v>
      </c>
    </row>
    <row r="17" spans="1:13" ht="34" x14ac:dyDescent="0.4">
      <c r="A17" s="71" t="s">
        <v>339</v>
      </c>
      <c r="B17" s="45" t="s">
        <v>487</v>
      </c>
      <c r="C17" s="29" t="s">
        <v>484</v>
      </c>
      <c r="D17" s="29" t="s">
        <v>311</v>
      </c>
      <c r="E17" s="70" t="s">
        <v>587</v>
      </c>
      <c r="F17" s="34">
        <v>4</v>
      </c>
      <c r="G17" s="39" t="s">
        <v>633</v>
      </c>
      <c r="H17" s="34">
        <v>4</v>
      </c>
      <c r="I17" s="28" t="s">
        <v>656</v>
      </c>
      <c r="J17" s="79" t="s">
        <v>670</v>
      </c>
      <c r="K17" s="34">
        <v>7</v>
      </c>
      <c r="L17" s="39" t="s">
        <v>642</v>
      </c>
      <c r="M17" s="73">
        <f t="shared" si="0"/>
        <v>112</v>
      </c>
    </row>
    <row r="18" spans="1:13" ht="34" x14ac:dyDescent="0.4">
      <c r="A18" s="71" t="s">
        <v>340</v>
      </c>
      <c r="B18" s="45" t="s">
        <v>530</v>
      </c>
      <c r="C18" s="70" t="s">
        <v>482</v>
      </c>
      <c r="D18" s="29" t="s">
        <v>310</v>
      </c>
      <c r="E18" s="70" t="s">
        <v>323</v>
      </c>
      <c r="F18" s="34">
        <v>8</v>
      </c>
      <c r="G18" s="39" t="s">
        <v>629</v>
      </c>
      <c r="H18" s="34">
        <v>3</v>
      </c>
      <c r="I18" s="28" t="s">
        <v>656</v>
      </c>
      <c r="J18" s="79" t="s">
        <v>670</v>
      </c>
      <c r="K18" s="34">
        <v>8</v>
      </c>
      <c r="L18" s="39" t="s">
        <v>642</v>
      </c>
      <c r="M18" s="73">
        <f t="shared" si="0"/>
        <v>192</v>
      </c>
    </row>
    <row r="19" spans="1:13" ht="34" x14ac:dyDescent="0.4">
      <c r="A19" s="71" t="s">
        <v>341</v>
      </c>
      <c r="B19" s="45" t="s">
        <v>590</v>
      </c>
      <c r="C19" s="29" t="s">
        <v>509</v>
      </c>
      <c r="D19" s="29" t="s">
        <v>299</v>
      </c>
      <c r="E19" s="70" t="s">
        <v>591</v>
      </c>
      <c r="F19" s="34">
        <v>5</v>
      </c>
      <c r="G19" s="39" t="s">
        <v>634</v>
      </c>
      <c r="H19" s="34">
        <v>2</v>
      </c>
      <c r="I19" s="28" t="s">
        <v>656</v>
      </c>
      <c r="J19" s="79" t="s">
        <v>660</v>
      </c>
      <c r="K19" s="34">
        <v>7</v>
      </c>
      <c r="L19" s="39" t="s">
        <v>640</v>
      </c>
      <c r="M19" s="73">
        <f t="shared" si="0"/>
        <v>70</v>
      </c>
    </row>
    <row r="20" spans="1:13" ht="34" x14ac:dyDescent="0.4">
      <c r="A20" s="71" t="s">
        <v>342</v>
      </c>
      <c r="B20" s="45" t="s">
        <v>568</v>
      </c>
      <c r="C20" s="29" t="s">
        <v>504</v>
      </c>
      <c r="D20" s="29" t="s">
        <v>299</v>
      </c>
      <c r="E20" s="70" t="s">
        <v>320</v>
      </c>
      <c r="F20" s="34">
        <v>4</v>
      </c>
      <c r="G20" s="39" t="s">
        <v>630</v>
      </c>
      <c r="H20" s="34">
        <v>3</v>
      </c>
      <c r="I20" s="28" t="s">
        <v>672</v>
      </c>
      <c r="J20" s="79" t="s">
        <v>658</v>
      </c>
      <c r="K20" s="34">
        <v>2</v>
      </c>
      <c r="L20" s="39" t="s">
        <v>641</v>
      </c>
      <c r="M20" s="73">
        <f t="shared" si="0"/>
        <v>24</v>
      </c>
    </row>
    <row r="21" spans="1:13" ht="34" x14ac:dyDescent="0.4">
      <c r="A21" s="71" t="s">
        <v>343</v>
      </c>
      <c r="B21" s="45" t="s">
        <v>568</v>
      </c>
      <c r="C21" s="29" t="s">
        <v>504</v>
      </c>
      <c r="D21" s="29" t="s">
        <v>299</v>
      </c>
      <c r="E21" s="70" t="s">
        <v>320</v>
      </c>
      <c r="F21" s="34">
        <v>4</v>
      </c>
      <c r="G21" s="39" t="s">
        <v>630</v>
      </c>
      <c r="H21" s="34">
        <v>3</v>
      </c>
      <c r="I21" s="28" t="s">
        <v>672</v>
      </c>
      <c r="J21" s="79" t="s">
        <v>658</v>
      </c>
      <c r="K21" s="34">
        <v>2</v>
      </c>
      <c r="L21" s="39" t="s">
        <v>641</v>
      </c>
      <c r="M21" s="73">
        <f t="shared" si="0"/>
        <v>24</v>
      </c>
    </row>
    <row r="22" spans="1:13" ht="34" x14ac:dyDescent="0.4">
      <c r="A22" s="71" t="s">
        <v>344</v>
      </c>
      <c r="B22" s="45" t="s">
        <v>567</v>
      </c>
      <c r="C22" s="29" t="s">
        <v>480</v>
      </c>
      <c r="D22" s="29" t="s">
        <v>303</v>
      </c>
      <c r="E22" s="70" t="s">
        <v>320</v>
      </c>
      <c r="F22" s="34">
        <v>4</v>
      </c>
      <c r="G22" s="39" t="s">
        <v>626</v>
      </c>
      <c r="H22" s="34">
        <v>3</v>
      </c>
      <c r="I22" s="28" t="s">
        <v>656</v>
      </c>
      <c r="J22" s="79" t="s">
        <v>660</v>
      </c>
      <c r="K22" s="34">
        <v>5</v>
      </c>
      <c r="L22" s="39" t="s">
        <v>641</v>
      </c>
      <c r="M22" s="73">
        <f t="shared" si="0"/>
        <v>60</v>
      </c>
    </row>
    <row r="23" spans="1:13" ht="34" x14ac:dyDescent="0.4">
      <c r="A23" s="71" t="s">
        <v>345</v>
      </c>
      <c r="B23" s="45" t="s">
        <v>578</v>
      </c>
      <c r="C23" s="29" t="s">
        <v>600</v>
      </c>
      <c r="D23" s="29" t="s">
        <v>313</v>
      </c>
      <c r="E23" s="70" t="s">
        <v>601</v>
      </c>
      <c r="F23" s="34">
        <v>1</v>
      </c>
      <c r="G23" s="39" t="s">
        <v>630</v>
      </c>
      <c r="H23" s="34">
        <v>3</v>
      </c>
      <c r="I23" s="28" t="s">
        <v>672</v>
      </c>
      <c r="J23" s="79" t="s">
        <v>658</v>
      </c>
      <c r="K23" s="34">
        <v>2</v>
      </c>
      <c r="L23" s="39" t="s">
        <v>640</v>
      </c>
      <c r="M23" s="73">
        <f t="shared" si="0"/>
        <v>6</v>
      </c>
    </row>
    <row r="24" spans="1:13" ht="34" x14ac:dyDescent="0.4">
      <c r="A24" s="71" t="s">
        <v>346</v>
      </c>
      <c r="B24" s="45" t="s">
        <v>529</v>
      </c>
      <c r="C24" s="29" t="s">
        <v>469</v>
      </c>
      <c r="D24" s="29" t="s">
        <v>303</v>
      </c>
      <c r="E24" s="70" t="s">
        <v>320</v>
      </c>
      <c r="F24" s="34">
        <v>8</v>
      </c>
      <c r="G24" s="39" t="s">
        <v>626</v>
      </c>
      <c r="H24" s="34">
        <v>3</v>
      </c>
      <c r="I24" s="28" t="s">
        <v>656</v>
      </c>
      <c r="J24" s="79" t="s">
        <v>660</v>
      </c>
      <c r="K24" s="34">
        <v>5</v>
      </c>
      <c r="L24" s="39" t="s">
        <v>641</v>
      </c>
      <c r="M24" s="73">
        <f t="shared" si="0"/>
        <v>120</v>
      </c>
    </row>
    <row r="25" spans="1:13" ht="34" x14ac:dyDescent="0.4">
      <c r="A25" s="71" t="s">
        <v>347</v>
      </c>
      <c r="B25" s="45" t="s">
        <v>528</v>
      </c>
      <c r="C25" s="29" t="s">
        <v>476</v>
      </c>
      <c r="D25" s="29" t="s">
        <v>303</v>
      </c>
      <c r="E25" s="70" t="s">
        <v>320</v>
      </c>
      <c r="F25" s="34">
        <v>8</v>
      </c>
      <c r="G25" s="39" t="s">
        <v>626</v>
      </c>
      <c r="H25" s="34">
        <v>3</v>
      </c>
      <c r="I25" s="28" t="s">
        <v>656</v>
      </c>
      <c r="J25" s="79" t="s">
        <v>662</v>
      </c>
      <c r="K25" s="34">
        <v>3</v>
      </c>
      <c r="L25" s="39" t="s">
        <v>641</v>
      </c>
      <c r="M25" s="73">
        <f t="shared" si="0"/>
        <v>72</v>
      </c>
    </row>
    <row r="26" spans="1:13" ht="34" x14ac:dyDescent="0.4">
      <c r="A26" s="71" t="s">
        <v>348</v>
      </c>
      <c r="B26" s="45" t="s">
        <v>527</v>
      </c>
      <c r="C26" s="29" t="s">
        <v>478</v>
      </c>
      <c r="D26" s="29" t="s">
        <v>303</v>
      </c>
      <c r="E26" s="70" t="s">
        <v>320</v>
      </c>
      <c r="F26" s="34">
        <v>4</v>
      </c>
      <c r="G26" s="39" t="s">
        <v>626</v>
      </c>
      <c r="H26" s="34">
        <v>3</v>
      </c>
      <c r="I26" s="28" t="s">
        <v>656</v>
      </c>
      <c r="J26" s="79" t="s">
        <v>662</v>
      </c>
      <c r="K26" s="34">
        <v>3</v>
      </c>
      <c r="L26" s="39" t="s">
        <v>641</v>
      </c>
      <c r="M26" s="73">
        <f t="shared" si="0"/>
        <v>36</v>
      </c>
    </row>
    <row r="27" spans="1:13" ht="34" x14ac:dyDescent="0.4">
      <c r="A27" s="71" t="s">
        <v>349</v>
      </c>
      <c r="B27" s="45" t="s">
        <v>554</v>
      </c>
      <c r="C27" s="29" t="s">
        <v>322</v>
      </c>
      <c r="D27" s="29" t="s">
        <v>304</v>
      </c>
      <c r="E27" s="70" t="s">
        <v>320</v>
      </c>
      <c r="F27" s="34">
        <v>6</v>
      </c>
      <c r="G27" s="39" t="s">
        <v>637</v>
      </c>
      <c r="H27" s="34">
        <v>3</v>
      </c>
      <c r="I27" s="28" t="s">
        <v>656</v>
      </c>
      <c r="J27" s="79" t="s">
        <v>658</v>
      </c>
      <c r="K27" s="34">
        <v>7</v>
      </c>
      <c r="L27" s="39" t="s">
        <v>640</v>
      </c>
      <c r="M27" s="73">
        <f t="shared" si="0"/>
        <v>126</v>
      </c>
    </row>
    <row r="28" spans="1:13" ht="51" x14ac:dyDescent="0.4">
      <c r="A28" s="71" t="s">
        <v>350</v>
      </c>
      <c r="B28" s="45" t="s">
        <v>577</v>
      </c>
      <c r="C28" s="29" t="s">
        <v>602</v>
      </c>
      <c r="D28" s="29" t="s">
        <v>299</v>
      </c>
      <c r="E28" s="70" t="s">
        <v>603</v>
      </c>
      <c r="F28" s="34">
        <v>2</v>
      </c>
      <c r="G28" s="39" t="s">
        <v>636</v>
      </c>
      <c r="H28" s="34">
        <v>5</v>
      </c>
      <c r="I28" s="28" t="s">
        <v>656</v>
      </c>
      <c r="J28" s="79" t="s">
        <v>660</v>
      </c>
      <c r="K28" s="34">
        <v>6</v>
      </c>
      <c r="L28" s="39" t="s">
        <v>641</v>
      </c>
      <c r="M28" s="73">
        <f t="shared" si="0"/>
        <v>60</v>
      </c>
    </row>
    <row r="29" spans="1:13" ht="34" x14ac:dyDescent="0.4">
      <c r="A29" s="71" t="s">
        <v>576</v>
      </c>
      <c r="B29" s="45" t="s">
        <v>572</v>
      </c>
      <c r="C29" s="29" t="s">
        <v>604</v>
      </c>
      <c r="D29" s="29" t="s">
        <v>314</v>
      </c>
      <c r="E29" s="70" t="s">
        <v>605</v>
      </c>
      <c r="F29" s="34">
        <v>4</v>
      </c>
      <c r="G29" s="39" t="s">
        <v>636</v>
      </c>
      <c r="H29" s="34">
        <v>2</v>
      </c>
      <c r="I29" s="28" t="s">
        <v>672</v>
      </c>
      <c r="J29" s="79" t="s">
        <v>658</v>
      </c>
      <c r="K29" s="34">
        <v>5</v>
      </c>
      <c r="L29" s="39" t="s">
        <v>641</v>
      </c>
      <c r="M29" s="73">
        <f t="shared" si="0"/>
        <v>40</v>
      </c>
    </row>
    <row r="30" spans="1:13" ht="34" x14ac:dyDescent="0.4">
      <c r="A30" s="71" t="s">
        <v>575</v>
      </c>
      <c r="B30" s="45" t="s">
        <v>571</v>
      </c>
      <c r="C30" s="29" t="s">
        <v>604</v>
      </c>
      <c r="D30" s="29" t="s">
        <v>314</v>
      </c>
      <c r="E30" s="70" t="s">
        <v>605</v>
      </c>
      <c r="F30" s="34">
        <v>4</v>
      </c>
      <c r="G30" s="39" t="s">
        <v>636</v>
      </c>
      <c r="H30" s="34">
        <v>2</v>
      </c>
      <c r="I30" s="28" t="s">
        <v>672</v>
      </c>
      <c r="J30" s="79" t="s">
        <v>658</v>
      </c>
      <c r="K30" s="34">
        <v>5</v>
      </c>
      <c r="L30" s="39" t="s">
        <v>641</v>
      </c>
      <c r="M30" s="73">
        <f t="shared" si="0"/>
        <v>40</v>
      </c>
    </row>
    <row r="31" spans="1:13" ht="34" x14ac:dyDescent="0.4">
      <c r="A31" s="71" t="s">
        <v>351</v>
      </c>
      <c r="B31" s="45" t="s">
        <v>488</v>
      </c>
      <c r="C31" s="70" t="s">
        <v>482</v>
      </c>
      <c r="D31" s="29" t="s">
        <v>310</v>
      </c>
      <c r="E31" s="70" t="s">
        <v>323</v>
      </c>
      <c r="F31" s="34">
        <v>8</v>
      </c>
      <c r="G31" s="39" t="s">
        <v>629</v>
      </c>
      <c r="H31" s="34">
        <v>2</v>
      </c>
      <c r="I31" s="28" t="s">
        <v>656</v>
      </c>
      <c r="J31" s="79" t="s">
        <v>664</v>
      </c>
      <c r="K31" s="34">
        <v>2</v>
      </c>
      <c r="L31" s="39" t="s">
        <v>642</v>
      </c>
      <c r="M31" s="73">
        <f t="shared" si="0"/>
        <v>32</v>
      </c>
    </row>
    <row r="32" spans="1:13" ht="34" x14ac:dyDescent="0.4">
      <c r="A32" s="71" t="s">
        <v>352</v>
      </c>
      <c r="B32" s="45" t="s">
        <v>489</v>
      </c>
      <c r="C32" s="29" t="s">
        <v>585</v>
      </c>
      <c r="D32" s="29" t="s">
        <v>312</v>
      </c>
      <c r="E32" s="70" t="s">
        <v>586</v>
      </c>
      <c r="F32" s="34">
        <v>4</v>
      </c>
      <c r="G32" s="39" t="s">
        <v>630</v>
      </c>
      <c r="H32" s="34">
        <v>6</v>
      </c>
      <c r="I32" s="28" t="s">
        <v>672</v>
      </c>
      <c r="J32" s="79" t="s">
        <v>670</v>
      </c>
      <c r="K32" s="34">
        <v>7</v>
      </c>
      <c r="L32" s="39" t="s">
        <v>642</v>
      </c>
      <c r="M32" s="73">
        <f t="shared" si="0"/>
        <v>168</v>
      </c>
    </row>
    <row r="33" spans="1:13" ht="34" x14ac:dyDescent="0.4">
      <c r="A33" s="71" t="s">
        <v>353</v>
      </c>
      <c r="B33" s="45" t="s">
        <v>490</v>
      </c>
      <c r="C33" s="70" t="s">
        <v>482</v>
      </c>
      <c r="D33" s="29" t="s">
        <v>310</v>
      </c>
      <c r="E33" s="70" t="s">
        <v>323</v>
      </c>
      <c r="F33" s="34">
        <v>8</v>
      </c>
      <c r="G33" s="39" t="s">
        <v>629</v>
      </c>
      <c r="H33" s="34">
        <v>2</v>
      </c>
      <c r="I33" s="28" t="s">
        <v>656</v>
      </c>
      <c r="J33" s="79" t="s">
        <v>664</v>
      </c>
      <c r="K33" s="34">
        <v>2</v>
      </c>
      <c r="L33" s="39" t="s">
        <v>642</v>
      </c>
      <c r="M33" s="73">
        <f t="shared" si="0"/>
        <v>32</v>
      </c>
    </row>
    <row r="34" spans="1:13" ht="34" x14ac:dyDescent="0.4">
      <c r="A34" s="71" t="s">
        <v>354</v>
      </c>
      <c r="B34" s="45" t="s">
        <v>570</v>
      </c>
      <c r="C34" s="29" t="s">
        <v>588</v>
      </c>
      <c r="D34" s="29" t="s">
        <v>312</v>
      </c>
      <c r="E34" s="70" t="s">
        <v>587</v>
      </c>
      <c r="F34" s="34">
        <v>4</v>
      </c>
      <c r="G34" s="39" t="s">
        <v>630</v>
      </c>
      <c r="H34" s="34">
        <v>6</v>
      </c>
      <c r="I34" s="28" t="s">
        <v>672</v>
      </c>
      <c r="J34" s="79" t="s">
        <v>670</v>
      </c>
      <c r="K34" s="34">
        <v>7</v>
      </c>
      <c r="L34" s="39" t="s">
        <v>642</v>
      </c>
      <c r="M34" s="73">
        <f t="shared" si="0"/>
        <v>168</v>
      </c>
    </row>
    <row r="35" spans="1:13" ht="34" x14ac:dyDescent="0.4">
      <c r="A35" s="71" t="s">
        <v>355</v>
      </c>
      <c r="B35" s="45" t="s">
        <v>569</v>
      </c>
      <c r="C35" s="29" t="s">
        <v>480</v>
      </c>
      <c r="D35" s="29" t="s">
        <v>303</v>
      </c>
      <c r="E35" s="70" t="s">
        <v>320</v>
      </c>
      <c r="F35" s="34">
        <v>4</v>
      </c>
      <c r="G35" s="39" t="s">
        <v>626</v>
      </c>
      <c r="H35" s="34">
        <v>3</v>
      </c>
      <c r="I35" s="28" t="s">
        <v>656</v>
      </c>
      <c r="J35" s="79" t="s">
        <v>662</v>
      </c>
      <c r="K35" s="34">
        <v>5</v>
      </c>
      <c r="L35" s="39" t="s">
        <v>641</v>
      </c>
      <c r="M35" s="73">
        <f t="shared" si="0"/>
        <v>60</v>
      </c>
    </row>
    <row r="36" spans="1:13" ht="34" x14ac:dyDescent="0.4">
      <c r="A36" s="71" t="s">
        <v>356</v>
      </c>
      <c r="B36" s="45" t="s">
        <v>550</v>
      </c>
      <c r="C36" s="29" t="s">
        <v>509</v>
      </c>
      <c r="D36" s="29" t="s">
        <v>299</v>
      </c>
      <c r="E36" s="70" t="s">
        <v>323</v>
      </c>
      <c r="F36" s="34">
        <v>8</v>
      </c>
      <c r="G36" s="39" t="s">
        <v>626</v>
      </c>
      <c r="H36" s="34">
        <v>4</v>
      </c>
      <c r="I36" s="28" t="s">
        <v>672</v>
      </c>
      <c r="J36" s="79" t="s">
        <v>666</v>
      </c>
      <c r="K36" s="34">
        <v>5</v>
      </c>
      <c r="L36" s="39" t="s">
        <v>641</v>
      </c>
      <c r="M36" s="73">
        <f t="shared" si="0"/>
        <v>160</v>
      </c>
    </row>
    <row r="37" spans="1:13" ht="34" x14ac:dyDescent="0.4">
      <c r="A37" s="71" t="s">
        <v>357</v>
      </c>
      <c r="B37" s="45" t="s">
        <v>568</v>
      </c>
      <c r="C37" s="29" t="s">
        <v>504</v>
      </c>
      <c r="D37" s="29" t="s">
        <v>299</v>
      </c>
      <c r="E37" s="70" t="s">
        <v>320</v>
      </c>
      <c r="F37" s="34">
        <v>4</v>
      </c>
      <c r="G37" s="39" t="s">
        <v>630</v>
      </c>
      <c r="H37" s="34">
        <v>3</v>
      </c>
      <c r="I37" s="28" t="s">
        <v>672</v>
      </c>
      <c r="J37" s="79" t="s">
        <v>658</v>
      </c>
      <c r="K37" s="34">
        <v>2</v>
      </c>
      <c r="L37" s="39" t="s">
        <v>641</v>
      </c>
      <c r="M37" s="73">
        <f t="shared" si="0"/>
        <v>24</v>
      </c>
    </row>
    <row r="38" spans="1:13" ht="34" x14ac:dyDescent="0.4">
      <c r="A38" s="71" t="s">
        <v>358</v>
      </c>
      <c r="B38" s="45" t="s">
        <v>567</v>
      </c>
      <c r="C38" s="29" t="s">
        <v>480</v>
      </c>
      <c r="D38" s="29" t="s">
        <v>303</v>
      </c>
      <c r="E38" s="70" t="s">
        <v>320</v>
      </c>
      <c r="F38" s="34">
        <v>4</v>
      </c>
      <c r="G38" s="39" t="s">
        <v>626</v>
      </c>
      <c r="H38" s="34">
        <v>3</v>
      </c>
      <c r="I38" s="28" t="s">
        <v>656</v>
      </c>
      <c r="J38" s="79" t="s">
        <v>660</v>
      </c>
      <c r="K38" s="34">
        <v>5</v>
      </c>
      <c r="L38" s="39" t="s">
        <v>641</v>
      </c>
      <c r="M38" s="73">
        <f t="shared" si="0"/>
        <v>60</v>
      </c>
    </row>
    <row r="39" spans="1:13" ht="34" x14ac:dyDescent="0.4">
      <c r="A39" s="71" t="s">
        <v>359</v>
      </c>
      <c r="B39" s="45" t="s">
        <v>529</v>
      </c>
      <c r="C39" s="29" t="s">
        <v>469</v>
      </c>
      <c r="D39" s="29" t="s">
        <v>303</v>
      </c>
      <c r="E39" s="70" t="s">
        <v>320</v>
      </c>
      <c r="F39" s="34">
        <v>8</v>
      </c>
      <c r="G39" s="39" t="s">
        <v>626</v>
      </c>
      <c r="H39" s="34">
        <v>3</v>
      </c>
      <c r="I39" s="28" t="s">
        <v>656</v>
      </c>
      <c r="J39" s="79" t="s">
        <v>660</v>
      </c>
      <c r="K39" s="34">
        <v>5</v>
      </c>
      <c r="L39" s="39" t="s">
        <v>641</v>
      </c>
      <c r="M39" s="73">
        <f t="shared" si="0"/>
        <v>120</v>
      </c>
    </row>
    <row r="40" spans="1:13" ht="34" x14ac:dyDescent="0.4">
      <c r="A40" s="71" t="s">
        <v>360</v>
      </c>
      <c r="B40" s="45" t="s">
        <v>528</v>
      </c>
      <c r="C40" s="29" t="s">
        <v>476</v>
      </c>
      <c r="D40" s="29" t="s">
        <v>303</v>
      </c>
      <c r="E40" s="70" t="s">
        <v>320</v>
      </c>
      <c r="F40" s="34">
        <v>8</v>
      </c>
      <c r="G40" s="39" t="s">
        <v>626</v>
      </c>
      <c r="H40" s="34">
        <v>3</v>
      </c>
      <c r="I40" s="28" t="s">
        <v>656</v>
      </c>
      <c r="J40" s="79" t="s">
        <v>662</v>
      </c>
      <c r="K40" s="34">
        <v>3</v>
      </c>
      <c r="L40" s="39" t="s">
        <v>641</v>
      </c>
      <c r="M40" s="73">
        <f t="shared" si="0"/>
        <v>72</v>
      </c>
    </row>
    <row r="41" spans="1:13" ht="34" x14ac:dyDescent="0.4">
      <c r="A41" s="71" t="s">
        <v>361</v>
      </c>
      <c r="B41" s="45" t="s">
        <v>527</v>
      </c>
      <c r="C41" s="29" t="s">
        <v>478</v>
      </c>
      <c r="D41" s="29" t="s">
        <v>303</v>
      </c>
      <c r="E41" s="70" t="s">
        <v>320</v>
      </c>
      <c r="F41" s="34">
        <v>4</v>
      </c>
      <c r="G41" s="39" t="s">
        <v>626</v>
      </c>
      <c r="H41" s="34">
        <v>3</v>
      </c>
      <c r="I41" s="28" t="s">
        <v>656</v>
      </c>
      <c r="J41" s="79" t="s">
        <v>662</v>
      </c>
      <c r="K41" s="34">
        <v>3</v>
      </c>
      <c r="L41" s="39" t="s">
        <v>641</v>
      </c>
      <c r="M41" s="73">
        <f t="shared" si="0"/>
        <v>36</v>
      </c>
    </row>
    <row r="42" spans="1:13" ht="34" x14ac:dyDescent="0.4">
      <c r="A42" s="71" t="s">
        <v>362</v>
      </c>
      <c r="B42" s="45" t="s">
        <v>566</v>
      </c>
      <c r="C42" s="29" t="s">
        <v>585</v>
      </c>
      <c r="D42" s="29" t="s">
        <v>299</v>
      </c>
      <c r="E42" s="70" t="s">
        <v>589</v>
      </c>
      <c r="F42" s="34">
        <v>3</v>
      </c>
      <c r="G42" s="39" t="s">
        <v>631</v>
      </c>
      <c r="H42" s="34">
        <v>4</v>
      </c>
      <c r="I42" s="28" t="s">
        <v>656</v>
      </c>
      <c r="J42" s="79" t="s">
        <v>660</v>
      </c>
      <c r="K42" s="34">
        <v>5</v>
      </c>
      <c r="L42" s="39" t="s">
        <v>641</v>
      </c>
      <c r="M42" s="73">
        <f t="shared" si="0"/>
        <v>60</v>
      </c>
    </row>
    <row r="43" spans="1:13" ht="34" x14ac:dyDescent="0.4">
      <c r="A43" s="71" t="s">
        <v>363</v>
      </c>
      <c r="B43" s="45" t="s">
        <v>500</v>
      </c>
      <c r="C43" s="29" t="s">
        <v>502</v>
      </c>
      <c r="D43" s="29" t="s">
        <v>299</v>
      </c>
      <c r="E43" s="70" t="s">
        <v>320</v>
      </c>
      <c r="F43" s="34">
        <v>4</v>
      </c>
      <c r="G43" s="39" t="s">
        <v>626</v>
      </c>
      <c r="H43" s="34">
        <v>3</v>
      </c>
      <c r="I43" s="28" t="s">
        <v>656</v>
      </c>
      <c r="J43" s="79" t="s">
        <v>662</v>
      </c>
      <c r="K43" s="34">
        <v>3</v>
      </c>
      <c r="L43" s="39" t="s">
        <v>641</v>
      </c>
      <c r="M43" s="73">
        <f t="shared" si="0"/>
        <v>36</v>
      </c>
    </row>
    <row r="44" spans="1:13" ht="34" x14ac:dyDescent="0.4">
      <c r="A44" s="71" t="s">
        <v>364</v>
      </c>
      <c r="B44" s="45" t="s">
        <v>501</v>
      </c>
      <c r="C44" s="29" t="s">
        <v>503</v>
      </c>
      <c r="D44" s="29" t="s">
        <v>303</v>
      </c>
      <c r="E44" s="70" t="s">
        <v>323</v>
      </c>
      <c r="F44" s="34">
        <v>8</v>
      </c>
      <c r="G44" s="39" t="s">
        <v>626</v>
      </c>
      <c r="H44" s="34">
        <v>3</v>
      </c>
      <c r="I44" s="28" t="s">
        <v>656</v>
      </c>
      <c r="J44" s="79" t="s">
        <v>660</v>
      </c>
      <c r="K44" s="34">
        <v>3</v>
      </c>
      <c r="L44" s="39" t="s">
        <v>641</v>
      </c>
      <c r="M44" s="73">
        <f t="shared" si="0"/>
        <v>72</v>
      </c>
    </row>
    <row r="45" spans="1:13" ht="34" x14ac:dyDescent="0.4">
      <c r="A45" s="71" t="s">
        <v>365</v>
      </c>
      <c r="B45" s="45" t="s">
        <v>532</v>
      </c>
      <c r="C45" s="29" t="s">
        <v>504</v>
      </c>
      <c r="D45" s="29" t="s">
        <v>299</v>
      </c>
      <c r="E45" s="70" t="s">
        <v>320</v>
      </c>
      <c r="F45" s="34">
        <v>4</v>
      </c>
      <c r="G45" s="39" t="s">
        <v>630</v>
      </c>
      <c r="H45" s="34">
        <v>3</v>
      </c>
      <c r="I45" s="28" t="s">
        <v>672</v>
      </c>
      <c r="J45" s="79" t="s">
        <v>658</v>
      </c>
      <c r="K45" s="34">
        <v>2</v>
      </c>
      <c r="L45" s="39" t="s">
        <v>641</v>
      </c>
      <c r="M45" s="73">
        <f t="shared" si="0"/>
        <v>24</v>
      </c>
    </row>
    <row r="46" spans="1:13" ht="34" x14ac:dyDescent="0.4">
      <c r="A46" s="71" t="s">
        <v>366</v>
      </c>
      <c r="B46" s="45" t="s">
        <v>500</v>
      </c>
      <c r="C46" s="29" t="s">
        <v>502</v>
      </c>
      <c r="D46" s="29" t="s">
        <v>299</v>
      </c>
      <c r="E46" s="70" t="s">
        <v>320</v>
      </c>
      <c r="F46" s="34">
        <v>4</v>
      </c>
      <c r="G46" s="39" t="s">
        <v>626</v>
      </c>
      <c r="H46" s="34">
        <v>3</v>
      </c>
      <c r="I46" s="28" t="s">
        <v>656</v>
      </c>
      <c r="J46" s="79" t="s">
        <v>662</v>
      </c>
      <c r="K46" s="34">
        <v>3</v>
      </c>
      <c r="L46" s="39" t="s">
        <v>641</v>
      </c>
      <c r="M46" s="73">
        <f t="shared" si="0"/>
        <v>36</v>
      </c>
    </row>
    <row r="47" spans="1:13" ht="34" x14ac:dyDescent="0.4">
      <c r="A47" s="71" t="s">
        <v>367</v>
      </c>
      <c r="B47" s="45" t="s">
        <v>501</v>
      </c>
      <c r="C47" s="29" t="s">
        <v>503</v>
      </c>
      <c r="D47" s="29" t="s">
        <v>303</v>
      </c>
      <c r="E47" s="70" t="s">
        <v>323</v>
      </c>
      <c r="F47" s="34">
        <v>8</v>
      </c>
      <c r="G47" s="39" t="s">
        <v>626</v>
      </c>
      <c r="H47" s="34">
        <v>3</v>
      </c>
      <c r="I47" s="28" t="s">
        <v>656</v>
      </c>
      <c r="J47" s="79" t="s">
        <v>660</v>
      </c>
      <c r="K47" s="34">
        <v>3</v>
      </c>
      <c r="L47" s="39" t="s">
        <v>641</v>
      </c>
      <c r="M47" s="73">
        <f t="shared" si="0"/>
        <v>72</v>
      </c>
    </row>
    <row r="48" spans="1:13" ht="34" x14ac:dyDescent="0.4">
      <c r="A48" s="71" t="s">
        <v>368</v>
      </c>
      <c r="B48" s="45" t="s">
        <v>532</v>
      </c>
      <c r="C48" s="29" t="s">
        <v>504</v>
      </c>
      <c r="D48" s="29" t="s">
        <v>299</v>
      </c>
      <c r="E48" s="70" t="s">
        <v>320</v>
      </c>
      <c r="F48" s="34">
        <v>4</v>
      </c>
      <c r="G48" s="39" t="s">
        <v>630</v>
      </c>
      <c r="H48" s="34">
        <v>3</v>
      </c>
      <c r="I48" s="28" t="s">
        <v>672</v>
      </c>
      <c r="J48" s="79" t="s">
        <v>658</v>
      </c>
      <c r="K48" s="34">
        <v>2</v>
      </c>
      <c r="L48" s="39" t="s">
        <v>641</v>
      </c>
      <c r="M48" s="73">
        <f t="shared" si="0"/>
        <v>24</v>
      </c>
    </row>
    <row r="49" spans="1:13" ht="34" x14ac:dyDescent="0.4">
      <c r="A49" s="71" t="s">
        <v>369</v>
      </c>
      <c r="B49" s="45" t="s">
        <v>564</v>
      </c>
      <c r="C49" s="29" t="s">
        <v>507</v>
      </c>
      <c r="D49" s="29" t="s">
        <v>303</v>
      </c>
      <c r="E49" s="70" t="s">
        <v>508</v>
      </c>
      <c r="F49" s="34">
        <v>7</v>
      </c>
      <c r="G49" s="39" t="s">
        <v>631</v>
      </c>
      <c r="H49" s="34">
        <v>4</v>
      </c>
      <c r="I49" s="28" t="s">
        <v>656</v>
      </c>
      <c r="J49" s="79" t="s">
        <v>666</v>
      </c>
      <c r="K49" s="34">
        <v>5</v>
      </c>
      <c r="L49" s="39" t="s">
        <v>641</v>
      </c>
      <c r="M49" s="73">
        <f t="shared" si="0"/>
        <v>140</v>
      </c>
    </row>
    <row r="50" spans="1:13" ht="34" x14ac:dyDescent="0.4">
      <c r="A50" s="71" t="s">
        <v>370</v>
      </c>
      <c r="B50" s="45" t="s">
        <v>565</v>
      </c>
      <c r="C50" s="29" t="s">
        <v>507</v>
      </c>
      <c r="D50" s="29" t="s">
        <v>303</v>
      </c>
      <c r="E50" s="70" t="s">
        <v>508</v>
      </c>
      <c r="F50" s="34">
        <v>7</v>
      </c>
      <c r="G50" s="39" t="s">
        <v>631</v>
      </c>
      <c r="H50" s="34">
        <v>4</v>
      </c>
      <c r="I50" s="28" t="s">
        <v>656</v>
      </c>
      <c r="J50" s="79" t="s">
        <v>666</v>
      </c>
      <c r="K50" s="34">
        <v>5</v>
      </c>
      <c r="L50" s="39" t="s">
        <v>641</v>
      </c>
      <c r="M50" s="73">
        <f t="shared" si="0"/>
        <v>140</v>
      </c>
    </row>
    <row r="51" spans="1:13" ht="34" x14ac:dyDescent="0.4">
      <c r="A51" s="71" t="s">
        <v>371</v>
      </c>
      <c r="B51" s="45" t="s">
        <v>564</v>
      </c>
      <c r="C51" s="29" t="s">
        <v>507</v>
      </c>
      <c r="D51" s="29" t="s">
        <v>303</v>
      </c>
      <c r="E51" s="70" t="s">
        <v>508</v>
      </c>
      <c r="F51" s="34">
        <v>7</v>
      </c>
      <c r="G51" s="39" t="s">
        <v>631</v>
      </c>
      <c r="H51" s="34">
        <v>4</v>
      </c>
      <c r="I51" s="28" t="s">
        <v>656</v>
      </c>
      <c r="J51" s="79" t="s">
        <v>666</v>
      </c>
      <c r="K51" s="34">
        <v>5</v>
      </c>
      <c r="L51" s="39" t="s">
        <v>641</v>
      </c>
      <c r="M51" s="73">
        <f t="shared" si="0"/>
        <v>140</v>
      </c>
    </row>
    <row r="52" spans="1:13" ht="34" x14ac:dyDescent="0.4">
      <c r="A52" s="71" t="s">
        <v>356</v>
      </c>
      <c r="B52" s="45" t="s">
        <v>491</v>
      </c>
      <c r="C52" s="29" t="s">
        <v>509</v>
      </c>
      <c r="D52" s="29" t="s">
        <v>299</v>
      </c>
      <c r="E52" s="70" t="s">
        <v>323</v>
      </c>
      <c r="F52" s="34">
        <v>8</v>
      </c>
      <c r="G52" s="39" t="s">
        <v>626</v>
      </c>
      <c r="H52" s="34">
        <v>4</v>
      </c>
      <c r="I52" s="28" t="s">
        <v>672</v>
      </c>
      <c r="J52" s="79" t="s">
        <v>666</v>
      </c>
      <c r="K52" s="34">
        <v>5</v>
      </c>
      <c r="L52" s="39" t="s">
        <v>641</v>
      </c>
      <c r="M52" s="73">
        <f t="shared" si="0"/>
        <v>160</v>
      </c>
    </row>
    <row r="53" spans="1:13" ht="34" x14ac:dyDescent="0.4">
      <c r="A53" s="71" t="s">
        <v>372</v>
      </c>
      <c r="B53" s="45" t="s">
        <v>608</v>
      </c>
      <c r="C53" s="29" t="s">
        <v>607</v>
      </c>
      <c r="D53" s="29" t="s">
        <v>307</v>
      </c>
      <c r="E53" s="70" t="s">
        <v>320</v>
      </c>
      <c r="F53" s="34">
        <v>8</v>
      </c>
      <c r="G53" s="39" t="s">
        <v>626</v>
      </c>
      <c r="H53" s="34">
        <v>4</v>
      </c>
      <c r="I53" s="28" t="s">
        <v>672</v>
      </c>
      <c r="J53" s="79" t="s">
        <v>660</v>
      </c>
      <c r="K53" s="34">
        <v>5</v>
      </c>
      <c r="L53" s="39" t="s">
        <v>641</v>
      </c>
      <c r="M53" s="73">
        <f t="shared" si="0"/>
        <v>160</v>
      </c>
    </row>
    <row r="54" spans="1:13" ht="34" x14ac:dyDescent="0.4">
      <c r="A54" s="71" t="s">
        <v>373</v>
      </c>
      <c r="B54" s="45" t="s">
        <v>492</v>
      </c>
      <c r="C54" s="29" t="s">
        <v>472</v>
      </c>
      <c r="D54" s="29" t="s">
        <v>308</v>
      </c>
      <c r="E54" s="70" t="s">
        <v>321</v>
      </c>
      <c r="F54" s="34">
        <v>7</v>
      </c>
      <c r="G54" s="39" t="s">
        <v>626</v>
      </c>
      <c r="H54" s="34">
        <v>1</v>
      </c>
      <c r="I54" s="28" t="s">
        <v>672</v>
      </c>
      <c r="J54" s="79" t="s">
        <v>660</v>
      </c>
      <c r="K54" s="34">
        <v>5</v>
      </c>
      <c r="L54" s="39" t="s">
        <v>641</v>
      </c>
      <c r="M54" s="73">
        <f t="shared" si="0"/>
        <v>35</v>
      </c>
    </row>
    <row r="55" spans="1:13" ht="34" x14ac:dyDescent="0.4">
      <c r="A55" s="71" t="s">
        <v>374</v>
      </c>
      <c r="B55" s="45" t="s">
        <v>493</v>
      </c>
      <c r="C55" s="29" t="s">
        <v>475</v>
      </c>
      <c r="D55" s="29" t="s">
        <v>305</v>
      </c>
      <c r="E55" s="70" t="s">
        <v>322</v>
      </c>
      <c r="F55" s="34">
        <v>4</v>
      </c>
      <c r="G55" s="39" t="s">
        <v>626</v>
      </c>
      <c r="H55" s="34">
        <v>1</v>
      </c>
      <c r="I55" s="28" t="s">
        <v>672</v>
      </c>
      <c r="J55" s="79" t="s">
        <v>658</v>
      </c>
      <c r="K55" s="34">
        <v>1</v>
      </c>
      <c r="L55" s="39" t="s">
        <v>641</v>
      </c>
      <c r="M55" s="73">
        <f t="shared" si="0"/>
        <v>4</v>
      </c>
    </row>
    <row r="56" spans="1:13" ht="34" x14ac:dyDescent="0.4">
      <c r="A56" s="71" t="s">
        <v>375</v>
      </c>
      <c r="B56" s="45" t="s">
        <v>563</v>
      </c>
      <c r="C56" s="70" t="s">
        <v>482</v>
      </c>
      <c r="D56" s="29" t="s">
        <v>310</v>
      </c>
      <c r="E56" s="70" t="s">
        <v>323</v>
      </c>
      <c r="F56" s="34">
        <v>8</v>
      </c>
      <c r="G56" s="39" t="s">
        <v>629</v>
      </c>
      <c r="H56" s="34">
        <v>3</v>
      </c>
      <c r="I56" s="28" t="s">
        <v>656</v>
      </c>
      <c r="J56" s="79" t="s">
        <v>662</v>
      </c>
      <c r="K56" s="34">
        <v>8</v>
      </c>
      <c r="L56" s="39" t="s">
        <v>641</v>
      </c>
      <c r="M56" s="73">
        <f t="shared" si="0"/>
        <v>192</v>
      </c>
    </row>
    <row r="57" spans="1:13" ht="34" x14ac:dyDescent="0.4">
      <c r="A57" s="71" t="s">
        <v>376</v>
      </c>
      <c r="B57" s="45" t="s">
        <v>562</v>
      </c>
      <c r="C57" s="29" t="s">
        <v>509</v>
      </c>
      <c r="D57" s="29" t="s">
        <v>299</v>
      </c>
      <c r="E57" s="70" t="s">
        <v>508</v>
      </c>
      <c r="F57" s="34">
        <v>7</v>
      </c>
      <c r="G57" s="39" t="s">
        <v>637</v>
      </c>
      <c r="H57" s="34">
        <v>1</v>
      </c>
      <c r="I57" s="28" t="s">
        <v>656</v>
      </c>
      <c r="J57" s="79" t="s">
        <v>658</v>
      </c>
      <c r="K57" s="34">
        <v>3</v>
      </c>
      <c r="L57" s="39" t="s">
        <v>641</v>
      </c>
      <c r="M57" s="73">
        <f t="shared" si="0"/>
        <v>21</v>
      </c>
    </row>
    <row r="58" spans="1:13" ht="34" x14ac:dyDescent="0.4">
      <c r="A58" s="71" t="s">
        <v>377</v>
      </c>
      <c r="B58" s="45" t="s">
        <v>561</v>
      </c>
      <c r="C58" s="29" t="s">
        <v>624</v>
      </c>
      <c r="D58" s="29" t="s">
        <v>299</v>
      </c>
      <c r="E58" s="70" t="s">
        <v>323</v>
      </c>
      <c r="F58" s="34">
        <v>8</v>
      </c>
      <c r="G58" s="39" t="s">
        <v>637</v>
      </c>
      <c r="H58" s="34">
        <v>1</v>
      </c>
      <c r="I58" s="28" t="s">
        <v>656</v>
      </c>
      <c r="J58" s="79" t="s">
        <v>658</v>
      </c>
      <c r="K58" s="34">
        <v>2</v>
      </c>
      <c r="L58" s="39" t="s">
        <v>641</v>
      </c>
      <c r="M58" s="73">
        <f t="shared" si="0"/>
        <v>16</v>
      </c>
    </row>
    <row r="59" spans="1:13" ht="34" x14ac:dyDescent="0.4">
      <c r="A59" s="71" t="s">
        <v>378</v>
      </c>
      <c r="B59" s="45" t="s">
        <v>556</v>
      </c>
      <c r="C59" s="29" t="s">
        <v>472</v>
      </c>
      <c r="D59" s="29" t="s">
        <v>308</v>
      </c>
      <c r="E59" s="70" t="s">
        <v>321</v>
      </c>
      <c r="F59" s="34">
        <v>7</v>
      </c>
      <c r="G59" s="39" t="s">
        <v>631</v>
      </c>
      <c r="H59" s="34">
        <v>1</v>
      </c>
      <c r="I59" s="28" t="s">
        <v>672</v>
      </c>
      <c r="J59" s="79" t="s">
        <v>660</v>
      </c>
      <c r="K59" s="34">
        <v>5</v>
      </c>
      <c r="L59" s="39" t="s">
        <v>641</v>
      </c>
      <c r="M59" s="73">
        <f t="shared" si="0"/>
        <v>35</v>
      </c>
    </row>
    <row r="60" spans="1:13" ht="34" x14ac:dyDescent="0.4">
      <c r="A60" s="71" t="s">
        <v>379</v>
      </c>
      <c r="B60" s="45" t="s">
        <v>560</v>
      </c>
      <c r="C60" s="29" t="s">
        <v>509</v>
      </c>
      <c r="D60" s="29" t="s">
        <v>299</v>
      </c>
      <c r="E60" s="70" t="s">
        <v>508</v>
      </c>
      <c r="F60" s="34">
        <v>7</v>
      </c>
      <c r="G60" s="39" t="s">
        <v>637</v>
      </c>
      <c r="H60" s="34">
        <v>1</v>
      </c>
      <c r="I60" s="28" t="s">
        <v>656</v>
      </c>
      <c r="J60" s="79" t="s">
        <v>658</v>
      </c>
      <c r="K60" s="34">
        <v>3</v>
      </c>
      <c r="L60" s="39" t="s">
        <v>641</v>
      </c>
      <c r="M60" s="73">
        <f t="shared" si="0"/>
        <v>21</v>
      </c>
    </row>
    <row r="61" spans="1:13" ht="34" x14ac:dyDescent="0.4">
      <c r="A61" s="71" t="s">
        <v>380</v>
      </c>
      <c r="B61" s="45" t="s">
        <v>559</v>
      </c>
      <c r="C61" s="29" t="s">
        <v>624</v>
      </c>
      <c r="D61" s="29" t="s">
        <v>299</v>
      </c>
      <c r="E61" s="70" t="s">
        <v>323</v>
      </c>
      <c r="F61" s="34">
        <v>8</v>
      </c>
      <c r="G61" s="39" t="s">
        <v>635</v>
      </c>
      <c r="H61" s="34">
        <v>1</v>
      </c>
      <c r="I61" s="28" t="s">
        <v>656</v>
      </c>
      <c r="J61" s="79" t="s">
        <v>658</v>
      </c>
      <c r="K61" s="34">
        <v>2</v>
      </c>
      <c r="L61" s="39" t="s">
        <v>641</v>
      </c>
      <c r="M61" s="73">
        <f t="shared" si="0"/>
        <v>16</v>
      </c>
    </row>
    <row r="62" spans="1:13" ht="34" x14ac:dyDescent="0.4">
      <c r="A62" s="71" t="s">
        <v>381</v>
      </c>
      <c r="B62" s="45" t="s">
        <v>558</v>
      </c>
      <c r="C62" s="29" t="s">
        <v>507</v>
      </c>
      <c r="D62" s="29" t="s">
        <v>303</v>
      </c>
      <c r="E62" s="70" t="s">
        <v>508</v>
      </c>
      <c r="F62" s="34">
        <v>7</v>
      </c>
      <c r="G62" s="39" t="s">
        <v>632</v>
      </c>
      <c r="H62" s="34">
        <v>4</v>
      </c>
      <c r="I62" s="28" t="s">
        <v>656</v>
      </c>
      <c r="J62" s="79" t="s">
        <v>660</v>
      </c>
      <c r="K62" s="34">
        <v>5</v>
      </c>
      <c r="L62" s="39" t="s">
        <v>641</v>
      </c>
      <c r="M62" s="73">
        <f t="shared" si="0"/>
        <v>140</v>
      </c>
    </row>
    <row r="63" spans="1:13" ht="34" x14ac:dyDescent="0.4">
      <c r="A63" s="71" t="s">
        <v>382</v>
      </c>
      <c r="B63" s="45" t="s">
        <v>510</v>
      </c>
      <c r="C63" s="29" t="s">
        <v>597</v>
      </c>
      <c r="D63" s="29" t="s">
        <v>305</v>
      </c>
      <c r="E63" s="70" t="s">
        <v>322</v>
      </c>
      <c r="F63" s="34">
        <v>4</v>
      </c>
      <c r="G63" s="39" t="s">
        <v>636</v>
      </c>
      <c r="H63" s="34">
        <v>4</v>
      </c>
      <c r="I63" s="28" t="s">
        <v>672</v>
      </c>
      <c r="J63" s="79" t="s">
        <v>668</v>
      </c>
      <c r="K63" s="34">
        <v>10</v>
      </c>
      <c r="L63" s="39" t="s">
        <v>641</v>
      </c>
      <c r="M63" s="73">
        <f t="shared" si="0"/>
        <v>160</v>
      </c>
    </row>
    <row r="64" spans="1:13" ht="34" x14ac:dyDescent="0.4">
      <c r="A64" s="71" t="s">
        <v>383</v>
      </c>
      <c r="B64" s="45" t="s">
        <v>557</v>
      </c>
      <c r="C64" s="29" t="s">
        <v>509</v>
      </c>
      <c r="D64" s="29" t="s">
        <v>299</v>
      </c>
      <c r="E64" s="70" t="s">
        <v>323</v>
      </c>
      <c r="F64" s="34">
        <v>8</v>
      </c>
      <c r="G64" s="39" t="s">
        <v>626</v>
      </c>
      <c r="H64" s="34">
        <v>4</v>
      </c>
      <c r="I64" s="28" t="s">
        <v>672</v>
      </c>
      <c r="J64" s="79" t="s">
        <v>666</v>
      </c>
      <c r="K64" s="34">
        <v>5</v>
      </c>
      <c r="L64" s="39" t="s">
        <v>641</v>
      </c>
      <c r="M64" s="73">
        <f t="shared" si="0"/>
        <v>160</v>
      </c>
    </row>
    <row r="65" spans="1:13" ht="34" x14ac:dyDescent="0.4">
      <c r="A65" s="71" t="s">
        <v>384</v>
      </c>
      <c r="B65" s="45" t="s">
        <v>529</v>
      </c>
      <c r="C65" s="29" t="s">
        <v>469</v>
      </c>
      <c r="D65" s="29" t="s">
        <v>303</v>
      </c>
      <c r="E65" s="70" t="s">
        <v>320</v>
      </c>
      <c r="F65" s="34">
        <v>8</v>
      </c>
      <c r="G65" s="39" t="s">
        <v>626</v>
      </c>
      <c r="H65" s="34">
        <v>3</v>
      </c>
      <c r="I65" s="28" t="s">
        <v>656</v>
      </c>
      <c r="J65" s="79" t="s">
        <v>660</v>
      </c>
      <c r="K65" s="34">
        <v>5</v>
      </c>
      <c r="L65" s="39" t="s">
        <v>641</v>
      </c>
      <c r="M65" s="73">
        <f t="shared" si="0"/>
        <v>120</v>
      </c>
    </row>
    <row r="66" spans="1:13" ht="34" x14ac:dyDescent="0.4">
      <c r="A66" s="71" t="s">
        <v>385</v>
      </c>
      <c r="B66" s="45" t="s">
        <v>528</v>
      </c>
      <c r="C66" s="29" t="s">
        <v>476</v>
      </c>
      <c r="D66" s="29" t="s">
        <v>303</v>
      </c>
      <c r="E66" s="70" t="s">
        <v>320</v>
      </c>
      <c r="F66" s="34">
        <v>8</v>
      </c>
      <c r="G66" s="39" t="s">
        <v>626</v>
      </c>
      <c r="H66" s="34">
        <v>3</v>
      </c>
      <c r="I66" s="28" t="s">
        <v>656</v>
      </c>
      <c r="J66" s="79" t="s">
        <v>662</v>
      </c>
      <c r="K66" s="34">
        <v>3</v>
      </c>
      <c r="L66" s="39" t="s">
        <v>641</v>
      </c>
      <c r="M66" s="73">
        <f t="shared" si="0"/>
        <v>72</v>
      </c>
    </row>
    <row r="67" spans="1:13" ht="34" x14ac:dyDescent="0.4">
      <c r="A67" s="71" t="s">
        <v>386</v>
      </c>
      <c r="B67" s="45" t="s">
        <v>527</v>
      </c>
      <c r="C67" s="29" t="s">
        <v>478</v>
      </c>
      <c r="D67" s="29" t="s">
        <v>303</v>
      </c>
      <c r="E67" s="70" t="s">
        <v>320</v>
      </c>
      <c r="F67" s="34">
        <v>4</v>
      </c>
      <c r="G67" s="39" t="s">
        <v>626</v>
      </c>
      <c r="H67" s="34">
        <v>3</v>
      </c>
      <c r="I67" s="28" t="s">
        <v>656</v>
      </c>
      <c r="J67" s="79" t="s">
        <v>662</v>
      </c>
      <c r="K67" s="34">
        <v>3</v>
      </c>
      <c r="L67" s="39" t="s">
        <v>641</v>
      </c>
      <c r="M67" s="73">
        <f t="shared" ref="M67:M130" si="1">F67*H67*K67</f>
        <v>36</v>
      </c>
    </row>
    <row r="68" spans="1:13" ht="34" x14ac:dyDescent="0.4">
      <c r="A68" s="71" t="s">
        <v>387</v>
      </c>
      <c r="B68" s="45" t="s">
        <v>557</v>
      </c>
      <c r="C68" s="29" t="s">
        <v>509</v>
      </c>
      <c r="D68" s="29" t="s">
        <v>299</v>
      </c>
      <c r="E68" s="70" t="s">
        <v>323</v>
      </c>
      <c r="F68" s="34">
        <v>8</v>
      </c>
      <c r="G68" s="39" t="s">
        <v>626</v>
      </c>
      <c r="H68" s="34">
        <v>4</v>
      </c>
      <c r="I68" s="28" t="s">
        <v>672</v>
      </c>
      <c r="J68" s="79" t="s">
        <v>666</v>
      </c>
      <c r="K68" s="34">
        <v>5</v>
      </c>
      <c r="L68" s="39" t="s">
        <v>641</v>
      </c>
      <c r="M68" s="73">
        <f t="shared" si="1"/>
        <v>160</v>
      </c>
    </row>
    <row r="69" spans="1:13" ht="34" x14ac:dyDescent="0.4">
      <c r="A69" s="71" t="s">
        <v>388</v>
      </c>
      <c r="B69" s="45" t="s">
        <v>556</v>
      </c>
      <c r="C69" s="29" t="s">
        <v>472</v>
      </c>
      <c r="D69" s="29" t="s">
        <v>308</v>
      </c>
      <c r="E69" s="70" t="s">
        <v>321</v>
      </c>
      <c r="F69" s="34">
        <v>7</v>
      </c>
      <c r="G69" s="39" t="s">
        <v>626</v>
      </c>
      <c r="H69" s="34">
        <v>1</v>
      </c>
      <c r="I69" s="28" t="s">
        <v>672</v>
      </c>
      <c r="J69" s="79" t="s">
        <v>660</v>
      </c>
      <c r="K69" s="34">
        <v>5</v>
      </c>
      <c r="L69" s="39" t="s">
        <v>641</v>
      </c>
      <c r="M69" s="73">
        <f t="shared" si="1"/>
        <v>35</v>
      </c>
    </row>
    <row r="70" spans="1:13" ht="34" x14ac:dyDescent="0.4">
      <c r="A70" s="71" t="s">
        <v>389</v>
      </c>
      <c r="B70" s="45" t="s">
        <v>555</v>
      </c>
      <c r="C70" s="29" t="s">
        <v>623</v>
      </c>
      <c r="D70" s="29" t="s">
        <v>299</v>
      </c>
      <c r="E70" s="70" t="s">
        <v>599</v>
      </c>
      <c r="F70" s="34">
        <v>6</v>
      </c>
      <c r="G70" s="39" t="s">
        <v>637</v>
      </c>
      <c r="H70" s="34">
        <v>3</v>
      </c>
      <c r="I70" s="28" t="s">
        <v>656</v>
      </c>
      <c r="J70" s="79" t="s">
        <v>658</v>
      </c>
      <c r="K70" s="34">
        <v>3</v>
      </c>
      <c r="L70" s="39" t="s">
        <v>641</v>
      </c>
      <c r="M70" s="73">
        <f t="shared" si="1"/>
        <v>54</v>
      </c>
    </row>
    <row r="71" spans="1:13" ht="34" x14ac:dyDescent="0.4">
      <c r="A71" s="71" t="s">
        <v>390</v>
      </c>
      <c r="B71" s="45" t="s">
        <v>554</v>
      </c>
      <c r="C71" s="29" t="s">
        <v>322</v>
      </c>
      <c r="D71" s="29" t="s">
        <v>304</v>
      </c>
      <c r="E71" s="70" t="s">
        <v>320</v>
      </c>
      <c r="F71" s="34">
        <v>6</v>
      </c>
      <c r="G71" s="39" t="s">
        <v>637</v>
      </c>
      <c r="H71" s="34">
        <v>3</v>
      </c>
      <c r="I71" s="28" t="s">
        <v>656</v>
      </c>
      <c r="J71" s="79" t="s">
        <v>658</v>
      </c>
      <c r="K71" s="34">
        <v>7</v>
      </c>
      <c r="L71" s="39" t="s">
        <v>641</v>
      </c>
      <c r="M71" s="73">
        <f t="shared" si="1"/>
        <v>126</v>
      </c>
    </row>
    <row r="72" spans="1:13" ht="51" x14ac:dyDescent="0.4">
      <c r="A72" s="71" t="s">
        <v>391</v>
      </c>
      <c r="B72" s="45" t="s">
        <v>577</v>
      </c>
      <c r="C72" s="29" t="s">
        <v>602</v>
      </c>
      <c r="D72" s="29" t="s">
        <v>299</v>
      </c>
      <c r="E72" s="70" t="s">
        <v>603</v>
      </c>
      <c r="F72" s="34">
        <v>2</v>
      </c>
      <c r="G72" s="39" t="s">
        <v>637</v>
      </c>
      <c r="H72" s="34">
        <v>5</v>
      </c>
      <c r="I72" s="28" t="s">
        <v>672</v>
      </c>
      <c r="J72" s="79" t="s">
        <v>660</v>
      </c>
      <c r="K72" s="34">
        <v>6</v>
      </c>
      <c r="L72" s="39" t="s">
        <v>641</v>
      </c>
      <c r="M72" s="73">
        <f t="shared" si="1"/>
        <v>60</v>
      </c>
    </row>
    <row r="73" spans="1:13" ht="51" x14ac:dyDescent="0.4">
      <c r="A73" s="71" t="s">
        <v>392</v>
      </c>
      <c r="B73" s="45" t="s">
        <v>577</v>
      </c>
      <c r="C73" s="29" t="s">
        <v>602</v>
      </c>
      <c r="D73" s="29" t="s">
        <v>299</v>
      </c>
      <c r="E73" s="70" t="s">
        <v>603</v>
      </c>
      <c r="F73" s="34">
        <v>2</v>
      </c>
      <c r="G73" s="39" t="s">
        <v>637</v>
      </c>
      <c r="H73" s="34">
        <v>5</v>
      </c>
      <c r="I73" s="28" t="s">
        <v>672</v>
      </c>
      <c r="J73" s="79" t="s">
        <v>660</v>
      </c>
      <c r="K73" s="34">
        <v>6</v>
      </c>
      <c r="L73" s="39" t="s">
        <v>641</v>
      </c>
      <c r="M73" s="73">
        <f t="shared" si="1"/>
        <v>60</v>
      </c>
    </row>
    <row r="74" spans="1:13" ht="34" x14ac:dyDescent="0.4">
      <c r="A74" s="71" t="s">
        <v>393</v>
      </c>
      <c r="B74" s="45" t="s">
        <v>553</v>
      </c>
      <c r="C74" s="29" t="s">
        <v>612</v>
      </c>
      <c r="D74" s="29" t="s">
        <v>299</v>
      </c>
      <c r="E74" s="70" t="s">
        <v>320</v>
      </c>
      <c r="F74" s="34">
        <v>6</v>
      </c>
      <c r="G74" s="39" t="s">
        <v>626</v>
      </c>
      <c r="H74" s="34">
        <v>3</v>
      </c>
      <c r="I74" s="28" t="s">
        <v>656</v>
      </c>
      <c r="J74" s="79" t="s">
        <v>662</v>
      </c>
      <c r="K74" s="34">
        <v>3</v>
      </c>
      <c r="L74" s="39" t="s">
        <v>641</v>
      </c>
      <c r="M74" s="73">
        <f t="shared" si="1"/>
        <v>54</v>
      </c>
    </row>
    <row r="75" spans="1:13" ht="34" x14ac:dyDescent="0.4">
      <c r="A75" s="71" t="s">
        <v>394</v>
      </c>
      <c r="B75" s="45" t="s">
        <v>552</v>
      </c>
      <c r="C75" s="29" t="s">
        <v>509</v>
      </c>
      <c r="D75" s="29" t="s">
        <v>299</v>
      </c>
      <c r="E75" s="70" t="s">
        <v>323</v>
      </c>
      <c r="F75" s="34">
        <v>8</v>
      </c>
      <c r="G75" s="39" t="s">
        <v>626</v>
      </c>
      <c r="H75" s="34">
        <v>3</v>
      </c>
      <c r="I75" s="28" t="s">
        <v>656</v>
      </c>
      <c r="J75" s="79" t="s">
        <v>662</v>
      </c>
      <c r="K75" s="34">
        <v>5</v>
      </c>
      <c r="L75" s="39" t="s">
        <v>641</v>
      </c>
      <c r="M75" s="73">
        <f t="shared" si="1"/>
        <v>120</v>
      </c>
    </row>
    <row r="76" spans="1:13" ht="34" x14ac:dyDescent="0.4">
      <c r="A76" s="71" t="s">
        <v>395</v>
      </c>
      <c r="B76" s="45" t="s">
        <v>527</v>
      </c>
      <c r="C76" s="29" t="s">
        <v>478</v>
      </c>
      <c r="D76" s="29" t="s">
        <v>303</v>
      </c>
      <c r="E76" s="70" t="s">
        <v>320</v>
      </c>
      <c r="F76" s="34">
        <v>4</v>
      </c>
      <c r="G76" s="39" t="s">
        <v>626</v>
      </c>
      <c r="H76" s="34">
        <v>3</v>
      </c>
      <c r="I76" s="28" t="s">
        <v>656</v>
      </c>
      <c r="J76" s="79" t="s">
        <v>662</v>
      </c>
      <c r="K76" s="34">
        <v>3</v>
      </c>
      <c r="L76" s="39" t="s">
        <v>641</v>
      </c>
      <c r="M76" s="73">
        <f t="shared" si="1"/>
        <v>36</v>
      </c>
    </row>
    <row r="77" spans="1:13" ht="34" x14ac:dyDescent="0.4">
      <c r="A77" s="71" t="s">
        <v>396</v>
      </c>
      <c r="B77" s="45" t="s">
        <v>550</v>
      </c>
      <c r="C77" s="29" t="s">
        <v>509</v>
      </c>
      <c r="D77" s="29" t="s">
        <v>299</v>
      </c>
      <c r="E77" s="70" t="s">
        <v>323</v>
      </c>
      <c r="F77" s="34">
        <v>8</v>
      </c>
      <c r="G77" s="39" t="s">
        <v>626</v>
      </c>
      <c r="H77" s="34">
        <v>4</v>
      </c>
      <c r="I77" s="28" t="s">
        <v>672</v>
      </c>
      <c r="J77" s="79" t="s">
        <v>666</v>
      </c>
      <c r="K77" s="34">
        <v>5</v>
      </c>
      <c r="L77" s="39" t="s">
        <v>641</v>
      </c>
      <c r="M77" s="73">
        <f t="shared" si="1"/>
        <v>160</v>
      </c>
    </row>
    <row r="78" spans="1:13" ht="34" x14ac:dyDescent="0.4">
      <c r="A78" s="71" t="s">
        <v>397</v>
      </c>
      <c r="B78" s="45" t="s">
        <v>549</v>
      </c>
      <c r="C78" s="29" t="s">
        <v>609</v>
      </c>
      <c r="D78" s="29" t="s">
        <v>299</v>
      </c>
      <c r="E78" s="70" t="s">
        <v>610</v>
      </c>
      <c r="F78" s="34">
        <v>4</v>
      </c>
      <c r="G78" s="39" t="s">
        <v>628</v>
      </c>
      <c r="H78" s="34">
        <v>4</v>
      </c>
      <c r="I78" s="28" t="s">
        <v>672</v>
      </c>
      <c r="J78" s="79" t="s">
        <v>675</v>
      </c>
      <c r="K78" s="34">
        <v>6</v>
      </c>
      <c r="L78" s="39" t="s">
        <v>641</v>
      </c>
      <c r="M78" s="73">
        <f t="shared" si="1"/>
        <v>96</v>
      </c>
    </row>
    <row r="79" spans="1:13" ht="34" x14ac:dyDescent="0.4">
      <c r="A79" s="71" t="s">
        <v>398</v>
      </c>
      <c r="B79" s="45" t="s">
        <v>551</v>
      </c>
      <c r="C79" s="29" t="s">
        <v>622</v>
      </c>
      <c r="D79" s="29" t="s">
        <v>315</v>
      </c>
      <c r="E79" s="70" t="s">
        <v>596</v>
      </c>
      <c r="F79" s="34">
        <v>2</v>
      </c>
      <c r="G79" s="39" t="s">
        <v>637</v>
      </c>
      <c r="H79" s="34">
        <v>1</v>
      </c>
      <c r="I79" s="28" t="s">
        <v>656</v>
      </c>
      <c r="J79" s="79" t="s">
        <v>662</v>
      </c>
      <c r="K79" s="34">
        <v>8</v>
      </c>
      <c r="L79" s="39" t="s">
        <v>641</v>
      </c>
      <c r="M79" s="73">
        <f t="shared" si="1"/>
        <v>16</v>
      </c>
    </row>
    <row r="80" spans="1:13" ht="34" x14ac:dyDescent="0.4">
      <c r="A80" s="71" t="s">
        <v>399</v>
      </c>
      <c r="B80" s="45" t="s">
        <v>529</v>
      </c>
      <c r="C80" s="29" t="s">
        <v>469</v>
      </c>
      <c r="D80" s="29" t="s">
        <v>303</v>
      </c>
      <c r="E80" s="70" t="s">
        <v>320</v>
      </c>
      <c r="F80" s="34">
        <v>8</v>
      </c>
      <c r="G80" s="39" t="s">
        <v>626</v>
      </c>
      <c r="H80" s="34">
        <v>3</v>
      </c>
      <c r="I80" s="28" t="s">
        <v>656</v>
      </c>
      <c r="J80" s="79" t="s">
        <v>660</v>
      </c>
      <c r="K80" s="34">
        <v>5</v>
      </c>
      <c r="L80" s="39" t="s">
        <v>641</v>
      </c>
      <c r="M80" s="73">
        <f t="shared" si="1"/>
        <v>120</v>
      </c>
    </row>
    <row r="81" spans="1:13" ht="34" x14ac:dyDescent="0.4">
      <c r="A81" s="71" t="s">
        <v>400</v>
      </c>
      <c r="B81" s="45" t="s">
        <v>528</v>
      </c>
      <c r="C81" s="29" t="s">
        <v>476</v>
      </c>
      <c r="D81" s="29" t="s">
        <v>303</v>
      </c>
      <c r="E81" s="70" t="s">
        <v>320</v>
      </c>
      <c r="F81" s="34">
        <v>8</v>
      </c>
      <c r="G81" s="39" t="s">
        <v>626</v>
      </c>
      <c r="H81" s="34">
        <v>3</v>
      </c>
      <c r="I81" s="28" t="s">
        <v>656</v>
      </c>
      <c r="J81" s="79" t="s">
        <v>662</v>
      </c>
      <c r="K81" s="34">
        <v>3</v>
      </c>
      <c r="L81" s="39" t="s">
        <v>641</v>
      </c>
      <c r="M81" s="73">
        <f t="shared" si="1"/>
        <v>72</v>
      </c>
    </row>
    <row r="82" spans="1:13" ht="34" x14ac:dyDescent="0.4">
      <c r="A82" s="71" t="s">
        <v>401</v>
      </c>
      <c r="B82" s="45" t="s">
        <v>527</v>
      </c>
      <c r="C82" s="29" t="s">
        <v>478</v>
      </c>
      <c r="D82" s="29" t="s">
        <v>303</v>
      </c>
      <c r="E82" s="70" t="s">
        <v>320</v>
      </c>
      <c r="F82" s="34">
        <v>4</v>
      </c>
      <c r="G82" s="39" t="s">
        <v>626</v>
      </c>
      <c r="H82" s="34">
        <v>3</v>
      </c>
      <c r="I82" s="28" t="s">
        <v>656</v>
      </c>
      <c r="J82" s="79" t="s">
        <v>662</v>
      </c>
      <c r="K82" s="34">
        <v>3</v>
      </c>
      <c r="L82" s="39" t="s">
        <v>641</v>
      </c>
      <c r="M82" s="73">
        <f t="shared" si="1"/>
        <v>36</v>
      </c>
    </row>
    <row r="83" spans="1:13" ht="34" x14ac:dyDescent="0.4">
      <c r="A83" s="71" t="s">
        <v>402</v>
      </c>
      <c r="B83" s="45" t="s">
        <v>529</v>
      </c>
      <c r="C83" s="29" t="s">
        <v>469</v>
      </c>
      <c r="D83" s="29" t="s">
        <v>303</v>
      </c>
      <c r="E83" s="70" t="s">
        <v>320</v>
      </c>
      <c r="F83" s="34">
        <v>8</v>
      </c>
      <c r="G83" s="39" t="s">
        <v>626</v>
      </c>
      <c r="H83" s="34">
        <v>3</v>
      </c>
      <c r="I83" s="28" t="s">
        <v>656</v>
      </c>
      <c r="J83" s="79" t="s">
        <v>660</v>
      </c>
      <c r="K83" s="34">
        <v>5</v>
      </c>
      <c r="L83" s="39" t="s">
        <v>641</v>
      </c>
      <c r="M83" s="73">
        <f t="shared" si="1"/>
        <v>120</v>
      </c>
    </row>
    <row r="84" spans="1:13" ht="34" x14ac:dyDescent="0.4">
      <c r="A84" s="71" t="s">
        <v>403</v>
      </c>
      <c r="B84" s="45" t="s">
        <v>528</v>
      </c>
      <c r="C84" s="29" t="s">
        <v>476</v>
      </c>
      <c r="D84" s="29" t="s">
        <v>303</v>
      </c>
      <c r="E84" s="70" t="s">
        <v>320</v>
      </c>
      <c r="F84" s="34">
        <v>8</v>
      </c>
      <c r="G84" s="39" t="s">
        <v>626</v>
      </c>
      <c r="H84" s="34">
        <v>3</v>
      </c>
      <c r="I84" s="28" t="s">
        <v>656</v>
      </c>
      <c r="J84" s="79" t="s">
        <v>662</v>
      </c>
      <c r="K84" s="34">
        <v>3</v>
      </c>
      <c r="L84" s="39" t="s">
        <v>641</v>
      </c>
      <c r="M84" s="73">
        <f t="shared" si="1"/>
        <v>72</v>
      </c>
    </row>
    <row r="85" spans="1:13" ht="34" x14ac:dyDescent="0.4">
      <c r="A85" s="71" t="s">
        <v>404</v>
      </c>
      <c r="B85" s="45" t="s">
        <v>527</v>
      </c>
      <c r="C85" s="29" t="s">
        <v>478</v>
      </c>
      <c r="D85" s="29" t="s">
        <v>303</v>
      </c>
      <c r="E85" s="70" t="s">
        <v>320</v>
      </c>
      <c r="F85" s="34">
        <v>4</v>
      </c>
      <c r="G85" s="39" t="s">
        <v>626</v>
      </c>
      <c r="H85" s="34">
        <v>3</v>
      </c>
      <c r="I85" s="28" t="s">
        <v>656</v>
      </c>
      <c r="J85" s="79" t="s">
        <v>662</v>
      </c>
      <c r="K85" s="34">
        <v>3</v>
      </c>
      <c r="L85" s="39" t="s">
        <v>641</v>
      </c>
      <c r="M85" s="73">
        <f t="shared" si="1"/>
        <v>36</v>
      </c>
    </row>
    <row r="86" spans="1:13" ht="34" x14ac:dyDescent="0.4">
      <c r="A86" s="71" t="s">
        <v>582</v>
      </c>
      <c r="B86" s="45" t="s">
        <v>579</v>
      </c>
      <c r="C86" s="70" t="s">
        <v>482</v>
      </c>
      <c r="D86" s="29" t="s">
        <v>299</v>
      </c>
      <c r="E86" s="70" t="s">
        <v>586</v>
      </c>
      <c r="F86" s="34">
        <v>4</v>
      </c>
      <c r="G86" s="39" t="s">
        <v>630</v>
      </c>
      <c r="H86" s="34">
        <v>6</v>
      </c>
      <c r="I86" s="28" t="s">
        <v>672</v>
      </c>
      <c r="J86" s="79" t="s">
        <v>668</v>
      </c>
      <c r="K86" s="34">
        <v>10</v>
      </c>
      <c r="L86" s="39" t="s">
        <v>642</v>
      </c>
      <c r="M86" s="73">
        <f t="shared" si="1"/>
        <v>240</v>
      </c>
    </row>
    <row r="87" spans="1:13" ht="34" x14ac:dyDescent="0.4">
      <c r="A87" s="71" t="s">
        <v>581</v>
      </c>
      <c r="B87" s="45" t="s">
        <v>580</v>
      </c>
      <c r="C87" s="70" t="s">
        <v>482</v>
      </c>
      <c r="D87" s="29" t="s">
        <v>299</v>
      </c>
      <c r="E87" s="70" t="s">
        <v>323</v>
      </c>
      <c r="F87" s="34">
        <v>8</v>
      </c>
      <c r="G87" s="39" t="s">
        <v>629</v>
      </c>
      <c r="H87" s="34">
        <v>2</v>
      </c>
      <c r="I87" s="28" t="s">
        <v>656</v>
      </c>
      <c r="J87" s="79" t="s">
        <v>668</v>
      </c>
      <c r="K87" s="34">
        <v>2</v>
      </c>
      <c r="L87" s="39" t="s">
        <v>642</v>
      </c>
      <c r="M87" s="73">
        <f t="shared" si="1"/>
        <v>32</v>
      </c>
    </row>
    <row r="88" spans="1:13" ht="34" x14ac:dyDescent="0.4">
      <c r="A88" s="71" t="s">
        <v>405</v>
      </c>
      <c r="B88" s="45" t="s">
        <v>548</v>
      </c>
      <c r="C88" s="29" t="s">
        <v>509</v>
      </c>
      <c r="D88" s="29" t="s">
        <v>299</v>
      </c>
      <c r="E88" s="70" t="s">
        <v>323</v>
      </c>
      <c r="F88" s="34">
        <v>8</v>
      </c>
      <c r="G88" s="39" t="s">
        <v>626</v>
      </c>
      <c r="H88" s="34">
        <v>4</v>
      </c>
      <c r="I88" s="28" t="s">
        <v>672</v>
      </c>
      <c r="J88" s="79" t="s">
        <v>666</v>
      </c>
      <c r="K88" s="34">
        <v>5</v>
      </c>
      <c r="L88" s="39" t="s">
        <v>641</v>
      </c>
      <c r="M88" s="73">
        <f t="shared" si="1"/>
        <v>160</v>
      </c>
    </row>
    <row r="89" spans="1:13" ht="34" x14ac:dyDescent="0.4">
      <c r="A89" s="71" t="s">
        <v>406</v>
      </c>
      <c r="B89" s="45" t="s">
        <v>547</v>
      </c>
      <c r="C89" s="29" t="s">
        <v>509</v>
      </c>
      <c r="D89" s="29" t="s">
        <v>299</v>
      </c>
      <c r="E89" s="70" t="s">
        <v>508</v>
      </c>
      <c r="F89" s="34">
        <v>7</v>
      </c>
      <c r="G89" s="39" t="s">
        <v>631</v>
      </c>
      <c r="H89" s="34">
        <v>4</v>
      </c>
      <c r="I89" s="28" t="s">
        <v>656</v>
      </c>
      <c r="J89" s="79" t="s">
        <v>675</v>
      </c>
      <c r="K89" s="34">
        <v>6</v>
      </c>
      <c r="L89" s="39" t="s">
        <v>641</v>
      </c>
      <c r="M89" s="73">
        <f t="shared" si="1"/>
        <v>168</v>
      </c>
    </row>
    <row r="90" spans="1:13" ht="34" x14ac:dyDescent="0.4">
      <c r="A90" s="71" t="s">
        <v>407</v>
      </c>
      <c r="B90" s="45" t="s">
        <v>546</v>
      </c>
      <c r="C90" s="29" t="s">
        <v>509</v>
      </c>
      <c r="D90" s="29" t="s">
        <v>299</v>
      </c>
      <c r="E90" s="70" t="s">
        <v>508</v>
      </c>
      <c r="F90" s="34">
        <v>7</v>
      </c>
      <c r="G90" s="39" t="s">
        <v>631</v>
      </c>
      <c r="H90" s="34">
        <v>4</v>
      </c>
      <c r="I90" s="28" t="s">
        <v>656</v>
      </c>
      <c r="J90" s="79" t="s">
        <v>666</v>
      </c>
      <c r="K90" s="34">
        <v>5</v>
      </c>
      <c r="L90" s="39" t="s">
        <v>641</v>
      </c>
      <c r="M90" s="73">
        <f t="shared" si="1"/>
        <v>140</v>
      </c>
    </row>
    <row r="91" spans="1:13" ht="34" x14ac:dyDescent="0.4">
      <c r="A91" s="71" t="s">
        <v>408</v>
      </c>
      <c r="B91" s="45" t="s">
        <v>471</v>
      </c>
      <c r="C91" s="29" t="s">
        <v>607</v>
      </c>
      <c r="D91" s="29" t="s">
        <v>307</v>
      </c>
      <c r="E91" s="70" t="s">
        <v>320</v>
      </c>
      <c r="F91" s="34">
        <v>8</v>
      </c>
      <c r="G91" s="39" t="s">
        <v>626</v>
      </c>
      <c r="H91" s="34">
        <v>4</v>
      </c>
      <c r="I91" s="28" t="s">
        <v>672</v>
      </c>
      <c r="J91" s="79" t="s">
        <v>666</v>
      </c>
      <c r="K91" s="34">
        <v>5</v>
      </c>
      <c r="L91" s="39" t="s">
        <v>641</v>
      </c>
      <c r="M91" s="73">
        <f t="shared" si="1"/>
        <v>160</v>
      </c>
    </row>
    <row r="92" spans="1:13" ht="34" x14ac:dyDescent="0.4">
      <c r="A92" s="71" t="s">
        <v>409</v>
      </c>
      <c r="B92" s="45" t="s">
        <v>473</v>
      </c>
      <c r="C92" s="29" t="s">
        <v>472</v>
      </c>
      <c r="D92" s="29" t="s">
        <v>308</v>
      </c>
      <c r="E92" s="70" t="s">
        <v>321</v>
      </c>
      <c r="F92" s="34">
        <v>7</v>
      </c>
      <c r="G92" s="39" t="s">
        <v>626</v>
      </c>
      <c r="H92" s="34">
        <v>1</v>
      </c>
      <c r="I92" s="28" t="s">
        <v>672</v>
      </c>
      <c r="J92" s="79" t="s">
        <v>660</v>
      </c>
      <c r="K92" s="34">
        <v>5</v>
      </c>
      <c r="L92" s="39" t="s">
        <v>641</v>
      </c>
      <c r="M92" s="73">
        <f t="shared" si="1"/>
        <v>35</v>
      </c>
    </row>
    <row r="93" spans="1:13" ht="34" x14ac:dyDescent="0.4">
      <c r="A93" s="71" t="s">
        <v>410</v>
      </c>
      <c r="B93" s="45" t="s">
        <v>545</v>
      </c>
      <c r="C93" s="29" t="s">
        <v>598</v>
      </c>
      <c r="D93" s="29" t="s">
        <v>299</v>
      </c>
      <c r="E93" s="70" t="s">
        <v>599</v>
      </c>
      <c r="F93" s="34">
        <v>6</v>
      </c>
      <c r="G93" s="39" t="s">
        <v>626</v>
      </c>
      <c r="H93" s="34">
        <v>2</v>
      </c>
      <c r="I93" s="28" t="s">
        <v>672</v>
      </c>
      <c r="J93" s="79" t="s">
        <v>660</v>
      </c>
      <c r="K93" s="34">
        <v>3</v>
      </c>
      <c r="L93" s="39" t="s">
        <v>641</v>
      </c>
      <c r="M93" s="73">
        <f t="shared" si="1"/>
        <v>36</v>
      </c>
    </row>
    <row r="94" spans="1:13" ht="34" x14ac:dyDescent="0.4">
      <c r="A94" s="71" t="s">
        <v>411</v>
      </c>
      <c r="B94" s="45" t="s">
        <v>471</v>
      </c>
      <c r="C94" s="29" t="s">
        <v>607</v>
      </c>
      <c r="D94" s="29" t="s">
        <v>307</v>
      </c>
      <c r="E94" s="70" t="s">
        <v>320</v>
      </c>
      <c r="F94" s="34">
        <v>8</v>
      </c>
      <c r="G94" s="39" t="s">
        <v>626</v>
      </c>
      <c r="H94" s="34">
        <v>4</v>
      </c>
      <c r="I94" s="28" t="s">
        <v>672</v>
      </c>
      <c r="J94" s="79" t="s">
        <v>660</v>
      </c>
      <c r="K94" s="34">
        <v>5</v>
      </c>
      <c r="L94" s="39" t="s">
        <v>641</v>
      </c>
      <c r="M94" s="73">
        <f t="shared" si="1"/>
        <v>160</v>
      </c>
    </row>
    <row r="95" spans="1:13" ht="34" x14ac:dyDescent="0.4">
      <c r="A95" s="71" t="s">
        <v>412</v>
      </c>
      <c r="B95" s="45" t="s">
        <v>473</v>
      </c>
      <c r="C95" s="29" t="s">
        <v>472</v>
      </c>
      <c r="D95" s="29" t="s">
        <v>308</v>
      </c>
      <c r="E95" s="70" t="s">
        <v>321</v>
      </c>
      <c r="F95" s="34">
        <v>7</v>
      </c>
      <c r="G95" s="39" t="s">
        <v>626</v>
      </c>
      <c r="H95" s="34">
        <v>1</v>
      </c>
      <c r="I95" s="28" t="s">
        <v>672</v>
      </c>
      <c r="J95" s="79" t="s">
        <v>660</v>
      </c>
      <c r="K95" s="34">
        <v>5</v>
      </c>
      <c r="L95" s="39" t="s">
        <v>641</v>
      </c>
      <c r="M95" s="73">
        <f t="shared" si="1"/>
        <v>35</v>
      </c>
    </row>
    <row r="96" spans="1:13" ht="34" x14ac:dyDescent="0.4">
      <c r="A96" s="71" t="s">
        <v>413</v>
      </c>
      <c r="B96" s="45" t="s">
        <v>527</v>
      </c>
      <c r="C96" s="29" t="s">
        <v>478</v>
      </c>
      <c r="D96" s="29" t="s">
        <v>303</v>
      </c>
      <c r="E96" s="70" t="s">
        <v>320</v>
      </c>
      <c r="F96" s="34">
        <v>4</v>
      </c>
      <c r="G96" s="39" t="s">
        <v>626</v>
      </c>
      <c r="H96" s="34">
        <v>3</v>
      </c>
      <c r="I96" s="28" t="s">
        <v>656</v>
      </c>
      <c r="J96" s="79" t="s">
        <v>662</v>
      </c>
      <c r="K96" s="34">
        <v>3</v>
      </c>
      <c r="L96" s="39" t="s">
        <v>641</v>
      </c>
      <c r="M96" s="73">
        <f t="shared" si="1"/>
        <v>36</v>
      </c>
    </row>
    <row r="97" spans="1:13" ht="34" x14ac:dyDescent="0.4">
      <c r="A97" s="71" t="s">
        <v>414</v>
      </c>
      <c r="B97" s="45" t="s">
        <v>494</v>
      </c>
      <c r="C97" s="29" t="s">
        <v>585</v>
      </c>
      <c r="D97" s="29" t="s">
        <v>299</v>
      </c>
      <c r="E97" s="70" t="s">
        <v>589</v>
      </c>
      <c r="F97" s="34">
        <v>3</v>
      </c>
      <c r="G97" s="39" t="s">
        <v>631</v>
      </c>
      <c r="H97" s="34">
        <v>4</v>
      </c>
      <c r="I97" s="28" t="s">
        <v>656</v>
      </c>
      <c r="J97" s="79" t="s">
        <v>666</v>
      </c>
      <c r="K97" s="34">
        <v>5</v>
      </c>
      <c r="L97" s="39" t="s">
        <v>641</v>
      </c>
      <c r="M97" s="73">
        <f t="shared" si="1"/>
        <v>60</v>
      </c>
    </row>
    <row r="98" spans="1:13" ht="34" x14ac:dyDescent="0.4">
      <c r="A98" s="71" t="s">
        <v>415</v>
      </c>
      <c r="B98" s="45" t="s">
        <v>544</v>
      </c>
      <c r="C98" s="29" t="s">
        <v>507</v>
      </c>
      <c r="D98" s="29" t="s">
        <v>303</v>
      </c>
      <c r="E98" s="70" t="s">
        <v>508</v>
      </c>
      <c r="F98" s="34">
        <v>7</v>
      </c>
      <c r="G98" s="39" t="s">
        <v>626</v>
      </c>
      <c r="H98" s="34">
        <v>4</v>
      </c>
      <c r="I98" s="28" t="s">
        <v>672</v>
      </c>
      <c r="J98" s="79" t="s">
        <v>668</v>
      </c>
      <c r="K98" s="34">
        <v>5</v>
      </c>
      <c r="L98" s="39" t="s">
        <v>641</v>
      </c>
      <c r="M98" s="73">
        <f t="shared" si="1"/>
        <v>140</v>
      </c>
    </row>
    <row r="99" spans="1:13" ht="34" x14ac:dyDescent="0.4">
      <c r="A99" s="71" t="s">
        <v>416</v>
      </c>
      <c r="B99" s="45" t="s">
        <v>543</v>
      </c>
      <c r="C99" s="29" t="s">
        <v>613</v>
      </c>
      <c r="D99" s="29" t="s">
        <v>299</v>
      </c>
      <c r="E99" s="70" t="s">
        <v>592</v>
      </c>
      <c r="F99" s="34">
        <v>2</v>
      </c>
      <c r="G99" s="39" t="s">
        <v>637</v>
      </c>
      <c r="H99" s="34">
        <v>2</v>
      </c>
      <c r="I99" s="28" t="s">
        <v>656</v>
      </c>
      <c r="J99" s="79" t="s">
        <v>660</v>
      </c>
      <c r="K99" s="34">
        <v>3</v>
      </c>
      <c r="L99" s="39" t="s">
        <v>641</v>
      </c>
      <c r="M99" s="73">
        <f t="shared" si="1"/>
        <v>12</v>
      </c>
    </row>
    <row r="100" spans="1:13" ht="34" x14ac:dyDescent="0.4">
      <c r="A100" s="71" t="s">
        <v>417</v>
      </c>
      <c r="B100" s="45" t="s">
        <v>542</v>
      </c>
      <c r="C100" s="29" t="s">
        <v>624</v>
      </c>
      <c r="D100" s="29" t="s">
        <v>305</v>
      </c>
      <c r="E100" s="70" t="s">
        <v>323</v>
      </c>
      <c r="F100" s="34">
        <v>8</v>
      </c>
      <c r="G100" s="39" t="s">
        <v>635</v>
      </c>
      <c r="H100" s="34">
        <v>1</v>
      </c>
      <c r="I100" s="28" t="s">
        <v>656</v>
      </c>
      <c r="J100" s="79" t="s">
        <v>658</v>
      </c>
      <c r="K100" s="34">
        <v>2</v>
      </c>
      <c r="L100" s="39" t="s">
        <v>641</v>
      </c>
      <c r="M100" s="73">
        <f t="shared" si="1"/>
        <v>16</v>
      </c>
    </row>
    <row r="101" spans="1:13" ht="34" x14ac:dyDescent="0.4">
      <c r="A101" s="71" t="s">
        <v>418</v>
      </c>
      <c r="B101" s="45" t="s">
        <v>529</v>
      </c>
      <c r="C101" s="29" t="s">
        <v>469</v>
      </c>
      <c r="D101" s="29" t="s">
        <v>303</v>
      </c>
      <c r="E101" s="70" t="s">
        <v>320</v>
      </c>
      <c r="F101" s="34">
        <v>8</v>
      </c>
      <c r="G101" s="39" t="s">
        <v>626</v>
      </c>
      <c r="H101" s="34">
        <v>3</v>
      </c>
      <c r="I101" s="28" t="s">
        <v>656</v>
      </c>
      <c r="J101" s="79" t="s">
        <v>660</v>
      </c>
      <c r="K101" s="34">
        <v>5</v>
      </c>
      <c r="L101" s="39" t="s">
        <v>641</v>
      </c>
      <c r="M101" s="73">
        <f t="shared" si="1"/>
        <v>120</v>
      </c>
    </row>
    <row r="102" spans="1:13" ht="34" x14ac:dyDescent="0.4">
      <c r="A102" s="71" t="s">
        <v>419</v>
      </c>
      <c r="B102" s="45" t="s">
        <v>528</v>
      </c>
      <c r="C102" s="29" t="s">
        <v>476</v>
      </c>
      <c r="D102" s="29" t="s">
        <v>303</v>
      </c>
      <c r="E102" s="70" t="s">
        <v>320</v>
      </c>
      <c r="F102" s="34">
        <v>8</v>
      </c>
      <c r="G102" s="39" t="s">
        <v>626</v>
      </c>
      <c r="H102" s="34">
        <v>3</v>
      </c>
      <c r="I102" s="28" t="s">
        <v>656</v>
      </c>
      <c r="J102" s="79" t="s">
        <v>662</v>
      </c>
      <c r="K102" s="34">
        <v>3</v>
      </c>
      <c r="L102" s="39" t="s">
        <v>641</v>
      </c>
      <c r="M102" s="73">
        <f t="shared" si="1"/>
        <v>72</v>
      </c>
    </row>
    <row r="103" spans="1:13" ht="34" x14ac:dyDescent="0.4">
      <c r="A103" s="71" t="s">
        <v>420</v>
      </c>
      <c r="B103" s="45" t="s">
        <v>527</v>
      </c>
      <c r="C103" s="29" t="s">
        <v>478</v>
      </c>
      <c r="D103" s="29" t="s">
        <v>303</v>
      </c>
      <c r="E103" s="70" t="s">
        <v>320</v>
      </c>
      <c r="F103" s="34">
        <v>4</v>
      </c>
      <c r="G103" s="39" t="s">
        <v>626</v>
      </c>
      <c r="H103" s="34">
        <v>3</v>
      </c>
      <c r="I103" s="28" t="s">
        <v>656</v>
      </c>
      <c r="J103" s="79" t="s">
        <v>662</v>
      </c>
      <c r="K103" s="34">
        <v>3</v>
      </c>
      <c r="L103" s="39" t="s">
        <v>641</v>
      </c>
      <c r="M103" s="73">
        <f t="shared" si="1"/>
        <v>36</v>
      </c>
    </row>
    <row r="104" spans="1:13" ht="34" x14ac:dyDescent="0.4">
      <c r="A104" s="71" t="s">
        <v>421</v>
      </c>
      <c r="B104" s="45" t="s">
        <v>541</v>
      </c>
      <c r="C104" s="29" t="s">
        <v>604</v>
      </c>
      <c r="D104" s="29" t="s">
        <v>314</v>
      </c>
      <c r="E104" s="70" t="s">
        <v>605</v>
      </c>
      <c r="F104" s="34">
        <v>2</v>
      </c>
      <c r="G104" s="39" t="s">
        <v>626</v>
      </c>
      <c r="H104" s="34">
        <v>2</v>
      </c>
      <c r="I104" s="28" t="s">
        <v>672</v>
      </c>
      <c r="J104" s="79" t="s">
        <v>668</v>
      </c>
      <c r="K104" s="34">
        <v>8</v>
      </c>
      <c r="L104" s="39" t="s">
        <v>641</v>
      </c>
      <c r="M104" s="73">
        <f t="shared" si="1"/>
        <v>32</v>
      </c>
    </row>
    <row r="105" spans="1:13" ht="34" x14ac:dyDescent="0.4">
      <c r="A105" s="71" t="s">
        <v>422</v>
      </c>
      <c r="B105" s="45" t="s">
        <v>540</v>
      </c>
      <c r="C105" s="29" t="s">
        <v>509</v>
      </c>
      <c r="D105" s="29" t="s">
        <v>299</v>
      </c>
      <c r="E105" s="70" t="s">
        <v>323</v>
      </c>
      <c r="F105" s="34">
        <v>8</v>
      </c>
      <c r="G105" s="39" t="s">
        <v>637</v>
      </c>
      <c r="H105" s="34">
        <v>3</v>
      </c>
      <c r="I105" s="28" t="s">
        <v>672</v>
      </c>
      <c r="J105" s="79" t="s">
        <v>658</v>
      </c>
      <c r="K105" s="34">
        <v>2</v>
      </c>
      <c r="L105" s="39" t="s">
        <v>641</v>
      </c>
      <c r="M105" s="73">
        <f t="shared" si="1"/>
        <v>48</v>
      </c>
    </row>
    <row r="106" spans="1:13" ht="34" x14ac:dyDescent="0.4">
      <c r="A106" s="71" t="s">
        <v>423</v>
      </c>
      <c r="B106" s="45" t="s">
        <v>539</v>
      </c>
      <c r="C106" s="29" t="s">
        <v>615</v>
      </c>
      <c r="D106" s="29" t="s">
        <v>316</v>
      </c>
      <c r="E106" s="70" t="s">
        <v>616</v>
      </c>
      <c r="F106" s="34">
        <v>1</v>
      </c>
      <c r="G106" s="39" t="s">
        <v>637</v>
      </c>
      <c r="H106" s="34">
        <v>2</v>
      </c>
      <c r="I106" s="28" t="s">
        <v>656</v>
      </c>
      <c r="J106" s="79" t="s">
        <v>658</v>
      </c>
      <c r="K106" s="34">
        <v>2</v>
      </c>
      <c r="L106" s="39" t="s">
        <v>641</v>
      </c>
      <c r="M106" s="73">
        <f t="shared" si="1"/>
        <v>4</v>
      </c>
    </row>
    <row r="107" spans="1:13" ht="34" x14ac:dyDescent="0.4">
      <c r="A107" s="71" t="s">
        <v>424</v>
      </c>
      <c r="B107" s="45" t="s">
        <v>538</v>
      </c>
      <c r="C107" s="29" t="s">
        <v>606</v>
      </c>
      <c r="D107" s="29" t="s">
        <v>314</v>
      </c>
      <c r="E107" s="70" t="s">
        <v>605</v>
      </c>
      <c r="F107" s="34">
        <v>2</v>
      </c>
      <c r="G107" s="39" t="s">
        <v>637</v>
      </c>
      <c r="H107" s="34">
        <v>2</v>
      </c>
      <c r="I107" s="28" t="s">
        <v>656</v>
      </c>
      <c r="J107" s="79" t="s">
        <v>658</v>
      </c>
      <c r="K107" s="34">
        <v>4</v>
      </c>
      <c r="L107" s="39" t="s">
        <v>641</v>
      </c>
      <c r="M107" s="73">
        <f t="shared" si="1"/>
        <v>16</v>
      </c>
    </row>
    <row r="108" spans="1:13" ht="34" x14ac:dyDescent="0.4">
      <c r="A108" s="71" t="s">
        <v>425</v>
      </c>
      <c r="B108" s="45" t="s">
        <v>537</v>
      </c>
      <c r="C108" s="29" t="s">
        <v>509</v>
      </c>
      <c r="D108" s="29" t="s">
        <v>299</v>
      </c>
      <c r="E108" s="70" t="s">
        <v>323</v>
      </c>
      <c r="F108" s="34">
        <v>8</v>
      </c>
      <c r="G108" s="39" t="s">
        <v>626</v>
      </c>
      <c r="H108" s="34">
        <v>4</v>
      </c>
      <c r="I108" s="28" t="s">
        <v>672</v>
      </c>
      <c r="J108" s="79" t="s">
        <v>666</v>
      </c>
      <c r="K108" s="34">
        <v>5</v>
      </c>
      <c r="L108" s="39" t="s">
        <v>641</v>
      </c>
      <c r="M108" s="73">
        <f t="shared" si="1"/>
        <v>160</v>
      </c>
    </row>
    <row r="109" spans="1:13" ht="34" x14ac:dyDescent="0.4">
      <c r="A109" s="71" t="s">
        <v>426</v>
      </c>
      <c r="B109" s="45" t="s">
        <v>536</v>
      </c>
      <c r="C109" s="29" t="s">
        <v>509</v>
      </c>
      <c r="D109" s="29" t="s">
        <v>299</v>
      </c>
      <c r="E109" s="70" t="s">
        <v>323</v>
      </c>
      <c r="F109" s="34">
        <v>8</v>
      </c>
      <c r="G109" s="39" t="s">
        <v>626</v>
      </c>
      <c r="H109" s="34">
        <v>4</v>
      </c>
      <c r="I109" s="28" t="s">
        <v>672</v>
      </c>
      <c r="J109" s="79" t="s">
        <v>660</v>
      </c>
      <c r="K109" s="34">
        <v>5</v>
      </c>
      <c r="L109" s="39" t="s">
        <v>641</v>
      </c>
      <c r="M109" s="73">
        <f t="shared" si="1"/>
        <v>160</v>
      </c>
    </row>
    <row r="110" spans="1:13" ht="34" x14ac:dyDescent="0.4">
      <c r="A110" s="71" t="s">
        <v>427</v>
      </c>
      <c r="B110" s="45" t="s">
        <v>535</v>
      </c>
      <c r="C110" s="29" t="s">
        <v>621</v>
      </c>
      <c r="D110" s="29" t="s">
        <v>299</v>
      </c>
      <c r="E110" s="70" t="s">
        <v>320</v>
      </c>
      <c r="F110" s="34">
        <v>8</v>
      </c>
      <c r="G110" s="39" t="s">
        <v>637</v>
      </c>
      <c r="H110" s="34">
        <v>2</v>
      </c>
      <c r="I110" s="28" t="s">
        <v>656</v>
      </c>
      <c r="J110" s="79" t="s">
        <v>658</v>
      </c>
      <c r="K110" s="34">
        <v>3</v>
      </c>
      <c r="L110" s="39" t="s">
        <v>641</v>
      </c>
      <c r="M110" s="73">
        <f t="shared" si="1"/>
        <v>48</v>
      </c>
    </row>
    <row r="111" spans="1:13" ht="34" x14ac:dyDescent="0.4">
      <c r="A111" s="71" t="s">
        <v>428</v>
      </c>
      <c r="B111" s="45" t="s">
        <v>471</v>
      </c>
      <c r="C111" s="29" t="s">
        <v>607</v>
      </c>
      <c r="D111" s="29" t="s">
        <v>307</v>
      </c>
      <c r="E111" s="70" t="s">
        <v>320</v>
      </c>
      <c r="F111" s="34">
        <v>8</v>
      </c>
      <c r="G111" s="39" t="s">
        <v>626</v>
      </c>
      <c r="H111" s="34">
        <v>4</v>
      </c>
      <c r="I111" s="28" t="s">
        <v>672</v>
      </c>
      <c r="J111" s="79" t="s">
        <v>660</v>
      </c>
      <c r="K111" s="34">
        <v>5</v>
      </c>
      <c r="L111" s="39" t="s">
        <v>641</v>
      </c>
      <c r="M111" s="73">
        <f t="shared" si="1"/>
        <v>160</v>
      </c>
    </row>
    <row r="112" spans="1:13" ht="34" x14ac:dyDescent="0.4">
      <c r="A112" s="71" t="s">
        <v>429</v>
      </c>
      <c r="B112" s="45" t="s">
        <v>473</v>
      </c>
      <c r="C112" s="29" t="s">
        <v>472</v>
      </c>
      <c r="D112" s="29" t="s">
        <v>308</v>
      </c>
      <c r="E112" s="70" t="s">
        <v>321</v>
      </c>
      <c r="F112" s="34">
        <v>7</v>
      </c>
      <c r="G112" s="39" t="s">
        <v>626</v>
      </c>
      <c r="H112" s="34">
        <v>1</v>
      </c>
      <c r="I112" s="28" t="s">
        <v>672</v>
      </c>
      <c r="J112" s="79" t="s">
        <v>660</v>
      </c>
      <c r="K112" s="34">
        <v>5</v>
      </c>
      <c r="L112" s="39" t="s">
        <v>641</v>
      </c>
      <c r="M112" s="73">
        <f t="shared" si="1"/>
        <v>35</v>
      </c>
    </row>
    <row r="113" spans="1:13" ht="34" x14ac:dyDescent="0.4">
      <c r="A113" s="71" t="s">
        <v>430</v>
      </c>
      <c r="B113" s="45" t="s">
        <v>474</v>
      </c>
      <c r="C113" s="29" t="s">
        <v>475</v>
      </c>
      <c r="D113" s="29" t="s">
        <v>305</v>
      </c>
      <c r="E113" s="70" t="s">
        <v>322</v>
      </c>
      <c r="F113" s="34">
        <v>4</v>
      </c>
      <c r="G113" s="39" t="s">
        <v>626</v>
      </c>
      <c r="H113" s="34">
        <v>1</v>
      </c>
      <c r="I113" s="28" t="s">
        <v>672</v>
      </c>
      <c r="J113" s="79" t="s">
        <v>658</v>
      </c>
      <c r="K113" s="34">
        <v>1</v>
      </c>
      <c r="L113" s="39" t="s">
        <v>641</v>
      </c>
      <c r="M113" s="73">
        <f t="shared" si="1"/>
        <v>4</v>
      </c>
    </row>
    <row r="114" spans="1:13" ht="34" x14ac:dyDescent="0.4">
      <c r="A114" s="71" t="s">
        <v>431</v>
      </c>
      <c r="B114" s="45" t="s">
        <v>534</v>
      </c>
      <c r="C114" s="70" t="s">
        <v>482</v>
      </c>
      <c r="D114" s="29" t="s">
        <v>310</v>
      </c>
      <c r="E114" s="70" t="s">
        <v>323</v>
      </c>
      <c r="F114" s="34">
        <v>8</v>
      </c>
      <c r="G114" s="39" t="s">
        <v>629</v>
      </c>
      <c r="H114" s="34">
        <v>3</v>
      </c>
      <c r="I114" s="28" t="s">
        <v>656</v>
      </c>
      <c r="J114" s="79" t="s">
        <v>670</v>
      </c>
      <c r="K114" s="34">
        <v>8</v>
      </c>
      <c r="L114" s="39" t="s">
        <v>642</v>
      </c>
      <c r="M114" s="73">
        <f t="shared" si="1"/>
        <v>192</v>
      </c>
    </row>
    <row r="115" spans="1:13" ht="34" x14ac:dyDescent="0.4">
      <c r="A115" s="71" t="s">
        <v>432</v>
      </c>
      <c r="B115" s="45" t="s">
        <v>529</v>
      </c>
      <c r="C115" s="29" t="s">
        <v>469</v>
      </c>
      <c r="D115" s="29" t="s">
        <v>303</v>
      </c>
      <c r="E115" s="70" t="s">
        <v>320</v>
      </c>
      <c r="F115" s="34">
        <v>8</v>
      </c>
      <c r="G115" s="39" t="s">
        <v>626</v>
      </c>
      <c r="H115" s="34">
        <v>3</v>
      </c>
      <c r="I115" s="28" t="s">
        <v>656</v>
      </c>
      <c r="J115" s="79" t="s">
        <v>660</v>
      </c>
      <c r="K115" s="34">
        <v>5</v>
      </c>
      <c r="L115" s="39" t="s">
        <v>641</v>
      </c>
      <c r="M115" s="73">
        <f t="shared" si="1"/>
        <v>120</v>
      </c>
    </row>
    <row r="116" spans="1:13" ht="34" x14ac:dyDescent="0.4">
      <c r="A116" s="71" t="s">
        <v>433</v>
      </c>
      <c r="B116" s="45" t="s">
        <v>528</v>
      </c>
      <c r="C116" s="29" t="s">
        <v>476</v>
      </c>
      <c r="D116" s="29" t="s">
        <v>303</v>
      </c>
      <c r="E116" s="70" t="s">
        <v>320</v>
      </c>
      <c r="F116" s="34">
        <v>8</v>
      </c>
      <c r="G116" s="39" t="s">
        <v>626</v>
      </c>
      <c r="H116" s="34">
        <v>3</v>
      </c>
      <c r="I116" s="28" t="s">
        <v>656</v>
      </c>
      <c r="J116" s="79" t="s">
        <v>662</v>
      </c>
      <c r="K116" s="34">
        <v>3</v>
      </c>
      <c r="L116" s="39" t="s">
        <v>641</v>
      </c>
      <c r="M116" s="73">
        <f t="shared" si="1"/>
        <v>72</v>
      </c>
    </row>
    <row r="117" spans="1:13" ht="34" x14ac:dyDescent="0.4">
      <c r="A117" s="71" t="s">
        <v>434</v>
      </c>
      <c r="B117" s="45" t="s">
        <v>527</v>
      </c>
      <c r="C117" s="29" t="s">
        <v>478</v>
      </c>
      <c r="D117" s="29" t="s">
        <v>303</v>
      </c>
      <c r="E117" s="70" t="s">
        <v>320</v>
      </c>
      <c r="F117" s="34">
        <v>4</v>
      </c>
      <c r="G117" s="39" t="s">
        <v>626</v>
      </c>
      <c r="H117" s="34">
        <v>3</v>
      </c>
      <c r="I117" s="28" t="s">
        <v>656</v>
      </c>
      <c r="J117" s="79" t="s">
        <v>662</v>
      </c>
      <c r="K117" s="34">
        <v>3</v>
      </c>
      <c r="L117" s="39" t="s">
        <v>641</v>
      </c>
      <c r="M117" s="73">
        <f t="shared" si="1"/>
        <v>36</v>
      </c>
    </row>
    <row r="118" spans="1:13" ht="34" x14ac:dyDescent="0.4">
      <c r="A118" s="71" t="s">
        <v>435</v>
      </c>
      <c r="B118" s="45" t="s">
        <v>533</v>
      </c>
      <c r="C118" s="29" t="s">
        <v>618</v>
      </c>
      <c r="D118" s="29" t="s">
        <v>315</v>
      </c>
      <c r="E118" s="70" t="s">
        <v>586</v>
      </c>
      <c r="F118" s="34">
        <v>4</v>
      </c>
      <c r="G118" s="39" t="s">
        <v>626</v>
      </c>
      <c r="H118" s="34">
        <v>4</v>
      </c>
      <c r="I118" s="28" t="s">
        <v>656</v>
      </c>
      <c r="J118" s="79" t="s">
        <v>666</v>
      </c>
      <c r="K118" s="34">
        <v>8</v>
      </c>
      <c r="L118" s="39" t="s">
        <v>641</v>
      </c>
      <c r="M118" s="73">
        <f t="shared" si="1"/>
        <v>128</v>
      </c>
    </row>
    <row r="119" spans="1:13" ht="34" x14ac:dyDescent="0.4">
      <c r="A119" s="71" t="s">
        <v>436</v>
      </c>
      <c r="B119" s="45" t="s">
        <v>500</v>
      </c>
      <c r="C119" s="29" t="s">
        <v>502</v>
      </c>
      <c r="D119" s="29" t="s">
        <v>299</v>
      </c>
      <c r="E119" s="70" t="s">
        <v>320</v>
      </c>
      <c r="F119" s="34">
        <v>4</v>
      </c>
      <c r="G119" s="39" t="s">
        <v>626</v>
      </c>
      <c r="H119" s="34">
        <v>3</v>
      </c>
      <c r="I119" s="28" t="s">
        <v>656</v>
      </c>
      <c r="J119" s="79" t="s">
        <v>662</v>
      </c>
      <c r="K119" s="34">
        <v>3</v>
      </c>
      <c r="L119" s="39" t="s">
        <v>641</v>
      </c>
      <c r="M119" s="73">
        <f t="shared" si="1"/>
        <v>36</v>
      </c>
    </row>
    <row r="120" spans="1:13" ht="34" x14ac:dyDescent="0.4">
      <c r="A120" s="71" t="s">
        <v>437</v>
      </c>
      <c r="B120" s="45" t="s">
        <v>501</v>
      </c>
      <c r="C120" s="29" t="s">
        <v>503</v>
      </c>
      <c r="D120" s="29" t="s">
        <v>303</v>
      </c>
      <c r="E120" s="70" t="s">
        <v>323</v>
      </c>
      <c r="F120" s="34">
        <v>8</v>
      </c>
      <c r="G120" s="39" t="s">
        <v>626</v>
      </c>
      <c r="H120" s="34">
        <v>3</v>
      </c>
      <c r="I120" s="28" t="s">
        <v>656</v>
      </c>
      <c r="J120" s="79" t="s">
        <v>662</v>
      </c>
      <c r="K120" s="34">
        <v>3</v>
      </c>
      <c r="L120" s="39" t="s">
        <v>641</v>
      </c>
      <c r="M120" s="73">
        <f t="shared" si="1"/>
        <v>72</v>
      </c>
    </row>
    <row r="121" spans="1:13" ht="34" x14ac:dyDescent="0.4">
      <c r="A121" s="71" t="s">
        <v>438</v>
      </c>
      <c r="B121" s="45" t="s">
        <v>532</v>
      </c>
      <c r="C121" s="29" t="s">
        <v>504</v>
      </c>
      <c r="D121" s="29" t="s">
        <v>299</v>
      </c>
      <c r="E121" s="70" t="s">
        <v>320</v>
      </c>
      <c r="F121" s="34">
        <v>4</v>
      </c>
      <c r="G121" s="39" t="s">
        <v>630</v>
      </c>
      <c r="H121" s="34">
        <v>2</v>
      </c>
      <c r="I121" s="28" t="s">
        <v>672</v>
      </c>
      <c r="J121" s="79" t="s">
        <v>658</v>
      </c>
      <c r="K121" s="34">
        <v>2</v>
      </c>
      <c r="L121" s="39" t="s">
        <v>641</v>
      </c>
      <c r="M121" s="73">
        <f t="shared" si="1"/>
        <v>16</v>
      </c>
    </row>
    <row r="122" spans="1:13" ht="34" x14ac:dyDescent="0.4">
      <c r="A122" s="71" t="s">
        <v>439</v>
      </c>
      <c r="B122" s="45" t="s">
        <v>471</v>
      </c>
      <c r="C122" s="29" t="s">
        <v>607</v>
      </c>
      <c r="D122" s="29" t="s">
        <v>307</v>
      </c>
      <c r="E122" s="70" t="s">
        <v>320</v>
      </c>
      <c r="F122" s="34">
        <v>8</v>
      </c>
      <c r="G122" s="39" t="s">
        <v>626</v>
      </c>
      <c r="H122" s="34">
        <v>4</v>
      </c>
      <c r="I122" s="28" t="s">
        <v>672</v>
      </c>
      <c r="J122" s="79" t="s">
        <v>660</v>
      </c>
      <c r="K122" s="34">
        <v>5</v>
      </c>
      <c r="L122" s="39" t="s">
        <v>641</v>
      </c>
      <c r="M122" s="73">
        <f t="shared" si="1"/>
        <v>160</v>
      </c>
    </row>
    <row r="123" spans="1:13" ht="34" x14ac:dyDescent="0.4">
      <c r="A123" s="71" t="s">
        <v>440</v>
      </c>
      <c r="B123" s="45" t="s">
        <v>473</v>
      </c>
      <c r="C123" s="29" t="s">
        <v>472</v>
      </c>
      <c r="D123" s="29" t="s">
        <v>308</v>
      </c>
      <c r="E123" s="70" t="s">
        <v>321</v>
      </c>
      <c r="F123" s="34">
        <v>7</v>
      </c>
      <c r="G123" s="39" t="s">
        <v>626</v>
      </c>
      <c r="H123" s="34">
        <v>1</v>
      </c>
      <c r="I123" s="28" t="s">
        <v>672</v>
      </c>
      <c r="J123" s="79" t="s">
        <v>660</v>
      </c>
      <c r="K123" s="34">
        <v>5</v>
      </c>
      <c r="L123" s="39" t="s">
        <v>641</v>
      </c>
      <c r="M123" s="73">
        <f t="shared" si="1"/>
        <v>35</v>
      </c>
    </row>
    <row r="124" spans="1:13" ht="34" x14ac:dyDescent="0.4">
      <c r="A124" s="71" t="s">
        <v>441</v>
      </c>
      <c r="B124" s="45" t="s">
        <v>531</v>
      </c>
      <c r="C124" s="29" t="s">
        <v>588</v>
      </c>
      <c r="D124" s="29" t="s">
        <v>317</v>
      </c>
      <c r="E124" s="70" t="s">
        <v>587</v>
      </c>
      <c r="F124" s="34">
        <v>4</v>
      </c>
      <c r="G124" s="39" t="s">
        <v>633</v>
      </c>
      <c r="H124" s="34">
        <v>4</v>
      </c>
      <c r="I124" s="28" t="s">
        <v>656</v>
      </c>
      <c r="J124" s="79" t="s">
        <v>670</v>
      </c>
      <c r="K124" s="34">
        <v>7</v>
      </c>
      <c r="L124" s="39" t="s">
        <v>642</v>
      </c>
      <c r="M124" s="73">
        <f t="shared" si="1"/>
        <v>112</v>
      </c>
    </row>
    <row r="125" spans="1:13" ht="34" x14ac:dyDescent="0.4">
      <c r="A125" s="71" t="s">
        <v>442</v>
      </c>
      <c r="B125" s="45" t="s">
        <v>530</v>
      </c>
      <c r="C125" s="70" t="s">
        <v>482</v>
      </c>
      <c r="D125" s="29" t="s">
        <v>310</v>
      </c>
      <c r="E125" s="70" t="s">
        <v>323</v>
      </c>
      <c r="F125" s="34">
        <v>8</v>
      </c>
      <c r="G125" s="39" t="s">
        <v>629</v>
      </c>
      <c r="H125" s="34">
        <v>3</v>
      </c>
      <c r="I125" s="28" t="s">
        <v>656</v>
      </c>
      <c r="J125" s="79" t="s">
        <v>670</v>
      </c>
      <c r="K125" s="34">
        <v>8</v>
      </c>
      <c r="L125" s="39" t="s">
        <v>642</v>
      </c>
      <c r="M125" s="73">
        <f t="shared" si="1"/>
        <v>192</v>
      </c>
    </row>
    <row r="126" spans="1:13" ht="34" x14ac:dyDescent="0.4">
      <c r="A126" s="71" t="s">
        <v>443</v>
      </c>
      <c r="B126" s="45" t="s">
        <v>529</v>
      </c>
      <c r="C126" s="29" t="s">
        <v>469</v>
      </c>
      <c r="D126" s="29" t="s">
        <v>303</v>
      </c>
      <c r="E126" s="70" t="s">
        <v>320</v>
      </c>
      <c r="F126" s="34">
        <v>8</v>
      </c>
      <c r="G126" s="39" t="s">
        <v>626</v>
      </c>
      <c r="H126" s="34">
        <v>3</v>
      </c>
      <c r="I126" s="28" t="s">
        <v>656</v>
      </c>
      <c r="J126" s="79" t="s">
        <v>660</v>
      </c>
      <c r="K126" s="34">
        <v>5</v>
      </c>
      <c r="L126" s="39" t="s">
        <v>641</v>
      </c>
      <c r="M126" s="73">
        <f t="shared" si="1"/>
        <v>120</v>
      </c>
    </row>
    <row r="127" spans="1:13" ht="34" x14ac:dyDescent="0.4">
      <c r="A127" s="71" t="s">
        <v>444</v>
      </c>
      <c r="B127" s="45" t="s">
        <v>528</v>
      </c>
      <c r="C127" s="29" t="s">
        <v>476</v>
      </c>
      <c r="D127" s="29" t="s">
        <v>303</v>
      </c>
      <c r="E127" s="70" t="s">
        <v>320</v>
      </c>
      <c r="F127" s="34">
        <v>8</v>
      </c>
      <c r="G127" s="39" t="s">
        <v>626</v>
      </c>
      <c r="H127" s="34">
        <v>3</v>
      </c>
      <c r="I127" s="28" t="s">
        <v>656</v>
      </c>
      <c r="J127" s="79" t="s">
        <v>662</v>
      </c>
      <c r="K127" s="34">
        <v>3</v>
      </c>
      <c r="L127" s="39" t="s">
        <v>641</v>
      </c>
      <c r="M127" s="73">
        <f t="shared" si="1"/>
        <v>72</v>
      </c>
    </row>
    <row r="128" spans="1:13" ht="34" x14ac:dyDescent="0.4">
      <c r="A128" s="71" t="s">
        <v>445</v>
      </c>
      <c r="B128" s="45" t="s">
        <v>527</v>
      </c>
      <c r="C128" s="29" t="s">
        <v>478</v>
      </c>
      <c r="D128" s="29" t="s">
        <v>303</v>
      </c>
      <c r="E128" s="70" t="s">
        <v>320</v>
      </c>
      <c r="F128" s="34">
        <v>4</v>
      </c>
      <c r="G128" s="39" t="s">
        <v>626</v>
      </c>
      <c r="H128" s="34">
        <v>3</v>
      </c>
      <c r="I128" s="28" t="s">
        <v>656</v>
      </c>
      <c r="J128" s="79" t="s">
        <v>662</v>
      </c>
      <c r="K128" s="34">
        <v>3</v>
      </c>
      <c r="L128" s="39" t="s">
        <v>641</v>
      </c>
      <c r="M128" s="73">
        <f t="shared" si="1"/>
        <v>36</v>
      </c>
    </row>
    <row r="129" spans="1:13" ht="34" x14ac:dyDescent="0.4">
      <c r="A129" s="71" t="s">
        <v>446</v>
      </c>
      <c r="B129" s="45" t="s">
        <v>526</v>
      </c>
      <c r="C129" s="29" t="s">
        <v>619</v>
      </c>
      <c r="D129" s="29" t="s">
        <v>318</v>
      </c>
      <c r="E129" s="70" t="s">
        <v>620</v>
      </c>
      <c r="F129" s="34">
        <v>7</v>
      </c>
      <c r="G129" s="39" t="s">
        <v>626</v>
      </c>
      <c r="H129" s="34">
        <v>3</v>
      </c>
      <c r="I129" s="28" t="s">
        <v>672</v>
      </c>
      <c r="J129" s="79" t="s">
        <v>662</v>
      </c>
      <c r="K129" s="34">
        <v>8</v>
      </c>
      <c r="L129" s="39" t="s">
        <v>641</v>
      </c>
      <c r="M129" s="73">
        <f t="shared" si="1"/>
        <v>168</v>
      </c>
    </row>
    <row r="130" spans="1:13" ht="34" x14ac:dyDescent="0.4">
      <c r="A130" s="71" t="s">
        <v>447</v>
      </c>
      <c r="B130" s="45" t="s">
        <v>495</v>
      </c>
      <c r="C130" s="29" t="s">
        <v>619</v>
      </c>
      <c r="D130" s="29" t="s">
        <v>318</v>
      </c>
      <c r="E130" s="70" t="s">
        <v>620</v>
      </c>
      <c r="F130" s="34">
        <v>7</v>
      </c>
      <c r="G130" s="39" t="s">
        <v>637</v>
      </c>
      <c r="H130" s="34">
        <v>2</v>
      </c>
      <c r="I130" s="28" t="s">
        <v>672</v>
      </c>
      <c r="J130" s="79" t="s">
        <v>668</v>
      </c>
      <c r="K130" s="34">
        <v>8</v>
      </c>
      <c r="L130" s="39" t="s">
        <v>641</v>
      </c>
      <c r="M130" s="73">
        <f t="shared" si="1"/>
        <v>112</v>
      </c>
    </row>
    <row r="131" spans="1:13" ht="34" x14ac:dyDescent="0.4">
      <c r="A131" s="71" t="s">
        <v>448</v>
      </c>
      <c r="B131" s="45" t="s">
        <v>525</v>
      </c>
      <c r="C131" s="29" t="s">
        <v>606</v>
      </c>
      <c r="D131" s="29" t="s">
        <v>314</v>
      </c>
      <c r="E131" s="70" t="s">
        <v>605</v>
      </c>
      <c r="F131" s="34">
        <v>2</v>
      </c>
      <c r="G131" s="39" t="s">
        <v>637</v>
      </c>
      <c r="H131" s="34">
        <v>2</v>
      </c>
      <c r="I131" s="28" t="s">
        <v>672</v>
      </c>
      <c r="J131" s="79" t="s">
        <v>658</v>
      </c>
      <c r="K131" s="34">
        <v>4</v>
      </c>
      <c r="L131" s="39" t="s">
        <v>641</v>
      </c>
      <c r="M131" s="73">
        <f t="shared" ref="M131:M150" si="2">F131*H131*K131</f>
        <v>16</v>
      </c>
    </row>
    <row r="132" spans="1:13" ht="34" x14ac:dyDescent="0.4">
      <c r="A132" s="71" t="s">
        <v>449</v>
      </c>
      <c r="B132" s="45" t="s">
        <v>524</v>
      </c>
      <c r="C132" s="70" t="s">
        <v>621</v>
      </c>
      <c r="D132" s="29" t="s">
        <v>303</v>
      </c>
      <c r="E132" s="70" t="s">
        <v>320</v>
      </c>
      <c r="F132" s="34">
        <v>8</v>
      </c>
      <c r="G132" s="39" t="s">
        <v>630</v>
      </c>
      <c r="H132" s="34">
        <v>4</v>
      </c>
      <c r="I132" s="28" t="s">
        <v>672</v>
      </c>
      <c r="J132" s="79" t="s">
        <v>668</v>
      </c>
      <c r="K132" s="34">
        <v>10</v>
      </c>
      <c r="L132" s="39" t="s">
        <v>642</v>
      </c>
      <c r="M132" s="73">
        <f t="shared" si="2"/>
        <v>320</v>
      </c>
    </row>
    <row r="133" spans="1:13" ht="34" x14ac:dyDescent="0.4">
      <c r="A133" s="71" t="s">
        <v>450</v>
      </c>
      <c r="B133" s="45" t="s">
        <v>523</v>
      </c>
      <c r="C133" s="70" t="s">
        <v>482</v>
      </c>
      <c r="D133" s="29" t="s">
        <v>310</v>
      </c>
      <c r="E133" s="70" t="s">
        <v>323</v>
      </c>
      <c r="F133" s="34">
        <v>8</v>
      </c>
      <c r="G133" s="39" t="s">
        <v>629</v>
      </c>
      <c r="H133" s="34">
        <v>3</v>
      </c>
      <c r="I133" s="28" t="s">
        <v>656</v>
      </c>
      <c r="J133" s="79" t="s">
        <v>662</v>
      </c>
      <c r="K133" s="34">
        <v>8</v>
      </c>
      <c r="L133" s="39" t="s">
        <v>642</v>
      </c>
      <c r="M133" s="73">
        <f t="shared" si="2"/>
        <v>192</v>
      </c>
    </row>
    <row r="134" spans="1:13" ht="34" x14ac:dyDescent="0.4">
      <c r="A134" s="71" t="s">
        <v>451</v>
      </c>
      <c r="B134" s="45" t="s">
        <v>496</v>
      </c>
      <c r="C134" s="29" t="s">
        <v>607</v>
      </c>
      <c r="D134" s="29" t="s">
        <v>305</v>
      </c>
      <c r="E134" s="70" t="s">
        <v>320</v>
      </c>
      <c r="F134" s="34">
        <v>8</v>
      </c>
      <c r="G134" s="39" t="s">
        <v>627</v>
      </c>
      <c r="H134" s="34">
        <v>4</v>
      </c>
      <c r="I134" s="28" t="s">
        <v>672</v>
      </c>
      <c r="J134" s="79" t="s">
        <v>660</v>
      </c>
      <c r="K134" s="34">
        <v>5</v>
      </c>
      <c r="L134" s="39" t="s">
        <v>641</v>
      </c>
      <c r="M134" s="73">
        <f t="shared" si="2"/>
        <v>160</v>
      </c>
    </row>
    <row r="135" spans="1:13" ht="34" x14ac:dyDescent="0.4">
      <c r="A135" s="71" t="s">
        <v>452</v>
      </c>
      <c r="B135" s="45" t="s">
        <v>497</v>
      </c>
      <c r="C135" s="29" t="s">
        <v>611</v>
      </c>
      <c r="D135" s="29" t="s">
        <v>305</v>
      </c>
      <c r="E135" s="70" t="s">
        <v>321</v>
      </c>
      <c r="F135" s="34">
        <v>7</v>
      </c>
      <c r="G135" s="39" t="s">
        <v>638</v>
      </c>
      <c r="H135" s="34">
        <v>1</v>
      </c>
      <c r="I135" s="28" t="s">
        <v>672</v>
      </c>
      <c r="J135" s="79" t="s">
        <v>660</v>
      </c>
      <c r="K135" s="34">
        <v>5</v>
      </c>
      <c r="L135" s="39" t="s">
        <v>641</v>
      </c>
      <c r="M135" s="73">
        <f t="shared" si="2"/>
        <v>35</v>
      </c>
    </row>
    <row r="136" spans="1:13" ht="34" x14ac:dyDescent="0.4">
      <c r="A136" s="71" t="s">
        <v>453</v>
      </c>
      <c r="B136" s="45" t="s">
        <v>522</v>
      </c>
      <c r="C136" s="29" t="s">
        <v>617</v>
      </c>
      <c r="D136" s="29" t="s">
        <v>308</v>
      </c>
      <c r="E136" s="70" t="s">
        <v>321</v>
      </c>
      <c r="F136" s="34">
        <v>7</v>
      </c>
      <c r="G136" s="39" t="s">
        <v>639</v>
      </c>
      <c r="H136" s="34">
        <v>4</v>
      </c>
      <c r="I136" s="28" t="s">
        <v>672</v>
      </c>
      <c r="J136" s="79" t="s">
        <v>675</v>
      </c>
      <c r="K136" s="34">
        <v>4</v>
      </c>
      <c r="L136" s="39" t="s">
        <v>641</v>
      </c>
      <c r="M136" s="73">
        <f t="shared" si="2"/>
        <v>112</v>
      </c>
    </row>
    <row r="137" spans="1:13" ht="34" x14ac:dyDescent="0.4">
      <c r="A137" s="71" t="s">
        <v>454</v>
      </c>
      <c r="B137" s="45" t="s">
        <v>498</v>
      </c>
      <c r="C137" s="29" t="s">
        <v>595</v>
      </c>
      <c r="D137" s="29" t="s">
        <v>299</v>
      </c>
      <c r="E137" s="70" t="s">
        <v>508</v>
      </c>
      <c r="F137" s="34">
        <v>6</v>
      </c>
      <c r="G137" s="39" t="s">
        <v>626</v>
      </c>
      <c r="H137" s="34">
        <v>3</v>
      </c>
      <c r="I137" s="28" t="s">
        <v>656</v>
      </c>
      <c r="J137" s="79" t="s">
        <v>662</v>
      </c>
      <c r="K137" s="34">
        <v>3</v>
      </c>
      <c r="L137" s="39" t="s">
        <v>641</v>
      </c>
      <c r="M137" s="73">
        <f t="shared" si="2"/>
        <v>54</v>
      </c>
    </row>
    <row r="138" spans="1:13" ht="34" x14ac:dyDescent="0.4">
      <c r="A138" s="71" t="s">
        <v>455</v>
      </c>
      <c r="B138" s="45" t="s">
        <v>499</v>
      </c>
      <c r="C138" s="29" t="s">
        <v>592</v>
      </c>
      <c r="D138" s="29" t="s">
        <v>299</v>
      </c>
      <c r="E138" s="70" t="s">
        <v>593</v>
      </c>
      <c r="F138" s="34">
        <v>2</v>
      </c>
      <c r="G138" s="39" t="s">
        <v>626</v>
      </c>
      <c r="H138" s="34">
        <v>3</v>
      </c>
      <c r="I138" s="28" t="s">
        <v>656</v>
      </c>
      <c r="J138" s="79" t="s">
        <v>660</v>
      </c>
      <c r="K138" s="34">
        <v>3</v>
      </c>
      <c r="L138" s="39" t="s">
        <v>641</v>
      </c>
      <c r="M138" s="73">
        <f t="shared" si="2"/>
        <v>18</v>
      </c>
    </row>
    <row r="139" spans="1:13" ht="34" x14ac:dyDescent="0.4">
      <c r="A139" s="71" t="s">
        <v>456</v>
      </c>
      <c r="B139" s="45" t="s">
        <v>521</v>
      </c>
      <c r="C139" s="29" t="s">
        <v>594</v>
      </c>
      <c r="D139" s="29" t="s">
        <v>299</v>
      </c>
      <c r="E139" s="70" t="s">
        <v>323</v>
      </c>
      <c r="F139" s="34">
        <v>8</v>
      </c>
      <c r="G139" s="39" t="s">
        <v>630</v>
      </c>
      <c r="H139" s="34">
        <v>2</v>
      </c>
      <c r="I139" s="28" t="s">
        <v>672</v>
      </c>
      <c r="J139" s="79" t="s">
        <v>658</v>
      </c>
      <c r="K139" s="34">
        <v>2</v>
      </c>
      <c r="L139" s="39" t="s">
        <v>641</v>
      </c>
      <c r="M139" s="73">
        <f t="shared" si="2"/>
        <v>32</v>
      </c>
    </row>
    <row r="140" spans="1:13" ht="34" x14ac:dyDescent="0.4">
      <c r="A140" s="71" t="s">
        <v>457</v>
      </c>
      <c r="B140" s="45" t="s">
        <v>520</v>
      </c>
      <c r="C140" s="29" t="s">
        <v>625</v>
      </c>
      <c r="D140" s="29" t="s">
        <v>299</v>
      </c>
      <c r="E140" s="70" t="s">
        <v>592</v>
      </c>
      <c r="F140" s="34">
        <v>2</v>
      </c>
      <c r="G140" s="39" t="s">
        <v>637</v>
      </c>
      <c r="H140" s="34">
        <v>2</v>
      </c>
      <c r="I140" s="28" t="s">
        <v>672</v>
      </c>
      <c r="J140" s="79" t="s">
        <v>658</v>
      </c>
      <c r="K140" s="34">
        <v>2</v>
      </c>
      <c r="L140" s="39" t="s">
        <v>641</v>
      </c>
      <c r="M140" s="73">
        <f t="shared" si="2"/>
        <v>8</v>
      </c>
    </row>
    <row r="141" spans="1:13" ht="34" x14ac:dyDescent="0.4">
      <c r="A141" s="71" t="s">
        <v>458</v>
      </c>
      <c r="B141" s="45" t="s">
        <v>519</v>
      </c>
      <c r="C141" s="29" t="s">
        <v>475</v>
      </c>
      <c r="D141" s="29" t="s">
        <v>305</v>
      </c>
      <c r="E141" s="70" t="s">
        <v>322</v>
      </c>
      <c r="F141" s="34">
        <v>4</v>
      </c>
      <c r="G141" s="39" t="s">
        <v>626</v>
      </c>
      <c r="H141" s="34">
        <v>1</v>
      </c>
      <c r="I141" s="28" t="s">
        <v>672</v>
      </c>
      <c r="J141" s="79" t="s">
        <v>660</v>
      </c>
      <c r="K141" s="34">
        <v>5</v>
      </c>
      <c r="L141" s="39" t="s">
        <v>641</v>
      </c>
      <c r="M141" s="73">
        <f t="shared" si="2"/>
        <v>20</v>
      </c>
    </row>
    <row r="142" spans="1:13" ht="34" x14ac:dyDescent="0.4">
      <c r="A142" s="71" t="s">
        <v>459</v>
      </c>
      <c r="B142" s="45" t="s">
        <v>518</v>
      </c>
      <c r="C142" s="29" t="s">
        <v>614</v>
      </c>
      <c r="D142" s="29" t="s">
        <v>299</v>
      </c>
      <c r="E142" s="70" t="s">
        <v>613</v>
      </c>
      <c r="F142" s="34">
        <v>1</v>
      </c>
      <c r="G142" s="39" t="s">
        <v>637</v>
      </c>
      <c r="H142" s="34">
        <v>2</v>
      </c>
      <c r="I142" s="28" t="s">
        <v>656</v>
      </c>
      <c r="J142" s="79" t="s">
        <v>658</v>
      </c>
      <c r="K142" s="34">
        <v>2</v>
      </c>
      <c r="L142" s="39" t="s">
        <v>641</v>
      </c>
      <c r="M142" s="73">
        <f t="shared" si="2"/>
        <v>4</v>
      </c>
    </row>
    <row r="143" spans="1:13" ht="34" x14ac:dyDescent="0.4">
      <c r="A143" s="71" t="s">
        <v>460</v>
      </c>
      <c r="B143" s="45" t="s">
        <v>517</v>
      </c>
      <c r="C143" s="29" t="s">
        <v>509</v>
      </c>
      <c r="D143" s="29" t="s">
        <v>299</v>
      </c>
      <c r="E143" s="70" t="s">
        <v>323</v>
      </c>
      <c r="F143" s="34">
        <v>8</v>
      </c>
      <c r="G143" s="39" t="s">
        <v>637</v>
      </c>
      <c r="H143" s="34">
        <v>2</v>
      </c>
      <c r="I143" s="28" t="s">
        <v>656</v>
      </c>
      <c r="J143" s="79" t="s">
        <v>658</v>
      </c>
      <c r="K143" s="34">
        <v>2</v>
      </c>
      <c r="L143" s="39" t="s">
        <v>641</v>
      </c>
      <c r="M143" s="73">
        <f t="shared" si="2"/>
        <v>32</v>
      </c>
    </row>
    <row r="144" spans="1:13" ht="34" x14ac:dyDescent="0.4">
      <c r="A144" s="71" t="s">
        <v>461</v>
      </c>
      <c r="B144" s="45" t="s">
        <v>516</v>
      </c>
      <c r="C144" s="29" t="s">
        <v>606</v>
      </c>
      <c r="D144" s="29" t="s">
        <v>314</v>
      </c>
      <c r="E144" s="70" t="s">
        <v>605</v>
      </c>
      <c r="F144" s="34">
        <v>2</v>
      </c>
      <c r="G144" s="39" t="s">
        <v>637</v>
      </c>
      <c r="H144" s="34">
        <v>2</v>
      </c>
      <c r="I144" s="28" t="s">
        <v>672</v>
      </c>
      <c r="J144" s="79" t="s">
        <v>658</v>
      </c>
      <c r="K144" s="34">
        <v>4</v>
      </c>
      <c r="L144" s="39" t="s">
        <v>641</v>
      </c>
      <c r="M144" s="73">
        <f t="shared" si="2"/>
        <v>16</v>
      </c>
    </row>
    <row r="145" spans="1:13" ht="34" x14ac:dyDescent="0.4">
      <c r="A145" s="71" t="s">
        <v>462</v>
      </c>
      <c r="B145" s="45" t="s">
        <v>515</v>
      </c>
      <c r="C145" s="29" t="s">
        <v>597</v>
      </c>
      <c r="D145" s="29" t="s">
        <v>305</v>
      </c>
      <c r="E145" s="70" t="s">
        <v>322</v>
      </c>
      <c r="F145" s="34">
        <v>4</v>
      </c>
      <c r="G145" s="39" t="s">
        <v>626</v>
      </c>
      <c r="H145" s="34">
        <v>1</v>
      </c>
      <c r="I145" s="28" t="s">
        <v>672</v>
      </c>
      <c r="J145" s="79" t="s">
        <v>668</v>
      </c>
      <c r="K145" s="34">
        <v>10</v>
      </c>
      <c r="L145" s="39" t="s">
        <v>641</v>
      </c>
      <c r="M145" s="73">
        <f t="shared" si="2"/>
        <v>40</v>
      </c>
    </row>
    <row r="146" spans="1:13" ht="34" x14ac:dyDescent="0.4">
      <c r="A146" s="71" t="s">
        <v>463</v>
      </c>
      <c r="B146" s="45" t="s">
        <v>514</v>
      </c>
      <c r="C146" s="29" t="s">
        <v>475</v>
      </c>
      <c r="D146" s="29" t="s">
        <v>305</v>
      </c>
      <c r="E146" s="70" t="s">
        <v>322</v>
      </c>
      <c r="F146" s="34">
        <v>4</v>
      </c>
      <c r="G146" s="39" t="s">
        <v>626</v>
      </c>
      <c r="H146" s="34">
        <v>1</v>
      </c>
      <c r="I146" s="28" t="s">
        <v>672</v>
      </c>
      <c r="J146" s="79" t="s">
        <v>660</v>
      </c>
      <c r="K146" s="34">
        <v>3</v>
      </c>
      <c r="L146" s="39" t="s">
        <v>641</v>
      </c>
      <c r="M146" s="73">
        <f t="shared" si="2"/>
        <v>12</v>
      </c>
    </row>
    <row r="147" spans="1:13" ht="34" x14ac:dyDescent="0.4">
      <c r="A147" s="71" t="s">
        <v>464</v>
      </c>
      <c r="B147" s="45" t="s">
        <v>513</v>
      </c>
      <c r="C147" s="29" t="s">
        <v>588</v>
      </c>
      <c r="D147" s="29" t="s">
        <v>319</v>
      </c>
      <c r="E147" s="70" t="s">
        <v>587</v>
      </c>
      <c r="F147" s="34">
        <v>4</v>
      </c>
      <c r="G147" s="39" t="s">
        <v>636</v>
      </c>
      <c r="H147" s="34">
        <v>4</v>
      </c>
      <c r="I147" s="28" t="s">
        <v>672</v>
      </c>
      <c r="J147" s="79" t="s">
        <v>668</v>
      </c>
      <c r="K147" s="34">
        <v>10</v>
      </c>
      <c r="L147" s="39" t="s">
        <v>641</v>
      </c>
      <c r="M147" s="73">
        <f t="shared" si="2"/>
        <v>160</v>
      </c>
    </row>
    <row r="148" spans="1:13" ht="34" x14ac:dyDescent="0.4">
      <c r="A148" s="71" t="s">
        <v>465</v>
      </c>
      <c r="B148" s="45" t="s">
        <v>512</v>
      </c>
      <c r="C148" s="70" t="s">
        <v>482</v>
      </c>
      <c r="D148" s="29" t="s">
        <v>310</v>
      </c>
      <c r="E148" s="70" t="s">
        <v>323</v>
      </c>
      <c r="F148" s="34">
        <v>8</v>
      </c>
      <c r="G148" s="39" t="s">
        <v>629</v>
      </c>
      <c r="H148" s="34">
        <v>3</v>
      </c>
      <c r="I148" s="28" t="s">
        <v>656</v>
      </c>
      <c r="J148" s="79" t="s">
        <v>670</v>
      </c>
      <c r="K148" s="34">
        <v>8</v>
      </c>
      <c r="L148" s="39" t="s">
        <v>642</v>
      </c>
      <c r="M148" s="73">
        <f t="shared" si="2"/>
        <v>192</v>
      </c>
    </row>
    <row r="149" spans="1:13" ht="34" x14ac:dyDescent="0.4">
      <c r="A149" s="71" t="s">
        <v>466</v>
      </c>
      <c r="B149" s="45" t="s">
        <v>511</v>
      </c>
      <c r="C149" s="29" t="s">
        <v>507</v>
      </c>
      <c r="D149" s="29" t="s">
        <v>303</v>
      </c>
      <c r="E149" s="70" t="s">
        <v>508</v>
      </c>
      <c r="F149" s="34">
        <v>7</v>
      </c>
      <c r="G149" s="39" t="s">
        <v>632</v>
      </c>
      <c r="H149" s="34">
        <v>4</v>
      </c>
      <c r="I149" s="28" t="s">
        <v>656</v>
      </c>
      <c r="J149" s="79" t="s">
        <v>660</v>
      </c>
      <c r="K149" s="34">
        <v>5</v>
      </c>
      <c r="L149" s="39" t="s">
        <v>641</v>
      </c>
      <c r="M149" s="73">
        <f t="shared" si="2"/>
        <v>140</v>
      </c>
    </row>
    <row r="150" spans="1:13" ht="34" x14ac:dyDescent="0.4">
      <c r="A150" s="71" t="s">
        <v>467</v>
      </c>
      <c r="B150" s="45" t="s">
        <v>510</v>
      </c>
      <c r="C150" s="29" t="s">
        <v>597</v>
      </c>
      <c r="D150" s="29" t="s">
        <v>305</v>
      </c>
      <c r="E150" s="70" t="s">
        <v>322</v>
      </c>
      <c r="F150" s="34">
        <v>4</v>
      </c>
      <c r="G150" s="39" t="s">
        <v>636</v>
      </c>
      <c r="H150" s="34">
        <v>4</v>
      </c>
      <c r="I150" s="28" t="s">
        <v>672</v>
      </c>
      <c r="J150" s="79" t="s">
        <v>668</v>
      </c>
      <c r="K150" s="34">
        <v>10</v>
      </c>
      <c r="L150" s="39" t="s">
        <v>642</v>
      </c>
      <c r="M150" s="73">
        <f t="shared" si="2"/>
        <v>160</v>
      </c>
    </row>
    <row r="151" spans="1:13" x14ac:dyDescent="0.4">
      <c r="B151" s="45"/>
    </row>
    <row r="152" spans="1:13" x14ac:dyDescent="0.4">
      <c r="B152" s="45"/>
    </row>
    <row r="153" spans="1:13" x14ac:dyDescent="0.4">
      <c r="B153" s="45"/>
    </row>
    <row r="154" spans="1:13" x14ac:dyDescent="0.4">
      <c r="B154" s="45"/>
    </row>
    <row r="155" spans="1:13" x14ac:dyDescent="0.4">
      <c r="B155" s="45"/>
    </row>
    <row r="156" spans="1:13" x14ac:dyDescent="0.4">
      <c r="B156" s="45"/>
    </row>
    <row r="157" spans="1:13" x14ac:dyDescent="0.4">
      <c r="B157" s="45"/>
    </row>
    <row r="158" spans="1:13" x14ac:dyDescent="0.4">
      <c r="B158" s="45"/>
    </row>
    <row r="159" spans="1:13" x14ac:dyDescent="0.4">
      <c r="B159" s="45"/>
    </row>
    <row r="160" spans="1:13" x14ac:dyDescent="0.4">
      <c r="B160" s="45"/>
    </row>
    <row r="161" spans="2:2" x14ac:dyDescent="0.4">
      <c r="B161" s="45"/>
    </row>
    <row r="162" spans="2:2" x14ac:dyDescent="0.4">
      <c r="B162" s="45"/>
    </row>
    <row r="163" spans="2:2" x14ac:dyDescent="0.4">
      <c r="B163" s="45"/>
    </row>
    <row r="164" spans="2:2" x14ac:dyDescent="0.4">
      <c r="B164" s="45"/>
    </row>
    <row r="165" spans="2:2" x14ac:dyDescent="0.4">
      <c r="B165" s="45"/>
    </row>
    <row r="166" spans="2:2" x14ac:dyDescent="0.4">
      <c r="B166" s="45"/>
    </row>
    <row r="167" spans="2:2" x14ac:dyDescent="0.4">
      <c r="B167" s="45"/>
    </row>
    <row r="168" spans="2:2" x14ac:dyDescent="0.4">
      <c r="B168" s="45"/>
    </row>
    <row r="169" spans="2:2" x14ac:dyDescent="0.4">
      <c r="B169" s="45"/>
    </row>
    <row r="170" spans="2:2" x14ac:dyDescent="0.4">
      <c r="B170" s="45"/>
    </row>
    <row r="171" spans="2:2" x14ac:dyDescent="0.4">
      <c r="B171" s="45"/>
    </row>
    <row r="172" spans="2:2" x14ac:dyDescent="0.4">
      <c r="B172" s="45"/>
    </row>
    <row r="173" spans="2:2" x14ac:dyDescent="0.4">
      <c r="B173" s="45"/>
    </row>
    <row r="174" spans="2:2" x14ac:dyDescent="0.4">
      <c r="B174" s="45"/>
    </row>
    <row r="175" spans="2:2" x14ac:dyDescent="0.4">
      <c r="B175" s="45"/>
    </row>
    <row r="176" spans="2:2" x14ac:dyDescent="0.4">
      <c r="B176" s="45"/>
    </row>
    <row r="177" spans="2:2" x14ac:dyDescent="0.4">
      <c r="B177" s="45"/>
    </row>
    <row r="178" spans="2:2" x14ac:dyDescent="0.4">
      <c r="B178" s="45"/>
    </row>
    <row r="179" spans="2:2" x14ac:dyDescent="0.4">
      <c r="B179" s="45"/>
    </row>
    <row r="180" spans="2:2" x14ac:dyDescent="0.4">
      <c r="B180" s="45"/>
    </row>
    <row r="181" spans="2:2" x14ac:dyDescent="0.4">
      <c r="B181" s="45"/>
    </row>
    <row r="182" spans="2:2" x14ac:dyDescent="0.4">
      <c r="B182" s="45"/>
    </row>
    <row r="183" spans="2:2" x14ac:dyDescent="0.4">
      <c r="B183" s="45"/>
    </row>
    <row r="184" spans="2:2" x14ac:dyDescent="0.4">
      <c r="B184" s="45"/>
    </row>
    <row r="185" spans="2:2" x14ac:dyDescent="0.4">
      <c r="B185" s="45"/>
    </row>
    <row r="186" spans="2:2" x14ac:dyDescent="0.4">
      <c r="B186" s="45"/>
    </row>
    <row r="187" spans="2:2" x14ac:dyDescent="0.4">
      <c r="B187" s="45"/>
    </row>
    <row r="188" spans="2:2" x14ac:dyDescent="0.4">
      <c r="B188" s="45"/>
    </row>
    <row r="189" spans="2:2" x14ac:dyDescent="0.4">
      <c r="B189" s="45"/>
    </row>
    <row r="190" spans="2:2" x14ac:dyDescent="0.4">
      <c r="B190" s="45"/>
    </row>
    <row r="191" spans="2:2" x14ac:dyDescent="0.4">
      <c r="B191" s="45"/>
    </row>
    <row r="192" spans="2:2" x14ac:dyDescent="0.4">
      <c r="B192" s="45"/>
    </row>
    <row r="193" spans="2:2" x14ac:dyDescent="0.4">
      <c r="B193" s="45"/>
    </row>
    <row r="194" spans="2:2" x14ac:dyDescent="0.4">
      <c r="B194" s="45"/>
    </row>
    <row r="195" spans="2:2" x14ac:dyDescent="0.4">
      <c r="B195" s="45"/>
    </row>
    <row r="196" spans="2:2" x14ac:dyDescent="0.4">
      <c r="B196" s="45"/>
    </row>
    <row r="197" spans="2:2" x14ac:dyDescent="0.4">
      <c r="B197" s="45"/>
    </row>
    <row r="198" spans="2:2" x14ac:dyDescent="0.4">
      <c r="B198" s="45"/>
    </row>
    <row r="199" spans="2:2" x14ac:dyDescent="0.4">
      <c r="B199" s="45"/>
    </row>
    <row r="200" spans="2:2" x14ac:dyDescent="0.4">
      <c r="B200" s="45"/>
    </row>
    <row r="201" spans="2:2" x14ac:dyDescent="0.4">
      <c r="B201" s="45"/>
    </row>
    <row r="202" spans="2:2" x14ac:dyDescent="0.4">
      <c r="B202" s="45"/>
    </row>
    <row r="203" spans="2:2" x14ac:dyDescent="0.4">
      <c r="B203" s="45"/>
    </row>
    <row r="204" spans="2:2" x14ac:dyDescent="0.4">
      <c r="B204" s="45"/>
    </row>
    <row r="205" spans="2:2" x14ac:dyDescent="0.4">
      <c r="B205" s="45"/>
    </row>
    <row r="206" spans="2:2" x14ac:dyDescent="0.4">
      <c r="B206" s="45"/>
    </row>
    <row r="207" spans="2:2" x14ac:dyDescent="0.4">
      <c r="B207" s="45"/>
    </row>
    <row r="208" spans="2:2" x14ac:dyDescent="0.4">
      <c r="B208" s="45"/>
    </row>
    <row r="209" spans="2:2" x14ac:dyDescent="0.4">
      <c r="B209" s="45"/>
    </row>
    <row r="210" spans="2:2" x14ac:dyDescent="0.4">
      <c r="B210" s="45"/>
    </row>
    <row r="211" spans="2:2" x14ac:dyDescent="0.4">
      <c r="B211" s="45"/>
    </row>
    <row r="212" spans="2:2" x14ac:dyDescent="0.4">
      <c r="B212" s="45"/>
    </row>
    <row r="213" spans="2:2" x14ac:dyDescent="0.4">
      <c r="B213" s="45"/>
    </row>
    <row r="214" spans="2:2" x14ac:dyDescent="0.4">
      <c r="B214" s="45"/>
    </row>
    <row r="215" spans="2:2" x14ac:dyDescent="0.4">
      <c r="B215" s="45"/>
    </row>
    <row r="216" spans="2:2" x14ac:dyDescent="0.4">
      <c r="B216" s="45"/>
    </row>
    <row r="217" spans="2:2" x14ac:dyDescent="0.4">
      <c r="B217" s="45"/>
    </row>
    <row r="218" spans="2:2" x14ac:dyDescent="0.4">
      <c r="B218" s="45"/>
    </row>
    <row r="219" spans="2:2" x14ac:dyDescent="0.4">
      <c r="B219" s="45"/>
    </row>
    <row r="220" spans="2:2" x14ac:dyDescent="0.4">
      <c r="B220" s="45"/>
    </row>
    <row r="221" spans="2:2" x14ac:dyDescent="0.4">
      <c r="B221" s="45"/>
    </row>
    <row r="222" spans="2:2" x14ac:dyDescent="0.4">
      <c r="B222" s="45"/>
    </row>
    <row r="223" spans="2:2" x14ac:dyDescent="0.4">
      <c r="B223" s="45"/>
    </row>
    <row r="224" spans="2:2" x14ac:dyDescent="0.4">
      <c r="B224" s="45"/>
    </row>
    <row r="225" spans="2:2" x14ac:dyDescent="0.4">
      <c r="B225" s="45"/>
    </row>
    <row r="226" spans="2:2" x14ac:dyDescent="0.4">
      <c r="B226" s="45"/>
    </row>
    <row r="227" spans="2:2" x14ac:dyDescent="0.4">
      <c r="B227" s="45"/>
    </row>
    <row r="228" spans="2:2" x14ac:dyDescent="0.4">
      <c r="B228" s="45"/>
    </row>
    <row r="229" spans="2:2" x14ac:dyDescent="0.4">
      <c r="B229" s="45"/>
    </row>
    <row r="230" spans="2:2" x14ac:dyDescent="0.4">
      <c r="B230" s="45"/>
    </row>
    <row r="231" spans="2:2" x14ac:dyDescent="0.4">
      <c r="B231" s="45"/>
    </row>
    <row r="232" spans="2:2" x14ac:dyDescent="0.4">
      <c r="B232" s="45"/>
    </row>
    <row r="233" spans="2:2" x14ac:dyDescent="0.4">
      <c r="B233" s="45"/>
    </row>
    <row r="234" spans="2:2" x14ac:dyDescent="0.4">
      <c r="B234" s="45"/>
    </row>
    <row r="235" spans="2:2" x14ac:dyDescent="0.4">
      <c r="B235" s="45"/>
    </row>
    <row r="236" spans="2:2" x14ac:dyDescent="0.4">
      <c r="B236" s="45"/>
    </row>
    <row r="237" spans="2:2" x14ac:dyDescent="0.4">
      <c r="B237" s="45"/>
    </row>
    <row r="238" spans="2:2" x14ac:dyDescent="0.4">
      <c r="B238" s="45"/>
    </row>
    <row r="239" spans="2:2" x14ac:dyDescent="0.4">
      <c r="B239" s="45"/>
    </row>
    <row r="240" spans="2:2" x14ac:dyDescent="0.4">
      <c r="B240" s="45"/>
    </row>
    <row r="241" spans="2:2" x14ac:dyDescent="0.4">
      <c r="B241" s="45"/>
    </row>
    <row r="242" spans="2:2" x14ac:dyDescent="0.4">
      <c r="B242" s="45"/>
    </row>
  </sheetData>
  <autoFilter ref="A1:L150" xr:uid="{00000000-0009-0000-0000-000002000000}"/>
  <phoneticPr fontId="10" type="noConversion"/>
  <dataValidations count="2">
    <dataValidation type="list" allowBlank="1" showInputMessage="1" showErrorMessage="1" sqref="I2:I150" xr:uid="{00000000-0002-0000-0200-000000000000}">
      <formula1>控制預防</formula1>
    </dataValidation>
    <dataValidation type="list" allowBlank="1" showInputMessage="1" showErrorMessage="1" sqref="J2:J150" xr:uid="{00000000-0002-0000-0200-000001000000}">
      <formula1>控制偵測</formula1>
    </dataValidation>
  </dataValidations>
  <pageMargins left="0.7" right="0.7" top="0.75" bottom="0.75" header="0.3" footer="0.3"/>
  <pageSetup paperSize="9" orientation="portrait" horizontalDpi="180" verticalDpi="18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E11"/>
  <sheetViews>
    <sheetView workbookViewId="0">
      <pane ySplit="1" topLeftCell="A2" activePane="bottomLeft" state="frozen"/>
      <selection pane="bottomLeft" activeCell="C10" sqref="C10"/>
    </sheetView>
  </sheetViews>
  <sheetFormatPr defaultColWidth="9" defaultRowHeight="17" x14ac:dyDescent="0.4"/>
  <cols>
    <col min="1" max="1" width="5.453125" style="39" bestFit="1" customWidth="1"/>
    <col min="2" max="2" width="17.26953125" style="39" bestFit="1" customWidth="1"/>
    <col min="3" max="3" width="47.26953125" style="39" customWidth="1"/>
    <col min="4" max="4" width="11.6328125" style="39" bestFit="1" customWidth="1"/>
    <col min="5" max="5" width="48" style="39" customWidth="1"/>
    <col min="6" max="16384" width="9" style="39"/>
  </cols>
  <sheetData>
    <row r="1" spans="1:5" x14ac:dyDescent="0.4">
      <c r="A1" s="30" t="s">
        <v>229</v>
      </c>
      <c r="B1" s="30" t="s">
        <v>228</v>
      </c>
      <c r="C1" s="30" t="s">
        <v>251</v>
      </c>
      <c r="D1" s="30" t="s">
        <v>228</v>
      </c>
      <c r="E1" s="30" t="s">
        <v>250</v>
      </c>
    </row>
    <row r="2" spans="1:5" ht="51" x14ac:dyDescent="0.4">
      <c r="A2" s="39">
        <v>10</v>
      </c>
      <c r="B2" s="39" t="s">
        <v>49</v>
      </c>
      <c r="C2" s="39" t="s">
        <v>253</v>
      </c>
      <c r="D2" s="39" t="s">
        <v>49</v>
      </c>
      <c r="E2" s="39" t="s">
        <v>252</v>
      </c>
    </row>
    <row r="3" spans="1:5" ht="51" x14ac:dyDescent="0.4">
      <c r="A3" s="39">
        <v>9</v>
      </c>
      <c r="B3" s="39" t="s">
        <v>49</v>
      </c>
      <c r="C3" s="39" t="s">
        <v>255</v>
      </c>
      <c r="D3" s="39" t="s">
        <v>49</v>
      </c>
      <c r="E3" s="39" t="s">
        <v>254</v>
      </c>
    </row>
    <row r="4" spans="1:5" x14ac:dyDescent="0.4">
      <c r="A4" s="39">
        <v>8</v>
      </c>
      <c r="B4" s="39" t="s">
        <v>48</v>
      </c>
      <c r="C4" s="39" t="s">
        <v>237</v>
      </c>
      <c r="D4" s="39" t="s">
        <v>230</v>
      </c>
      <c r="E4" s="39" t="s">
        <v>232</v>
      </c>
    </row>
    <row r="5" spans="1:5" ht="34" x14ac:dyDescent="0.4">
      <c r="A5" s="39">
        <v>7</v>
      </c>
      <c r="B5" s="39" t="s">
        <v>47</v>
      </c>
      <c r="C5" s="39" t="s">
        <v>239</v>
      </c>
      <c r="D5" s="39" t="s">
        <v>231</v>
      </c>
      <c r="E5" s="39" t="s">
        <v>238</v>
      </c>
    </row>
    <row r="6" spans="1:5" ht="34" x14ac:dyDescent="0.4">
      <c r="A6" s="39">
        <v>6</v>
      </c>
      <c r="B6" s="39" t="s">
        <v>45</v>
      </c>
      <c r="C6" s="39" t="s">
        <v>241</v>
      </c>
      <c r="D6" s="39" t="s">
        <v>233</v>
      </c>
      <c r="E6" s="39" t="s">
        <v>240</v>
      </c>
    </row>
    <row r="7" spans="1:5" ht="34" x14ac:dyDescent="0.4">
      <c r="A7" s="39">
        <v>5</v>
      </c>
      <c r="B7" s="39" t="s">
        <v>45</v>
      </c>
      <c r="C7" s="39" t="s">
        <v>243</v>
      </c>
      <c r="D7" s="39" t="s">
        <v>234</v>
      </c>
      <c r="E7" s="39" t="s">
        <v>242</v>
      </c>
    </row>
    <row r="8" spans="1:5" ht="34" x14ac:dyDescent="0.4">
      <c r="A8" s="39">
        <v>4</v>
      </c>
      <c r="B8" s="39" t="s">
        <v>45</v>
      </c>
      <c r="C8" s="39" t="s">
        <v>245</v>
      </c>
      <c r="D8" s="39" t="s">
        <v>235</v>
      </c>
      <c r="E8" s="39" t="s">
        <v>244</v>
      </c>
    </row>
    <row r="9" spans="1:5" ht="34" x14ac:dyDescent="0.4">
      <c r="A9" s="39">
        <v>3</v>
      </c>
      <c r="B9" s="39" t="s">
        <v>45</v>
      </c>
      <c r="C9" s="39" t="s">
        <v>247</v>
      </c>
      <c r="D9" s="39" t="s">
        <v>235</v>
      </c>
      <c r="E9" s="39" t="s">
        <v>246</v>
      </c>
    </row>
    <row r="10" spans="1:5" ht="34" x14ac:dyDescent="0.4">
      <c r="A10" s="39">
        <v>2</v>
      </c>
      <c r="B10" s="39" t="s">
        <v>44</v>
      </c>
      <c r="C10" s="39" t="s">
        <v>249</v>
      </c>
      <c r="D10" s="39" t="s">
        <v>235</v>
      </c>
      <c r="E10" s="39" t="s">
        <v>248</v>
      </c>
    </row>
    <row r="11" spans="1:5" x14ac:dyDescent="0.4">
      <c r="A11" s="39">
        <v>1</v>
      </c>
      <c r="B11" s="39" t="s">
        <v>42</v>
      </c>
      <c r="C11" s="39" t="s">
        <v>236</v>
      </c>
      <c r="D11" s="39" t="s">
        <v>42</v>
      </c>
      <c r="E11" s="39" t="s">
        <v>236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C12"/>
  <sheetViews>
    <sheetView workbookViewId="0">
      <selection activeCell="A2" sqref="A2:B11"/>
    </sheetView>
  </sheetViews>
  <sheetFormatPr defaultRowHeight="17" x14ac:dyDescent="0.4"/>
  <cols>
    <col min="2" max="2" width="33.26953125" customWidth="1"/>
  </cols>
  <sheetData>
    <row r="1" spans="1:3" ht="35" thickTop="1" thickBot="1" x14ac:dyDescent="0.45">
      <c r="A1" s="55" t="s">
        <v>229</v>
      </c>
      <c r="B1" s="54" t="s">
        <v>257</v>
      </c>
      <c r="C1" s="53" t="s">
        <v>256</v>
      </c>
    </row>
    <row r="2" spans="1:3" ht="17.5" thickBot="1" x14ac:dyDescent="0.45">
      <c r="A2" s="58">
        <v>10</v>
      </c>
      <c r="B2" s="57" t="s">
        <v>259</v>
      </c>
      <c r="C2" s="56" t="s">
        <v>258</v>
      </c>
    </row>
    <row r="3" spans="1:3" ht="17.5" thickBot="1" x14ac:dyDescent="0.45">
      <c r="A3" s="58">
        <v>9</v>
      </c>
      <c r="B3" s="59" t="s">
        <v>261</v>
      </c>
      <c r="C3" s="63" t="s">
        <v>260</v>
      </c>
    </row>
    <row r="4" spans="1:3" ht="17.5" thickBot="1" x14ac:dyDescent="0.45">
      <c r="A4" s="58">
        <v>8</v>
      </c>
      <c r="B4" s="59" t="s">
        <v>262</v>
      </c>
      <c r="C4" s="63" t="s">
        <v>260</v>
      </c>
    </row>
    <row r="5" spans="1:3" ht="17.5" thickBot="1" x14ac:dyDescent="0.45">
      <c r="A5" s="58">
        <v>7</v>
      </c>
      <c r="B5" s="59" t="s">
        <v>263</v>
      </c>
      <c r="C5" s="63" t="s">
        <v>260</v>
      </c>
    </row>
    <row r="6" spans="1:3" ht="17.5" thickBot="1" x14ac:dyDescent="0.45">
      <c r="A6" s="58">
        <v>6</v>
      </c>
      <c r="B6" s="59" t="s">
        <v>265</v>
      </c>
      <c r="C6" s="63" t="s">
        <v>264</v>
      </c>
    </row>
    <row r="7" spans="1:3" ht="17.5" thickBot="1" x14ac:dyDescent="0.45">
      <c r="A7" s="58">
        <v>5</v>
      </c>
      <c r="B7" s="59" t="s">
        <v>266</v>
      </c>
      <c r="C7" s="63" t="s">
        <v>264</v>
      </c>
    </row>
    <row r="8" spans="1:3" ht="17.5" thickBot="1" x14ac:dyDescent="0.45">
      <c r="A8" s="58">
        <v>4</v>
      </c>
      <c r="B8" s="59" t="s">
        <v>267</v>
      </c>
      <c r="C8" s="63" t="s">
        <v>264</v>
      </c>
    </row>
    <row r="9" spans="1:3" ht="17.5" thickBot="1" x14ac:dyDescent="0.45">
      <c r="A9" s="58">
        <v>3</v>
      </c>
      <c r="B9" s="59" t="s">
        <v>269</v>
      </c>
      <c r="C9" s="63" t="s">
        <v>268</v>
      </c>
    </row>
    <row r="10" spans="1:3" ht="17.5" thickBot="1" x14ac:dyDescent="0.45">
      <c r="A10" s="58">
        <v>2</v>
      </c>
      <c r="B10" s="57" t="s">
        <v>270</v>
      </c>
      <c r="C10" s="63" t="s">
        <v>268</v>
      </c>
    </row>
    <row r="11" spans="1:3" ht="17.5" thickBot="1" x14ac:dyDescent="0.45">
      <c r="A11" s="62">
        <v>1</v>
      </c>
      <c r="B11" s="61" t="s">
        <v>272</v>
      </c>
      <c r="C11" s="60" t="s">
        <v>271</v>
      </c>
    </row>
    <row r="12" spans="1:3" ht="17.5" thickTop="1" x14ac:dyDescent="0.4"/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D11"/>
  <sheetViews>
    <sheetView workbookViewId="0">
      <pane ySplit="1" topLeftCell="A2" activePane="bottomLeft" state="frozen"/>
      <selection pane="bottomLeft" activeCell="B8" sqref="B8"/>
    </sheetView>
  </sheetViews>
  <sheetFormatPr defaultRowHeight="17" x14ac:dyDescent="0.4"/>
  <cols>
    <col min="1" max="1" width="21.7265625" customWidth="1"/>
    <col min="2" max="2" width="51.08984375" customWidth="1"/>
    <col min="3" max="3" width="5.453125" bestFit="1" customWidth="1"/>
    <col min="4" max="4" width="20.7265625" customWidth="1"/>
  </cols>
  <sheetData>
    <row r="1" spans="1:4" x14ac:dyDescent="0.4">
      <c r="A1" s="64" t="s">
        <v>273</v>
      </c>
      <c r="B1" s="64" t="s">
        <v>274</v>
      </c>
      <c r="C1" s="64" t="s">
        <v>229</v>
      </c>
      <c r="D1" s="64" t="s">
        <v>275</v>
      </c>
    </row>
    <row r="2" spans="1:4" x14ac:dyDescent="0.4">
      <c r="A2" s="64" t="s">
        <v>276</v>
      </c>
      <c r="B2" s="65" t="s">
        <v>277</v>
      </c>
      <c r="C2" s="66">
        <v>10</v>
      </c>
      <c r="D2" s="64" t="s">
        <v>278</v>
      </c>
    </row>
    <row r="3" spans="1:4" x14ac:dyDescent="0.4">
      <c r="A3" s="64" t="s">
        <v>293</v>
      </c>
      <c r="B3" s="65" t="s">
        <v>279</v>
      </c>
      <c r="C3" s="66">
        <v>9</v>
      </c>
      <c r="D3" s="64" t="s">
        <v>280</v>
      </c>
    </row>
    <row r="4" spans="1:4" ht="34" x14ac:dyDescent="0.4">
      <c r="A4" s="64" t="s">
        <v>294</v>
      </c>
      <c r="B4" s="65" t="s">
        <v>281</v>
      </c>
      <c r="C4" s="66">
        <v>8</v>
      </c>
      <c r="D4" s="64" t="s">
        <v>280</v>
      </c>
    </row>
    <row r="5" spans="1:4" ht="51" x14ac:dyDescent="0.4">
      <c r="A5" s="64" t="s">
        <v>282</v>
      </c>
      <c r="B5" s="65" t="s">
        <v>283</v>
      </c>
      <c r="C5" s="66">
        <v>7</v>
      </c>
      <c r="D5" s="64" t="s">
        <v>284</v>
      </c>
    </row>
    <row r="6" spans="1:4" ht="34" x14ac:dyDescent="0.4">
      <c r="A6" s="64" t="s">
        <v>295</v>
      </c>
      <c r="B6" s="65" t="s">
        <v>285</v>
      </c>
      <c r="C6" s="66">
        <v>6</v>
      </c>
      <c r="D6" s="64" t="s">
        <v>268</v>
      </c>
    </row>
    <row r="7" spans="1:4" ht="51" x14ac:dyDescent="0.4">
      <c r="A7" s="64" t="s">
        <v>282</v>
      </c>
      <c r="B7" s="65" t="s">
        <v>286</v>
      </c>
      <c r="C7" s="66">
        <v>5</v>
      </c>
      <c r="D7" s="64" t="s">
        <v>264</v>
      </c>
    </row>
    <row r="8" spans="1:4" ht="34" x14ac:dyDescent="0.4">
      <c r="A8" s="64" t="s">
        <v>295</v>
      </c>
      <c r="B8" s="65" t="s">
        <v>287</v>
      </c>
      <c r="C8" s="66">
        <v>4</v>
      </c>
      <c r="D8" s="64" t="s">
        <v>288</v>
      </c>
    </row>
    <row r="9" spans="1:4" ht="51" x14ac:dyDescent="0.4">
      <c r="A9" s="64" t="s">
        <v>282</v>
      </c>
      <c r="B9" s="65" t="s">
        <v>289</v>
      </c>
      <c r="C9" s="66">
        <v>3</v>
      </c>
      <c r="D9" s="64" t="s">
        <v>260</v>
      </c>
    </row>
    <row r="10" spans="1:4" ht="34" x14ac:dyDescent="0.4">
      <c r="A10" s="64" t="s">
        <v>296</v>
      </c>
      <c r="B10" s="65" t="s">
        <v>290</v>
      </c>
      <c r="C10" s="66">
        <v>2</v>
      </c>
      <c r="D10" s="64" t="s">
        <v>291</v>
      </c>
    </row>
    <row r="11" spans="1:4" ht="51" x14ac:dyDescent="0.4">
      <c r="A11" s="64" t="s">
        <v>297</v>
      </c>
      <c r="B11" s="65" t="s">
        <v>298</v>
      </c>
      <c r="C11" s="66">
        <v>1</v>
      </c>
      <c r="D11" s="64" t="s">
        <v>292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B7"/>
  <sheetViews>
    <sheetView workbookViewId="0">
      <selection activeCell="B12" sqref="B12"/>
    </sheetView>
  </sheetViews>
  <sheetFormatPr defaultColWidth="9" defaultRowHeight="17" x14ac:dyDescent="0.4"/>
  <cols>
    <col min="1" max="1" width="15.08984375" style="75" bestFit="1" customWidth="1"/>
    <col min="2" max="2" width="87.6328125" style="74" bestFit="1" customWidth="1"/>
    <col min="3" max="16384" width="9" style="74"/>
  </cols>
  <sheetData>
    <row r="1" spans="1:2" x14ac:dyDescent="0.4">
      <c r="A1" s="76" t="s">
        <v>643</v>
      </c>
      <c r="B1" s="77" t="s">
        <v>652</v>
      </c>
    </row>
    <row r="2" spans="1:2" x14ac:dyDescent="0.4">
      <c r="A2" s="76" t="s">
        <v>644</v>
      </c>
      <c r="B2" s="77" t="s">
        <v>648</v>
      </c>
    </row>
    <row r="3" spans="1:2" x14ac:dyDescent="0.4">
      <c r="A3" s="76" t="s">
        <v>645</v>
      </c>
      <c r="B3" s="77" t="s">
        <v>649</v>
      </c>
    </row>
    <row r="4" spans="1:2" x14ac:dyDescent="0.4">
      <c r="A4" s="76" t="s">
        <v>646</v>
      </c>
      <c r="B4" s="77" t="s">
        <v>650</v>
      </c>
    </row>
    <row r="5" spans="1:2" x14ac:dyDescent="0.4">
      <c r="A5" s="76" t="s">
        <v>647</v>
      </c>
      <c r="B5" s="77" t="s">
        <v>651</v>
      </c>
    </row>
    <row r="7" spans="1:2" ht="92.25" customHeight="1" x14ac:dyDescent="0.4">
      <c r="A7" s="226" t="s">
        <v>653</v>
      </c>
      <c r="B7" s="226"/>
    </row>
  </sheetData>
  <mergeCells count="1">
    <mergeCell ref="A7:B7"/>
  </mergeCells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4</vt:i4>
      </vt:variant>
    </vt:vector>
  </HeadingPairs>
  <TitlesOfParts>
    <vt:vector size="11" baseType="lpstr">
      <vt:lpstr>PFMEA</vt:lpstr>
      <vt:lpstr>資料庫</vt:lpstr>
      <vt:lpstr>項目異常</vt:lpstr>
      <vt:lpstr>嚴重度 (S)</vt:lpstr>
      <vt:lpstr>發生率 (O)</vt:lpstr>
      <vt:lpstr>偵測度 (D)</vt:lpstr>
      <vt:lpstr>R.P.N值</vt:lpstr>
      <vt:lpstr>PFMEA!Print_Area</vt:lpstr>
      <vt:lpstr>控制偵測</vt:lpstr>
      <vt:lpstr>控制預防</vt:lpstr>
      <vt:lpstr>製程基準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2024-11-18T07:30:03Z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64c75d6c-e21a-42d1-a5b4-fb51768dc2f3</vt:lpwstr>
  </property>
</Properties>
</file>